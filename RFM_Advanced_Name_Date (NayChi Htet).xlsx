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Excel\CMA\RFM_Advanced\RFM_Analysis (NayChi Htet)\"/>
    </mc:Choice>
  </mc:AlternateContent>
  <xr:revisionPtr revIDLastSave="0" documentId="13_ncr:1_{785CC42A-6920-4A6C-B223-ABBEBB11F6C7}" xr6:coauthVersionLast="47" xr6:coauthVersionMax="47" xr10:uidLastSave="{00000000-0000-0000-0000-000000000000}"/>
  <bookViews>
    <workbookView xWindow="-108" yWindow="-108" windowWidth="23256" windowHeight="12456" tabRatio="646" firstSheet="1" activeTab="6" xr2:uid="{595505DD-801B-407D-A8B7-8FE3DFDE5B33}"/>
  </bookViews>
  <sheets>
    <sheet name="RFM Analysis" sheetId="7" r:id="rId1"/>
    <sheet name="RFM_Table" sheetId="6" r:id="rId2"/>
    <sheet name="raw_rfm" sheetId="1" r:id="rId3"/>
    <sheet name="WK01" sheetId="8" r:id="rId4"/>
    <sheet name="recency" sheetId="3" r:id="rId5"/>
    <sheet name="frequency" sheetId="4" r:id="rId6"/>
    <sheet name="monetary" sheetId="2" r:id="rId7"/>
    <sheet name="WK02" sheetId="9" r:id="rId8"/>
    <sheet name="WK03" sheetId="10" r:id="rId9"/>
    <sheet name="Next" sheetId="12" r:id="rId10"/>
    <sheet name="Sheet1" sheetId="13" r:id="rId11"/>
  </sheets>
  <definedNames>
    <definedName name="_xlnm._FilterDatabase" localSheetId="6" hidden="1">monetary!$B$5:$F$817</definedName>
    <definedName name="_xlnm._FilterDatabase" localSheetId="2" hidden="1">raw_rfm!$A$8:$J$2008</definedName>
    <definedName name="_xlnm._FilterDatabase" localSheetId="4" hidden="1">recency!$D$6:$H$2006</definedName>
    <definedName name="_xlnm._FilterDatabase" localSheetId="3" hidden="1">'WK01'!$N$5:$Y$817</definedName>
    <definedName name="analysis_date">recency!$A$7</definedName>
    <definedName name="frequency_threshold">frequency!$A$7</definedName>
    <definedName name="recency_threshold">recency!$A$13</definedName>
    <definedName name="return_window">recency!$A$10</definedName>
    <definedName name="Slicer_Region">#N/A</definedName>
  </definedNames>
  <calcPr calcId="191029"/>
  <pivotCaches>
    <pivotCache cacheId="48" r:id="rId12"/>
    <pivotCache cacheId="52" r:id="rId13"/>
    <pivotCache cacheId="68"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6" i="2"/>
  <c r="D6" i="2"/>
  <c r="D7" i="2"/>
  <c r="D139" i="2"/>
  <c r="T6" i="8"/>
  <c r="G7" i="3"/>
  <c r="Q6" i="8"/>
  <c r="O7" i="3"/>
  <c r="L7" i="4"/>
  <c r="M8" i="4" s="1"/>
  <c r="H7" i="4"/>
  <c r="P7" i="3"/>
  <c r="AG6" i="8" s="1"/>
  <c r="R6" i="8"/>
  <c r="U6" i="8" s="1"/>
  <c r="AH6" i="8"/>
  <c r="D10" i="2"/>
  <c r="AF818" i="8"/>
  <c r="D142" i="2"/>
  <c r="D16" i="2"/>
  <c r="M16" i="4" l="1"/>
  <c r="H812" i="4"/>
  <c r="AH811" i="8" l="1"/>
  <c r="AI6" i="8"/>
  <c r="AJ6" i="8" l="1"/>
  <c r="F19" i="3"/>
  <c r="F2005" i="3"/>
  <c r="F9" i="3"/>
  <c r="F8" i="3"/>
  <c r="G8" i="3" s="1"/>
  <c r="F7" i="3"/>
  <c r="H7" i="3" s="1"/>
  <c r="AK6" i="8" l="1"/>
  <c r="H8" i="3"/>
  <c r="P6" i="8"/>
  <c r="S6" i="8"/>
  <c r="AI7" i="8" l="1"/>
  <c r="AI8" i="8"/>
  <c r="AI9" i="8"/>
  <c r="AI10" i="8"/>
  <c r="AI11" i="8"/>
  <c r="AI12" i="8"/>
  <c r="AI13" i="8"/>
  <c r="AI14" i="8"/>
  <c r="AI15" i="8"/>
  <c r="AI16" i="8"/>
  <c r="AI17" i="8"/>
  <c r="AI18" i="8"/>
  <c r="AI19" i="8"/>
  <c r="AI20" i="8"/>
  <c r="AI21" i="8"/>
  <c r="AI22" i="8"/>
  <c r="AI23" i="8"/>
  <c r="AI24" i="8"/>
  <c r="AI25" i="8"/>
  <c r="AI26" i="8"/>
  <c r="AI27" i="8"/>
  <c r="AI28" i="8"/>
  <c r="AI29" i="8"/>
  <c r="AI30" i="8"/>
  <c r="AI31" i="8"/>
  <c r="AI32" i="8"/>
  <c r="AI33" i="8"/>
  <c r="AI34" i="8"/>
  <c r="AI35" i="8"/>
  <c r="AI36" i="8"/>
  <c r="AI37" i="8"/>
  <c r="AI38" i="8"/>
  <c r="AI39" i="8"/>
  <c r="AI40" i="8"/>
  <c r="AI41" i="8"/>
  <c r="AI42" i="8"/>
  <c r="AI43" i="8"/>
  <c r="AI44" i="8"/>
  <c r="AI45" i="8"/>
  <c r="AI46" i="8"/>
  <c r="AI47" i="8"/>
  <c r="AI48" i="8"/>
  <c r="AI49" i="8"/>
  <c r="AI50" i="8"/>
  <c r="AI51" i="8"/>
  <c r="AI52" i="8"/>
  <c r="AI53" i="8"/>
  <c r="AI54" i="8"/>
  <c r="AI55" i="8"/>
  <c r="AI56" i="8"/>
  <c r="AI57" i="8"/>
  <c r="AI58" i="8"/>
  <c r="AI59" i="8"/>
  <c r="AI60" i="8"/>
  <c r="AI61" i="8"/>
  <c r="AI62" i="8"/>
  <c r="AI63" i="8"/>
  <c r="AI64" i="8"/>
  <c r="AI65" i="8"/>
  <c r="AI66" i="8"/>
  <c r="AI67" i="8"/>
  <c r="AI68" i="8"/>
  <c r="AI69" i="8"/>
  <c r="AI70" i="8"/>
  <c r="AI71" i="8"/>
  <c r="AI72" i="8"/>
  <c r="AI73" i="8"/>
  <c r="AI74" i="8"/>
  <c r="AI75" i="8"/>
  <c r="AI76" i="8"/>
  <c r="AI77" i="8"/>
  <c r="AI78" i="8"/>
  <c r="AI79" i="8"/>
  <c r="AI80" i="8"/>
  <c r="AI81" i="8"/>
  <c r="AI82" i="8"/>
  <c r="AI83" i="8"/>
  <c r="AI84" i="8"/>
  <c r="AI85" i="8"/>
  <c r="AI86" i="8"/>
  <c r="AI87" i="8"/>
  <c r="AI88" i="8"/>
  <c r="AI89" i="8"/>
  <c r="AI90" i="8"/>
  <c r="AI91" i="8"/>
  <c r="AI92" i="8"/>
  <c r="AI93" i="8"/>
  <c r="AI94" i="8"/>
  <c r="AI95" i="8"/>
  <c r="AI96" i="8"/>
  <c r="AI97" i="8"/>
  <c r="AI98" i="8"/>
  <c r="AI99" i="8"/>
  <c r="AI100" i="8"/>
  <c r="AI101" i="8"/>
  <c r="AI102" i="8"/>
  <c r="AI103" i="8"/>
  <c r="AI104" i="8"/>
  <c r="AI105" i="8"/>
  <c r="AI106" i="8"/>
  <c r="AI107" i="8"/>
  <c r="AI108" i="8"/>
  <c r="AI109" i="8"/>
  <c r="AI110" i="8"/>
  <c r="AI111" i="8"/>
  <c r="AI112" i="8"/>
  <c r="AI113" i="8"/>
  <c r="AI114" i="8"/>
  <c r="AI115" i="8"/>
  <c r="AI116" i="8"/>
  <c r="AI117" i="8"/>
  <c r="AI118" i="8"/>
  <c r="AI119" i="8"/>
  <c r="AI120" i="8"/>
  <c r="AI121" i="8"/>
  <c r="AI122" i="8"/>
  <c r="AI123" i="8"/>
  <c r="AI124" i="8"/>
  <c r="AI125" i="8"/>
  <c r="AI126" i="8"/>
  <c r="AI127" i="8"/>
  <c r="AI128" i="8"/>
  <c r="AI129" i="8"/>
  <c r="AI130" i="8"/>
  <c r="AI131" i="8"/>
  <c r="AI132" i="8"/>
  <c r="AI133" i="8"/>
  <c r="AI134" i="8"/>
  <c r="AI135" i="8"/>
  <c r="AI136" i="8"/>
  <c r="AI137" i="8"/>
  <c r="AI138" i="8"/>
  <c r="AI139" i="8"/>
  <c r="AI140" i="8"/>
  <c r="AI141" i="8"/>
  <c r="AI142" i="8"/>
  <c r="AI143" i="8"/>
  <c r="AI144" i="8"/>
  <c r="AI145" i="8"/>
  <c r="AI146" i="8"/>
  <c r="AI147" i="8"/>
  <c r="AI148" i="8"/>
  <c r="AI149" i="8"/>
  <c r="AI150" i="8"/>
  <c r="AI151" i="8"/>
  <c r="AI152" i="8"/>
  <c r="AI153" i="8"/>
  <c r="AI154" i="8"/>
  <c r="AI155" i="8"/>
  <c r="AI156" i="8"/>
  <c r="AI157" i="8"/>
  <c r="AI158" i="8"/>
  <c r="AI159" i="8"/>
  <c r="AI160" i="8"/>
  <c r="AI161" i="8"/>
  <c r="AI162" i="8"/>
  <c r="AI163" i="8"/>
  <c r="AI164" i="8"/>
  <c r="AI165" i="8"/>
  <c r="AI166" i="8"/>
  <c r="AI167" i="8"/>
  <c r="AI168" i="8"/>
  <c r="AI169" i="8"/>
  <c r="AI170" i="8"/>
  <c r="AI171" i="8"/>
  <c r="AI172" i="8"/>
  <c r="AI173" i="8"/>
  <c r="AI174" i="8"/>
  <c r="AI175" i="8"/>
  <c r="AI176" i="8"/>
  <c r="AI177" i="8"/>
  <c r="AI178" i="8"/>
  <c r="AI179" i="8"/>
  <c r="AI180" i="8"/>
  <c r="AI181" i="8"/>
  <c r="AI182" i="8"/>
  <c r="AI183" i="8"/>
  <c r="AI184" i="8"/>
  <c r="AI185" i="8"/>
  <c r="AI186" i="8"/>
  <c r="AI187" i="8"/>
  <c r="AI188" i="8"/>
  <c r="AI189" i="8"/>
  <c r="AI190" i="8"/>
  <c r="AI191" i="8"/>
  <c r="AI192" i="8"/>
  <c r="AI193" i="8"/>
  <c r="AI194" i="8"/>
  <c r="AI195" i="8"/>
  <c r="AI196" i="8"/>
  <c r="AI197" i="8"/>
  <c r="AI198" i="8"/>
  <c r="AI199" i="8"/>
  <c r="AI200" i="8"/>
  <c r="AI201" i="8"/>
  <c r="AI202" i="8"/>
  <c r="AI203" i="8"/>
  <c r="AI204" i="8"/>
  <c r="AI205" i="8"/>
  <c r="AI206" i="8"/>
  <c r="AI207" i="8"/>
  <c r="AI208" i="8"/>
  <c r="AI209" i="8"/>
  <c r="AI210" i="8"/>
  <c r="AI211" i="8"/>
  <c r="AI212" i="8"/>
  <c r="AI213" i="8"/>
  <c r="AI214" i="8"/>
  <c r="AI215" i="8"/>
  <c r="AI216" i="8"/>
  <c r="AI217" i="8"/>
  <c r="AI218" i="8"/>
  <c r="AI219" i="8"/>
  <c r="AI220" i="8"/>
  <c r="AI221" i="8"/>
  <c r="AI222" i="8"/>
  <c r="AI223" i="8"/>
  <c r="AI224" i="8"/>
  <c r="AI225" i="8"/>
  <c r="AI226" i="8"/>
  <c r="AI227" i="8"/>
  <c r="AI228" i="8"/>
  <c r="AI229" i="8"/>
  <c r="AI230" i="8"/>
  <c r="AI231" i="8"/>
  <c r="AI232" i="8"/>
  <c r="AI233" i="8"/>
  <c r="AI234" i="8"/>
  <c r="AI235" i="8"/>
  <c r="AI236" i="8"/>
  <c r="AI237" i="8"/>
  <c r="AI238" i="8"/>
  <c r="AI239" i="8"/>
  <c r="AI240" i="8"/>
  <c r="AI241" i="8"/>
  <c r="AI242" i="8"/>
  <c r="AI243" i="8"/>
  <c r="AI244" i="8"/>
  <c r="AI245" i="8"/>
  <c r="AI246" i="8"/>
  <c r="AI247" i="8"/>
  <c r="AI248" i="8"/>
  <c r="AI249" i="8"/>
  <c r="AI250" i="8"/>
  <c r="AI251" i="8"/>
  <c r="AI252" i="8"/>
  <c r="AI253" i="8"/>
  <c r="AI254" i="8"/>
  <c r="AI255" i="8"/>
  <c r="AI256" i="8"/>
  <c r="AI257" i="8"/>
  <c r="AI258" i="8"/>
  <c r="AI259" i="8"/>
  <c r="AI260" i="8"/>
  <c r="AI261" i="8"/>
  <c r="AI262" i="8"/>
  <c r="AI263" i="8"/>
  <c r="AI264" i="8"/>
  <c r="AI265" i="8"/>
  <c r="AI266" i="8"/>
  <c r="AI267" i="8"/>
  <c r="AI268" i="8"/>
  <c r="AI269" i="8"/>
  <c r="AI270" i="8"/>
  <c r="AI271" i="8"/>
  <c r="AI272" i="8"/>
  <c r="AI273" i="8"/>
  <c r="AI274" i="8"/>
  <c r="AI275" i="8"/>
  <c r="AI276" i="8"/>
  <c r="AI277" i="8"/>
  <c r="AI278" i="8"/>
  <c r="AI279" i="8"/>
  <c r="AI280" i="8"/>
  <c r="AI281" i="8"/>
  <c r="AI282" i="8"/>
  <c r="AI283" i="8"/>
  <c r="AI284" i="8"/>
  <c r="AI285" i="8"/>
  <c r="AI286" i="8"/>
  <c r="AI287" i="8"/>
  <c r="AI288" i="8"/>
  <c r="AI289" i="8"/>
  <c r="AI290" i="8"/>
  <c r="AI291" i="8"/>
  <c r="AI292" i="8"/>
  <c r="AI293" i="8"/>
  <c r="AI294" i="8"/>
  <c r="AI295" i="8"/>
  <c r="AI296" i="8"/>
  <c r="AI297" i="8"/>
  <c r="AI298" i="8"/>
  <c r="AI299" i="8"/>
  <c r="AI300" i="8"/>
  <c r="AI301" i="8"/>
  <c r="AI302" i="8"/>
  <c r="AI303" i="8"/>
  <c r="AI304" i="8"/>
  <c r="AI305" i="8"/>
  <c r="AI306" i="8"/>
  <c r="AI307" i="8"/>
  <c r="AI308" i="8"/>
  <c r="AI309" i="8"/>
  <c r="AI310" i="8"/>
  <c r="AI311" i="8"/>
  <c r="AI312" i="8"/>
  <c r="AI313" i="8"/>
  <c r="AI314" i="8"/>
  <c r="AI315" i="8"/>
  <c r="AI316" i="8"/>
  <c r="AI317" i="8"/>
  <c r="AI318" i="8"/>
  <c r="AI319" i="8"/>
  <c r="AI320" i="8"/>
  <c r="AI321" i="8"/>
  <c r="AI322" i="8"/>
  <c r="AI323" i="8"/>
  <c r="AI324" i="8"/>
  <c r="AI325" i="8"/>
  <c r="AI326" i="8"/>
  <c r="AI327" i="8"/>
  <c r="AI328" i="8"/>
  <c r="AI329" i="8"/>
  <c r="AI330" i="8"/>
  <c r="AI331" i="8"/>
  <c r="AI332" i="8"/>
  <c r="AI333" i="8"/>
  <c r="AI334" i="8"/>
  <c r="AI335" i="8"/>
  <c r="AI336" i="8"/>
  <c r="AI337" i="8"/>
  <c r="AI338" i="8"/>
  <c r="AI339" i="8"/>
  <c r="AI340" i="8"/>
  <c r="AI341" i="8"/>
  <c r="AI342" i="8"/>
  <c r="AI343" i="8"/>
  <c r="AI344" i="8"/>
  <c r="AI345" i="8"/>
  <c r="AI346" i="8"/>
  <c r="AI347" i="8"/>
  <c r="AI348" i="8"/>
  <c r="AI349" i="8"/>
  <c r="AI350" i="8"/>
  <c r="AI351" i="8"/>
  <c r="AI352" i="8"/>
  <c r="AI353" i="8"/>
  <c r="AI354" i="8"/>
  <c r="AI355" i="8"/>
  <c r="AI356" i="8"/>
  <c r="AI357" i="8"/>
  <c r="AI358" i="8"/>
  <c r="AI359" i="8"/>
  <c r="AI360" i="8"/>
  <c r="AI361" i="8"/>
  <c r="AI362" i="8"/>
  <c r="AI363" i="8"/>
  <c r="AI364" i="8"/>
  <c r="AI365" i="8"/>
  <c r="AI366" i="8"/>
  <c r="AI367" i="8"/>
  <c r="AI368" i="8"/>
  <c r="AI369" i="8"/>
  <c r="AI370" i="8"/>
  <c r="AI371" i="8"/>
  <c r="AI372" i="8"/>
  <c r="AI373" i="8"/>
  <c r="AI374" i="8"/>
  <c r="AI375" i="8"/>
  <c r="AI376" i="8"/>
  <c r="AI377" i="8"/>
  <c r="AI378" i="8"/>
  <c r="AI379" i="8"/>
  <c r="AI380" i="8"/>
  <c r="AI381" i="8"/>
  <c r="AI382" i="8"/>
  <c r="AI383" i="8"/>
  <c r="AI384" i="8"/>
  <c r="AI385" i="8"/>
  <c r="AI386" i="8"/>
  <c r="AI387" i="8"/>
  <c r="AI388" i="8"/>
  <c r="AI389" i="8"/>
  <c r="AI390" i="8"/>
  <c r="AI391" i="8"/>
  <c r="AI392" i="8"/>
  <c r="AI393" i="8"/>
  <c r="AI394" i="8"/>
  <c r="AI395" i="8"/>
  <c r="AI396" i="8"/>
  <c r="AI397" i="8"/>
  <c r="AI398" i="8"/>
  <c r="AI399" i="8"/>
  <c r="AI400" i="8"/>
  <c r="AI401" i="8"/>
  <c r="AI402" i="8"/>
  <c r="AI403" i="8"/>
  <c r="AI404" i="8"/>
  <c r="AI405" i="8"/>
  <c r="AI406" i="8"/>
  <c r="AI407" i="8"/>
  <c r="AI408" i="8"/>
  <c r="AI409" i="8"/>
  <c r="AI410" i="8"/>
  <c r="AI411" i="8"/>
  <c r="AI412" i="8"/>
  <c r="AI413" i="8"/>
  <c r="AI414" i="8"/>
  <c r="AI415" i="8"/>
  <c r="AI416" i="8"/>
  <c r="AI417" i="8"/>
  <c r="AI418" i="8"/>
  <c r="AI419" i="8"/>
  <c r="AI420" i="8"/>
  <c r="AI421" i="8"/>
  <c r="AI422" i="8"/>
  <c r="AI423" i="8"/>
  <c r="AI424" i="8"/>
  <c r="AI425" i="8"/>
  <c r="AI426" i="8"/>
  <c r="AI427" i="8"/>
  <c r="AI428" i="8"/>
  <c r="AI429" i="8"/>
  <c r="AI430" i="8"/>
  <c r="AI431" i="8"/>
  <c r="AI432" i="8"/>
  <c r="AI433" i="8"/>
  <c r="AI434" i="8"/>
  <c r="AI435" i="8"/>
  <c r="AI436" i="8"/>
  <c r="AI437" i="8"/>
  <c r="AI438" i="8"/>
  <c r="AI439" i="8"/>
  <c r="AI440" i="8"/>
  <c r="AI441" i="8"/>
  <c r="AI442" i="8"/>
  <c r="AI443" i="8"/>
  <c r="AI444" i="8"/>
  <c r="AI445" i="8"/>
  <c r="AI446" i="8"/>
  <c r="AI447" i="8"/>
  <c r="AI448" i="8"/>
  <c r="AI449" i="8"/>
  <c r="AI450" i="8"/>
  <c r="AI451" i="8"/>
  <c r="AI452" i="8"/>
  <c r="AI453" i="8"/>
  <c r="AI454" i="8"/>
  <c r="AI455" i="8"/>
  <c r="AI456" i="8"/>
  <c r="AI457" i="8"/>
  <c r="AI458" i="8"/>
  <c r="AI459" i="8"/>
  <c r="AI460" i="8"/>
  <c r="AI461" i="8"/>
  <c r="AI462" i="8"/>
  <c r="AI463" i="8"/>
  <c r="AI464" i="8"/>
  <c r="AI465" i="8"/>
  <c r="AI466" i="8"/>
  <c r="AI467" i="8"/>
  <c r="AI468" i="8"/>
  <c r="AI469" i="8"/>
  <c r="AI470" i="8"/>
  <c r="AI471" i="8"/>
  <c r="AI472" i="8"/>
  <c r="AI473" i="8"/>
  <c r="AI474" i="8"/>
  <c r="AI475" i="8"/>
  <c r="AI476" i="8"/>
  <c r="AI477" i="8"/>
  <c r="AI478" i="8"/>
  <c r="AI479" i="8"/>
  <c r="AI480" i="8"/>
  <c r="AI481" i="8"/>
  <c r="AI482" i="8"/>
  <c r="AI483" i="8"/>
  <c r="AI484" i="8"/>
  <c r="AI485" i="8"/>
  <c r="AI486" i="8"/>
  <c r="AI487" i="8"/>
  <c r="AI488" i="8"/>
  <c r="AI489" i="8"/>
  <c r="AI490" i="8"/>
  <c r="AI491" i="8"/>
  <c r="AI492" i="8"/>
  <c r="AI493" i="8"/>
  <c r="AI494" i="8"/>
  <c r="AI495" i="8"/>
  <c r="AI496" i="8"/>
  <c r="AI497" i="8"/>
  <c r="AI498" i="8"/>
  <c r="AI499" i="8"/>
  <c r="AI500" i="8"/>
  <c r="AI501" i="8"/>
  <c r="AI502" i="8"/>
  <c r="AI503" i="8"/>
  <c r="AI504" i="8"/>
  <c r="AI505" i="8"/>
  <c r="AI506" i="8"/>
  <c r="AI507" i="8"/>
  <c r="AI508" i="8"/>
  <c r="AI509" i="8"/>
  <c r="AI510" i="8"/>
  <c r="AI511" i="8"/>
  <c r="AI512" i="8"/>
  <c r="AI513" i="8"/>
  <c r="AI514" i="8"/>
  <c r="AI515" i="8"/>
  <c r="AI516" i="8"/>
  <c r="AI517" i="8"/>
  <c r="AI518" i="8"/>
  <c r="AI519" i="8"/>
  <c r="AI520" i="8"/>
  <c r="AI521" i="8"/>
  <c r="AI522" i="8"/>
  <c r="AI523" i="8"/>
  <c r="AI524" i="8"/>
  <c r="AI525" i="8"/>
  <c r="AI526" i="8"/>
  <c r="AI527" i="8"/>
  <c r="AI528" i="8"/>
  <c r="AI529" i="8"/>
  <c r="AI530" i="8"/>
  <c r="AI531" i="8"/>
  <c r="AI532" i="8"/>
  <c r="AI533" i="8"/>
  <c r="AI534" i="8"/>
  <c r="AI535" i="8"/>
  <c r="AI536" i="8"/>
  <c r="AI537" i="8"/>
  <c r="AI538" i="8"/>
  <c r="AI539" i="8"/>
  <c r="AI540" i="8"/>
  <c r="AI541" i="8"/>
  <c r="AI542" i="8"/>
  <c r="AI543" i="8"/>
  <c r="AI544" i="8"/>
  <c r="AI545" i="8"/>
  <c r="AI546" i="8"/>
  <c r="AI547" i="8"/>
  <c r="AI548" i="8"/>
  <c r="AI549" i="8"/>
  <c r="AI550" i="8"/>
  <c r="AI551" i="8"/>
  <c r="AI552" i="8"/>
  <c r="AI553" i="8"/>
  <c r="AI554" i="8"/>
  <c r="AI555" i="8"/>
  <c r="AI556" i="8"/>
  <c r="AI557" i="8"/>
  <c r="AI558" i="8"/>
  <c r="AI559" i="8"/>
  <c r="AI560" i="8"/>
  <c r="AI561" i="8"/>
  <c r="AI562" i="8"/>
  <c r="AI563" i="8"/>
  <c r="AI564" i="8"/>
  <c r="AI565" i="8"/>
  <c r="AI566" i="8"/>
  <c r="AI567" i="8"/>
  <c r="AI568" i="8"/>
  <c r="AI569" i="8"/>
  <c r="AI570" i="8"/>
  <c r="AI571" i="8"/>
  <c r="AI572" i="8"/>
  <c r="AI573" i="8"/>
  <c r="AI574" i="8"/>
  <c r="AI575" i="8"/>
  <c r="AI576" i="8"/>
  <c r="AI577" i="8"/>
  <c r="AI578" i="8"/>
  <c r="AI579" i="8"/>
  <c r="AI580" i="8"/>
  <c r="AI581" i="8"/>
  <c r="AI582" i="8"/>
  <c r="AI583" i="8"/>
  <c r="AI584" i="8"/>
  <c r="AI585" i="8"/>
  <c r="AI586" i="8"/>
  <c r="AI587" i="8"/>
  <c r="AI588" i="8"/>
  <c r="AI589" i="8"/>
  <c r="AI590" i="8"/>
  <c r="AI591" i="8"/>
  <c r="AI592" i="8"/>
  <c r="AI593" i="8"/>
  <c r="AI594" i="8"/>
  <c r="AI595" i="8"/>
  <c r="AI596" i="8"/>
  <c r="AI597" i="8"/>
  <c r="AI598" i="8"/>
  <c r="AI599" i="8"/>
  <c r="AI600" i="8"/>
  <c r="AI601" i="8"/>
  <c r="AI602" i="8"/>
  <c r="AI603" i="8"/>
  <c r="AI604" i="8"/>
  <c r="AI605" i="8"/>
  <c r="AI606" i="8"/>
  <c r="AI607" i="8"/>
  <c r="AI608" i="8"/>
  <c r="AI609" i="8"/>
  <c r="AI610" i="8"/>
  <c r="AI611" i="8"/>
  <c r="AI612" i="8"/>
  <c r="AI613" i="8"/>
  <c r="AI614" i="8"/>
  <c r="AI615" i="8"/>
  <c r="AI616" i="8"/>
  <c r="AI617" i="8"/>
  <c r="AI618" i="8"/>
  <c r="AI619" i="8"/>
  <c r="AI620" i="8"/>
  <c r="AI621" i="8"/>
  <c r="AI622" i="8"/>
  <c r="AI623" i="8"/>
  <c r="AI624" i="8"/>
  <c r="AI625" i="8"/>
  <c r="AI626" i="8"/>
  <c r="AI627" i="8"/>
  <c r="AI628" i="8"/>
  <c r="AI629" i="8"/>
  <c r="AI630" i="8"/>
  <c r="AI631" i="8"/>
  <c r="AI632" i="8"/>
  <c r="AI633" i="8"/>
  <c r="AI634" i="8"/>
  <c r="AI635" i="8"/>
  <c r="AI636" i="8"/>
  <c r="AI637" i="8"/>
  <c r="AI638" i="8"/>
  <c r="AI639" i="8"/>
  <c r="AI640" i="8"/>
  <c r="AI641" i="8"/>
  <c r="AI642" i="8"/>
  <c r="AI643" i="8"/>
  <c r="AI644" i="8"/>
  <c r="AI645" i="8"/>
  <c r="AI646" i="8"/>
  <c r="AI647" i="8"/>
  <c r="AI648" i="8"/>
  <c r="AI649" i="8"/>
  <c r="AI650" i="8"/>
  <c r="AI651" i="8"/>
  <c r="AI652" i="8"/>
  <c r="AI653" i="8"/>
  <c r="AI654" i="8"/>
  <c r="AI655" i="8"/>
  <c r="AI656" i="8"/>
  <c r="AI657" i="8"/>
  <c r="AI658" i="8"/>
  <c r="AI659" i="8"/>
  <c r="AI660" i="8"/>
  <c r="AI661" i="8"/>
  <c r="AI662" i="8"/>
  <c r="AI663" i="8"/>
  <c r="AI664" i="8"/>
  <c r="AI665" i="8"/>
  <c r="AI666" i="8"/>
  <c r="AI667" i="8"/>
  <c r="AI668" i="8"/>
  <c r="AI669" i="8"/>
  <c r="AI670" i="8"/>
  <c r="AI671" i="8"/>
  <c r="AI672" i="8"/>
  <c r="AI673" i="8"/>
  <c r="AI674" i="8"/>
  <c r="AI675" i="8"/>
  <c r="AI676" i="8"/>
  <c r="AI677" i="8"/>
  <c r="AI678" i="8"/>
  <c r="AI679" i="8"/>
  <c r="AI680" i="8"/>
  <c r="AI681" i="8"/>
  <c r="AI682" i="8"/>
  <c r="AI683" i="8"/>
  <c r="AI684" i="8"/>
  <c r="AI685" i="8"/>
  <c r="AI686" i="8"/>
  <c r="AI687" i="8"/>
  <c r="AI688" i="8"/>
  <c r="AI689" i="8"/>
  <c r="AI690" i="8"/>
  <c r="AI691" i="8"/>
  <c r="AI692" i="8"/>
  <c r="AI693" i="8"/>
  <c r="AI694" i="8"/>
  <c r="AI695" i="8"/>
  <c r="AI696" i="8"/>
  <c r="AI697" i="8"/>
  <c r="AI698" i="8"/>
  <c r="AI699" i="8"/>
  <c r="AI700" i="8"/>
  <c r="AI701" i="8"/>
  <c r="AI702" i="8"/>
  <c r="AI703" i="8"/>
  <c r="AI704" i="8"/>
  <c r="AI705" i="8"/>
  <c r="AI706" i="8"/>
  <c r="AI707" i="8"/>
  <c r="AI708" i="8"/>
  <c r="AI709" i="8"/>
  <c r="AI710" i="8"/>
  <c r="AI711" i="8"/>
  <c r="AI712" i="8"/>
  <c r="AI713" i="8"/>
  <c r="AI714" i="8"/>
  <c r="AI715" i="8"/>
  <c r="AI716" i="8"/>
  <c r="AI717" i="8"/>
  <c r="AI718" i="8"/>
  <c r="AI719" i="8"/>
  <c r="AI720" i="8"/>
  <c r="AI721" i="8"/>
  <c r="AI722" i="8"/>
  <c r="AI723" i="8"/>
  <c r="AI724" i="8"/>
  <c r="AI725" i="8"/>
  <c r="AI726" i="8"/>
  <c r="AI727" i="8"/>
  <c r="AI728" i="8"/>
  <c r="AI729" i="8"/>
  <c r="AI730" i="8"/>
  <c r="AI731" i="8"/>
  <c r="AI732" i="8"/>
  <c r="AI733" i="8"/>
  <c r="AI734" i="8"/>
  <c r="AI735" i="8"/>
  <c r="AI736" i="8"/>
  <c r="AI737" i="8"/>
  <c r="AI738" i="8"/>
  <c r="AI739" i="8"/>
  <c r="AI740" i="8"/>
  <c r="AI741" i="8"/>
  <c r="AI742" i="8"/>
  <c r="AI743" i="8"/>
  <c r="AI744" i="8"/>
  <c r="AI745" i="8"/>
  <c r="AI746" i="8"/>
  <c r="AI747" i="8"/>
  <c r="AI748" i="8"/>
  <c r="AI749" i="8"/>
  <c r="AI750" i="8"/>
  <c r="AI751" i="8"/>
  <c r="AI752" i="8"/>
  <c r="AI753" i="8"/>
  <c r="AI754" i="8"/>
  <c r="AI755" i="8"/>
  <c r="AI756" i="8"/>
  <c r="AI757" i="8"/>
  <c r="AI758" i="8"/>
  <c r="AI759" i="8"/>
  <c r="AI760" i="8"/>
  <c r="AI761" i="8"/>
  <c r="AI762" i="8"/>
  <c r="AI763" i="8"/>
  <c r="AI764" i="8"/>
  <c r="AI765" i="8"/>
  <c r="AI766" i="8"/>
  <c r="AI767" i="8"/>
  <c r="AI768" i="8"/>
  <c r="AI769" i="8"/>
  <c r="AI770" i="8"/>
  <c r="AI771" i="8"/>
  <c r="AI772" i="8"/>
  <c r="AI773" i="8"/>
  <c r="AI774" i="8"/>
  <c r="AI775" i="8"/>
  <c r="AI776" i="8"/>
  <c r="AI777" i="8"/>
  <c r="AI778" i="8"/>
  <c r="AI779" i="8"/>
  <c r="AI780" i="8"/>
  <c r="AI781" i="8"/>
  <c r="AI782" i="8"/>
  <c r="AI783" i="8"/>
  <c r="AI784" i="8"/>
  <c r="AI785" i="8"/>
  <c r="AI786" i="8"/>
  <c r="AI787" i="8"/>
  <c r="AI788" i="8"/>
  <c r="AI789" i="8"/>
  <c r="AI790" i="8"/>
  <c r="AI791" i="8"/>
  <c r="AI792" i="8"/>
  <c r="AI793" i="8"/>
  <c r="AI794" i="8"/>
  <c r="AI795" i="8"/>
  <c r="AI796" i="8"/>
  <c r="AI797" i="8"/>
  <c r="AI798" i="8"/>
  <c r="AI799" i="8"/>
  <c r="AI800" i="8"/>
  <c r="AI801" i="8"/>
  <c r="AI802" i="8"/>
  <c r="AI803" i="8"/>
  <c r="AI804" i="8"/>
  <c r="AI805" i="8"/>
  <c r="AI806" i="8"/>
  <c r="AI807" i="8"/>
  <c r="AI808" i="8"/>
  <c r="AI809" i="8"/>
  <c r="AI810" i="8"/>
  <c r="AI811" i="8"/>
  <c r="AI812" i="8"/>
  <c r="AI813" i="8"/>
  <c r="AI814" i="8"/>
  <c r="AI815" i="8"/>
  <c r="AI816" i="8"/>
  <c r="AI817" i="8"/>
  <c r="D8" i="2" l="1"/>
  <c r="L10" i="4" l="1"/>
  <c r="L9" i="4"/>
  <c r="L8" i="4"/>
  <c r="M7" i="4"/>
  <c r="D9" i="2"/>
  <c r="D11" i="2"/>
  <c r="D12" i="2"/>
  <c r="D13" i="2"/>
  <c r="D14" i="2"/>
  <c r="D15"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40" i="2"/>
  <c r="D141"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L11" i="4"/>
  <c r="M11" i="4" s="1"/>
  <c r="L12" i="4"/>
  <c r="L13" i="4"/>
  <c r="L14" i="4"/>
  <c r="L15" i="4"/>
  <c r="M15" i="4" s="1"/>
  <c r="L16"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3" i="4"/>
  <c r="H814" i="4"/>
  <c r="H815" i="4"/>
  <c r="H816" i="4"/>
  <c r="H817" i="4"/>
  <c r="H818" i="4"/>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L32" i="3"/>
  <c r="L94" i="3"/>
  <c r="L339" i="3"/>
  <c r="L347" i="3"/>
  <c r="H435" i="3"/>
  <c r="L192" i="3" s="1"/>
  <c r="H437" i="3"/>
  <c r="H879" i="3"/>
  <c r="H1552" i="3"/>
  <c r="G19" i="3"/>
  <c r="H19" i="3" s="1"/>
  <c r="L12" i="3" s="1"/>
  <c r="G123" i="3"/>
  <c r="H123" i="3" s="1"/>
  <c r="G222" i="3"/>
  <c r="H222" i="3" s="1"/>
  <c r="L102" i="3" s="1"/>
  <c r="G331" i="3"/>
  <c r="H331" i="3" s="1"/>
  <c r="G512" i="3"/>
  <c r="H512" i="3" s="1"/>
  <c r="G880" i="3"/>
  <c r="H880" i="3" s="1"/>
  <c r="G881" i="3"/>
  <c r="H881" i="3" s="1"/>
  <c r="G963" i="3"/>
  <c r="H963" i="3" s="1"/>
  <c r="L415" i="3" s="1"/>
  <c r="G965" i="3"/>
  <c r="H965" i="3" s="1"/>
  <c r="G1168" i="3"/>
  <c r="H1168" i="3" s="1"/>
  <c r="G1340" i="3"/>
  <c r="H1340" i="3" s="1"/>
  <c r="G1375" i="3"/>
  <c r="H1375" i="3" s="1"/>
  <c r="G1390" i="3"/>
  <c r="H1390" i="3" s="1"/>
  <c r="G1391" i="3"/>
  <c r="H1391" i="3" s="1"/>
  <c r="G1392" i="3"/>
  <c r="H1392" i="3" s="1"/>
  <c r="G1481" i="3"/>
  <c r="H1481" i="3" s="1"/>
  <c r="G1531" i="3"/>
  <c r="H1531" i="3" s="1"/>
  <c r="G1532" i="3"/>
  <c r="H1532" i="3" s="1"/>
  <c r="G1565" i="3"/>
  <c r="H1565" i="3" s="1"/>
  <c r="G1617" i="3"/>
  <c r="H1617" i="3" s="1"/>
  <c r="G1624" i="3"/>
  <c r="H1624" i="3" s="1"/>
  <c r="G1631" i="3"/>
  <c r="H1631" i="3" s="1"/>
  <c r="G1673" i="3"/>
  <c r="H1673" i="3" s="1"/>
  <c r="G1757" i="3"/>
  <c r="H1757" i="3" s="1"/>
  <c r="L729" i="3" s="1"/>
  <c r="G1759" i="3"/>
  <c r="H1759" i="3" s="1"/>
  <c r="G1888" i="3"/>
  <c r="H1888" i="3" s="1"/>
  <c r="G1889" i="3"/>
  <c r="H1889" i="3" s="1"/>
  <c r="G1915" i="3"/>
  <c r="H1915" i="3" s="1"/>
  <c r="G1916" i="3"/>
  <c r="H1916" i="3" s="1"/>
  <c r="G9" i="3"/>
  <c r="H9" i="3" s="1"/>
  <c r="L7" i="3" s="1"/>
  <c r="F10" i="3"/>
  <c r="G10" i="3" s="1"/>
  <c r="H10" i="3" s="1"/>
  <c r="F11" i="3"/>
  <c r="G11" i="3" s="1"/>
  <c r="H11" i="3" s="1"/>
  <c r="F12" i="3"/>
  <c r="G12" i="3" s="1"/>
  <c r="H12" i="3" s="1"/>
  <c r="F13" i="3"/>
  <c r="G13" i="3" s="1"/>
  <c r="H13" i="3" s="1"/>
  <c r="F14" i="3"/>
  <c r="G14" i="3" s="1"/>
  <c r="H14" i="3" s="1"/>
  <c r="F15" i="3"/>
  <c r="G15" i="3" s="1"/>
  <c r="H15" i="3" s="1"/>
  <c r="L9" i="3" s="1"/>
  <c r="F16" i="3"/>
  <c r="G16" i="3" s="1"/>
  <c r="H16" i="3" s="1"/>
  <c r="F17" i="3"/>
  <c r="G17" i="3" s="1"/>
  <c r="H17" i="3" s="1"/>
  <c r="L10" i="3" s="1"/>
  <c r="F18" i="3"/>
  <c r="G18" i="3" s="1"/>
  <c r="H18" i="3" s="1"/>
  <c r="L11" i="3" s="1"/>
  <c r="F20" i="3"/>
  <c r="G20" i="3" s="1"/>
  <c r="H20" i="3" s="1"/>
  <c r="F21" i="3"/>
  <c r="G21" i="3" s="1"/>
  <c r="H21" i="3" s="1"/>
  <c r="F22" i="3"/>
  <c r="G22" i="3" s="1"/>
  <c r="H22" i="3" s="1"/>
  <c r="F23" i="3"/>
  <c r="F24" i="3"/>
  <c r="G24" i="3" s="1"/>
  <c r="H24" i="3" s="1"/>
  <c r="F25" i="3"/>
  <c r="G25" i="3" s="1"/>
  <c r="H25" i="3" s="1"/>
  <c r="L15" i="3" s="1"/>
  <c r="F26" i="3"/>
  <c r="G26" i="3" s="1"/>
  <c r="H26" i="3" s="1"/>
  <c r="F27" i="3"/>
  <c r="G27" i="3" s="1"/>
  <c r="H27" i="3" s="1"/>
  <c r="F28" i="3"/>
  <c r="G28" i="3" s="1"/>
  <c r="H28" i="3" s="1"/>
  <c r="L16" i="3" s="1"/>
  <c r="F29" i="3"/>
  <c r="G29" i="3" s="1"/>
  <c r="H29" i="3" s="1"/>
  <c r="L17" i="3" s="1"/>
  <c r="F30" i="3"/>
  <c r="G30" i="3" s="1"/>
  <c r="H30" i="3" s="1"/>
  <c r="F31" i="3"/>
  <c r="G31" i="3" s="1"/>
  <c r="H31" i="3" s="1"/>
  <c r="F32" i="3"/>
  <c r="G32" i="3" s="1"/>
  <c r="H32" i="3" s="1"/>
  <c r="F33" i="3"/>
  <c r="G33" i="3" s="1"/>
  <c r="H33" i="3" s="1"/>
  <c r="F34" i="3"/>
  <c r="G34" i="3" s="1"/>
  <c r="H34" i="3" s="1"/>
  <c r="F35" i="3"/>
  <c r="G35" i="3" s="1"/>
  <c r="H35" i="3" s="1"/>
  <c r="F36" i="3"/>
  <c r="G36" i="3" s="1"/>
  <c r="H36" i="3" s="1"/>
  <c r="F37" i="3"/>
  <c r="G37" i="3" s="1"/>
  <c r="H37" i="3" s="1"/>
  <c r="F38" i="3"/>
  <c r="G38" i="3" s="1"/>
  <c r="H38" i="3" s="1"/>
  <c r="F39" i="3"/>
  <c r="G39" i="3" s="1"/>
  <c r="H39" i="3" s="1"/>
  <c r="F40" i="3"/>
  <c r="G40" i="3" s="1"/>
  <c r="H40" i="3" s="1"/>
  <c r="F41" i="3"/>
  <c r="G41" i="3" s="1"/>
  <c r="H41" i="3" s="1"/>
  <c r="F42" i="3"/>
  <c r="G42" i="3" s="1"/>
  <c r="H42" i="3" s="1"/>
  <c r="F43" i="3"/>
  <c r="G43" i="3" s="1"/>
  <c r="H43" i="3" s="1"/>
  <c r="F44" i="3"/>
  <c r="G44" i="3" s="1"/>
  <c r="H44" i="3" s="1"/>
  <c r="F45" i="3"/>
  <c r="G45" i="3" s="1"/>
  <c r="H45" i="3" s="1"/>
  <c r="F46" i="3"/>
  <c r="G46" i="3" s="1"/>
  <c r="H46" i="3" s="1"/>
  <c r="F47" i="3"/>
  <c r="G47" i="3" s="1"/>
  <c r="H47" i="3" s="1"/>
  <c r="F48" i="3"/>
  <c r="G48" i="3" s="1"/>
  <c r="H48" i="3" s="1"/>
  <c r="F49" i="3"/>
  <c r="G49" i="3" s="1"/>
  <c r="H49" i="3" s="1"/>
  <c r="F50" i="3"/>
  <c r="G50" i="3" s="1"/>
  <c r="H50" i="3" s="1"/>
  <c r="F51" i="3"/>
  <c r="G51" i="3" s="1"/>
  <c r="H51" i="3" s="1"/>
  <c r="L25" i="3" s="1"/>
  <c r="F52" i="3"/>
  <c r="G52" i="3" s="1"/>
  <c r="H52" i="3" s="1"/>
  <c r="L26" i="3" s="1"/>
  <c r="F53" i="3"/>
  <c r="G53" i="3" s="1"/>
  <c r="H53" i="3" s="1"/>
  <c r="F54" i="3"/>
  <c r="G54" i="3" s="1"/>
  <c r="H54" i="3" s="1"/>
  <c r="F55" i="3"/>
  <c r="G55" i="3" s="1"/>
  <c r="H55" i="3" s="1"/>
  <c r="L27" i="3" s="1"/>
  <c r="F56" i="3"/>
  <c r="G56" i="3" s="1"/>
  <c r="H56" i="3" s="1"/>
  <c r="F57" i="3"/>
  <c r="G57" i="3" s="1"/>
  <c r="H57" i="3" s="1"/>
  <c r="F58" i="3"/>
  <c r="G58" i="3" s="1"/>
  <c r="H58" i="3" s="1"/>
  <c r="L29" i="3" s="1"/>
  <c r="F59" i="3"/>
  <c r="G59" i="3" s="1"/>
  <c r="H59" i="3" s="1"/>
  <c r="F60" i="3"/>
  <c r="G60" i="3" s="1"/>
  <c r="H60" i="3" s="1"/>
  <c r="F61" i="3"/>
  <c r="G61" i="3" s="1"/>
  <c r="H61" i="3" s="1"/>
  <c r="F62" i="3"/>
  <c r="G62" i="3" s="1"/>
  <c r="H62" i="3" s="1"/>
  <c r="F63" i="3"/>
  <c r="G63" i="3" s="1"/>
  <c r="H63" i="3" s="1"/>
  <c r="F64" i="3"/>
  <c r="G64" i="3" s="1"/>
  <c r="H64" i="3" s="1"/>
  <c r="F65" i="3"/>
  <c r="G65" i="3" s="1"/>
  <c r="H65" i="3" s="1"/>
  <c r="F66" i="3"/>
  <c r="G66" i="3" s="1"/>
  <c r="H66" i="3" s="1"/>
  <c r="F67" i="3"/>
  <c r="G67" i="3" s="1"/>
  <c r="H67" i="3" s="1"/>
  <c r="F68" i="3"/>
  <c r="G68" i="3" s="1"/>
  <c r="H68" i="3" s="1"/>
  <c r="F69" i="3"/>
  <c r="G69" i="3" s="1"/>
  <c r="H69" i="3" s="1"/>
  <c r="F70" i="3"/>
  <c r="G70" i="3" s="1"/>
  <c r="H70" i="3" s="1"/>
  <c r="L34" i="3" s="1"/>
  <c r="F71" i="3"/>
  <c r="G71" i="3" s="1"/>
  <c r="H71" i="3" s="1"/>
  <c r="F72" i="3"/>
  <c r="G72" i="3" s="1"/>
  <c r="H72" i="3" s="1"/>
  <c r="F73" i="3"/>
  <c r="G73" i="3" s="1"/>
  <c r="H73" i="3" s="1"/>
  <c r="L35" i="3" s="1"/>
  <c r="F74" i="3"/>
  <c r="G74" i="3" s="1"/>
  <c r="H74" i="3" s="1"/>
  <c r="F75" i="3"/>
  <c r="G75" i="3" s="1"/>
  <c r="H75" i="3" s="1"/>
  <c r="L36" i="3" s="1"/>
  <c r="F76" i="3"/>
  <c r="G76" i="3" s="1"/>
  <c r="H76" i="3" s="1"/>
  <c r="F77" i="3"/>
  <c r="G77" i="3" s="1"/>
  <c r="H77" i="3" s="1"/>
  <c r="F78" i="3"/>
  <c r="G78" i="3" s="1"/>
  <c r="H78" i="3" s="1"/>
  <c r="F79" i="3"/>
  <c r="G79" i="3" s="1"/>
  <c r="H79" i="3" s="1"/>
  <c r="F80" i="3"/>
  <c r="G80" i="3" s="1"/>
  <c r="H80" i="3" s="1"/>
  <c r="L37" i="3" s="1"/>
  <c r="F81" i="3"/>
  <c r="G81" i="3" s="1"/>
  <c r="H81" i="3" s="1"/>
  <c r="F82" i="3"/>
  <c r="G82" i="3" s="1"/>
  <c r="H82" i="3" s="1"/>
  <c r="F83" i="3"/>
  <c r="G83" i="3" s="1"/>
  <c r="H83" i="3" s="1"/>
  <c r="F84" i="3"/>
  <c r="G84" i="3" s="1"/>
  <c r="H84" i="3" s="1"/>
  <c r="F85" i="3"/>
  <c r="G85" i="3" s="1"/>
  <c r="H85" i="3" s="1"/>
  <c r="F86" i="3"/>
  <c r="G86" i="3" s="1"/>
  <c r="H86" i="3" s="1"/>
  <c r="F87" i="3"/>
  <c r="G87" i="3" s="1"/>
  <c r="H87" i="3" s="1"/>
  <c r="F88" i="3"/>
  <c r="G88" i="3" s="1"/>
  <c r="H88" i="3" s="1"/>
  <c r="F89" i="3"/>
  <c r="G89" i="3" s="1"/>
  <c r="H89" i="3" s="1"/>
  <c r="L41" i="3" s="1"/>
  <c r="F90" i="3"/>
  <c r="G90" i="3" s="1"/>
  <c r="H90" i="3" s="1"/>
  <c r="L42" i="3" s="1"/>
  <c r="F91" i="3"/>
  <c r="G91" i="3" s="1"/>
  <c r="H91" i="3" s="1"/>
  <c r="F92" i="3"/>
  <c r="G92" i="3" s="1"/>
  <c r="H92" i="3" s="1"/>
  <c r="F93" i="3"/>
  <c r="G93" i="3" s="1"/>
  <c r="H93" i="3" s="1"/>
  <c r="F94" i="3"/>
  <c r="G94" i="3" s="1"/>
  <c r="H94" i="3" s="1"/>
  <c r="F95" i="3"/>
  <c r="G95" i="3" s="1"/>
  <c r="H95" i="3" s="1"/>
  <c r="F96" i="3"/>
  <c r="G96" i="3" s="1"/>
  <c r="H96" i="3" s="1"/>
  <c r="F97" i="3"/>
  <c r="G97" i="3" s="1"/>
  <c r="H97" i="3" s="1"/>
  <c r="F98" i="3"/>
  <c r="G98" i="3" s="1"/>
  <c r="H98" i="3" s="1"/>
  <c r="F99" i="3"/>
  <c r="G99" i="3" s="1"/>
  <c r="H99" i="3" s="1"/>
  <c r="F100" i="3"/>
  <c r="G100" i="3" s="1"/>
  <c r="H100" i="3" s="1"/>
  <c r="F101" i="3"/>
  <c r="G101" i="3" s="1"/>
  <c r="H101" i="3" s="1"/>
  <c r="F102" i="3"/>
  <c r="G102" i="3" s="1"/>
  <c r="H102" i="3" s="1"/>
  <c r="F103" i="3"/>
  <c r="G103" i="3" s="1"/>
  <c r="H103" i="3" s="1"/>
  <c r="F104" i="3"/>
  <c r="G104" i="3" s="1"/>
  <c r="H104" i="3" s="1"/>
  <c r="F105" i="3"/>
  <c r="G105" i="3" s="1"/>
  <c r="H105" i="3" s="1"/>
  <c r="L48" i="3" s="1"/>
  <c r="F106" i="3"/>
  <c r="G106" i="3" s="1"/>
  <c r="H106" i="3" s="1"/>
  <c r="L49" i="3" s="1"/>
  <c r="F107" i="3"/>
  <c r="G107" i="3" s="1"/>
  <c r="H107" i="3" s="1"/>
  <c r="L50" i="3" s="1"/>
  <c r="F108" i="3"/>
  <c r="G108" i="3" s="1"/>
  <c r="H108" i="3" s="1"/>
  <c r="L51" i="3" s="1"/>
  <c r="F109" i="3"/>
  <c r="G109" i="3" s="1"/>
  <c r="H109" i="3" s="1"/>
  <c r="L52" i="3" s="1"/>
  <c r="F110" i="3"/>
  <c r="G110" i="3" s="1"/>
  <c r="H110" i="3" s="1"/>
  <c r="L53" i="3" s="1"/>
  <c r="F111" i="3"/>
  <c r="G111" i="3" s="1"/>
  <c r="H111" i="3" s="1"/>
  <c r="F112" i="3"/>
  <c r="G112" i="3" s="1"/>
  <c r="H112" i="3" s="1"/>
  <c r="F113" i="3"/>
  <c r="G113" i="3" s="1"/>
  <c r="H113" i="3" s="1"/>
  <c r="F114" i="3"/>
  <c r="G114" i="3" s="1"/>
  <c r="H114" i="3" s="1"/>
  <c r="F115" i="3"/>
  <c r="G115" i="3" s="1"/>
  <c r="H115" i="3" s="1"/>
  <c r="F116" i="3"/>
  <c r="G116" i="3" s="1"/>
  <c r="H116" i="3" s="1"/>
  <c r="F117" i="3"/>
  <c r="G117" i="3" s="1"/>
  <c r="H117" i="3" s="1"/>
  <c r="F118" i="3"/>
  <c r="G118" i="3" s="1"/>
  <c r="H118" i="3" s="1"/>
  <c r="F119" i="3"/>
  <c r="G119" i="3" s="1"/>
  <c r="H119" i="3" s="1"/>
  <c r="F120" i="3"/>
  <c r="G120" i="3" s="1"/>
  <c r="H120" i="3" s="1"/>
  <c r="F121" i="3"/>
  <c r="G121" i="3" s="1"/>
  <c r="H121" i="3" s="1"/>
  <c r="F122" i="3"/>
  <c r="G122" i="3" s="1"/>
  <c r="H122" i="3" s="1"/>
  <c r="F123" i="3"/>
  <c r="F124" i="3"/>
  <c r="G124" i="3" s="1"/>
  <c r="H124" i="3" s="1"/>
  <c r="F125" i="3"/>
  <c r="G125" i="3" s="1"/>
  <c r="H125" i="3" s="1"/>
  <c r="L58" i="3" s="1"/>
  <c r="F126" i="3"/>
  <c r="G126" i="3" s="1"/>
  <c r="H126" i="3" s="1"/>
  <c r="F127" i="3"/>
  <c r="G127" i="3" s="1"/>
  <c r="H127" i="3" s="1"/>
  <c r="F128" i="3"/>
  <c r="G128" i="3" s="1"/>
  <c r="H128" i="3" s="1"/>
  <c r="F129" i="3"/>
  <c r="G129" i="3" s="1"/>
  <c r="H129" i="3" s="1"/>
  <c r="F130" i="3"/>
  <c r="G130" i="3" s="1"/>
  <c r="H130" i="3" s="1"/>
  <c r="L61" i="3" s="1"/>
  <c r="F131" i="3"/>
  <c r="G131" i="3" s="1"/>
  <c r="H131" i="3" s="1"/>
  <c r="F132" i="3"/>
  <c r="G132" i="3" s="1"/>
  <c r="H132" i="3" s="1"/>
  <c r="F133" i="3"/>
  <c r="G133" i="3" s="1"/>
  <c r="H133" i="3" s="1"/>
  <c r="F134" i="3"/>
  <c r="G134" i="3" s="1"/>
  <c r="H134" i="3" s="1"/>
  <c r="F135" i="3"/>
  <c r="G135" i="3" s="1"/>
  <c r="H135" i="3" s="1"/>
  <c r="F136" i="3"/>
  <c r="G136" i="3" s="1"/>
  <c r="H136" i="3" s="1"/>
  <c r="F137" i="3"/>
  <c r="G137" i="3" s="1"/>
  <c r="H137" i="3" s="1"/>
  <c r="F138" i="3"/>
  <c r="G138" i="3" s="1"/>
  <c r="H138" i="3" s="1"/>
  <c r="F139" i="3"/>
  <c r="G139" i="3" s="1"/>
  <c r="H139" i="3" s="1"/>
  <c r="F140" i="3"/>
  <c r="G140" i="3" s="1"/>
  <c r="H140" i="3" s="1"/>
  <c r="F141" i="3"/>
  <c r="G141" i="3" s="1"/>
  <c r="H141" i="3" s="1"/>
  <c r="L64" i="3" s="1"/>
  <c r="F142" i="3"/>
  <c r="G142" i="3" s="1"/>
  <c r="H142" i="3" s="1"/>
  <c r="F143" i="3"/>
  <c r="G143" i="3" s="1"/>
  <c r="H143" i="3" s="1"/>
  <c r="F144" i="3"/>
  <c r="G144" i="3" s="1"/>
  <c r="H144" i="3" s="1"/>
  <c r="L66" i="3" s="1"/>
  <c r="F145" i="3"/>
  <c r="G145" i="3" s="1"/>
  <c r="H145" i="3" s="1"/>
  <c r="F146" i="3"/>
  <c r="G146" i="3" s="1"/>
  <c r="H146" i="3" s="1"/>
  <c r="F147" i="3"/>
  <c r="G147" i="3" s="1"/>
  <c r="H147" i="3" s="1"/>
  <c r="F148" i="3"/>
  <c r="G148" i="3" s="1"/>
  <c r="H148" i="3" s="1"/>
  <c r="F149" i="3"/>
  <c r="G149" i="3" s="1"/>
  <c r="H149" i="3" s="1"/>
  <c r="F150" i="3"/>
  <c r="G150" i="3" s="1"/>
  <c r="H150" i="3" s="1"/>
  <c r="F151" i="3"/>
  <c r="G151" i="3" s="1"/>
  <c r="H151" i="3" s="1"/>
  <c r="F152" i="3"/>
  <c r="G152" i="3" s="1"/>
  <c r="H152" i="3" s="1"/>
  <c r="L69" i="3" s="1"/>
  <c r="F153" i="3"/>
  <c r="G153" i="3" s="1"/>
  <c r="H153" i="3" s="1"/>
  <c r="L70" i="3" s="1"/>
  <c r="F154" i="3"/>
  <c r="G154" i="3" s="1"/>
  <c r="H154" i="3" s="1"/>
  <c r="L71" i="3" s="1"/>
  <c r="F155" i="3"/>
  <c r="G155" i="3" s="1"/>
  <c r="H155" i="3" s="1"/>
  <c r="L72" i="3" s="1"/>
  <c r="F156" i="3"/>
  <c r="G156" i="3" s="1"/>
  <c r="H156" i="3" s="1"/>
  <c r="F157" i="3"/>
  <c r="G157" i="3" s="1"/>
  <c r="H157" i="3" s="1"/>
  <c r="F158" i="3"/>
  <c r="G158" i="3" s="1"/>
  <c r="H158" i="3" s="1"/>
  <c r="F159" i="3"/>
  <c r="G159" i="3" s="1"/>
  <c r="H159" i="3" s="1"/>
  <c r="L74" i="3" s="1"/>
  <c r="F160" i="3"/>
  <c r="G160" i="3" s="1"/>
  <c r="H160" i="3" s="1"/>
  <c r="L75" i="3" s="1"/>
  <c r="F161" i="3"/>
  <c r="G161" i="3" s="1"/>
  <c r="H161" i="3" s="1"/>
  <c r="F162" i="3"/>
  <c r="G162" i="3" s="1"/>
  <c r="H162" i="3" s="1"/>
  <c r="F163" i="3"/>
  <c r="G163" i="3" s="1"/>
  <c r="H163" i="3" s="1"/>
  <c r="F164" i="3"/>
  <c r="G164" i="3" s="1"/>
  <c r="H164" i="3" s="1"/>
  <c r="L77" i="3" s="1"/>
  <c r="F165" i="3"/>
  <c r="G165" i="3" s="1"/>
  <c r="H165" i="3" s="1"/>
  <c r="L78" i="3" s="1"/>
  <c r="F166" i="3"/>
  <c r="G166" i="3" s="1"/>
  <c r="H166" i="3" s="1"/>
  <c r="L79" i="3" s="1"/>
  <c r="F167" i="3"/>
  <c r="G167" i="3" s="1"/>
  <c r="H167" i="3" s="1"/>
  <c r="F168" i="3"/>
  <c r="G168" i="3" s="1"/>
  <c r="H168" i="3" s="1"/>
  <c r="F169" i="3"/>
  <c r="G169" i="3" s="1"/>
  <c r="H169" i="3" s="1"/>
  <c r="L81" i="3" s="1"/>
  <c r="F170" i="3"/>
  <c r="G170" i="3" s="1"/>
  <c r="H170" i="3" s="1"/>
  <c r="L82" i="3" s="1"/>
  <c r="F171" i="3"/>
  <c r="G171" i="3" s="1"/>
  <c r="H171" i="3" s="1"/>
  <c r="F172" i="3"/>
  <c r="G172" i="3" s="1"/>
  <c r="H172" i="3" s="1"/>
  <c r="F173" i="3"/>
  <c r="G173" i="3" s="1"/>
  <c r="H173" i="3" s="1"/>
  <c r="F174" i="3"/>
  <c r="G174" i="3" s="1"/>
  <c r="H174" i="3" s="1"/>
  <c r="F175" i="3"/>
  <c r="G175" i="3" s="1"/>
  <c r="H175" i="3" s="1"/>
  <c r="L84" i="3" s="1"/>
  <c r="F176" i="3"/>
  <c r="G176" i="3" s="1"/>
  <c r="H176" i="3" s="1"/>
  <c r="L85" i="3" s="1"/>
  <c r="F177" i="3"/>
  <c r="G177" i="3" s="1"/>
  <c r="H177" i="3" s="1"/>
  <c r="F178" i="3"/>
  <c r="G178" i="3" s="1"/>
  <c r="H178" i="3" s="1"/>
  <c r="F179" i="3"/>
  <c r="G179" i="3" s="1"/>
  <c r="H179" i="3" s="1"/>
  <c r="F180" i="3"/>
  <c r="G180" i="3" s="1"/>
  <c r="H180" i="3" s="1"/>
  <c r="L87" i="3" s="1"/>
  <c r="F181" i="3"/>
  <c r="G181" i="3" s="1"/>
  <c r="H181" i="3" s="1"/>
  <c r="F182" i="3"/>
  <c r="G182" i="3" s="1"/>
  <c r="H182" i="3" s="1"/>
  <c r="F183" i="3"/>
  <c r="G183" i="3" s="1"/>
  <c r="H183" i="3" s="1"/>
  <c r="F184" i="3"/>
  <c r="G184" i="3" s="1"/>
  <c r="H184" i="3" s="1"/>
  <c r="F185" i="3"/>
  <c r="G185" i="3" s="1"/>
  <c r="H185" i="3" s="1"/>
  <c r="F186" i="3"/>
  <c r="G186" i="3" s="1"/>
  <c r="H186" i="3" s="1"/>
  <c r="F187" i="3"/>
  <c r="G187" i="3" s="1"/>
  <c r="H187" i="3" s="1"/>
  <c r="F188" i="3"/>
  <c r="G188" i="3" s="1"/>
  <c r="H188" i="3" s="1"/>
  <c r="F189" i="3"/>
  <c r="G189" i="3" s="1"/>
  <c r="H189" i="3" s="1"/>
  <c r="F190" i="3"/>
  <c r="G190" i="3" s="1"/>
  <c r="H190" i="3" s="1"/>
  <c r="F191" i="3"/>
  <c r="G191" i="3" s="1"/>
  <c r="H191" i="3" s="1"/>
  <c r="L91" i="3" s="1"/>
  <c r="F192" i="3"/>
  <c r="G192" i="3" s="1"/>
  <c r="H192" i="3" s="1"/>
  <c r="F193" i="3"/>
  <c r="G193" i="3" s="1"/>
  <c r="H193" i="3" s="1"/>
  <c r="F194" i="3"/>
  <c r="G194" i="3" s="1"/>
  <c r="H194" i="3" s="1"/>
  <c r="F195" i="3"/>
  <c r="G195" i="3" s="1"/>
  <c r="H195" i="3" s="1"/>
  <c r="F196" i="3"/>
  <c r="G196" i="3" s="1"/>
  <c r="H196" i="3" s="1"/>
  <c r="L93" i="3" s="1"/>
  <c r="F197" i="3"/>
  <c r="G197" i="3" s="1"/>
  <c r="H197" i="3" s="1"/>
  <c r="F198" i="3"/>
  <c r="G198" i="3" s="1"/>
  <c r="H198" i="3" s="1"/>
  <c r="F199" i="3"/>
  <c r="G199" i="3" s="1"/>
  <c r="H199" i="3" s="1"/>
  <c r="F200" i="3"/>
  <c r="G200" i="3" s="1"/>
  <c r="H200" i="3" s="1"/>
  <c r="F201" i="3"/>
  <c r="G201" i="3" s="1"/>
  <c r="H201" i="3" s="1"/>
  <c r="F202" i="3"/>
  <c r="G202" i="3" s="1"/>
  <c r="H202" i="3" s="1"/>
  <c r="L96" i="3" s="1"/>
  <c r="F203" i="3"/>
  <c r="G203" i="3" s="1"/>
  <c r="H203" i="3" s="1"/>
  <c r="F204" i="3"/>
  <c r="G204" i="3" s="1"/>
  <c r="H204" i="3" s="1"/>
  <c r="F205" i="3"/>
  <c r="G205" i="3" s="1"/>
  <c r="H205" i="3" s="1"/>
  <c r="F206" i="3"/>
  <c r="G206" i="3" s="1"/>
  <c r="H206" i="3" s="1"/>
  <c r="F207" i="3"/>
  <c r="G207" i="3" s="1"/>
  <c r="H207" i="3" s="1"/>
  <c r="F208" i="3"/>
  <c r="G208" i="3" s="1"/>
  <c r="H208" i="3" s="1"/>
  <c r="F209" i="3"/>
  <c r="G209" i="3" s="1"/>
  <c r="H209" i="3" s="1"/>
  <c r="F210" i="3"/>
  <c r="G210" i="3" s="1"/>
  <c r="H210" i="3" s="1"/>
  <c r="F211" i="3"/>
  <c r="G211" i="3" s="1"/>
  <c r="H211" i="3" s="1"/>
  <c r="F212" i="3"/>
  <c r="G212" i="3" s="1"/>
  <c r="H212" i="3" s="1"/>
  <c r="F213" i="3"/>
  <c r="G213" i="3" s="1"/>
  <c r="H213" i="3" s="1"/>
  <c r="F214" i="3"/>
  <c r="G214" i="3" s="1"/>
  <c r="H214" i="3" s="1"/>
  <c r="F215" i="3"/>
  <c r="G215" i="3" s="1"/>
  <c r="H215" i="3" s="1"/>
  <c r="F216" i="3"/>
  <c r="G216" i="3" s="1"/>
  <c r="H216" i="3" s="1"/>
  <c r="F217" i="3"/>
  <c r="G217" i="3" s="1"/>
  <c r="H217" i="3" s="1"/>
  <c r="F218" i="3"/>
  <c r="G218" i="3" s="1"/>
  <c r="H218" i="3" s="1"/>
  <c r="L100" i="3" s="1"/>
  <c r="F219" i="3"/>
  <c r="G219" i="3" s="1"/>
  <c r="H219" i="3" s="1"/>
  <c r="F220" i="3"/>
  <c r="G220" i="3" s="1"/>
  <c r="H220" i="3" s="1"/>
  <c r="F221" i="3"/>
  <c r="G221" i="3" s="1"/>
  <c r="H221" i="3" s="1"/>
  <c r="F222" i="3"/>
  <c r="F223" i="3"/>
  <c r="G223" i="3" s="1"/>
  <c r="H223" i="3" s="1"/>
  <c r="F224" i="3"/>
  <c r="G224" i="3" s="1"/>
  <c r="H224" i="3" s="1"/>
  <c r="F225" i="3"/>
  <c r="G225" i="3" s="1"/>
  <c r="H225" i="3" s="1"/>
  <c r="F226" i="3"/>
  <c r="G226" i="3" s="1"/>
  <c r="H226" i="3" s="1"/>
  <c r="F227" i="3"/>
  <c r="G227" i="3" s="1"/>
  <c r="H227" i="3" s="1"/>
  <c r="F228" i="3"/>
  <c r="G228" i="3" s="1"/>
  <c r="H228" i="3" s="1"/>
  <c r="F229" i="3"/>
  <c r="G229" i="3" s="1"/>
  <c r="H229" i="3" s="1"/>
  <c r="F230" i="3"/>
  <c r="G230" i="3" s="1"/>
  <c r="H230" i="3" s="1"/>
  <c r="F231" i="3"/>
  <c r="G231" i="3" s="1"/>
  <c r="H231" i="3" s="1"/>
  <c r="F232" i="3"/>
  <c r="G232" i="3" s="1"/>
  <c r="H232" i="3" s="1"/>
  <c r="L106" i="3" s="1"/>
  <c r="F233" i="3"/>
  <c r="G233" i="3" s="1"/>
  <c r="H233" i="3" s="1"/>
  <c r="L107" i="3" s="1"/>
  <c r="F234" i="3"/>
  <c r="G234" i="3" s="1"/>
  <c r="H234" i="3" s="1"/>
  <c r="L108" i="3" s="1"/>
  <c r="F235" i="3"/>
  <c r="G235" i="3" s="1"/>
  <c r="H235" i="3" s="1"/>
  <c r="F236" i="3"/>
  <c r="G236" i="3" s="1"/>
  <c r="H236" i="3" s="1"/>
  <c r="F237" i="3"/>
  <c r="G237" i="3" s="1"/>
  <c r="H237" i="3" s="1"/>
  <c r="F238" i="3"/>
  <c r="G238" i="3" s="1"/>
  <c r="H238" i="3" s="1"/>
  <c r="L110" i="3" s="1"/>
  <c r="F239" i="3"/>
  <c r="G239" i="3" s="1"/>
  <c r="H239" i="3" s="1"/>
  <c r="F240" i="3"/>
  <c r="G240" i="3" s="1"/>
  <c r="H240" i="3" s="1"/>
  <c r="F241" i="3"/>
  <c r="G241" i="3" s="1"/>
  <c r="H241" i="3" s="1"/>
  <c r="L111" i="3" s="1"/>
  <c r="F242" i="3"/>
  <c r="G242" i="3" s="1"/>
  <c r="H242" i="3" s="1"/>
  <c r="F243" i="3"/>
  <c r="G243" i="3" s="1"/>
  <c r="H243" i="3" s="1"/>
  <c r="F244" i="3"/>
  <c r="G244" i="3" s="1"/>
  <c r="H244" i="3" s="1"/>
  <c r="F245" i="3"/>
  <c r="G245" i="3" s="1"/>
  <c r="H245" i="3" s="1"/>
  <c r="F246" i="3"/>
  <c r="G246" i="3" s="1"/>
  <c r="H246" i="3" s="1"/>
  <c r="F247" i="3"/>
  <c r="G247" i="3" s="1"/>
  <c r="H247" i="3" s="1"/>
  <c r="F248" i="3"/>
  <c r="G248" i="3" s="1"/>
  <c r="H248" i="3" s="1"/>
  <c r="F249" i="3"/>
  <c r="G249" i="3" s="1"/>
  <c r="H249" i="3" s="1"/>
  <c r="F250" i="3"/>
  <c r="G250" i="3" s="1"/>
  <c r="H250" i="3" s="1"/>
  <c r="F251" i="3"/>
  <c r="G251" i="3" s="1"/>
  <c r="H251" i="3" s="1"/>
  <c r="L115" i="3" s="1"/>
  <c r="F252" i="3"/>
  <c r="G252" i="3" s="1"/>
  <c r="H252" i="3" s="1"/>
  <c r="F253" i="3"/>
  <c r="G253" i="3" s="1"/>
  <c r="H253" i="3" s="1"/>
  <c r="F254" i="3"/>
  <c r="G254" i="3" s="1"/>
  <c r="H254" i="3" s="1"/>
  <c r="L117" i="3" s="1"/>
  <c r="F255" i="3"/>
  <c r="G255" i="3" s="1"/>
  <c r="H255" i="3" s="1"/>
  <c r="F256" i="3"/>
  <c r="G256" i="3" s="1"/>
  <c r="H256" i="3" s="1"/>
  <c r="F257" i="3"/>
  <c r="G257" i="3" s="1"/>
  <c r="H257" i="3" s="1"/>
  <c r="F258" i="3"/>
  <c r="G258" i="3" s="1"/>
  <c r="H258" i="3" s="1"/>
  <c r="F259" i="3"/>
  <c r="G259" i="3" s="1"/>
  <c r="H259" i="3" s="1"/>
  <c r="F260" i="3"/>
  <c r="G260" i="3" s="1"/>
  <c r="H260" i="3" s="1"/>
  <c r="F261" i="3"/>
  <c r="G261" i="3" s="1"/>
  <c r="H261" i="3" s="1"/>
  <c r="F262" i="3"/>
  <c r="G262" i="3" s="1"/>
  <c r="H262" i="3" s="1"/>
  <c r="F263" i="3"/>
  <c r="G263" i="3" s="1"/>
  <c r="H263" i="3" s="1"/>
  <c r="F264" i="3"/>
  <c r="G264" i="3" s="1"/>
  <c r="H264" i="3" s="1"/>
  <c r="F265" i="3"/>
  <c r="G265" i="3" s="1"/>
  <c r="H265" i="3" s="1"/>
  <c r="F266" i="3"/>
  <c r="G266" i="3" s="1"/>
  <c r="H266" i="3" s="1"/>
  <c r="F267" i="3"/>
  <c r="G267" i="3" s="1"/>
  <c r="H267" i="3" s="1"/>
  <c r="F268" i="3"/>
  <c r="G268" i="3" s="1"/>
  <c r="H268" i="3" s="1"/>
  <c r="F269" i="3"/>
  <c r="G269" i="3" s="1"/>
  <c r="H269" i="3" s="1"/>
  <c r="F270" i="3"/>
  <c r="G270" i="3" s="1"/>
  <c r="H270" i="3" s="1"/>
  <c r="L121" i="3" s="1"/>
  <c r="F271" i="3"/>
  <c r="G271" i="3" s="1"/>
  <c r="H271" i="3" s="1"/>
  <c r="F272" i="3"/>
  <c r="G272" i="3" s="1"/>
  <c r="H272" i="3" s="1"/>
  <c r="F273" i="3"/>
  <c r="G273" i="3" s="1"/>
  <c r="H273" i="3" s="1"/>
  <c r="F274" i="3"/>
  <c r="G274" i="3" s="1"/>
  <c r="H274" i="3" s="1"/>
  <c r="F275" i="3"/>
  <c r="G275" i="3" s="1"/>
  <c r="H275" i="3" s="1"/>
  <c r="F276" i="3"/>
  <c r="G276" i="3" s="1"/>
  <c r="H276" i="3" s="1"/>
  <c r="F277" i="3"/>
  <c r="G277" i="3" s="1"/>
  <c r="H277" i="3" s="1"/>
  <c r="F278" i="3"/>
  <c r="G278" i="3" s="1"/>
  <c r="H278" i="3" s="1"/>
  <c r="F279" i="3"/>
  <c r="G279" i="3" s="1"/>
  <c r="H279" i="3" s="1"/>
  <c r="F280" i="3"/>
  <c r="G280" i="3" s="1"/>
  <c r="H280" i="3" s="1"/>
  <c r="F281" i="3"/>
  <c r="G281" i="3" s="1"/>
  <c r="H281" i="3" s="1"/>
  <c r="F282" i="3"/>
  <c r="G282" i="3" s="1"/>
  <c r="H282" i="3" s="1"/>
  <c r="F283" i="3"/>
  <c r="G283" i="3" s="1"/>
  <c r="H283" i="3" s="1"/>
  <c r="F284" i="3"/>
  <c r="G284" i="3" s="1"/>
  <c r="H284" i="3" s="1"/>
  <c r="F285" i="3"/>
  <c r="G285" i="3" s="1"/>
  <c r="H285" i="3" s="1"/>
  <c r="F286" i="3"/>
  <c r="G286" i="3" s="1"/>
  <c r="H286" i="3" s="1"/>
  <c r="F287" i="3"/>
  <c r="G287" i="3" s="1"/>
  <c r="H287" i="3" s="1"/>
  <c r="F288" i="3"/>
  <c r="G288" i="3" s="1"/>
  <c r="H288" i="3" s="1"/>
  <c r="F289" i="3"/>
  <c r="G289" i="3" s="1"/>
  <c r="H289" i="3" s="1"/>
  <c r="L128" i="3" s="1"/>
  <c r="F290" i="3"/>
  <c r="G290" i="3" s="1"/>
  <c r="H290" i="3" s="1"/>
  <c r="F291" i="3"/>
  <c r="G291" i="3" s="1"/>
  <c r="H291" i="3" s="1"/>
  <c r="F292" i="3"/>
  <c r="G292" i="3" s="1"/>
  <c r="H292" i="3" s="1"/>
  <c r="F293" i="3"/>
  <c r="G293" i="3" s="1"/>
  <c r="H293" i="3" s="1"/>
  <c r="F294" i="3"/>
  <c r="G294" i="3" s="1"/>
  <c r="H294" i="3" s="1"/>
  <c r="F295" i="3"/>
  <c r="G295" i="3" s="1"/>
  <c r="H295" i="3" s="1"/>
  <c r="F296" i="3"/>
  <c r="G296" i="3" s="1"/>
  <c r="H296" i="3" s="1"/>
  <c r="F297" i="3"/>
  <c r="G297" i="3" s="1"/>
  <c r="H297" i="3" s="1"/>
  <c r="F298" i="3"/>
  <c r="G298" i="3" s="1"/>
  <c r="H298" i="3" s="1"/>
  <c r="F299" i="3"/>
  <c r="G299" i="3" s="1"/>
  <c r="H299" i="3" s="1"/>
  <c r="F300" i="3"/>
  <c r="G300" i="3" s="1"/>
  <c r="H300" i="3" s="1"/>
  <c r="L131" i="3" s="1"/>
  <c r="F301" i="3"/>
  <c r="G301" i="3" s="1"/>
  <c r="H301" i="3" s="1"/>
  <c r="F302" i="3"/>
  <c r="G302" i="3" s="1"/>
  <c r="H302" i="3" s="1"/>
  <c r="F303" i="3"/>
  <c r="G303" i="3" s="1"/>
  <c r="H303" i="3" s="1"/>
  <c r="F304" i="3"/>
  <c r="G304" i="3" s="1"/>
  <c r="H304" i="3" s="1"/>
  <c r="F305" i="3"/>
  <c r="G305" i="3" s="1"/>
  <c r="H305" i="3" s="1"/>
  <c r="F306" i="3"/>
  <c r="G306" i="3" s="1"/>
  <c r="H306" i="3" s="1"/>
  <c r="F307" i="3"/>
  <c r="G307" i="3" s="1"/>
  <c r="H307" i="3" s="1"/>
  <c r="F308" i="3"/>
  <c r="G308" i="3" s="1"/>
  <c r="H308" i="3" s="1"/>
  <c r="F309" i="3"/>
  <c r="G309" i="3" s="1"/>
  <c r="H309" i="3" s="1"/>
  <c r="L135" i="3" s="1"/>
  <c r="F310" i="3"/>
  <c r="G310" i="3" s="1"/>
  <c r="H310" i="3" s="1"/>
  <c r="F311" i="3"/>
  <c r="G311" i="3" s="1"/>
  <c r="H311" i="3" s="1"/>
  <c r="F312" i="3"/>
  <c r="G312" i="3" s="1"/>
  <c r="H312" i="3" s="1"/>
  <c r="L137" i="3" s="1"/>
  <c r="F313" i="3"/>
  <c r="G313" i="3" s="1"/>
  <c r="H313" i="3" s="1"/>
  <c r="F314" i="3"/>
  <c r="G314" i="3" s="1"/>
  <c r="H314" i="3" s="1"/>
  <c r="F315" i="3"/>
  <c r="G315" i="3" s="1"/>
  <c r="H315" i="3" s="1"/>
  <c r="F316" i="3"/>
  <c r="G316" i="3" s="1"/>
  <c r="H316" i="3" s="1"/>
  <c r="F317" i="3"/>
  <c r="G317" i="3" s="1"/>
  <c r="H317" i="3" s="1"/>
  <c r="F318" i="3"/>
  <c r="G318" i="3" s="1"/>
  <c r="H318" i="3" s="1"/>
  <c r="F319" i="3"/>
  <c r="G319" i="3" s="1"/>
  <c r="H319" i="3" s="1"/>
  <c r="F320" i="3"/>
  <c r="G320" i="3" s="1"/>
  <c r="H320" i="3" s="1"/>
  <c r="F321" i="3"/>
  <c r="G321" i="3" s="1"/>
  <c r="H321" i="3" s="1"/>
  <c r="L140" i="3" s="1"/>
  <c r="F322" i="3"/>
  <c r="G322" i="3" s="1"/>
  <c r="H322" i="3" s="1"/>
  <c r="L141" i="3" s="1"/>
  <c r="F323" i="3"/>
  <c r="G323" i="3" s="1"/>
  <c r="H323" i="3" s="1"/>
  <c r="L142" i="3" s="1"/>
  <c r="F324" i="3"/>
  <c r="G324" i="3" s="1"/>
  <c r="H324" i="3" s="1"/>
  <c r="F325" i="3"/>
  <c r="G325" i="3" s="1"/>
  <c r="H325" i="3" s="1"/>
  <c r="F326" i="3"/>
  <c r="G326" i="3" s="1"/>
  <c r="H326" i="3" s="1"/>
  <c r="F327" i="3"/>
  <c r="G327" i="3" s="1"/>
  <c r="H327" i="3" s="1"/>
  <c r="F328" i="3"/>
  <c r="G328" i="3" s="1"/>
  <c r="H328" i="3" s="1"/>
  <c r="L144" i="3" s="1"/>
  <c r="F329" i="3"/>
  <c r="G329" i="3" s="1"/>
  <c r="H329" i="3" s="1"/>
  <c r="F330" i="3"/>
  <c r="G330" i="3" s="1"/>
  <c r="H330" i="3" s="1"/>
  <c r="F331" i="3"/>
  <c r="F332" i="3"/>
  <c r="G332" i="3" s="1"/>
  <c r="H332" i="3" s="1"/>
  <c r="F333" i="3"/>
  <c r="G333" i="3" s="1"/>
  <c r="H333" i="3" s="1"/>
  <c r="F334" i="3"/>
  <c r="G334" i="3" s="1"/>
  <c r="H334" i="3" s="1"/>
  <c r="L147" i="3" s="1"/>
  <c r="F335" i="3"/>
  <c r="G335" i="3" s="1"/>
  <c r="H335" i="3" s="1"/>
  <c r="F336" i="3"/>
  <c r="G336" i="3" s="1"/>
  <c r="H336" i="3" s="1"/>
  <c r="F337" i="3"/>
  <c r="G337" i="3" s="1"/>
  <c r="H337" i="3" s="1"/>
  <c r="F338" i="3"/>
  <c r="G338" i="3" s="1"/>
  <c r="H338" i="3" s="1"/>
  <c r="F339" i="3"/>
  <c r="G339" i="3" s="1"/>
  <c r="H339" i="3" s="1"/>
  <c r="F340" i="3"/>
  <c r="G340" i="3" s="1"/>
  <c r="H340" i="3" s="1"/>
  <c r="F341" i="3"/>
  <c r="G341" i="3" s="1"/>
  <c r="H341" i="3" s="1"/>
  <c r="F342" i="3"/>
  <c r="G342" i="3" s="1"/>
  <c r="H342" i="3" s="1"/>
  <c r="F343" i="3"/>
  <c r="G343" i="3" s="1"/>
  <c r="H343" i="3" s="1"/>
  <c r="F344" i="3"/>
  <c r="G344" i="3" s="1"/>
  <c r="H344" i="3" s="1"/>
  <c r="L150" i="3" s="1"/>
  <c r="F345" i="3"/>
  <c r="G345" i="3" s="1"/>
  <c r="H345" i="3" s="1"/>
  <c r="L151" i="3" s="1"/>
  <c r="F346" i="3"/>
  <c r="G346" i="3" s="1"/>
  <c r="H346" i="3" s="1"/>
  <c r="L152" i="3" s="1"/>
  <c r="F347" i="3"/>
  <c r="G347" i="3" s="1"/>
  <c r="H347" i="3" s="1"/>
  <c r="F348" i="3"/>
  <c r="G348" i="3" s="1"/>
  <c r="H348" i="3" s="1"/>
  <c r="F349" i="3"/>
  <c r="G349" i="3" s="1"/>
  <c r="H349" i="3" s="1"/>
  <c r="F350" i="3"/>
  <c r="G350" i="3" s="1"/>
  <c r="H350" i="3" s="1"/>
  <c r="F351" i="3"/>
  <c r="G351" i="3" s="1"/>
  <c r="H351" i="3" s="1"/>
  <c r="F352" i="3"/>
  <c r="G352" i="3" s="1"/>
  <c r="H352" i="3" s="1"/>
  <c r="F353" i="3"/>
  <c r="G353" i="3" s="1"/>
  <c r="H353" i="3" s="1"/>
  <c r="F354" i="3"/>
  <c r="G354" i="3" s="1"/>
  <c r="H354" i="3" s="1"/>
  <c r="F355" i="3"/>
  <c r="G355" i="3" s="1"/>
  <c r="H355" i="3" s="1"/>
  <c r="F356" i="3"/>
  <c r="G356" i="3" s="1"/>
  <c r="H356" i="3" s="1"/>
  <c r="F357" i="3"/>
  <c r="G357" i="3" s="1"/>
  <c r="H357" i="3" s="1"/>
  <c r="F358" i="3"/>
  <c r="G358" i="3" s="1"/>
  <c r="H358" i="3" s="1"/>
  <c r="F359" i="3"/>
  <c r="G359" i="3" s="1"/>
  <c r="H359" i="3" s="1"/>
  <c r="F360" i="3"/>
  <c r="G360" i="3" s="1"/>
  <c r="H360" i="3" s="1"/>
  <c r="F361" i="3"/>
  <c r="G361" i="3" s="1"/>
  <c r="H361" i="3" s="1"/>
  <c r="L155" i="3" s="1"/>
  <c r="F362" i="3"/>
  <c r="G362" i="3" s="1"/>
  <c r="H362" i="3" s="1"/>
  <c r="L156" i="3" s="1"/>
  <c r="F363" i="3"/>
  <c r="G363" i="3" s="1"/>
  <c r="H363" i="3" s="1"/>
  <c r="F364" i="3"/>
  <c r="G364" i="3" s="1"/>
  <c r="H364" i="3" s="1"/>
  <c r="F365" i="3"/>
  <c r="G365" i="3" s="1"/>
  <c r="H365" i="3" s="1"/>
  <c r="F366" i="3"/>
  <c r="G366" i="3" s="1"/>
  <c r="H366" i="3" s="1"/>
  <c r="F367" i="3"/>
  <c r="G367" i="3" s="1"/>
  <c r="H367" i="3" s="1"/>
  <c r="F368" i="3"/>
  <c r="G368" i="3" s="1"/>
  <c r="H368" i="3" s="1"/>
  <c r="L159" i="3" s="1"/>
  <c r="F369" i="3"/>
  <c r="G369" i="3" s="1"/>
  <c r="H369" i="3" s="1"/>
  <c r="F370" i="3"/>
  <c r="G370" i="3" s="1"/>
  <c r="H370" i="3" s="1"/>
  <c r="F371" i="3"/>
  <c r="G371" i="3" s="1"/>
  <c r="H371" i="3" s="1"/>
  <c r="F372" i="3"/>
  <c r="G372" i="3" s="1"/>
  <c r="H372" i="3" s="1"/>
  <c r="F373" i="3"/>
  <c r="G373" i="3" s="1"/>
  <c r="H373" i="3" s="1"/>
  <c r="F374" i="3"/>
  <c r="G374" i="3" s="1"/>
  <c r="H374" i="3" s="1"/>
  <c r="F375" i="3"/>
  <c r="G375" i="3" s="1"/>
  <c r="H375" i="3" s="1"/>
  <c r="F376" i="3"/>
  <c r="G376" i="3" s="1"/>
  <c r="H376" i="3" s="1"/>
  <c r="F377" i="3"/>
  <c r="G377" i="3" s="1"/>
  <c r="H377" i="3" s="1"/>
  <c r="F378" i="3"/>
  <c r="G378" i="3" s="1"/>
  <c r="H378" i="3" s="1"/>
  <c r="F379" i="3"/>
  <c r="G379" i="3" s="1"/>
  <c r="H379" i="3" s="1"/>
  <c r="F380" i="3"/>
  <c r="G380" i="3" s="1"/>
  <c r="H380" i="3" s="1"/>
  <c r="F381" i="3"/>
  <c r="G381" i="3" s="1"/>
  <c r="H381" i="3" s="1"/>
  <c r="F382" i="3"/>
  <c r="G382" i="3" s="1"/>
  <c r="H382" i="3" s="1"/>
  <c r="F383" i="3"/>
  <c r="G383" i="3" s="1"/>
  <c r="H383" i="3" s="1"/>
  <c r="F384" i="3"/>
  <c r="G384" i="3" s="1"/>
  <c r="H384" i="3" s="1"/>
  <c r="F385" i="3"/>
  <c r="G385" i="3" s="1"/>
  <c r="H385" i="3" s="1"/>
  <c r="F386" i="3"/>
  <c r="G386" i="3" s="1"/>
  <c r="H386" i="3" s="1"/>
  <c r="L166" i="3" s="1"/>
  <c r="F387" i="3"/>
  <c r="G387" i="3" s="1"/>
  <c r="H387" i="3" s="1"/>
  <c r="F388" i="3"/>
  <c r="G388" i="3" s="1"/>
  <c r="H388" i="3" s="1"/>
  <c r="F389" i="3"/>
  <c r="G389" i="3" s="1"/>
  <c r="H389" i="3" s="1"/>
  <c r="F390" i="3"/>
  <c r="G390" i="3" s="1"/>
  <c r="H390" i="3" s="1"/>
  <c r="F391" i="3"/>
  <c r="G391" i="3" s="1"/>
  <c r="H391" i="3" s="1"/>
  <c r="F392" i="3"/>
  <c r="G392" i="3" s="1"/>
  <c r="H392" i="3" s="1"/>
  <c r="F393" i="3"/>
  <c r="G393" i="3" s="1"/>
  <c r="H393" i="3" s="1"/>
  <c r="F394" i="3"/>
  <c r="G394" i="3" s="1"/>
  <c r="H394" i="3" s="1"/>
  <c r="F395" i="3"/>
  <c r="G395" i="3" s="1"/>
  <c r="H395" i="3" s="1"/>
  <c r="L169" i="3" s="1"/>
  <c r="F396" i="3"/>
  <c r="G396" i="3" s="1"/>
  <c r="H396" i="3" s="1"/>
  <c r="F397" i="3"/>
  <c r="G397" i="3" s="1"/>
  <c r="H397" i="3" s="1"/>
  <c r="F398" i="3"/>
  <c r="G398" i="3" s="1"/>
  <c r="H398" i="3" s="1"/>
  <c r="L171" i="3" s="1"/>
  <c r="F399" i="3"/>
  <c r="G399" i="3" s="1"/>
  <c r="H399" i="3" s="1"/>
  <c r="F400" i="3"/>
  <c r="G400" i="3" s="1"/>
  <c r="H400" i="3" s="1"/>
  <c r="F401" i="3"/>
  <c r="G401" i="3" s="1"/>
  <c r="H401" i="3" s="1"/>
  <c r="F402" i="3"/>
  <c r="G402" i="3" s="1"/>
  <c r="H402" i="3" s="1"/>
  <c r="F403" i="3"/>
  <c r="G403" i="3" s="1"/>
  <c r="H403" i="3" s="1"/>
  <c r="L173" i="3" s="1"/>
  <c r="F404" i="3"/>
  <c r="G404" i="3" s="1"/>
  <c r="H404" i="3" s="1"/>
  <c r="F405" i="3"/>
  <c r="G405" i="3" s="1"/>
  <c r="H405" i="3" s="1"/>
  <c r="F406" i="3"/>
  <c r="G406" i="3" s="1"/>
  <c r="H406" i="3" s="1"/>
  <c r="F407" i="3"/>
  <c r="G407" i="3" s="1"/>
  <c r="H407" i="3" s="1"/>
  <c r="F408" i="3"/>
  <c r="G408" i="3" s="1"/>
  <c r="H408" i="3" s="1"/>
  <c r="F409" i="3"/>
  <c r="G409" i="3" s="1"/>
  <c r="H409" i="3" s="1"/>
  <c r="F410" i="3"/>
  <c r="G410" i="3" s="1"/>
  <c r="H410" i="3" s="1"/>
  <c r="F411" i="3"/>
  <c r="G411" i="3" s="1"/>
  <c r="H411" i="3" s="1"/>
  <c r="F412" i="3"/>
  <c r="G412" i="3" s="1"/>
  <c r="H412" i="3" s="1"/>
  <c r="F413" i="3"/>
  <c r="G413" i="3" s="1"/>
  <c r="H413" i="3" s="1"/>
  <c r="F414" i="3"/>
  <c r="G414" i="3" s="1"/>
  <c r="H414" i="3" s="1"/>
  <c r="L178" i="3" s="1"/>
  <c r="F415" i="3"/>
  <c r="G415" i="3" s="1"/>
  <c r="H415" i="3" s="1"/>
  <c r="F416" i="3"/>
  <c r="G416" i="3" s="1"/>
  <c r="H416" i="3" s="1"/>
  <c r="F417" i="3"/>
  <c r="G417" i="3" s="1"/>
  <c r="H417" i="3" s="1"/>
  <c r="F418" i="3"/>
  <c r="G418" i="3" s="1"/>
  <c r="H418" i="3" s="1"/>
  <c r="F419" i="3"/>
  <c r="G419" i="3" s="1"/>
  <c r="H419" i="3" s="1"/>
  <c r="L181" i="3" s="1"/>
  <c r="F420" i="3"/>
  <c r="G420" i="3" s="1"/>
  <c r="H420" i="3" s="1"/>
  <c r="L182" i="3" s="1"/>
  <c r="F421" i="3"/>
  <c r="G421" i="3" s="1"/>
  <c r="H421" i="3" s="1"/>
  <c r="L183" i="3" s="1"/>
  <c r="F422" i="3"/>
  <c r="G422" i="3" s="1"/>
  <c r="H422" i="3" s="1"/>
  <c r="F423" i="3"/>
  <c r="G423" i="3" s="1"/>
  <c r="H423" i="3" s="1"/>
  <c r="L184" i="3" s="1"/>
  <c r="F424" i="3"/>
  <c r="G424" i="3" s="1"/>
  <c r="H424" i="3" s="1"/>
  <c r="L185" i="3" s="1"/>
  <c r="F425" i="3"/>
  <c r="G425" i="3" s="1"/>
  <c r="H425" i="3" s="1"/>
  <c r="L186" i="3" s="1"/>
  <c r="F426" i="3"/>
  <c r="G426" i="3" s="1"/>
  <c r="H426" i="3" s="1"/>
  <c r="F427" i="3"/>
  <c r="G427" i="3" s="1"/>
  <c r="H427" i="3" s="1"/>
  <c r="F428" i="3"/>
  <c r="G428" i="3" s="1"/>
  <c r="H428" i="3" s="1"/>
  <c r="F429" i="3"/>
  <c r="G429" i="3" s="1"/>
  <c r="H429" i="3" s="1"/>
  <c r="F430" i="3"/>
  <c r="G430" i="3" s="1"/>
  <c r="H430" i="3" s="1"/>
  <c r="F431" i="3"/>
  <c r="G431" i="3" s="1"/>
  <c r="H431" i="3" s="1"/>
  <c r="L189" i="3" s="1"/>
  <c r="F432" i="3"/>
  <c r="G432" i="3" s="1"/>
  <c r="H432" i="3" s="1"/>
  <c r="L190" i="3" s="1"/>
  <c r="F433" i="3"/>
  <c r="G433" i="3" s="1"/>
  <c r="H433" i="3" s="1"/>
  <c r="F434" i="3"/>
  <c r="G434" i="3" s="1"/>
  <c r="H434" i="3" s="1"/>
  <c r="F435" i="3"/>
  <c r="G435" i="3" s="1"/>
  <c r="F436" i="3"/>
  <c r="G436" i="3" s="1"/>
  <c r="H436" i="3" s="1"/>
  <c r="F437" i="3"/>
  <c r="G437" i="3" s="1"/>
  <c r="F438" i="3"/>
  <c r="G438" i="3" s="1"/>
  <c r="H438" i="3" s="1"/>
  <c r="F439" i="3"/>
  <c r="G439" i="3" s="1"/>
  <c r="H439" i="3" s="1"/>
  <c r="L194" i="3" s="1"/>
  <c r="F440" i="3"/>
  <c r="G440" i="3" s="1"/>
  <c r="H440" i="3" s="1"/>
  <c r="F441" i="3"/>
  <c r="G441" i="3" s="1"/>
  <c r="H441" i="3" s="1"/>
  <c r="L195" i="3" s="1"/>
  <c r="F442" i="3"/>
  <c r="G442" i="3" s="1"/>
  <c r="H442" i="3" s="1"/>
  <c r="L196" i="3" s="1"/>
  <c r="F443" i="3"/>
  <c r="G443" i="3" s="1"/>
  <c r="H443" i="3" s="1"/>
  <c r="L197" i="3" s="1"/>
  <c r="F444" i="3"/>
  <c r="G444" i="3" s="1"/>
  <c r="H444" i="3" s="1"/>
  <c r="L198" i="3" s="1"/>
  <c r="F445" i="3"/>
  <c r="G445" i="3" s="1"/>
  <c r="H445" i="3" s="1"/>
  <c r="F446" i="3"/>
  <c r="G446" i="3" s="1"/>
  <c r="H446" i="3" s="1"/>
  <c r="F447" i="3"/>
  <c r="G447" i="3" s="1"/>
  <c r="H447" i="3" s="1"/>
  <c r="F448" i="3"/>
  <c r="G448" i="3" s="1"/>
  <c r="H448" i="3" s="1"/>
  <c r="L200" i="3" s="1"/>
  <c r="F449" i="3"/>
  <c r="G449" i="3" s="1"/>
  <c r="H449" i="3" s="1"/>
  <c r="F450" i="3"/>
  <c r="G450" i="3" s="1"/>
  <c r="H450" i="3" s="1"/>
  <c r="L201" i="3" s="1"/>
  <c r="F451" i="3"/>
  <c r="G451" i="3" s="1"/>
  <c r="H451" i="3" s="1"/>
  <c r="L202" i="3" s="1"/>
  <c r="F452" i="3"/>
  <c r="G452" i="3" s="1"/>
  <c r="H452" i="3" s="1"/>
  <c r="F453" i="3"/>
  <c r="G453" i="3" s="1"/>
  <c r="H453" i="3" s="1"/>
  <c r="F454" i="3"/>
  <c r="G454" i="3" s="1"/>
  <c r="H454" i="3" s="1"/>
  <c r="F455" i="3"/>
  <c r="G455" i="3" s="1"/>
  <c r="H455" i="3" s="1"/>
  <c r="F456" i="3"/>
  <c r="G456" i="3" s="1"/>
  <c r="H456" i="3" s="1"/>
  <c r="F457" i="3"/>
  <c r="G457" i="3" s="1"/>
  <c r="H457" i="3" s="1"/>
  <c r="F458" i="3"/>
  <c r="G458" i="3" s="1"/>
  <c r="H458" i="3" s="1"/>
  <c r="F459" i="3"/>
  <c r="G459" i="3" s="1"/>
  <c r="H459" i="3" s="1"/>
  <c r="F460" i="3"/>
  <c r="G460" i="3" s="1"/>
  <c r="H460" i="3" s="1"/>
  <c r="L204" i="3" s="1"/>
  <c r="F461" i="3"/>
  <c r="G461" i="3" s="1"/>
  <c r="H461" i="3" s="1"/>
  <c r="F462" i="3"/>
  <c r="G462" i="3" s="1"/>
  <c r="H462" i="3" s="1"/>
  <c r="F463" i="3"/>
  <c r="G463" i="3" s="1"/>
  <c r="H463" i="3" s="1"/>
  <c r="F464" i="3"/>
  <c r="G464" i="3" s="1"/>
  <c r="H464" i="3" s="1"/>
  <c r="F465" i="3"/>
  <c r="G465" i="3" s="1"/>
  <c r="H465" i="3" s="1"/>
  <c r="F466" i="3"/>
  <c r="G466" i="3" s="1"/>
  <c r="H466" i="3" s="1"/>
  <c r="F467" i="3"/>
  <c r="G467" i="3" s="1"/>
  <c r="H467" i="3" s="1"/>
  <c r="F468" i="3"/>
  <c r="G468" i="3" s="1"/>
  <c r="H468" i="3" s="1"/>
  <c r="F469" i="3"/>
  <c r="G469" i="3" s="1"/>
  <c r="H469" i="3" s="1"/>
  <c r="F470" i="3"/>
  <c r="G470" i="3" s="1"/>
  <c r="H470" i="3" s="1"/>
  <c r="F471" i="3"/>
  <c r="G471" i="3" s="1"/>
  <c r="H471" i="3" s="1"/>
  <c r="F472" i="3"/>
  <c r="G472" i="3" s="1"/>
  <c r="H472" i="3" s="1"/>
  <c r="L207" i="3" s="1"/>
  <c r="F473" i="3"/>
  <c r="G473" i="3" s="1"/>
  <c r="H473" i="3" s="1"/>
  <c r="L208" i="3" s="1"/>
  <c r="F474" i="3"/>
  <c r="G474" i="3" s="1"/>
  <c r="H474" i="3" s="1"/>
  <c r="F475" i="3"/>
  <c r="G475" i="3" s="1"/>
  <c r="H475" i="3" s="1"/>
  <c r="F476" i="3"/>
  <c r="G476" i="3" s="1"/>
  <c r="H476" i="3" s="1"/>
  <c r="F477" i="3"/>
  <c r="G477" i="3" s="1"/>
  <c r="H477" i="3" s="1"/>
  <c r="F478" i="3"/>
  <c r="G478" i="3" s="1"/>
  <c r="H478" i="3" s="1"/>
  <c r="F479" i="3"/>
  <c r="G479" i="3" s="1"/>
  <c r="H479" i="3" s="1"/>
  <c r="F480" i="3"/>
  <c r="G480" i="3" s="1"/>
  <c r="H480" i="3" s="1"/>
  <c r="L210" i="3" s="1"/>
  <c r="F481" i="3"/>
  <c r="G481" i="3" s="1"/>
  <c r="H481" i="3" s="1"/>
  <c r="L211" i="3" s="1"/>
  <c r="F482" i="3"/>
  <c r="G482" i="3" s="1"/>
  <c r="H482" i="3" s="1"/>
  <c r="L212" i="3" s="1"/>
  <c r="F483" i="3"/>
  <c r="G483" i="3" s="1"/>
  <c r="H483" i="3" s="1"/>
  <c r="F484" i="3"/>
  <c r="G484" i="3" s="1"/>
  <c r="H484" i="3" s="1"/>
  <c r="F485" i="3"/>
  <c r="G485" i="3" s="1"/>
  <c r="H485" i="3" s="1"/>
  <c r="F486" i="3"/>
  <c r="G486" i="3" s="1"/>
  <c r="H486" i="3" s="1"/>
  <c r="L214" i="3" s="1"/>
  <c r="F487" i="3"/>
  <c r="G487" i="3" s="1"/>
  <c r="H487" i="3" s="1"/>
  <c r="F488" i="3"/>
  <c r="G488" i="3" s="1"/>
  <c r="H488" i="3" s="1"/>
  <c r="F489" i="3"/>
  <c r="G489" i="3" s="1"/>
  <c r="H489" i="3" s="1"/>
  <c r="F490" i="3"/>
  <c r="G490" i="3" s="1"/>
  <c r="H490" i="3" s="1"/>
  <c r="F491" i="3"/>
  <c r="G491" i="3" s="1"/>
  <c r="H491" i="3" s="1"/>
  <c r="F492" i="3"/>
  <c r="G492" i="3" s="1"/>
  <c r="H492" i="3" s="1"/>
  <c r="F493" i="3"/>
  <c r="G493" i="3" s="1"/>
  <c r="H493" i="3" s="1"/>
  <c r="L216" i="3" s="1"/>
  <c r="F494" i="3"/>
  <c r="G494" i="3" s="1"/>
  <c r="H494" i="3" s="1"/>
  <c r="F495" i="3"/>
  <c r="G495" i="3" s="1"/>
  <c r="H495" i="3" s="1"/>
  <c r="F496" i="3"/>
  <c r="G496" i="3" s="1"/>
  <c r="H496" i="3" s="1"/>
  <c r="F497" i="3"/>
  <c r="G497" i="3" s="1"/>
  <c r="H497" i="3" s="1"/>
  <c r="F498" i="3"/>
  <c r="G498" i="3" s="1"/>
  <c r="H498" i="3" s="1"/>
  <c r="F499" i="3"/>
  <c r="G499" i="3" s="1"/>
  <c r="H499" i="3" s="1"/>
  <c r="F500" i="3"/>
  <c r="G500" i="3" s="1"/>
  <c r="H500" i="3" s="1"/>
  <c r="F501" i="3"/>
  <c r="G501" i="3" s="1"/>
  <c r="H501" i="3" s="1"/>
  <c r="F502" i="3"/>
  <c r="G502" i="3" s="1"/>
  <c r="H502" i="3" s="1"/>
  <c r="L219" i="3" s="1"/>
  <c r="F503" i="3"/>
  <c r="G503" i="3" s="1"/>
  <c r="H503" i="3" s="1"/>
  <c r="F504" i="3"/>
  <c r="G504" i="3" s="1"/>
  <c r="H504" i="3" s="1"/>
  <c r="F505" i="3"/>
  <c r="G505" i="3" s="1"/>
  <c r="H505" i="3" s="1"/>
  <c r="F506" i="3"/>
  <c r="G506" i="3" s="1"/>
  <c r="H506" i="3" s="1"/>
  <c r="F507" i="3"/>
  <c r="G507" i="3" s="1"/>
  <c r="H507" i="3" s="1"/>
  <c r="F508" i="3"/>
  <c r="G508" i="3" s="1"/>
  <c r="H508" i="3" s="1"/>
  <c r="F509" i="3"/>
  <c r="G509" i="3" s="1"/>
  <c r="H509" i="3" s="1"/>
  <c r="F510" i="3"/>
  <c r="G510" i="3" s="1"/>
  <c r="H510" i="3" s="1"/>
  <c r="F511" i="3"/>
  <c r="G511" i="3" s="1"/>
  <c r="H511" i="3" s="1"/>
  <c r="F512" i="3"/>
  <c r="F513" i="3"/>
  <c r="G513" i="3" s="1"/>
  <c r="H513" i="3" s="1"/>
  <c r="F514" i="3"/>
  <c r="G514" i="3" s="1"/>
  <c r="H514" i="3" s="1"/>
  <c r="F515" i="3"/>
  <c r="G515" i="3" s="1"/>
  <c r="H515" i="3" s="1"/>
  <c r="F516" i="3"/>
  <c r="G516" i="3" s="1"/>
  <c r="H516" i="3" s="1"/>
  <c r="F517" i="3"/>
  <c r="G517" i="3" s="1"/>
  <c r="H517" i="3" s="1"/>
  <c r="F518" i="3"/>
  <c r="G518" i="3" s="1"/>
  <c r="H518" i="3" s="1"/>
  <c r="F519" i="3"/>
  <c r="G519" i="3" s="1"/>
  <c r="H519" i="3" s="1"/>
  <c r="F520" i="3"/>
  <c r="G520" i="3" s="1"/>
  <c r="H520" i="3" s="1"/>
  <c r="F521" i="3"/>
  <c r="G521" i="3" s="1"/>
  <c r="H521" i="3" s="1"/>
  <c r="L224" i="3" s="1"/>
  <c r="F522" i="3"/>
  <c r="G522" i="3" s="1"/>
  <c r="H522" i="3" s="1"/>
  <c r="L225" i="3" s="1"/>
  <c r="F523" i="3"/>
  <c r="G523" i="3" s="1"/>
  <c r="H523" i="3" s="1"/>
  <c r="F524" i="3"/>
  <c r="G524" i="3" s="1"/>
  <c r="H524" i="3" s="1"/>
  <c r="F525" i="3"/>
  <c r="G525" i="3" s="1"/>
  <c r="H525" i="3" s="1"/>
  <c r="F526" i="3"/>
  <c r="G526" i="3" s="1"/>
  <c r="H526" i="3" s="1"/>
  <c r="F527" i="3"/>
  <c r="G527" i="3" s="1"/>
  <c r="H527" i="3" s="1"/>
  <c r="F528" i="3"/>
  <c r="G528" i="3" s="1"/>
  <c r="H528" i="3" s="1"/>
  <c r="F529" i="3"/>
  <c r="G529" i="3" s="1"/>
  <c r="H529" i="3" s="1"/>
  <c r="F530" i="3"/>
  <c r="G530" i="3" s="1"/>
  <c r="H530" i="3" s="1"/>
  <c r="F531" i="3"/>
  <c r="G531" i="3" s="1"/>
  <c r="H531" i="3" s="1"/>
  <c r="F532" i="3"/>
  <c r="G532" i="3" s="1"/>
  <c r="H532" i="3" s="1"/>
  <c r="F533" i="3"/>
  <c r="G533" i="3" s="1"/>
  <c r="H533" i="3" s="1"/>
  <c r="F534" i="3"/>
  <c r="G534" i="3" s="1"/>
  <c r="H534" i="3" s="1"/>
  <c r="F535" i="3"/>
  <c r="G535" i="3" s="1"/>
  <c r="H535" i="3" s="1"/>
  <c r="F536" i="3"/>
  <c r="G536" i="3" s="1"/>
  <c r="H536" i="3" s="1"/>
  <c r="F537" i="3"/>
  <c r="G537" i="3" s="1"/>
  <c r="H537" i="3" s="1"/>
  <c r="F538" i="3"/>
  <c r="G538" i="3" s="1"/>
  <c r="H538" i="3" s="1"/>
  <c r="F539" i="3"/>
  <c r="G539" i="3" s="1"/>
  <c r="H539" i="3" s="1"/>
  <c r="F540" i="3"/>
  <c r="G540" i="3" s="1"/>
  <c r="H540" i="3" s="1"/>
  <c r="L231" i="3" s="1"/>
  <c r="F541" i="3"/>
  <c r="G541" i="3" s="1"/>
  <c r="H541" i="3" s="1"/>
  <c r="L232" i="3" s="1"/>
  <c r="F542" i="3"/>
  <c r="G542" i="3" s="1"/>
  <c r="H542" i="3" s="1"/>
  <c r="F543" i="3"/>
  <c r="G543" i="3" s="1"/>
  <c r="H543" i="3" s="1"/>
  <c r="F544" i="3"/>
  <c r="G544" i="3" s="1"/>
  <c r="H544" i="3" s="1"/>
  <c r="F545" i="3"/>
  <c r="G545" i="3" s="1"/>
  <c r="H545" i="3" s="1"/>
  <c r="F546" i="3"/>
  <c r="G546" i="3" s="1"/>
  <c r="H546" i="3" s="1"/>
  <c r="F547" i="3"/>
  <c r="G547" i="3" s="1"/>
  <c r="H547" i="3" s="1"/>
  <c r="F548" i="3"/>
  <c r="G548" i="3" s="1"/>
  <c r="H548" i="3" s="1"/>
  <c r="F549" i="3"/>
  <c r="G549" i="3" s="1"/>
  <c r="H549" i="3" s="1"/>
  <c r="L234" i="3" s="1"/>
  <c r="F550" i="3"/>
  <c r="G550" i="3" s="1"/>
  <c r="H550" i="3" s="1"/>
  <c r="L235" i="3" s="1"/>
  <c r="F551" i="3"/>
  <c r="G551" i="3" s="1"/>
  <c r="H551" i="3" s="1"/>
  <c r="F552" i="3"/>
  <c r="G552" i="3" s="1"/>
  <c r="H552" i="3" s="1"/>
  <c r="F553" i="3"/>
  <c r="G553" i="3" s="1"/>
  <c r="H553" i="3" s="1"/>
  <c r="F554" i="3"/>
  <c r="G554" i="3" s="1"/>
  <c r="H554" i="3" s="1"/>
  <c r="F555" i="3"/>
  <c r="G555" i="3" s="1"/>
  <c r="H555" i="3" s="1"/>
  <c r="F556" i="3"/>
  <c r="G556" i="3" s="1"/>
  <c r="H556" i="3" s="1"/>
  <c r="F557" i="3"/>
  <c r="G557" i="3" s="1"/>
  <c r="H557" i="3" s="1"/>
  <c r="F558" i="3"/>
  <c r="G558" i="3" s="1"/>
  <c r="H558" i="3" s="1"/>
  <c r="F559" i="3"/>
  <c r="G559" i="3" s="1"/>
  <c r="H559" i="3" s="1"/>
  <c r="F560" i="3"/>
  <c r="G560" i="3" s="1"/>
  <c r="H560" i="3" s="1"/>
  <c r="F561" i="3"/>
  <c r="G561" i="3" s="1"/>
  <c r="H561" i="3" s="1"/>
  <c r="L238" i="3" s="1"/>
  <c r="F562" i="3"/>
  <c r="G562" i="3" s="1"/>
  <c r="H562" i="3" s="1"/>
  <c r="F563" i="3"/>
  <c r="G563" i="3" s="1"/>
  <c r="H563" i="3" s="1"/>
  <c r="F564" i="3"/>
  <c r="G564" i="3" s="1"/>
  <c r="H564" i="3" s="1"/>
  <c r="F565" i="3"/>
  <c r="G565" i="3" s="1"/>
  <c r="H565" i="3" s="1"/>
  <c r="F566" i="3"/>
  <c r="G566" i="3" s="1"/>
  <c r="H566" i="3" s="1"/>
  <c r="F567" i="3"/>
  <c r="G567" i="3" s="1"/>
  <c r="H567" i="3" s="1"/>
  <c r="F568" i="3"/>
  <c r="G568" i="3" s="1"/>
  <c r="H568" i="3" s="1"/>
  <c r="L242" i="3" s="1"/>
  <c r="F569" i="3"/>
  <c r="G569" i="3" s="1"/>
  <c r="H569" i="3" s="1"/>
  <c r="F570" i="3"/>
  <c r="G570" i="3" s="1"/>
  <c r="H570" i="3" s="1"/>
  <c r="F571" i="3"/>
  <c r="G571" i="3" s="1"/>
  <c r="H571" i="3" s="1"/>
  <c r="F572" i="3"/>
  <c r="G572" i="3" s="1"/>
  <c r="H572" i="3" s="1"/>
  <c r="F573" i="3"/>
  <c r="G573" i="3" s="1"/>
  <c r="H573" i="3" s="1"/>
  <c r="F574" i="3"/>
  <c r="G574" i="3" s="1"/>
  <c r="H574" i="3" s="1"/>
  <c r="F575" i="3"/>
  <c r="G575" i="3" s="1"/>
  <c r="H575" i="3" s="1"/>
  <c r="F576" i="3"/>
  <c r="G576" i="3" s="1"/>
  <c r="H576" i="3" s="1"/>
  <c r="F577" i="3"/>
  <c r="G577" i="3" s="1"/>
  <c r="H577" i="3" s="1"/>
  <c r="L245" i="3" s="1"/>
  <c r="F578" i="3"/>
  <c r="G578" i="3" s="1"/>
  <c r="H578" i="3" s="1"/>
  <c r="F579" i="3"/>
  <c r="G579" i="3" s="1"/>
  <c r="H579" i="3" s="1"/>
  <c r="F580" i="3"/>
  <c r="G580" i="3" s="1"/>
  <c r="H580" i="3" s="1"/>
  <c r="F581" i="3"/>
  <c r="G581" i="3" s="1"/>
  <c r="H581" i="3" s="1"/>
  <c r="F582" i="3"/>
  <c r="G582" i="3" s="1"/>
  <c r="H582" i="3" s="1"/>
  <c r="F583" i="3"/>
  <c r="G583" i="3" s="1"/>
  <c r="H583" i="3" s="1"/>
  <c r="F584" i="3"/>
  <c r="G584" i="3" s="1"/>
  <c r="H584" i="3" s="1"/>
  <c r="F585" i="3"/>
  <c r="G585" i="3" s="1"/>
  <c r="H585" i="3" s="1"/>
  <c r="F586" i="3"/>
  <c r="G586" i="3" s="1"/>
  <c r="H586" i="3" s="1"/>
  <c r="F587" i="3"/>
  <c r="G587" i="3" s="1"/>
  <c r="H587" i="3" s="1"/>
  <c r="F588" i="3"/>
  <c r="G588" i="3" s="1"/>
  <c r="H588" i="3" s="1"/>
  <c r="F589" i="3"/>
  <c r="G589" i="3" s="1"/>
  <c r="H589" i="3" s="1"/>
  <c r="L249" i="3" s="1"/>
  <c r="F590" i="3"/>
  <c r="G590" i="3" s="1"/>
  <c r="H590" i="3" s="1"/>
  <c r="L250" i="3" s="1"/>
  <c r="F591" i="3"/>
  <c r="G591" i="3" s="1"/>
  <c r="H591" i="3" s="1"/>
  <c r="F592" i="3"/>
  <c r="G592" i="3" s="1"/>
  <c r="H592" i="3" s="1"/>
  <c r="L251" i="3" s="1"/>
  <c r="F593" i="3"/>
  <c r="G593" i="3" s="1"/>
  <c r="H593" i="3" s="1"/>
  <c r="F594" i="3"/>
  <c r="G594" i="3" s="1"/>
  <c r="H594" i="3" s="1"/>
  <c r="F595" i="3"/>
  <c r="G595" i="3" s="1"/>
  <c r="H595" i="3" s="1"/>
  <c r="F596" i="3"/>
  <c r="G596" i="3" s="1"/>
  <c r="H596" i="3" s="1"/>
  <c r="L253" i="3" s="1"/>
  <c r="F597" i="3"/>
  <c r="G597" i="3" s="1"/>
  <c r="H597" i="3" s="1"/>
  <c r="L254" i="3" s="1"/>
  <c r="F598" i="3"/>
  <c r="G598" i="3" s="1"/>
  <c r="H598" i="3" s="1"/>
  <c r="L255" i="3" s="1"/>
  <c r="F599" i="3"/>
  <c r="G599" i="3" s="1"/>
  <c r="H599" i="3" s="1"/>
  <c r="F600" i="3"/>
  <c r="G600" i="3" s="1"/>
  <c r="H600" i="3" s="1"/>
  <c r="L256" i="3" s="1"/>
  <c r="F601" i="3"/>
  <c r="G601" i="3" s="1"/>
  <c r="H601" i="3" s="1"/>
  <c r="F602" i="3"/>
  <c r="G602" i="3" s="1"/>
  <c r="H602" i="3" s="1"/>
  <c r="F603" i="3"/>
  <c r="G603" i="3" s="1"/>
  <c r="H603" i="3" s="1"/>
  <c r="F604" i="3"/>
  <c r="G604" i="3" s="1"/>
  <c r="H604" i="3" s="1"/>
  <c r="F605" i="3"/>
  <c r="G605" i="3" s="1"/>
  <c r="H605" i="3" s="1"/>
  <c r="F606" i="3"/>
  <c r="G606" i="3" s="1"/>
  <c r="H606" i="3" s="1"/>
  <c r="L259" i="3" s="1"/>
  <c r="F607" i="3"/>
  <c r="G607" i="3" s="1"/>
  <c r="H607" i="3" s="1"/>
  <c r="L260" i="3" s="1"/>
  <c r="F608" i="3"/>
  <c r="G608" i="3" s="1"/>
  <c r="H608" i="3" s="1"/>
  <c r="F609" i="3"/>
  <c r="G609" i="3" s="1"/>
  <c r="H609" i="3" s="1"/>
  <c r="F610" i="3"/>
  <c r="G610" i="3" s="1"/>
  <c r="H610" i="3" s="1"/>
  <c r="F611" i="3"/>
  <c r="G611" i="3" s="1"/>
  <c r="H611" i="3" s="1"/>
  <c r="F612" i="3"/>
  <c r="G612" i="3" s="1"/>
  <c r="H612" i="3" s="1"/>
  <c r="F613" i="3"/>
  <c r="G613" i="3" s="1"/>
  <c r="H613" i="3" s="1"/>
  <c r="F614" i="3"/>
  <c r="G614" i="3" s="1"/>
  <c r="H614" i="3" s="1"/>
  <c r="F615" i="3"/>
  <c r="G615" i="3" s="1"/>
  <c r="H615" i="3" s="1"/>
  <c r="F616" i="3"/>
  <c r="G616" i="3" s="1"/>
  <c r="H616" i="3" s="1"/>
  <c r="F617" i="3"/>
  <c r="G617" i="3" s="1"/>
  <c r="H617" i="3" s="1"/>
  <c r="F618" i="3"/>
  <c r="G618" i="3" s="1"/>
  <c r="H618" i="3" s="1"/>
  <c r="F619" i="3"/>
  <c r="G619" i="3" s="1"/>
  <c r="H619" i="3" s="1"/>
  <c r="L264" i="3" s="1"/>
  <c r="F620" i="3"/>
  <c r="G620" i="3" s="1"/>
  <c r="H620" i="3" s="1"/>
  <c r="F621" i="3"/>
  <c r="G621" i="3" s="1"/>
  <c r="H621" i="3" s="1"/>
  <c r="F622" i="3"/>
  <c r="G622" i="3" s="1"/>
  <c r="H622" i="3" s="1"/>
  <c r="F623" i="3"/>
  <c r="G623" i="3" s="1"/>
  <c r="H623" i="3" s="1"/>
  <c r="F624" i="3"/>
  <c r="G624" i="3" s="1"/>
  <c r="H624" i="3" s="1"/>
  <c r="F625" i="3"/>
  <c r="G625" i="3" s="1"/>
  <c r="H625" i="3" s="1"/>
  <c r="F626" i="3"/>
  <c r="G626" i="3" s="1"/>
  <c r="H626" i="3" s="1"/>
  <c r="F627" i="3"/>
  <c r="G627" i="3" s="1"/>
  <c r="H627" i="3" s="1"/>
  <c r="F628" i="3"/>
  <c r="G628" i="3" s="1"/>
  <c r="H628" i="3" s="1"/>
  <c r="L268" i="3" s="1"/>
  <c r="F629" i="3"/>
  <c r="G629" i="3" s="1"/>
  <c r="H629" i="3" s="1"/>
  <c r="F630" i="3"/>
  <c r="G630" i="3" s="1"/>
  <c r="H630" i="3" s="1"/>
  <c r="F631" i="3"/>
  <c r="G631" i="3" s="1"/>
  <c r="H631" i="3" s="1"/>
  <c r="F632" i="3"/>
  <c r="G632" i="3" s="1"/>
  <c r="H632" i="3" s="1"/>
  <c r="F633" i="3"/>
  <c r="G633" i="3" s="1"/>
  <c r="H633" i="3" s="1"/>
  <c r="F634" i="3"/>
  <c r="G634" i="3" s="1"/>
  <c r="H634" i="3" s="1"/>
  <c r="F635" i="3"/>
  <c r="G635" i="3" s="1"/>
  <c r="H635" i="3" s="1"/>
  <c r="F636" i="3"/>
  <c r="G636" i="3" s="1"/>
  <c r="H636" i="3" s="1"/>
  <c r="F637" i="3"/>
  <c r="G637" i="3" s="1"/>
  <c r="H637" i="3" s="1"/>
  <c r="F638" i="3"/>
  <c r="G638" i="3" s="1"/>
  <c r="H638" i="3" s="1"/>
  <c r="F639" i="3"/>
  <c r="G639" i="3" s="1"/>
  <c r="H639" i="3" s="1"/>
  <c r="F640" i="3"/>
  <c r="G640" i="3" s="1"/>
  <c r="H640" i="3" s="1"/>
  <c r="F641" i="3"/>
  <c r="G641" i="3" s="1"/>
  <c r="H641" i="3" s="1"/>
  <c r="F642" i="3"/>
  <c r="G642" i="3" s="1"/>
  <c r="H642" i="3" s="1"/>
  <c r="F643" i="3"/>
  <c r="G643" i="3" s="1"/>
  <c r="H643" i="3" s="1"/>
  <c r="F644" i="3"/>
  <c r="G644" i="3" s="1"/>
  <c r="H644" i="3" s="1"/>
  <c r="F645" i="3"/>
  <c r="G645" i="3" s="1"/>
  <c r="H645" i="3" s="1"/>
  <c r="F646" i="3"/>
  <c r="G646" i="3" s="1"/>
  <c r="H646" i="3" s="1"/>
  <c r="F647" i="3"/>
  <c r="G647" i="3" s="1"/>
  <c r="H647" i="3" s="1"/>
  <c r="F648" i="3"/>
  <c r="G648" i="3" s="1"/>
  <c r="H648" i="3" s="1"/>
  <c r="F649" i="3"/>
  <c r="G649" i="3" s="1"/>
  <c r="H649" i="3" s="1"/>
  <c r="F650" i="3"/>
  <c r="G650" i="3" s="1"/>
  <c r="H650" i="3" s="1"/>
  <c r="F651" i="3"/>
  <c r="G651" i="3" s="1"/>
  <c r="H651" i="3" s="1"/>
  <c r="F652" i="3"/>
  <c r="G652" i="3" s="1"/>
  <c r="H652" i="3" s="1"/>
  <c r="F653" i="3"/>
  <c r="G653" i="3" s="1"/>
  <c r="H653" i="3" s="1"/>
  <c r="L275" i="3" s="1"/>
  <c r="F654" i="3"/>
  <c r="G654" i="3" s="1"/>
  <c r="H654" i="3" s="1"/>
  <c r="F655" i="3"/>
  <c r="G655" i="3" s="1"/>
  <c r="H655" i="3" s="1"/>
  <c r="F656" i="3"/>
  <c r="G656" i="3" s="1"/>
  <c r="H656" i="3" s="1"/>
  <c r="L276" i="3" s="1"/>
  <c r="F657" i="3"/>
  <c r="G657" i="3" s="1"/>
  <c r="H657" i="3" s="1"/>
  <c r="F658" i="3"/>
  <c r="G658" i="3" s="1"/>
  <c r="H658" i="3" s="1"/>
  <c r="F659" i="3"/>
  <c r="G659" i="3" s="1"/>
  <c r="H659" i="3" s="1"/>
  <c r="L278" i="3" s="1"/>
  <c r="F660" i="3"/>
  <c r="G660" i="3" s="1"/>
  <c r="H660" i="3" s="1"/>
  <c r="F661" i="3"/>
  <c r="G661" i="3" s="1"/>
  <c r="H661" i="3" s="1"/>
  <c r="F662" i="3"/>
  <c r="G662" i="3" s="1"/>
  <c r="H662" i="3" s="1"/>
  <c r="F663" i="3"/>
  <c r="G663" i="3" s="1"/>
  <c r="H663" i="3" s="1"/>
  <c r="F664" i="3"/>
  <c r="G664" i="3" s="1"/>
  <c r="H664" i="3" s="1"/>
  <c r="F665" i="3"/>
  <c r="G665" i="3" s="1"/>
  <c r="H665" i="3" s="1"/>
  <c r="F666" i="3"/>
  <c r="G666" i="3" s="1"/>
  <c r="H666" i="3" s="1"/>
  <c r="F667" i="3"/>
  <c r="G667" i="3" s="1"/>
  <c r="H667" i="3" s="1"/>
  <c r="F668" i="3"/>
  <c r="G668" i="3" s="1"/>
  <c r="H668" i="3" s="1"/>
  <c r="F669" i="3"/>
  <c r="G669" i="3" s="1"/>
  <c r="H669" i="3" s="1"/>
  <c r="F670" i="3"/>
  <c r="G670" i="3" s="1"/>
  <c r="H670" i="3" s="1"/>
  <c r="F671" i="3"/>
  <c r="G671" i="3" s="1"/>
  <c r="H671" i="3" s="1"/>
  <c r="F672" i="3"/>
  <c r="G672" i="3" s="1"/>
  <c r="H672" i="3" s="1"/>
  <c r="F673" i="3"/>
  <c r="G673" i="3" s="1"/>
  <c r="H673" i="3" s="1"/>
  <c r="F674" i="3"/>
  <c r="G674" i="3" s="1"/>
  <c r="H674" i="3" s="1"/>
  <c r="L283" i="3" s="1"/>
  <c r="F675" i="3"/>
  <c r="G675" i="3" s="1"/>
  <c r="H675" i="3" s="1"/>
  <c r="F676" i="3"/>
  <c r="G676" i="3" s="1"/>
  <c r="H676" i="3" s="1"/>
  <c r="L284" i="3" s="1"/>
  <c r="F677" i="3"/>
  <c r="G677" i="3" s="1"/>
  <c r="H677" i="3" s="1"/>
  <c r="L285" i="3" s="1"/>
  <c r="F678" i="3"/>
  <c r="G678" i="3" s="1"/>
  <c r="H678" i="3" s="1"/>
  <c r="F679" i="3"/>
  <c r="G679" i="3" s="1"/>
  <c r="H679" i="3" s="1"/>
  <c r="L286" i="3" s="1"/>
  <c r="F680" i="3"/>
  <c r="G680" i="3" s="1"/>
  <c r="H680" i="3" s="1"/>
  <c r="L287" i="3" s="1"/>
  <c r="F681" i="3"/>
  <c r="G681" i="3" s="1"/>
  <c r="H681" i="3" s="1"/>
  <c r="F682" i="3"/>
  <c r="G682" i="3" s="1"/>
  <c r="H682" i="3" s="1"/>
  <c r="F683" i="3"/>
  <c r="G683" i="3" s="1"/>
  <c r="H683" i="3" s="1"/>
  <c r="F684" i="3"/>
  <c r="G684" i="3" s="1"/>
  <c r="H684" i="3" s="1"/>
  <c r="F685" i="3"/>
  <c r="G685" i="3" s="1"/>
  <c r="H685" i="3" s="1"/>
  <c r="L289" i="3" s="1"/>
  <c r="F686" i="3"/>
  <c r="G686" i="3" s="1"/>
  <c r="H686" i="3" s="1"/>
  <c r="L290" i="3" s="1"/>
  <c r="F687" i="3"/>
  <c r="G687" i="3" s="1"/>
  <c r="H687" i="3" s="1"/>
  <c r="F688" i="3"/>
  <c r="G688" i="3" s="1"/>
  <c r="H688" i="3" s="1"/>
  <c r="L291" i="3" s="1"/>
  <c r="F689" i="3"/>
  <c r="G689" i="3" s="1"/>
  <c r="H689" i="3" s="1"/>
  <c r="L292" i="3" s="1"/>
  <c r="F690" i="3"/>
  <c r="G690" i="3" s="1"/>
  <c r="H690" i="3" s="1"/>
  <c r="F691" i="3"/>
  <c r="G691" i="3" s="1"/>
  <c r="H691" i="3" s="1"/>
  <c r="F692" i="3"/>
  <c r="G692" i="3" s="1"/>
  <c r="H692" i="3" s="1"/>
  <c r="F693" i="3"/>
  <c r="G693" i="3" s="1"/>
  <c r="H693" i="3" s="1"/>
  <c r="L294" i="3" s="1"/>
  <c r="F694" i="3"/>
  <c r="G694" i="3" s="1"/>
  <c r="H694" i="3" s="1"/>
  <c r="F695" i="3"/>
  <c r="G695" i="3" s="1"/>
  <c r="H695" i="3" s="1"/>
  <c r="F696" i="3"/>
  <c r="G696" i="3" s="1"/>
  <c r="H696" i="3" s="1"/>
  <c r="F697" i="3"/>
  <c r="G697" i="3" s="1"/>
  <c r="H697" i="3" s="1"/>
  <c r="L296" i="3" s="1"/>
  <c r="F698" i="3"/>
  <c r="G698" i="3" s="1"/>
  <c r="H698" i="3" s="1"/>
  <c r="F699" i="3"/>
  <c r="G699" i="3" s="1"/>
  <c r="H699" i="3" s="1"/>
  <c r="F700" i="3"/>
  <c r="G700" i="3" s="1"/>
  <c r="H700" i="3" s="1"/>
  <c r="L297" i="3" s="1"/>
  <c r="F701" i="3"/>
  <c r="G701" i="3" s="1"/>
  <c r="H701" i="3" s="1"/>
  <c r="F702" i="3"/>
  <c r="G702" i="3" s="1"/>
  <c r="H702" i="3" s="1"/>
  <c r="F703" i="3"/>
  <c r="G703" i="3" s="1"/>
  <c r="H703" i="3" s="1"/>
  <c r="F704" i="3"/>
  <c r="G704" i="3" s="1"/>
  <c r="H704" i="3" s="1"/>
  <c r="F705" i="3"/>
  <c r="G705" i="3" s="1"/>
  <c r="H705" i="3" s="1"/>
  <c r="F706" i="3"/>
  <c r="G706" i="3" s="1"/>
  <c r="H706" i="3" s="1"/>
  <c r="F707" i="3"/>
  <c r="G707" i="3" s="1"/>
  <c r="H707" i="3" s="1"/>
  <c r="F708" i="3"/>
  <c r="G708" i="3" s="1"/>
  <c r="H708" i="3" s="1"/>
  <c r="F709" i="3"/>
  <c r="G709" i="3" s="1"/>
  <c r="H709" i="3" s="1"/>
  <c r="F710" i="3"/>
  <c r="G710" i="3" s="1"/>
  <c r="H710" i="3" s="1"/>
  <c r="F711" i="3"/>
  <c r="G711" i="3" s="1"/>
  <c r="H711" i="3" s="1"/>
  <c r="F712" i="3"/>
  <c r="G712" i="3" s="1"/>
  <c r="H712" i="3" s="1"/>
  <c r="L301" i="3" s="1"/>
  <c r="F713" i="3"/>
  <c r="G713" i="3" s="1"/>
  <c r="H713" i="3" s="1"/>
  <c r="L302" i="3" s="1"/>
  <c r="F714" i="3"/>
  <c r="G714" i="3" s="1"/>
  <c r="H714" i="3" s="1"/>
  <c r="F715" i="3"/>
  <c r="G715" i="3" s="1"/>
  <c r="H715" i="3" s="1"/>
  <c r="F716" i="3"/>
  <c r="G716" i="3" s="1"/>
  <c r="H716" i="3" s="1"/>
  <c r="F717" i="3"/>
  <c r="G717" i="3" s="1"/>
  <c r="H717" i="3" s="1"/>
  <c r="F718" i="3"/>
  <c r="G718" i="3" s="1"/>
  <c r="H718" i="3" s="1"/>
  <c r="F719" i="3"/>
  <c r="G719" i="3" s="1"/>
  <c r="H719" i="3" s="1"/>
  <c r="F720" i="3"/>
  <c r="G720" i="3" s="1"/>
  <c r="H720" i="3" s="1"/>
  <c r="F721" i="3"/>
  <c r="G721" i="3" s="1"/>
  <c r="H721" i="3" s="1"/>
  <c r="F722" i="3"/>
  <c r="G722" i="3" s="1"/>
  <c r="H722" i="3" s="1"/>
  <c r="L306" i="3" s="1"/>
  <c r="F723" i="3"/>
  <c r="G723" i="3" s="1"/>
  <c r="H723" i="3" s="1"/>
  <c r="L307" i="3" s="1"/>
  <c r="F724" i="3"/>
  <c r="G724" i="3" s="1"/>
  <c r="H724" i="3" s="1"/>
  <c r="L308" i="3" s="1"/>
  <c r="F725" i="3"/>
  <c r="G725" i="3" s="1"/>
  <c r="H725" i="3" s="1"/>
  <c r="F726" i="3"/>
  <c r="G726" i="3" s="1"/>
  <c r="H726" i="3" s="1"/>
  <c r="F727" i="3"/>
  <c r="G727" i="3" s="1"/>
  <c r="H727" i="3" s="1"/>
  <c r="L310" i="3" s="1"/>
  <c r="F728" i="3"/>
  <c r="G728" i="3" s="1"/>
  <c r="H728" i="3" s="1"/>
  <c r="L311" i="3" s="1"/>
  <c r="F729" i="3"/>
  <c r="G729" i="3" s="1"/>
  <c r="H729" i="3" s="1"/>
  <c r="F730" i="3"/>
  <c r="G730" i="3" s="1"/>
  <c r="H730" i="3" s="1"/>
  <c r="F731" i="3"/>
  <c r="G731" i="3" s="1"/>
  <c r="H731" i="3" s="1"/>
  <c r="F732" i="3"/>
  <c r="G732" i="3" s="1"/>
  <c r="H732" i="3" s="1"/>
  <c r="F733" i="3"/>
  <c r="G733" i="3" s="1"/>
  <c r="H733" i="3" s="1"/>
  <c r="L314" i="3" s="1"/>
  <c r="F734" i="3"/>
  <c r="G734" i="3" s="1"/>
  <c r="H734" i="3" s="1"/>
  <c r="F735" i="3"/>
  <c r="G735" i="3" s="1"/>
  <c r="H735" i="3" s="1"/>
  <c r="F736" i="3"/>
  <c r="G736" i="3" s="1"/>
  <c r="H736" i="3" s="1"/>
  <c r="F737" i="3"/>
  <c r="G737" i="3" s="1"/>
  <c r="H737" i="3" s="1"/>
  <c r="F738" i="3"/>
  <c r="G738" i="3" s="1"/>
  <c r="H738" i="3" s="1"/>
  <c r="F739" i="3"/>
  <c r="G739" i="3" s="1"/>
  <c r="H739" i="3" s="1"/>
  <c r="F740" i="3"/>
  <c r="G740" i="3" s="1"/>
  <c r="H740" i="3" s="1"/>
  <c r="F741" i="3"/>
  <c r="G741" i="3" s="1"/>
  <c r="H741" i="3" s="1"/>
  <c r="F742" i="3"/>
  <c r="G742" i="3" s="1"/>
  <c r="H742" i="3" s="1"/>
  <c r="F743" i="3"/>
  <c r="G743" i="3" s="1"/>
  <c r="H743" i="3" s="1"/>
  <c r="F744" i="3"/>
  <c r="G744" i="3" s="1"/>
  <c r="H744" i="3" s="1"/>
  <c r="F745" i="3"/>
  <c r="G745" i="3" s="1"/>
  <c r="H745" i="3" s="1"/>
  <c r="F746" i="3"/>
  <c r="G746" i="3" s="1"/>
  <c r="H746" i="3" s="1"/>
  <c r="F747" i="3"/>
  <c r="G747" i="3" s="1"/>
  <c r="H747" i="3" s="1"/>
  <c r="L318" i="3" s="1"/>
  <c r="F748" i="3"/>
  <c r="G748" i="3" s="1"/>
  <c r="H748" i="3" s="1"/>
  <c r="F749" i="3"/>
  <c r="G749" i="3" s="1"/>
  <c r="H749" i="3" s="1"/>
  <c r="F750" i="3"/>
  <c r="G750" i="3" s="1"/>
  <c r="H750" i="3" s="1"/>
  <c r="L320" i="3" s="1"/>
  <c r="F751" i="3"/>
  <c r="G751" i="3" s="1"/>
  <c r="H751" i="3" s="1"/>
  <c r="F752" i="3"/>
  <c r="G752" i="3" s="1"/>
  <c r="H752" i="3" s="1"/>
  <c r="F753" i="3"/>
  <c r="G753" i="3" s="1"/>
  <c r="H753" i="3" s="1"/>
  <c r="F754" i="3"/>
  <c r="G754" i="3" s="1"/>
  <c r="H754" i="3" s="1"/>
  <c r="L322" i="3" s="1"/>
  <c r="F755" i="3"/>
  <c r="G755" i="3" s="1"/>
  <c r="H755" i="3" s="1"/>
  <c r="F756" i="3"/>
  <c r="G756" i="3" s="1"/>
  <c r="H756" i="3" s="1"/>
  <c r="F757" i="3"/>
  <c r="G757" i="3" s="1"/>
  <c r="H757" i="3" s="1"/>
  <c r="F758" i="3"/>
  <c r="G758" i="3" s="1"/>
  <c r="H758" i="3" s="1"/>
  <c r="L324" i="3" s="1"/>
  <c r="F759" i="3"/>
  <c r="G759" i="3" s="1"/>
  <c r="H759" i="3" s="1"/>
  <c r="L325" i="3" s="1"/>
  <c r="F760" i="3"/>
  <c r="G760" i="3" s="1"/>
  <c r="H760" i="3" s="1"/>
  <c r="F761" i="3"/>
  <c r="G761" i="3" s="1"/>
  <c r="H761" i="3" s="1"/>
  <c r="F762" i="3"/>
  <c r="G762" i="3" s="1"/>
  <c r="H762" i="3" s="1"/>
  <c r="F763" i="3"/>
  <c r="G763" i="3" s="1"/>
  <c r="H763" i="3" s="1"/>
  <c r="F764" i="3"/>
  <c r="G764" i="3" s="1"/>
  <c r="H764" i="3" s="1"/>
  <c r="F765" i="3"/>
  <c r="G765" i="3" s="1"/>
  <c r="H765" i="3" s="1"/>
  <c r="F766" i="3"/>
  <c r="G766" i="3" s="1"/>
  <c r="H766" i="3" s="1"/>
  <c r="F767" i="3"/>
  <c r="G767" i="3" s="1"/>
  <c r="H767" i="3" s="1"/>
  <c r="L327" i="3" s="1"/>
  <c r="F768" i="3"/>
  <c r="G768" i="3" s="1"/>
  <c r="H768" i="3" s="1"/>
  <c r="L328" i="3" s="1"/>
  <c r="F769" i="3"/>
  <c r="G769" i="3" s="1"/>
  <c r="H769" i="3" s="1"/>
  <c r="F770" i="3"/>
  <c r="G770" i="3" s="1"/>
  <c r="H770" i="3" s="1"/>
  <c r="F771" i="3"/>
  <c r="G771" i="3" s="1"/>
  <c r="H771" i="3" s="1"/>
  <c r="F772" i="3"/>
  <c r="G772" i="3" s="1"/>
  <c r="H772" i="3" s="1"/>
  <c r="L330" i="3" s="1"/>
  <c r="F773" i="3"/>
  <c r="G773" i="3" s="1"/>
  <c r="H773" i="3" s="1"/>
  <c r="L331" i="3" s="1"/>
  <c r="F774" i="3"/>
  <c r="G774" i="3" s="1"/>
  <c r="H774" i="3" s="1"/>
  <c r="F775" i="3"/>
  <c r="G775" i="3" s="1"/>
  <c r="H775" i="3" s="1"/>
  <c r="F776" i="3"/>
  <c r="G776" i="3" s="1"/>
  <c r="H776" i="3" s="1"/>
  <c r="F777" i="3"/>
  <c r="G777" i="3" s="1"/>
  <c r="H777" i="3" s="1"/>
  <c r="F778" i="3"/>
  <c r="G778" i="3" s="1"/>
  <c r="H778" i="3" s="1"/>
  <c r="F779" i="3"/>
  <c r="G779" i="3" s="1"/>
  <c r="H779" i="3" s="1"/>
  <c r="F780" i="3"/>
  <c r="G780" i="3" s="1"/>
  <c r="H780" i="3" s="1"/>
  <c r="F781" i="3"/>
  <c r="G781" i="3" s="1"/>
  <c r="H781" i="3" s="1"/>
  <c r="F782" i="3"/>
  <c r="G782" i="3" s="1"/>
  <c r="H782" i="3" s="1"/>
  <c r="F783" i="3"/>
  <c r="G783" i="3" s="1"/>
  <c r="H783" i="3" s="1"/>
  <c r="F784" i="3"/>
  <c r="G784" i="3" s="1"/>
  <c r="H784" i="3" s="1"/>
  <c r="F785" i="3"/>
  <c r="G785" i="3" s="1"/>
  <c r="H785" i="3" s="1"/>
  <c r="F786" i="3"/>
  <c r="G786" i="3" s="1"/>
  <c r="H786" i="3" s="1"/>
  <c r="F787" i="3"/>
  <c r="G787" i="3" s="1"/>
  <c r="H787" i="3" s="1"/>
  <c r="F788" i="3"/>
  <c r="G788" i="3" s="1"/>
  <c r="H788" i="3" s="1"/>
  <c r="F789" i="3"/>
  <c r="G789" i="3" s="1"/>
  <c r="H789" i="3" s="1"/>
  <c r="F790" i="3"/>
  <c r="G790" i="3" s="1"/>
  <c r="H790" i="3" s="1"/>
  <c r="F791" i="3"/>
  <c r="G791" i="3" s="1"/>
  <c r="H791" i="3" s="1"/>
  <c r="F792" i="3"/>
  <c r="G792" i="3" s="1"/>
  <c r="H792" i="3" s="1"/>
  <c r="F793" i="3"/>
  <c r="G793" i="3" s="1"/>
  <c r="H793" i="3" s="1"/>
  <c r="F794" i="3"/>
  <c r="G794" i="3" s="1"/>
  <c r="H794" i="3" s="1"/>
  <c r="F795" i="3"/>
  <c r="G795" i="3" s="1"/>
  <c r="H795" i="3" s="1"/>
  <c r="F796" i="3"/>
  <c r="G796" i="3" s="1"/>
  <c r="H796" i="3" s="1"/>
  <c r="L337" i="3" s="1"/>
  <c r="F797" i="3"/>
  <c r="G797" i="3" s="1"/>
  <c r="H797" i="3" s="1"/>
  <c r="L338" i="3" s="1"/>
  <c r="F798" i="3"/>
  <c r="G798" i="3" s="1"/>
  <c r="H798" i="3" s="1"/>
  <c r="F799" i="3"/>
  <c r="G799" i="3" s="1"/>
  <c r="H799" i="3" s="1"/>
  <c r="F800" i="3"/>
  <c r="G800" i="3" s="1"/>
  <c r="H800" i="3" s="1"/>
  <c r="F801" i="3"/>
  <c r="G801" i="3" s="1"/>
  <c r="H801" i="3" s="1"/>
  <c r="F802" i="3"/>
  <c r="G802" i="3" s="1"/>
  <c r="H802" i="3" s="1"/>
  <c r="F803" i="3"/>
  <c r="G803" i="3" s="1"/>
  <c r="H803" i="3" s="1"/>
  <c r="F804" i="3"/>
  <c r="G804" i="3" s="1"/>
  <c r="H804" i="3" s="1"/>
  <c r="F805" i="3"/>
  <c r="G805" i="3" s="1"/>
  <c r="H805" i="3" s="1"/>
  <c r="F806" i="3"/>
  <c r="G806" i="3" s="1"/>
  <c r="H806" i="3" s="1"/>
  <c r="F807" i="3"/>
  <c r="G807" i="3" s="1"/>
  <c r="H807" i="3" s="1"/>
  <c r="L344" i="3" s="1"/>
  <c r="F808" i="3"/>
  <c r="G808" i="3" s="1"/>
  <c r="H808" i="3" s="1"/>
  <c r="L345" i="3" s="1"/>
  <c r="F809" i="3"/>
  <c r="G809" i="3" s="1"/>
  <c r="H809" i="3" s="1"/>
  <c r="L346" i="3" s="1"/>
  <c r="F810" i="3"/>
  <c r="G810" i="3" s="1"/>
  <c r="H810" i="3" s="1"/>
  <c r="F811" i="3"/>
  <c r="G811" i="3" s="1"/>
  <c r="H811" i="3" s="1"/>
  <c r="F812" i="3"/>
  <c r="G812" i="3" s="1"/>
  <c r="H812" i="3" s="1"/>
  <c r="F813" i="3"/>
  <c r="G813" i="3" s="1"/>
  <c r="H813" i="3" s="1"/>
  <c r="F814" i="3"/>
  <c r="G814" i="3" s="1"/>
  <c r="H814" i="3" s="1"/>
  <c r="F815" i="3"/>
  <c r="G815" i="3" s="1"/>
  <c r="H815" i="3" s="1"/>
  <c r="F816" i="3"/>
  <c r="G816" i="3" s="1"/>
  <c r="H816" i="3" s="1"/>
  <c r="L348" i="3" s="1"/>
  <c r="F817" i="3"/>
  <c r="G817" i="3" s="1"/>
  <c r="H817" i="3" s="1"/>
  <c r="L349" i="3" s="1"/>
  <c r="F818" i="3"/>
  <c r="G818" i="3" s="1"/>
  <c r="H818" i="3" s="1"/>
  <c r="F819" i="3"/>
  <c r="G819" i="3" s="1"/>
  <c r="H819" i="3" s="1"/>
  <c r="F820" i="3"/>
  <c r="G820" i="3" s="1"/>
  <c r="H820" i="3" s="1"/>
  <c r="L350" i="3" s="1"/>
  <c r="F821" i="3"/>
  <c r="G821" i="3" s="1"/>
  <c r="H821" i="3" s="1"/>
  <c r="L351" i="3" s="1"/>
  <c r="F822" i="3"/>
  <c r="G822" i="3" s="1"/>
  <c r="H822" i="3" s="1"/>
  <c r="F823" i="3"/>
  <c r="G823" i="3" s="1"/>
  <c r="H823" i="3" s="1"/>
  <c r="L352" i="3" s="1"/>
  <c r="F824" i="3"/>
  <c r="G824" i="3" s="1"/>
  <c r="H824" i="3" s="1"/>
  <c r="L353" i="3" s="1"/>
  <c r="F825" i="3"/>
  <c r="G825" i="3" s="1"/>
  <c r="H825" i="3" s="1"/>
  <c r="L354" i="3" s="1"/>
  <c r="F826" i="3"/>
  <c r="G826" i="3" s="1"/>
  <c r="H826" i="3" s="1"/>
  <c r="F827" i="3"/>
  <c r="G827" i="3" s="1"/>
  <c r="H827" i="3" s="1"/>
  <c r="F828" i="3"/>
  <c r="G828" i="3" s="1"/>
  <c r="H828" i="3" s="1"/>
  <c r="F829" i="3"/>
  <c r="G829" i="3" s="1"/>
  <c r="H829" i="3" s="1"/>
  <c r="F830" i="3"/>
  <c r="G830" i="3" s="1"/>
  <c r="H830" i="3" s="1"/>
  <c r="F831" i="3"/>
  <c r="G831" i="3" s="1"/>
  <c r="H831" i="3" s="1"/>
  <c r="F832" i="3"/>
  <c r="G832" i="3" s="1"/>
  <c r="H832" i="3" s="1"/>
  <c r="F833" i="3"/>
  <c r="G833" i="3" s="1"/>
  <c r="H833" i="3" s="1"/>
  <c r="F834" i="3"/>
  <c r="G834" i="3" s="1"/>
  <c r="H834" i="3" s="1"/>
  <c r="L358" i="3" s="1"/>
  <c r="F835" i="3"/>
  <c r="G835" i="3" s="1"/>
  <c r="H835" i="3" s="1"/>
  <c r="L359" i="3" s="1"/>
  <c r="F836" i="3"/>
  <c r="G836" i="3" s="1"/>
  <c r="H836" i="3" s="1"/>
  <c r="L360" i="3" s="1"/>
  <c r="F837" i="3"/>
  <c r="G837" i="3" s="1"/>
  <c r="H837" i="3" s="1"/>
  <c r="F838" i="3"/>
  <c r="G838" i="3" s="1"/>
  <c r="H838" i="3" s="1"/>
  <c r="F839" i="3"/>
  <c r="G839" i="3" s="1"/>
  <c r="H839" i="3" s="1"/>
  <c r="F840" i="3"/>
  <c r="G840" i="3" s="1"/>
  <c r="H840" i="3" s="1"/>
  <c r="F841" i="3"/>
  <c r="G841" i="3" s="1"/>
  <c r="H841" i="3" s="1"/>
  <c r="F842" i="3"/>
  <c r="G842" i="3" s="1"/>
  <c r="H842" i="3" s="1"/>
  <c r="F843" i="3"/>
  <c r="G843" i="3" s="1"/>
  <c r="H843" i="3" s="1"/>
  <c r="F844" i="3"/>
  <c r="G844" i="3" s="1"/>
  <c r="H844" i="3" s="1"/>
  <c r="F845" i="3"/>
  <c r="G845" i="3" s="1"/>
  <c r="H845" i="3" s="1"/>
  <c r="F846" i="3"/>
  <c r="G846" i="3" s="1"/>
  <c r="H846" i="3" s="1"/>
  <c r="F847" i="3"/>
  <c r="G847" i="3" s="1"/>
  <c r="H847" i="3" s="1"/>
  <c r="L363" i="3" s="1"/>
  <c r="F848" i="3"/>
  <c r="G848" i="3" s="1"/>
  <c r="H848" i="3" s="1"/>
  <c r="F849" i="3"/>
  <c r="G849" i="3" s="1"/>
  <c r="H849" i="3" s="1"/>
  <c r="F850" i="3"/>
  <c r="G850" i="3" s="1"/>
  <c r="H850" i="3" s="1"/>
  <c r="F851" i="3"/>
  <c r="G851" i="3" s="1"/>
  <c r="H851" i="3" s="1"/>
  <c r="F852" i="3"/>
  <c r="G852" i="3" s="1"/>
  <c r="H852" i="3" s="1"/>
  <c r="F853" i="3"/>
  <c r="G853" i="3" s="1"/>
  <c r="H853" i="3" s="1"/>
  <c r="F854" i="3"/>
  <c r="G854" i="3" s="1"/>
  <c r="H854" i="3" s="1"/>
  <c r="L366" i="3" s="1"/>
  <c r="F855" i="3"/>
  <c r="G855" i="3" s="1"/>
  <c r="H855" i="3" s="1"/>
  <c r="F856" i="3"/>
  <c r="G856" i="3" s="1"/>
  <c r="H856" i="3" s="1"/>
  <c r="F857" i="3"/>
  <c r="G857" i="3" s="1"/>
  <c r="H857" i="3" s="1"/>
  <c r="F858" i="3"/>
  <c r="G858" i="3" s="1"/>
  <c r="H858" i="3" s="1"/>
  <c r="F859" i="3"/>
  <c r="G859" i="3" s="1"/>
  <c r="H859" i="3" s="1"/>
  <c r="L368" i="3" s="1"/>
  <c r="F860" i="3"/>
  <c r="G860" i="3" s="1"/>
  <c r="H860" i="3" s="1"/>
  <c r="L369" i="3" s="1"/>
  <c r="F861" i="3"/>
  <c r="G861" i="3" s="1"/>
  <c r="H861" i="3" s="1"/>
  <c r="F862" i="3"/>
  <c r="G862" i="3" s="1"/>
  <c r="H862" i="3" s="1"/>
  <c r="F863" i="3"/>
  <c r="G863" i="3" s="1"/>
  <c r="H863" i="3" s="1"/>
  <c r="L371" i="3" s="1"/>
  <c r="F864" i="3"/>
  <c r="G864" i="3" s="1"/>
  <c r="H864" i="3" s="1"/>
  <c r="F865" i="3"/>
  <c r="G865" i="3" s="1"/>
  <c r="H865" i="3" s="1"/>
  <c r="F866" i="3"/>
  <c r="G866" i="3" s="1"/>
  <c r="H866" i="3" s="1"/>
  <c r="F867" i="3"/>
  <c r="G867" i="3" s="1"/>
  <c r="H867" i="3" s="1"/>
  <c r="F868" i="3"/>
  <c r="G868" i="3" s="1"/>
  <c r="H868" i="3" s="1"/>
  <c r="F869" i="3"/>
  <c r="G869" i="3" s="1"/>
  <c r="H869" i="3" s="1"/>
  <c r="F870" i="3"/>
  <c r="G870" i="3" s="1"/>
  <c r="H870" i="3" s="1"/>
  <c r="F871" i="3"/>
  <c r="G871" i="3" s="1"/>
  <c r="H871" i="3" s="1"/>
  <c r="F872" i="3"/>
  <c r="G872" i="3" s="1"/>
  <c r="H872" i="3" s="1"/>
  <c r="F873" i="3"/>
  <c r="G873" i="3" s="1"/>
  <c r="H873" i="3" s="1"/>
  <c r="F874" i="3"/>
  <c r="G874" i="3" s="1"/>
  <c r="H874" i="3" s="1"/>
  <c r="L375" i="3" s="1"/>
  <c r="F875" i="3"/>
  <c r="G875" i="3" s="1"/>
  <c r="H875" i="3" s="1"/>
  <c r="L376" i="3" s="1"/>
  <c r="F876" i="3"/>
  <c r="G876" i="3" s="1"/>
  <c r="H876" i="3" s="1"/>
  <c r="L377" i="3" s="1"/>
  <c r="F877" i="3"/>
  <c r="G877" i="3" s="1"/>
  <c r="H877" i="3" s="1"/>
  <c r="L378" i="3" s="1"/>
  <c r="F878" i="3"/>
  <c r="G878" i="3" s="1"/>
  <c r="H878" i="3" s="1"/>
  <c r="F879" i="3"/>
  <c r="G879" i="3" s="1"/>
  <c r="F880" i="3"/>
  <c r="F881" i="3"/>
  <c r="F882" i="3"/>
  <c r="G882" i="3" s="1"/>
  <c r="H882" i="3" s="1"/>
  <c r="F883" i="3"/>
  <c r="G883" i="3" s="1"/>
  <c r="H883" i="3" s="1"/>
  <c r="F884" i="3"/>
  <c r="G884" i="3" s="1"/>
  <c r="H884" i="3" s="1"/>
  <c r="F885" i="3"/>
  <c r="G885" i="3" s="1"/>
  <c r="H885" i="3" s="1"/>
  <c r="F886" i="3"/>
  <c r="G886" i="3" s="1"/>
  <c r="H886" i="3" s="1"/>
  <c r="L381" i="3" s="1"/>
  <c r="F887" i="3"/>
  <c r="G887" i="3" s="1"/>
  <c r="H887" i="3" s="1"/>
  <c r="L382" i="3" s="1"/>
  <c r="F888" i="3"/>
  <c r="G888" i="3" s="1"/>
  <c r="H888" i="3" s="1"/>
  <c r="F889" i="3"/>
  <c r="G889" i="3" s="1"/>
  <c r="H889" i="3" s="1"/>
  <c r="F890" i="3"/>
  <c r="G890" i="3" s="1"/>
  <c r="H890" i="3" s="1"/>
  <c r="F891" i="3"/>
  <c r="G891" i="3" s="1"/>
  <c r="H891" i="3" s="1"/>
  <c r="F892" i="3"/>
  <c r="G892" i="3" s="1"/>
  <c r="H892" i="3" s="1"/>
  <c r="F893" i="3"/>
  <c r="G893" i="3" s="1"/>
  <c r="H893" i="3" s="1"/>
  <c r="F894" i="3"/>
  <c r="G894" i="3" s="1"/>
  <c r="H894" i="3" s="1"/>
  <c r="F895" i="3"/>
  <c r="G895" i="3" s="1"/>
  <c r="H895" i="3" s="1"/>
  <c r="F896" i="3"/>
  <c r="G896" i="3" s="1"/>
  <c r="H896" i="3" s="1"/>
  <c r="F897" i="3"/>
  <c r="G897" i="3" s="1"/>
  <c r="H897" i="3" s="1"/>
  <c r="F898" i="3"/>
  <c r="G898" i="3" s="1"/>
  <c r="H898" i="3" s="1"/>
  <c r="F899" i="3"/>
  <c r="G899" i="3" s="1"/>
  <c r="H899" i="3" s="1"/>
  <c r="L387" i="3" s="1"/>
  <c r="F900" i="3"/>
  <c r="G900" i="3" s="1"/>
  <c r="H900" i="3" s="1"/>
  <c r="L388" i="3" s="1"/>
  <c r="F901" i="3"/>
  <c r="G901" i="3" s="1"/>
  <c r="H901" i="3" s="1"/>
  <c r="L389" i="3" s="1"/>
  <c r="F902" i="3"/>
  <c r="G902" i="3" s="1"/>
  <c r="H902" i="3" s="1"/>
  <c r="F903" i="3"/>
  <c r="G903" i="3" s="1"/>
  <c r="H903" i="3" s="1"/>
  <c r="F904" i="3"/>
  <c r="G904" i="3" s="1"/>
  <c r="H904" i="3" s="1"/>
  <c r="F905" i="3"/>
  <c r="G905" i="3" s="1"/>
  <c r="H905" i="3" s="1"/>
  <c r="F906" i="3"/>
  <c r="G906" i="3" s="1"/>
  <c r="H906" i="3" s="1"/>
  <c r="F907" i="3"/>
  <c r="G907" i="3" s="1"/>
  <c r="H907" i="3" s="1"/>
  <c r="F908" i="3"/>
  <c r="G908" i="3" s="1"/>
  <c r="H908" i="3" s="1"/>
  <c r="F909" i="3"/>
  <c r="G909" i="3" s="1"/>
  <c r="H909" i="3" s="1"/>
  <c r="F910" i="3"/>
  <c r="G910" i="3" s="1"/>
  <c r="H910" i="3" s="1"/>
  <c r="F911" i="3"/>
  <c r="G911" i="3" s="1"/>
  <c r="H911" i="3" s="1"/>
  <c r="F912" i="3"/>
  <c r="G912" i="3" s="1"/>
  <c r="H912" i="3" s="1"/>
  <c r="F913" i="3"/>
  <c r="G913" i="3" s="1"/>
  <c r="H913" i="3" s="1"/>
  <c r="L393" i="3" s="1"/>
  <c r="F914" i="3"/>
  <c r="G914" i="3" s="1"/>
  <c r="H914" i="3" s="1"/>
  <c r="L394" i="3" s="1"/>
  <c r="F915" i="3"/>
  <c r="G915" i="3" s="1"/>
  <c r="H915" i="3" s="1"/>
  <c r="F916" i="3"/>
  <c r="G916" i="3" s="1"/>
  <c r="H916" i="3" s="1"/>
  <c r="F917" i="3"/>
  <c r="G917" i="3" s="1"/>
  <c r="H917" i="3" s="1"/>
  <c r="L396" i="3" s="1"/>
  <c r="F918" i="3"/>
  <c r="G918" i="3" s="1"/>
  <c r="H918" i="3" s="1"/>
  <c r="F919" i="3"/>
  <c r="G919" i="3" s="1"/>
  <c r="H919" i="3" s="1"/>
  <c r="L397" i="3" s="1"/>
  <c r="F920" i="3"/>
  <c r="G920" i="3" s="1"/>
  <c r="H920" i="3" s="1"/>
  <c r="F921" i="3"/>
  <c r="G921" i="3" s="1"/>
  <c r="H921" i="3" s="1"/>
  <c r="L398" i="3" s="1"/>
  <c r="F922" i="3"/>
  <c r="G922" i="3" s="1"/>
  <c r="H922" i="3" s="1"/>
  <c r="F923" i="3"/>
  <c r="G923" i="3" s="1"/>
  <c r="H923" i="3" s="1"/>
  <c r="F924" i="3"/>
  <c r="G924" i="3" s="1"/>
  <c r="H924" i="3" s="1"/>
  <c r="F925" i="3"/>
  <c r="G925" i="3" s="1"/>
  <c r="H925" i="3" s="1"/>
  <c r="F926" i="3"/>
  <c r="G926" i="3" s="1"/>
  <c r="H926" i="3" s="1"/>
  <c r="F927" i="3"/>
  <c r="G927" i="3" s="1"/>
  <c r="H927" i="3" s="1"/>
  <c r="F928" i="3"/>
  <c r="G928" i="3" s="1"/>
  <c r="H928" i="3" s="1"/>
  <c r="L400" i="3" s="1"/>
  <c r="F929" i="3"/>
  <c r="G929" i="3" s="1"/>
  <c r="H929" i="3" s="1"/>
  <c r="F930" i="3"/>
  <c r="G930" i="3" s="1"/>
  <c r="H930" i="3" s="1"/>
  <c r="F931" i="3"/>
  <c r="G931" i="3" s="1"/>
  <c r="H931" i="3" s="1"/>
  <c r="F932" i="3"/>
  <c r="G932" i="3" s="1"/>
  <c r="H932" i="3" s="1"/>
  <c r="F933" i="3"/>
  <c r="G933" i="3" s="1"/>
  <c r="H933" i="3" s="1"/>
  <c r="F934" i="3"/>
  <c r="G934" i="3" s="1"/>
  <c r="H934" i="3" s="1"/>
  <c r="F935" i="3"/>
  <c r="G935" i="3" s="1"/>
  <c r="H935" i="3" s="1"/>
  <c r="F936" i="3"/>
  <c r="G936" i="3" s="1"/>
  <c r="H936" i="3" s="1"/>
  <c r="F937" i="3"/>
  <c r="G937" i="3" s="1"/>
  <c r="H937" i="3" s="1"/>
  <c r="F938" i="3"/>
  <c r="G938" i="3" s="1"/>
  <c r="H938" i="3" s="1"/>
  <c r="F939" i="3"/>
  <c r="G939" i="3" s="1"/>
  <c r="H939" i="3" s="1"/>
  <c r="F940" i="3"/>
  <c r="G940" i="3" s="1"/>
  <c r="H940" i="3" s="1"/>
  <c r="L403" i="3" s="1"/>
  <c r="F941" i="3"/>
  <c r="G941" i="3" s="1"/>
  <c r="H941" i="3" s="1"/>
  <c r="L404" i="3" s="1"/>
  <c r="F942" i="3"/>
  <c r="G942" i="3" s="1"/>
  <c r="H942" i="3" s="1"/>
  <c r="F943" i="3"/>
  <c r="G943" i="3" s="1"/>
  <c r="H943" i="3" s="1"/>
  <c r="L405" i="3" s="1"/>
  <c r="F944" i="3"/>
  <c r="G944" i="3" s="1"/>
  <c r="H944" i="3" s="1"/>
  <c r="F945" i="3"/>
  <c r="G945" i="3" s="1"/>
  <c r="H945" i="3" s="1"/>
  <c r="F946" i="3"/>
  <c r="G946" i="3" s="1"/>
  <c r="H946" i="3" s="1"/>
  <c r="L406" i="3" s="1"/>
  <c r="F947" i="3"/>
  <c r="G947" i="3" s="1"/>
  <c r="H947" i="3" s="1"/>
  <c r="F948" i="3"/>
  <c r="G948" i="3" s="1"/>
  <c r="H948" i="3" s="1"/>
  <c r="F949" i="3"/>
  <c r="G949" i="3" s="1"/>
  <c r="H949" i="3" s="1"/>
  <c r="F950" i="3"/>
  <c r="G950" i="3" s="1"/>
  <c r="H950" i="3" s="1"/>
  <c r="F951" i="3"/>
  <c r="G951" i="3" s="1"/>
  <c r="H951" i="3" s="1"/>
  <c r="L408" i="3" s="1"/>
  <c r="F952" i="3"/>
  <c r="G952" i="3" s="1"/>
  <c r="H952" i="3" s="1"/>
  <c r="L409" i="3" s="1"/>
  <c r="F953" i="3"/>
  <c r="G953" i="3" s="1"/>
  <c r="H953" i="3" s="1"/>
  <c r="F954" i="3"/>
  <c r="G954" i="3" s="1"/>
  <c r="H954" i="3" s="1"/>
  <c r="F955" i="3"/>
  <c r="G955" i="3" s="1"/>
  <c r="H955" i="3" s="1"/>
  <c r="F956" i="3"/>
  <c r="G956" i="3" s="1"/>
  <c r="H956" i="3" s="1"/>
  <c r="F957" i="3"/>
  <c r="G957" i="3" s="1"/>
  <c r="H957" i="3" s="1"/>
  <c r="F958" i="3"/>
  <c r="G958" i="3" s="1"/>
  <c r="H958" i="3" s="1"/>
  <c r="L412" i="3" s="1"/>
  <c r="F959" i="3"/>
  <c r="G959" i="3" s="1"/>
  <c r="H959" i="3" s="1"/>
  <c r="F960" i="3"/>
  <c r="G960" i="3" s="1"/>
  <c r="H960" i="3" s="1"/>
  <c r="F961" i="3"/>
  <c r="G961" i="3" s="1"/>
  <c r="H961" i="3" s="1"/>
  <c r="F962" i="3"/>
  <c r="G962" i="3" s="1"/>
  <c r="H962" i="3" s="1"/>
  <c r="L414" i="3" s="1"/>
  <c r="F963" i="3"/>
  <c r="F964" i="3"/>
  <c r="G964" i="3" s="1"/>
  <c r="H964" i="3" s="1"/>
  <c r="L416" i="3" s="1"/>
  <c r="F965" i="3"/>
  <c r="F966" i="3"/>
  <c r="G966" i="3" s="1"/>
  <c r="H966" i="3" s="1"/>
  <c r="F967" i="3"/>
  <c r="G967" i="3" s="1"/>
  <c r="H967" i="3" s="1"/>
  <c r="F968" i="3"/>
  <c r="G968" i="3" s="1"/>
  <c r="H968" i="3" s="1"/>
  <c r="F969" i="3"/>
  <c r="G969" i="3" s="1"/>
  <c r="H969" i="3" s="1"/>
  <c r="F970" i="3"/>
  <c r="G970" i="3" s="1"/>
  <c r="H970" i="3" s="1"/>
  <c r="F971" i="3"/>
  <c r="G971" i="3" s="1"/>
  <c r="H971" i="3" s="1"/>
  <c r="F972" i="3"/>
  <c r="G972" i="3" s="1"/>
  <c r="H972" i="3" s="1"/>
  <c r="F973" i="3"/>
  <c r="G973" i="3" s="1"/>
  <c r="H973" i="3" s="1"/>
  <c r="F974" i="3"/>
  <c r="G974" i="3" s="1"/>
  <c r="H974" i="3" s="1"/>
  <c r="L419" i="3" s="1"/>
  <c r="F975" i="3"/>
  <c r="G975" i="3" s="1"/>
  <c r="H975" i="3" s="1"/>
  <c r="F976" i="3"/>
  <c r="G976" i="3" s="1"/>
  <c r="H976" i="3" s="1"/>
  <c r="F977" i="3"/>
  <c r="G977" i="3" s="1"/>
  <c r="H977" i="3" s="1"/>
  <c r="F978" i="3"/>
  <c r="G978" i="3" s="1"/>
  <c r="H978" i="3" s="1"/>
  <c r="L421" i="3" s="1"/>
  <c r="F979" i="3"/>
  <c r="G979" i="3" s="1"/>
  <c r="H979" i="3" s="1"/>
  <c r="L422" i="3" s="1"/>
  <c r="F980" i="3"/>
  <c r="G980" i="3" s="1"/>
  <c r="H980" i="3" s="1"/>
  <c r="F981" i="3"/>
  <c r="G981" i="3" s="1"/>
  <c r="H981" i="3" s="1"/>
  <c r="F982" i="3"/>
  <c r="G982" i="3" s="1"/>
  <c r="H982" i="3" s="1"/>
  <c r="F983" i="3"/>
  <c r="G983" i="3" s="1"/>
  <c r="H983" i="3" s="1"/>
  <c r="F984" i="3"/>
  <c r="G984" i="3" s="1"/>
  <c r="H984" i="3" s="1"/>
  <c r="L424" i="3" s="1"/>
  <c r="F985" i="3"/>
  <c r="G985" i="3" s="1"/>
  <c r="H985" i="3" s="1"/>
  <c r="L425" i="3" s="1"/>
  <c r="F986" i="3"/>
  <c r="G986" i="3" s="1"/>
  <c r="H986" i="3" s="1"/>
  <c r="L426" i="3" s="1"/>
  <c r="F987" i="3"/>
  <c r="G987" i="3" s="1"/>
  <c r="H987" i="3" s="1"/>
  <c r="F988" i="3"/>
  <c r="G988" i="3" s="1"/>
  <c r="H988" i="3" s="1"/>
  <c r="L427" i="3" s="1"/>
  <c r="F989" i="3"/>
  <c r="G989" i="3" s="1"/>
  <c r="H989" i="3" s="1"/>
  <c r="L428" i="3" s="1"/>
  <c r="F990" i="3"/>
  <c r="G990" i="3" s="1"/>
  <c r="H990" i="3" s="1"/>
  <c r="F991" i="3"/>
  <c r="G991" i="3" s="1"/>
  <c r="H991" i="3" s="1"/>
  <c r="F992" i="3"/>
  <c r="G992" i="3" s="1"/>
  <c r="H992" i="3" s="1"/>
  <c r="F993" i="3"/>
  <c r="G993" i="3" s="1"/>
  <c r="H993" i="3" s="1"/>
  <c r="L430" i="3" s="1"/>
  <c r="F994" i="3"/>
  <c r="G994" i="3" s="1"/>
  <c r="H994" i="3" s="1"/>
  <c r="L431" i="3" s="1"/>
  <c r="F995" i="3"/>
  <c r="G995" i="3" s="1"/>
  <c r="H995" i="3" s="1"/>
  <c r="F996" i="3"/>
  <c r="G996" i="3" s="1"/>
  <c r="H996" i="3" s="1"/>
  <c r="F997" i="3"/>
  <c r="G997" i="3" s="1"/>
  <c r="H997" i="3" s="1"/>
  <c r="L433" i="3" s="1"/>
  <c r="F998" i="3"/>
  <c r="G998" i="3" s="1"/>
  <c r="H998" i="3" s="1"/>
  <c r="F999" i="3"/>
  <c r="G999" i="3" s="1"/>
  <c r="H999" i="3" s="1"/>
  <c r="F1000" i="3"/>
  <c r="G1000" i="3" s="1"/>
  <c r="H1000" i="3" s="1"/>
  <c r="F1001" i="3"/>
  <c r="G1001" i="3" s="1"/>
  <c r="H1001" i="3" s="1"/>
  <c r="F1002" i="3"/>
  <c r="G1002" i="3" s="1"/>
  <c r="H1002" i="3" s="1"/>
  <c r="F1003" i="3"/>
  <c r="G1003" i="3" s="1"/>
  <c r="H1003" i="3" s="1"/>
  <c r="F1004" i="3"/>
  <c r="G1004" i="3" s="1"/>
  <c r="H1004" i="3" s="1"/>
  <c r="F1005" i="3"/>
  <c r="G1005" i="3" s="1"/>
  <c r="H1005" i="3" s="1"/>
  <c r="F1006" i="3"/>
  <c r="G1006" i="3" s="1"/>
  <c r="H1006" i="3" s="1"/>
  <c r="L435" i="3" s="1"/>
  <c r="F1007" i="3"/>
  <c r="G1007" i="3" s="1"/>
  <c r="H1007" i="3" s="1"/>
  <c r="F1008" i="3"/>
  <c r="G1008" i="3" s="1"/>
  <c r="H1008" i="3" s="1"/>
  <c r="F1009" i="3"/>
  <c r="G1009" i="3" s="1"/>
  <c r="H1009" i="3" s="1"/>
  <c r="F1010" i="3"/>
  <c r="G1010" i="3" s="1"/>
  <c r="H1010" i="3" s="1"/>
  <c r="F1011" i="3"/>
  <c r="G1011" i="3" s="1"/>
  <c r="H1011" i="3" s="1"/>
  <c r="L437" i="3" s="1"/>
  <c r="F1012" i="3"/>
  <c r="G1012" i="3" s="1"/>
  <c r="H1012" i="3" s="1"/>
  <c r="F1013" i="3"/>
  <c r="G1013" i="3" s="1"/>
  <c r="H1013" i="3" s="1"/>
  <c r="F1014" i="3"/>
  <c r="G1014" i="3" s="1"/>
  <c r="H1014" i="3" s="1"/>
  <c r="F1015" i="3"/>
  <c r="G1015" i="3" s="1"/>
  <c r="H1015" i="3" s="1"/>
  <c r="F1016" i="3"/>
  <c r="G1016" i="3" s="1"/>
  <c r="H1016" i="3" s="1"/>
  <c r="F1017" i="3"/>
  <c r="G1017" i="3" s="1"/>
  <c r="H1017" i="3" s="1"/>
  <c r="F1018" i="3"/>
  <c r="G1018" i="3" s="1"/>
  <c r="H1018" i="3" s="1"/>
  <c r="F1019" i="3"/>
  <c r="G1019" i="3" s="1"/>
  <c r="H1019" i="3" s="1"/>
  <c r="F1020" i="3"/>
  <c r="G1020" i="3" s="1"/>
  <c r="H1020" i="3" s="1"/>
  <c r="F1021" i="3"/>
  <c r="G1021" i="3" s="1"/>
  <c r="H1021" i="3" s="1"/>
  <c r="L441" i="3" s="1"/>
  <c r="F1022" i="3"/>
  <c r="G1022" i="3" s="1"/>
  <c r="H1022" i="3" s="1"/>
  <c r="F1023" i="3"/>
  <c r="G1023" i="3" s="1"/>
  <c r="H1023" i="3" s="1"/>
  <c r="L442" i="3" s="1"/>
  <c r="F1024" i="3"/>
  <c r="G1024" i="3" s="1"/>
  <c r="H1024" i="3" s="1"/>
  <c r="L443" i="3" s="1"/>
  <c r="F1025" i="3"/>
  <c r="G1025" i="3" s="1"/>
  <c r="H1025" i="3" s="1"/>
  <c r="L444" i="3" s="1"/>
  <c r="F1026" i="3"/>
  <c r="G1026" i="3" s="1"/>
  <c r="H1026" i="3" s="1"/>
  <c r="F1027" i="3"/>
  <c r="G1027" i="3" s="1"/>
  <c r="H1027" i="3" s="1"/>
  <c r="F1028" i="3"/>
  <c r="G1028" i="3" s="1"/>
  <c r="H1028" i="3" s="1"/>
  <c r="F1029" i="3"/>
  <c r="G1029" i="3" s="1"/>
  <c r="H1029" i="3" s="1"/>
  <c r="F1030" i="3"/>
  <c r="G1030" i="3" s="1"/>
  <c r="H1030" i="3" s="1"/>
  <c r="L446" i="3" s="1"/>
  <c r="F1031" i="3"/>
  <c r="G1031" i="3" s="1"/>
  <c r="H1031" i="3" s="1"/>
  <c r="F1032" i="3"/>
  <c r="G1032" i="3" s="1"/>
  <c r="H1032" i="3" s="1"/>
  <c r="F1033" i="3"/>
  <c r="G1033" i="3" s="1"/>
  <c r="H1033" i="3" s="1"/>
  <c r="L448" i="3" s="1"/>
  <c r="F1034" i="3"/>
  <c r="G1034" i="3" s="1"/>
  <c r="H1034" i="3" s="1"/>
  <c r="L449" i="3" s="1"/>
  <c r="F1035" i="3"/>
  <c r="G1035" i="3" s="1"/>
  <c r="H1035" i="3" s="1"/>
  <c r="F1036" i="3"/>
  <c r="G1036" i="3" s="1"/>
  <c r="H1036" i="3" s="1"/>
  <c r="F1037" i="3"/>
  <c r="G1037" i="3" s="1"/>
  <c r="H1037" i="3" s="1"/>
  <c r="F1038" i="3"/>
  <c r="G1038" i="3" s="1"/>
  <c r="H1038" i="3" s="1"/>
  <c r="F1039" i="3"/>
  <c r="G1039" i="3" s="1"/>
  <c r="H1039" i="3" s="1"/>
  <c r="L451" i="3" s="1"/>
  <c r="F1040" i="3"/>
  <c r="G1040" i="3" s="1"/>
  <c r="H1040" i="3" s="1"/>
  <c r="F1041" i="3"/>
  <c r="G1041" i="3" s="1"/>
  <c r="H1041" i="3" s="1"/>
  <c r="L452" i="3" s="1"/>
  <c r="F1042" i="3"/>
  <c r="G1042" i="3" s="1"/>
  <c r="H1042" i="3" s="1"/>
  <c r="L453" i="3" s="1"/>
  <c r="F1043" i="3"/>
  <c r="G1043" i="3" s="1"/>
  <c r="H1043" i="3" s="1"/>
  <c r="F1044" i="3"/>
  <c r="G1044" i="3" s="1"/>
  <c r="H1044" i="3" s="1"/>
  <c r="F1045" i="3"/>
  <c r="G1045" i="3" s="1"/>
  <c r="H1045" i="3" s="1"/>
  <c r="F1046" i="3"/>
  <c r="G1046" i="3" s="1"/>
  <c r="H1046" i="3" s="1"/>
  <c r="F1047" i="3"/>
  <c r="G1047" i="3" s="1"/>
  <c r="H1047" i="3" s="1"/>
  <c r="F1048" i="3"/>
  <c r="G1048" i="3" s="1"/>
  <c r="H1048" i="3" s="1"/>
  <c r="F1049" i="3"/>
  <c r="G1049" i="3" s="1"/>
  <c r="H1049" i="3" s="1"/>
  <c r="L455" i="3" s="1"/>
  <c r="F1050" i="3"/>
  <c r="G1050" i="3" s="1"/>
  <c r="H1050" i="3" s="1"/>
  <c r="F1051" i="3"/>
  <c r="G1051" i="3" s="1"/>
  <c r="H1051" i="3" s="1"/>
  <c r="F1052" i="3"/>
  <c r="G1052" i="3" s="1"/>
  <c r="H1052" i="3" s="1"/>
  <c r="F1053" i="3"/>
  <c r="G1053" i="3" s="1"/>
  <c r="H1053" i="3" s="1"/>
  <c r="F1054" i="3"/>
  <c r="G1054" i="3" s="1"/>
  <c r="H1054" i="3" s="1"/>
  <c r="F1055" i="3"/>
  <c r="G1055" i="3" s="1"/>
  <c r="H1055" i="3" s="1"/>
  <c r="F1056" i="3"/>
  <c r="G1056" i="3" s="1"/>
  <c r="H1056" i="3" s="1"/>
  <c r="F1057" i="3"/>
  <c r="G1057" i="3" s="1"/>
  <c r="H1057" i="3" s="1"/>
  <c r="L457" i="3" s="1"/>
  <c r="F1058" i="3"/>
  <c r="G1058" i="3" s="1"/>
  <c r="H1058" i="3" s="1"/>
  <c r="F1059" i="3"/>
  <c r="G1059" i="3" s="1"/>
  <c r="H1059" i="3" s="1"/>
  <c r="F1060" i="3"/>
  <c r="G1060" i="3" s="1"/>
  <c r="H1060" i="3" s="1"/>
  <c r="F1061" i="3"/>
  <c r="G1061" i="3" s="1"/>
  <c r="H1061" i="3" s="1"/>
  <c r="F1062" i="3"/>
  <c r="G1062" i="3" s="1"/>
  <c r="H1062" i="3" s="1"/>
  <c r="L459" i="3" s="1"/>
  <c r="F1063" i="3"/>
  <c r="G1063" i="3" s="1"/>
  <c r="H1063" i="3" s="1"/>
  <c r="L460" i="3" s="1"/>
  <c r="F1064" i="3"/>
  <c r="G1064" i="3" s="1"/>
  <c r="H1064" i="3" s="1"/>
  <c r="L461" i="3" s="1"/>
  <c r="F1065" i="3"/>
  <c r="G1065" i="3" s="1"/>
  <c r="H1065" i="3" s="1"/>
  <c r="L462" i="3" s="1"/>
  <c r="F1066" i="3"/>
  <c r="G1066" i="3" s="1"/>
  <c r="H1066" i="3" s="1"/>
  <c r="L463" i="3" s="1"/>
  <c r="F1067" i="3"/>
  <c r="G1067" i="3" s="1"/>
  <c r="H1067" i="3" s="1"/>
  <c r="F1068" i="3"/>
  <c r="G1068" i="3" s="1"/>
  <c r="H1068" i="3" s="1"/>
  <c r="F1069" i="3"/>
  <c r="G1069" i="3" s="1"/>
  <c r="H1069" i="3" s="1"/>
  <c r="F1070" i="3"/>
  <c r="G1070" i="3" s="1"/>
  <c r="H1070" i="3" s="1"/>
  <c r="F1071" i="3"/>
  <c r="G1071" i="3" s="1"/>
  <c r="H1071" i="3" s="1"/>
  <c r="F1072" i="3"/>
  <c r="G1072" i="3" s="1"/>
  <c r="H1072" i="3" s="1"/>
  <c r="F1073" i="3"/>
  <c r="G1073" i="3" s="1"/>
  <c r="H1073" i="3" s="1"/>
  <c r="F1074" i="3"/>
  <c r="G1074" i="3" s="1"/>
  <c r="H1074" i="3" s="1"/>
  <c r="F1075" i="3"/>
  <c r="G1075" i="3" s="1"/>
  <c r="H1075" i="3" s="1"/>
  <c r="F1076" i="3"/>
  <c r="G1076" i="3" s="1"/>
  <c r="H1076" i="3" s="1"/>
  <c r="F1077" i="3"/>
  <c r="G1077" i="3" s="1"/>
  <c r="H1077" i="3" s="1"/>
  <c r="F1078" i="3"/>
  <c r="G1078" i="3" s="1"/>
  <c r="H1078" i="3" s="1"/>
  <c r="F1079" i="3"/>
  <c r="G1079" i="3" s="1"/>
  <c r="H1079" i="3" s="1"/>
  <c r="F1080" i="3"/>
  <c r="G1080" i="3" s="1"/>
  <c r="H1080" i="3" s="1"/>
  <c r="F1081" i="3"/>
  <c r="G1081" i="3" s="1"/>
  <c r="H1081" i="3" s="1"/>
  <c r="F1082" i="3"/>
  <c r="G1082" i="3" s="1"/>
  <c r="H1082" i="3" s="1"/>
  <c r="L468" i="3" s="1"/>
  <c r="F1083" i="3"/>
  <c r="G1083" i="3" s="1"/>
  <c r="H1083" i="3" s="1"/>
  <c r="L469" i="3" s="1"/>
  <c r="F1084" i="3"/>
  <c r="G1084" i="3" s="1"/>
  <c r="H1084" i="3" s="1"/>
  <c r="F1085" i="3"/>
  <c r="G1085" i="3" s="1"/>
  <c r="H1085" i="3" s="1"/>
  <c r="F1086" i="3"/>
  <c r="G1086" i="3" s="1"/>
  <c r="H1086" i="3" s="1"/>
  <c r="F1087" i="3"/>
  <c r="G1087" i="3" s="1"/>
  <c r="H1087" i="3" s="1"/>
  <c r="F1088" i="3"/>
  <c r="G1088" i="3" s="1"/>
  <c r="H1088" i="3" s="1"/>
  <c r="F1089" i="3"/>
  <c r="G1089" i="3" s="1"/>
  <c r="H1089" i="3" s="1"/>
  <c r="F1090" i="3"/>
  <c r="G1090" i="3" s="1"/>
  <c r="H1090" i="3" s="1"/>
  <c r="F1091" i="3"/>
  <c r="G1091" i="3" s="1"/>
  <c r="H1091" i="3" s="1"/>
  <c r="F1092" i="3"/>
  <c r="G1092" i="3" s="1"/>
  <c r="H1092" i="3" s="1"/>
  <c r="L473" i="3" s="1"/>
  <c r="F1093" i="3"/>
  <c r="G1093" i="3" s="1"/>
  <c r="H1093" i="3" s="1"/>
  <c r="L474" i="3" s="1"/>
  <c r="F1094" i="3"/>
  <c r="G1094" i="3" s="1"/>
  <c r="H1094" i="3" s="1"/>
  <c r="F1095" i="3"/>
  <c r="G1095" i="3" s="1"/>
  <c r="H1095" i="3" s="1"/>
  <c r="F1096" i="3"/>
  <c r="G1096" i="3" s="1"/>
  <c r="H1096" i="3" s="1"/>
  <c r="F1097" i="3"/>
  <c r="G1097" i="3" s="1"/>
  <c r="H1097" i="3" s="1"/>
  <c r="L476" i="3" s="1"/>
  <c r="F1098" i="3"/>
  <c r="G1098" i="3" s="1"/>
  <c r="H1098" i="3" s="1"/>
  <c r="F1099" i="3"/>
  <c r="G1099" i="3" s="1"/>
  <c r="H1099" i="3" s="1"/>
  <c r="F1100" i="3"/>
  <c r="G1100" i="3" s="1"/>
  <c r="H1100" i="3" s="1"/>
  <c r="F1101" i="3"/>
  <c r="G1101" i="3" s="1"/>
  <c r="H1101" i="3" s="1"/>
  <c r="F1102" i="3"/>
  <c r="G1102" i="3" s="1"/>
  <c r="H1102" i="3" s="1"/>
  <c r="L478" i="3" s="1"/>
  <c r="F1103" i="3"/>
  <c r="G1103" i="3" s="1"/>
  <c r="H1103" i="3" s="1"/>
  <c r="L479" i="3" s="1"/>
  <c r="F1104" i="3"/>
  <c r="G1104" i="3" s="1"/>
  <c r="H1104" i="3" s="1"/>
  <c r="F1105" i="3"/>
  <c r="G1105" i="3" s="1"/>
  <c r="H1105" i="3" s="1"/>
  <c r="F1106" i="3"/>
  <c r="G1106" i="3" s="1"/>
  <c r="H1106" i="3" s="1"/>
  <c r="F1107" i="3"/>
  <c r="G1107" i="3" s="1"/>
  <c r="H1107" i="3" s="1"/>
  <c r="F1108" i="3"/>
  <c r="G1108" i="3" s="1"/>
  <c r="H1108" i="3" s="1"/>
  <c r="L482" i="3" s="1"/>
  <c r="F1109" i="3"/>
  <c r="G1109" i="3" s="1"/>
  <c r="H1109" i="3" s="1"/>
  <c r="L483" i="3" s="1"/>
  <c r="F1110" i="3"/>
  <c r="G1110" i="3" s="1"/>
  <c r="H1110" i="3" s="1"/>
  <c r="F1111" i="3"/>
  <c r="G1111" i="3" s="1"/>
  <c r="H1111" i="3" s="1"/>
  <c r="F1112" i="3"/>
  <c r="G1112" i="3" s="1"/>
  <c r="H1112" i="3" s="1"/>
  <c r="F1113" i="3"/>
  <c r="G1113" i="3" s="1"/>
  <c r="H1113" i="3" s="1"/>
  <c r="F1114" i="3"/>
  <c r="G1114" i="3" s="1"/>
  <c r="H1114" i="3" s="1"/>
  <c r="F1115" i="3"/>
  <c r="G1115" i="3" s="1"/>
  <c r="H1115" i="3" s="1"/>
  <c r="F1116" i="3"/>
  <c r="G1116" i="3" s="1"/>
  <c r="H1116" i="3" s="1"/>
  <c r="F1117" i="3"/>
  <c r="G1117" i="3" s="1"/>
  <c r="H1117" i="3" s="1"/>
  <c r="F1118" i="3"/>
  <c r="G1118" i="3" s="1"/>
  <c r="H1118" i="3" s="1"/>
  <c r="L486" i="3" s="1"/>
  <c r="F1119" i="3"/>
  <c r="G1119" i="3" s="1"/>
  <c r="H1119" i="3" s="1"/>
  <c r="L487" i="3" s="1"/>
  <c r="F1120" i="3"/>
  <c r="G1120" i="3" s="1"/>
  <c r="H1120" i="3" s="1"/>
  <c r="F1121" i="3"/>
  <c r="G1121" i="3" s="1"/>
  <c r="H1121" i="3" s="1"/>
  <c r="F1122" i="3"/>
  <c r="G1122" i="3" s="1"/>
  <c r="H1122" i="3" s="1"/>
  <c r="F1123" i="3"/>
  <c r="G1123" i="3" s="1"/>
  <c r="H1123" i="3" s="1"/>
  <c r="F1124" i="3"/>
  <c r="G1124" i="3" s="1"/>
  <c r="H1124" i="3" s="1"/>
  <c r="F1125" i="3"/>
  <c r="G1125" i="3" s="1"/>
  <c r="H1125" i="3" s="1"/>
  <c r="F1126" i="3"/>
  <c r="G1126" i="3" s="1"/>
  <c r="H1126" i="3" s="1"/>
  <c r="F1127" i="3"/>
  <c r="G1127" i="3" s="1"/>
  <c r="H1127" i="3" s="1"/>
  <c r="F1128" i="3"/>
  <c r="G1128" i="3" s="1"/>
  <c r="H1128" i="3" s="1"/>
  <c r="F1129" i="3"/>
  <c r="G1129" i="3" s="1"/>
  <c r="H1129" i="3" s="1"/>
  <c r="L490" i="3" s="1"/>
  <c r="F1130" i="3"/>
  <c r="G1130" i="3" s="1"/>
  <c r="H1130" i="3" s="1"/>
  <c r="F1131" i="3"/>
  <c r="G1131" i="3" s="1"/>
  <c r="H1131" i="3" s="1"/>
  <c r="F1132" i="3"/>
  <c r="G1132" i="3" s="1"/>
  <c r="H1132" i="3" s="1"/>
  <c r="F1133" i="3"/>
  <c r="G1133" i="3" s="1"/>
  <c r="H1133" i="3" s="1"/>
  <c r="L492" i="3" s="1"/>
  <c r="F1134" i="3"/>
  <c r="G1134" i="3" s="1"/>
  <c r="H1134" i="3" s="1"/>
  <c r="F1135" i="3"/>
  <c r="G1135" i="3" s="1"/>
  <c r="H1135" i="3" s="1"/>
  <c r="F1136" i="3"/>
  <c r="G1136" i="3" s="1"/>
  <c r="H1136" i="3" s="1"/>
  <c r="F1137" i="3"/>
  <c r="G1137" i="3" s="1"/>
  <c r="H1137" i="3" s="1"/>
  <c r="F1138" i="3"/>
  <c r="G1138" i="3" s="1"/>
  <c r="H1138" i="3" s="1"/>
  <c r="F1139" i="3"/>
  <c r="G1139" i="3" s="1"/>
  <c r="H1139" i="3" s="1"/>
  <c r="F1140" i="3"/>
  <c r="G1140" i="3" s="1"/>
  <c r="H1140" i="3" s="1"/>
  <c r="L495" i="3" s="1"/>
  <c r="F1141" i="3"/>
  <c r="G1141" i="3" s="1"/>
  <c r="H1141" i="3" s="1"/>
  <c r="L496" i="3" s="1"/>
  <c r="F1142" i="3"/>
  <c r="G1142" i="3" s="1"/>
  <c r="H1142" i="3" s="1"/>
  <c r="F1143" i="3"/>
  <c r="G1143" i="3" s="1"/>
  <c r="H1143" i="3" s="1"/>
  <c r="F1144" i="3"/>
  <c r="G1144" i="3" s="1"/>
  <c r="H1144" i="3" s="1"/>
  <c r="L498" i="3" s="1"/>
  <c r="F1145" i="3"/>
  <c r="G1145" i="3" s="1"/>
  <c r="H1145" i="3" s="1"/>
  <c r="L499" i="3" s="1"/>
  <c r="F1146" i="3"/>
  <c r="G1146" i="3" s="1"/>
  <c r="H1146" i="3" s="1"/>
  <c r="F1147" i="3"/>
  <c r="G1147" i="3" s="1"/>
  <c r="H1147" i="3" s="1"/>
  <c r="F1148" i="3"/>
  <c r="G1148" i="3" s="1"/>
  <c r="H1148" i="3" s="1"/>
  <c r="F1149" i="3"/>
  <c r="G1149" i="3" s="1"/>
  <c r="H1149" i="3" s="1"/>
  <c r="F1150" i="3"/>
  <c r="G1150" i="3" s="1"/>
  <c r="H1150" i="3" s="1"/>
  <c r="F1151" i="3"/>
  <c r="G1151" i="3" s="1"/>
  <c r="H1151" i="3" s="1"/>
  <c r="F1152" i="3"/>
  <c r="G1152" i="3" s="1"/>
  <c r="H1152" i="3" s="1"/>
  <c r="F1153" i="3"/>
  <c r="G1153" i="3" s="1"/>
  <c r="H1153" i="3" s="1"/>
  <c r="F1154" i="3"/>
  <c r="G1154" i="3" s="1"/>
  <c r="H1154" i="3" s="1"/>
  <c r="F1155" i="3"/>
  <c r="G1155" i="3" s="1"/>
  <c r="H1155" i="3" s="1"/>
  <c r="F1156" i="3"/>
  <c r="G1156" i="3" s="1"/>
  <c r="H1156" i="3" s="1"/>
  <c r="F1157" i="3"/>
  <c r="G1157" i="3" s="1"/>
  <c r="H1157" i="3" s="1"/>
  <c r="F1158" i="3"/>
  <c r="G1158" i="3" s="1"/>
  <c r="H1158" i="3" s="1"/>
  <c r="F1159" i="3"/>
  <c r="G1159" i="3" s="1"/>
  <c r="H1159" i="3" s="1"/>
  <c r="F1160" i="3"/>
  <c r="G1160" i="3" s="1"/>
  <c r="H1160" i="3" s="1"/>
  <c r="F1161" i="3"/>
  <c r="G1161" i="3" s="1"/>
  <c r="H1161" i="3" s="1"/>
  <c r="F1162" i="3"/>
  <c r="G1162" i="3" s="1"/>
  <c r="H1162" i="3" s="1"/>
  <c r="F1163" i="3"/>
  <c r="G1163" i="3" s="1"/>
  <c r="H1163" i="3" s="1"/>
  <c r="F1164" i="3"/>
  <c r="G1164" i="3" s="1"/>
  <c r="H1164" i="3" s="1"/>
  <c r="F1165" i="3"/>
  <c r="G1165" i="3" s="1"/>
  <c r="H1165" i="3" s="1"/>
  <c r="F1166" i="3"/>
  <c r="G1166" i="3" s="1"/>
  <c r="H1166" i="3" s="1"/>
  <c r="F1167" i="3"/>
  <c r="G1167" i="3" s="1"/>
  <c r="H1167" i="3" s="1"/>
  <c r="F1168" i="3"/>
  <c r="F1169" i="3"/>
  <c r="G1169" i="3" s="1"/>
  <c r="H1169" i="3" s="1"/>
  <c r="F1170" i="3"/>
  <c r="G1170" i="3" s="1"/>
  <c r="H1170" i="3" s="1"/>
  <c r="F1171" i="3"/>
  <c r="G1171" i="3" s="1"/>
  <c r="H1171" i="3" s="1"/>
  <c r="F1172" i="3"/>
  <c r="G1172" i="3" s="1"/>
  <c r="H1172" i="3" s="1"/>
  <c r="F1173" i="3"/>
  <c r="G1173" i="3" s="1"/>
  <c r="H1173" i="3" s="1"/>
  <c r="F1174" i="3"/>
  <c r="G1174" i="3" s="1"/>
  <c r="H1174" i="3" s="1"/>
  <c r="F1175" i="3"/>
  <c r="G1175" i="3" s="1"/>
  <c r="H1175" i="3" s="1"/>
  <c r="F1176" i="3"/>
  <c r="G1176" i="3" s="1"/>
  <c r="H1176" i="3" s="1"/>
  <c r="F1177" i="3"/>
  <c r="G1177" i="3" s="1"/>
  <c r="H1177" i="3" s="1"/>
  <c r="F1178" i="3"/>
  <c r="G1178" i="3" s="1"/>
  <c r="H1178" i="3" s="1"/>
  <c r="F1179" i="3"/>
  <c r="G1179" i="3" s="1"/>
  <c r="H1179" i="3" s="1"/>
  <c r="F1180" i="3"/>
  <c r="G1180" i="3" s="1"/>
  <c r="H1180" i="3" s="1"/>
  <c r="F1181" i="3"/>
  <c r="G1181" i="3" s="1"/>
  <c r="H1181" i="3" s="1"/>
  <c r="F1182" i="3"/>
  <c r="G1182" i="3" s="1"/>
  <c r="H1182" i="3" s="1"/>
  <c r="F1183" i="3"/>
  <c r="G1183" i="3" s="1"/>
  <c r="H1183" i="3" s="1"/>
  <c r="L509" i="3" s="1"/>
  <c r="F1184" i="3"/>
  <c r="G1184" i="3" s="1"/>
  <c r="H1184" i="3" s="1"/>
  <c r="L510" i="3" s="1"/>
  <c r="F1185" i="3"/>
  <c r="G1185" i="3" s="1"/>
  <c r="H1185" i="3" s="1"/>
  <c r="F1186" i="3"/>
  <c r="G1186" i="3" s="1"/>
  <c r="H1186" i="3" s="1"/>
  <c r="F1187" i="3"/>
  <c r="G1187" i="3" s="1"/>
  <c r="H1187" i="3" s="1"/>
  <c r="F1188" i="3"/>
  <c r="G1188" i="3" s="1"/>
  <c r="H1188" i="3" s="1"/>
  <c r="F1189" i="3"/>
  <c r="G1189" i="3" s="1"/>
  <c r="H1189" i="3" s="1"/>
  <c r="L512" i="3" s="1"/>
  <c r="F1190" i="3"/>
  <c r="G1190" i="3" s="1"/>
  <c r="H1190" i="3" s="1"/>
  <c r="F1191" i="3"/>
  <c r="G1191" i="3" s="1"/>
  <c r="H1191" i="3" s="1"/>
  <c r="L513" i="3" s="1"/>
  <c r="F1192" i="3"/>
  <c r="G1192" i="3" s="1"/>
  <c r="H1192" i="3" s="1"/>
  <c r="F1193" i="3"/>
  <c r="G1193" i="3" s="1"/>
  <c r="H1193" i="3" s="1"/>
  <c r="L514" i="3" s="1"/>
  <c r="F1194" i="3"/>
  <c r="G1194" i="3" s="1"/>
  <c r="H1194" i="3" s="1"/>
  <c r="F1195" i="3"/>
  <c r="G1195" i="3" s="1"/>
  <c r="H1195" i="3" s="1"/>
  <c r="F1196" i="3"/>
  <c r="G1196" i="3" s="1"/>
  <c r="H1196" i="3" s="1"/>
  <c r="F1197" i="3"/>
  <c r="G1197" i="3" s="1"/>
  <c r="H1197" i="3" s="1"/>
  <c r="L516" i="3" s="1"/>
  <c r="F1198" i="3"/>
  <c r="G1198" i="3" s="1"/>
  <c r="H1198" i="3" s="1"/>
  <c r="L517" i="3" s="1"/>
  <c r="F1199" i="3"/>
  <c r="G1199" i="3" s="1"/>
  <c r="H1199" i="3" s="1"/>
  <c r="F1200" i="3"/>
  <c r="G1200" i="3" s="1"/>
  <c r="H1200" i="3" s="1"/>
  <c r="F1201" i="3"/>
  <c r="G1201" i="3" s="1"/>
  <c r="H1201" i="3" s="1"/>
  <c r="F1202" i="3"/>
  <c r="G1202" i="3" s="1"/>
  <c r="H1202" i="3" s="1"/>
  <c r="F1203" i="3"/>
  <c r="G1203" i="3" s="1"/>
  <c r="H1203" i="3" s="1"/>
  <c r="L519" i="3" s="1"/>
  <c r="F1204" i="3"/>
  <c r="G1204" i="3" s="1"/>
  <c r="H1204" i="3" s="1"/>
  <c r="F1205" i="3"/>
  <c r="G1205" i="3" s="1"/>
  <c r="H1205" i="3" s="1"/>
  <c r="F1206" i="3"/>
  <c r="G1206" i="3" s="1"/>
  <c r="H1206" i="3" s="1"/>
  <c r="F1207" i="3"/>
  <c r="G1207" i="3" s="1"/>
  <c r="H1207" i="3" s="1"/>
  <c r="F1208" i="3"/>
  <c r="G1208" i="3" s="1"/>
  <c r="H1208" i="3" s="1"/>
  <c r="L522" i="3" s="1"/>
  <c r="F1209" i="3"/>
  <c r="G1209" i="3" s="1"/>
  <c r="H1209" i="3" s="1"/>
  <c r="F1210" i="3"/>
  <c r="G1210" i="3" s="1"/>
  <c r="H1210" i="3" s="1"/>
  <c r="F1211" i="3"/>
  <c r="G1211" i="3" s="1"/>
  <c r="H1211" i="3" s="1"/>
  <c r="F1212" i="3"/>
  <c r="G1212" i="3" s="1"/>
  <c r="H1212" i="3" s="1"/>
  <c r="F1213" i="3"/>
  <c r="G1213" i="3" s="1"/>
  <c r="H1213" i="3" s="1"/>
  <c r="F1214" i="3"/>
  <c r="G1214" i="3" s="1"/>
  <c r="H1214" i="3" s="1"/>
  <c r="F1215" i="3"/>
  <c r="G1215" i="3" s="1"/>
  <c r="H1215" i="3" s="1"/>
  <c r="L525" i="3" s="1"/>
  <c r="F1216" i="3"/>
  <c r="G1216" i="3" s="1"/>
  <c r="H1216" i="3" s="1"/>
  <c r="F1217" i="3"/>
  <c r="G1217" i="3" s="1"/>
  <c r="H1217" i="3" s="1"/>
  <c r="F1218" i="3"/>
  <c r="G1218" i="3" s="1"/>
  <c r="H1218" i="3" s="1"/>
  <c r="F1219" i="3"/>
  <c r="G1219" i="3" s="1"/>
  <c r="H1219" i="3" s="1"/>
  <c r="F1220" i="3"/>
  <c r="G1220" i="3" s="1"/>
  <c r="H1220" i="3" s="1"/>
  <c r="F1221" i="3"/>
  <c r="G1221" i="3" s="1"/>
  <c r="H1221" i="3" s="1"/>
  <c r="F1222" i="3"/>
  <c r="G1222" i="3" s="1"/>
  <c r="H1222" i="3" s="1"/>
  <c r="F1223" i="3"/>
  <c r="G1223" i="3" s="1"/>
  <c r="H1223" i="3" s="1"/>
  <c r="F1224" i="3"/>
  <c r="G1224" i="3" s="1"/>
  <c r="H1224" i="3" s="1"/>
  <c r="F1225" i="3"/>
  <c r="G1225" i="3" s="1"/>
  <c r="H1225" i="3" s="1"/>
  <c r="F1226" i="3"/>
  <c r="G1226" i="3" s="1"/>
  <c r="H1226" i="3" s="1"/>
  <c r="F1227" i="3"/>
  <c r="G1227" i="3" s="1"/>
  <c r="H1227" i="3" s="1"/>
  <c r="F1228" i="3"/>
  <c r="G1228" i="3" s="1"/>
  <c r="H1228" i="3" s="1"/>
  <c r="F1229" i="3"/>
  <c r="G1229" i="3" s="1"/>
  <c r="H1229" i="3" s="1"/>
  <c r="F1230" i="3"/>
  <c r="G1230" i="3" s="1"/>
  <c r="H1230" i="3" s="1"/>
  <c r="F1231" i="3"/>
  <c r="G1231" i="3" s="1"/>
  <c r="H1231" i="3" s="1"/>
  <c r="F1232" i="3"/>
  <c r="G1232" i="3" s="1"/>
  <c r="H1232" i="3" s="1"/>
  <c r="F1233" i="3"/>
  <c r="G1233" i="3" s="1"/>
  <c r="H1233" i="3" s="1"/>
  <c r="F1234" i="3"/>
  <c r="G1234" i="3" s="1"/>
  <c r="H1234" i="3" s="1"/>
  <c r="F1235" i="3"/>
  <c r="G1235" i="3" s="1"/>
  <c r="H1235" i="3" s="1"/>
  <c r="F1236" i="3"/>
  <c r="G1236" i="3" s="1"/>
  <c r="H1236" i="3" s="1"/>
  <c r="F1237" i="3"/>
  <c r="G1237" i="3" s="1"/>
  <c r="H1237" i="3" s="1"/>
  <c r="F1238" i="3"/>
  <c r="G1238" i="3" s="1"/>
  <c r="H1238" i="3" s="1"/>
  <c r="F1239" i="3"/>
  <c r="G1239" i="3" s="1"/>
  <c r="H1239" i="3" s="1"/>
  <c r="F1240" i="3"/>
  <c r="G1240" i="3" s="1"/>
  <c r="H1240" i="3" s="1"/>
  <c r="F1241" i="3"/>
  <c r="G1241" i="3" s="1"/>
  <c r="H1241" i="3" s="1"/>
  <c r="L534" i="3" s="1"/>
  <c r="F1242" i="3"/>
  <c r="G1242" i="3" s="1"/>
  <c r="H1242" i="3" s="1"/>
  <c r="F1243" i="3"/>
  <c r="G1243" i="3" s="1"/>
  <c r="H1243" i="3" s="1"/>
  <c r="F1244" i="3"/>
  <c r="G1244" i="3" s="1"/>
  <c r="H1244" i="3" s="1"/>
  <c r="F1245" i="3"/>
  <c r="G1245" i="3" s="1"/>
  <c r="H1245" i="3" s="1"/>
  <c r="L536" i="3" s="1"/>
  <c r="F1246" i="3"/>
  <c r="G1246" i="3" s="1"/>
  <c r="H1246" i="3" s="1"/>
  <c r="F1247" i="3"/>
  <c r="G1247" i="3" s="1"/>
  <c r="H1247" i="3" s="1"/>
  <c r="F1248" i="3"/>
  <c r="G1248" i="3" s="1"/>
  <c r="H1248" i="3" s="1"/>
  <c r="F1249" i="3"/>
  <c r="G1249" i="3" s="1"/>
  <c r="H1249" i="3" s="1"/>
  <c r="F1250" i="3"/>
  <c r="G1250" i="3" s="1"/>
  <c r="H1250" i="3" s="1"/>
  <c r="F1251" i="3"/>
  <c r="G1251" i="3" s="1"/>
  <c r="H1251" i="3" s="1"/>
  <c r="F1252" i="3"/>
  <c r="G1252" i="3" s="1"/>
  <c r="H1252" i="3" s="1"/>
  <c r="F1253" i="3"/>
  <c r="G1253" i="3" s="1"/>
  <c r="H1253" i="3" s="1"/>
  <c r="F1254" i="3"/>
  <c r="G1254" i="3" s="1"/>
  <c r="H1254" i="3" s="1"/>
  <c r="L538" i="3" s="1"/>
  <c r="F1255" i="3"/>
  <c r="G1255" i="3" s="1"/>
  <c r="H1255" i="3" s="1"/>
  <c r="F1256" i="3"/>
  <c r="G1256" i="3" s="1"/>
  <c r="H1256" i="3" s="1"/>
  <c r="F1257" i="3"/>
  <c r="G1257" i="3" s="1"/>
  <c r="H1257" i="3" s="1"/>
  <c r="F1258" i="3"/>
  <c r="G1258" i="3" s="1"/>
  <c r="H1258" i="3" s="1"/>
  <c r="F1259" i="3"/>
  <c r="G1259" i="3" s="1"/>
  <c r="H1259" i="3" s="1"/>
  <c r="F1260" i="3"/>
  <c r="G1260" i="3" s="1"/>
  <c r="H1260" i="3" s="1"/>
  <c r="F1261" i="3"/>
  <c r="G1261" i="3" s="1"/>
  <c r="H1261" i="3" s="1"/>
  <c r="F1262" i="3"/>
  <c r="G1262" i="3" s="1"/>
  <c r="H1262" i="3" s="1"/>
  <c r="F1263" i="3"/>
  <c r="G1263" i="3" s="1"/>
  <c r="H1263" i="3" s="1"/>
  <c r="F1264" i="3"/>
  <c r="G1264" i="3" s="1"/>
  <c r="H1264" i="3" s="1"/>
  <c r="F1265" i="3"/>
  <c r="G1265" i="3" s="1"/>
  <c r="H1265" i="3" s="1"/>
  <c r="F1266" i="3"/>
  <c r="G1266" i="3" s="1"/>
  <c r="H1266" i="3" s="1"/>
  <c r="F1267" i="3"/>
  <c r="G1267" i="3" s="1"/>
  <c r="H1267" i="3" s="1"/>
  <c r="F1268" i="3"/>
  <c r="G1268" i="3" s="1"/>
  <c r="H1268" i="3" s="1"/>
  <c r="F1269" i="3"/>
  <c r="G1269" i="3" s="1"/>
  <c r="H1269" i="3" s="1"/>
  <c r="F1270" i="3"/>
  <c r="G1270" i="3" s="1"/>
  <c r="H1270" i="3" s="1"/>
  <c r="F1271" i="3"/>
  <c r="G1271" i="3" s="1"/>
  <c r="H1271" i="3" s="1"/>
  <c r="F1272" i="3"/>
  <c r="G1272" i="3" s="1"/>
  <c r="H1272" i="3" s="1"/>
  <c r="F1273" i="3"/>
  <c r="G1273" i="3" s="1"/>
  <c r="H1273" i="3" s="1"/>
  <c r="F1274" i="3"/>
  <c r="G1274" i="3" s="1"/>
  <c r="H1274" i="3" s="1"/>
  <c r="L541" i="3" s="1"/>
  <c r="F1275" i="3"/>
  <c r="G1275" i="3" s="1"/>
  <c r="H1275" i="3" s="1"/>
  <c r="F1276" i="3"/>
  <c r="G1276" i="3" s="1"/>
  <c r="H1276" i="3" s="1"/>
  <c r="L542" i="3" s="1"/>
  <c r="F1277" i="3"/>
  <c r="G1277" i="3" s="1"/>
  <c r="H1277" i="3" s="1"/>
  <c r="L543" i="3" s="1"/>
  <c r="F1278" i="3"/>
  <c r="G1278" i="3" s="1"/>
  <c r="H1278" i="3" s="1"/>
  <c r="L544" i="3" s="1"/>
  <c r="F1279" i="3"/>
  <c r="G1279" i="3" s="1"/>
  <c r="H1279" i="3" s="1"/>
  <c r="F1280" i="3"/>
  <c r="G1280" i="3" s="1"/>
  <c r="H1280" i="3" s="1"/>
  <c r="F1281" i="3"/>
  <c r="G1281" i="3" s="1"/>
  <c r="H1281" i="3" s="1"/>
  <c r="F1282" i="3"/>
  <c r="G1282" i="3" s="1"/>
  <c r="H1282" i="3" s="1"/>
  <c r="F1283" i="3"/>
  <c r="G1283" i="3" s="1"/>
  <c r="H1283" i="3" s="1"/>
  <c r="F1284" i="3"/>
  <c r="G1284" i="3" s="1"/>
  <c r="H1284" i="3" s="1"/>
  <c r="F1285" i="3"/>
  <c r="G1285" i="3" s="1"/>
  <c r="H1285" i="3" s="1"/>
  <c r="F1286" i="3"/>
  <c r="G1286" i="3" s="1"/>
  <c r="H1286" i="3" s="1"/>
  <c r="F1287" i="3"/>
  <c r="G1287" i="3" s="1"/>
  <c r="H1287" i="3" s="1"/>
  <c r="L548" i="3" s="1"/>
  <c r="F1288" i="3"/>
  <c r="G1288" i="3" s="1"/>
  <c r="H1288" i="3" s="1"/>
  <c r="F1289" i="3"/>
  <c r="G1289" i="3" s="1"/>
  <c r="H1289" i="3" s="1"/>
  <c r="F1290" i="3"/>
  <c r="G1290" i="3" s="1"/>
  <c r="H1290" i="3" s="1"/>
  <c r="F1291" i="3"/>
  <c r="G1291" i="3" s="1"/>
  <c r="H1291" i="3" s="1"/>
  <c r="F1292" i="3"/>
  <c r="G1292" i="3" s="1"/>
  <c r="H1292" i="3" s="1"/>
  <c r="F1293" i="3"/>
  <c r="G1293" i="3" s="1"/>
  <c r="H1293" i="3" s="1"/>
  <c r="F1294" i="3"/>
  <c r="G1294" i="3" s="1"/>
  <c r="H1294" i="3" s="1"/>
  <c r="L551" i="3" s="1"/>
  <c r="F1295" i="3"/>
  <c r="G1295" i="3" s="1"/>
  <c r="H1295" i="3" s="1"/>
  <c r="F1296" i="3"/>
  <c r="G1296" i="3" s="1"/>
  <c r="H1296" i="3" s="1"/>
  <c r="F1297" i="3"/>
  <c r="G1297" i="3" s="1"/>
  <c r="H1297" i="3" s="1"/>
  <c r="F1298" i="3"/>
  <c r="G1298" i="3" s="1"/>
  <c r="H1298" i="3" s="1"/>
  <c r="F1299" i="3"/>
  <c r="G1299" i="3" s="1"/>
  <c r="H1299" i="3" s="1"/>
  <c r="F1300" i="3"/>
  <c r="G1300" i="3" s="1"/>
  <c r="H1300" i="3" s="1"/>
  <c r="F1301" i="3"/>
  <c r="G1301" i="3" s="1"/>
  <c r="H1301" i="3" s="1"/>
  <c r="F1302" i="3"/>
  <c r="G1302" i="3" s="1"/>
  <c r="H1302" i="3" s="1"/>
  <c r="F1303" i="3"/>
  <c r="G1303" i="3" s="1"/>
  <c r="H1303" i="3" s="1"/>
  <c r="F1304" i="3"/>
  <c r="G1304" i="3" s="1"/>
  <c r="H1304" i="3" s="1"/>
  <c r="F1305" i="3"/>
  <c r="G1305" i="3" s="1"/>
  <c r="H1305" i="3" s="1"/>
  <c r="F1306" i="3"/>
  <c r="G1306" i="3" s="1"/>
  <c r="H1306" i="3" s="1"/>
  <c r="F1307" i="3"/>
  <c r="G1307" i="3" s="1"/>
  <c r="H1307" i="3" s="1"/>
  <c r="F1308" i="3"/>
  <c r="G1308" i="3" s="1"/>
  <c r="H1308" i="3" s="1"/>
  <c r="F1309" i="3"/>
  <c r="G1309" i="3" s="1"/>
  <c r="H1309" i="3" s="1"/>
  <c r="F1310" i="3"/>
  <c r="G1310" i="3" s="1"/>
  <c r="H1310" i="3" s="1"/>
  <c r="F1311" i="3"/>
  <c r="G1311" i="3" s="1"/>
  <c r="H1311" i="3" s="1"/>
  <c r="F1312" i="3"/>
  <c r="G1312" i="3" s="1"/>
  <c r="H1312" i="3" s="1"/>
  <c r="F1313" i="3"/>
  <c r="G1313" i="3" s="1"/>
  <c r="H1313" i="3" s="1"/>
  <c r="F1314" i="3"/>
  <c r="G1314" i="3" s="1"/>
  <c r="H1314" i="3" s="1"/>
  <c r="F1315" i="3"/>
  <c r="G1315" i="3" s="1"/>
  <c r="H1315" i="3" s="1"/>
  <c r="F1316" i="3"/>
  <c r="G1316" i="3" s="1"/>
  <c r="H1316" i="3" s="1"/>
  <c r="F1317" i="3"/>
  <c r="G1317" i="3" s="1"/>
  <c r="H1317" i="3" s="1"/>
  <c r="F1318" i="3"/>
  <c r="G1318" i="3" s="1"/>
  <c r="H1318" i="3" s="1"/>
  <c r="L560" i="3" s="1"/>
  <c r="F1319" i="3"/>
  <c r="G1319" i="3" s="1"/>
  <c r="H1319" i="3" s="1"/>
  <c r="F1320" i="3"/>
  <c r="G1320" i="3" s="1"/>
  <c r="H1320" i="3" s="1"/>
  <c r="F1321" i="3"/>
  <c r="G1321" i="3" s="1"/>
  <c r="H1321" i="3" s="1"/>
  <c r="F1322" i="3"/>
  <c r="G1322" i="3" s="1"/>
  <c r="H1322" i="3" s="1"/>
  <c r="F1323" i="3"/>
  <c r="G1323" i="3" s="1"/>
  <c r="H1323" i="3" s="1"/>
  <c r="F1324" i="3"/>
  <c r="G1324" i="3" s="1"/>
  <c r="H1324" i="3" s="1"/>
  <c r="F1325" i="3"/>
  <c r="G1325" i="3" s="1"/>
  <c r="H1325" i="3" s="1"/>
  <c r="F1326" i="3"/>
  <c r="G1326" i="3" s="1"/>
  <c r="H1326" i="3" s="1"/>
  <c r="L563" i="3" s="1"/>
  <c r="F1327" i="3"/>
  <c r="G1327" i="3" s="1"/>
  <c r="H1327" i="3" s="1"/>
  <c r="L564" i="3" s="1"/>
  <c r="F1328" i="3"/>
  <c r="G1328" i="3" s="1"/>
  <c r="H1328" i="3" s="1"/>
  <c r="L565" i="3" s="1"/>
  <c r="F1329" i="3"/>
  <c r="G1329" i="3" s="1"/>
  <c r="H1329" i="3" s="1"/>
  <c r="L566" i="3" s="1"/>
  <c r="F1330" i="3"/>
  <c r="G1330" i="3" s="1"/>
  <c r="H1330" i="3" s="1"/>
  <c r="F1331" i="3"/>
  <c r="G1331" i="3" s="1"/>
  <c r="H1331" i="3" s="1"/>
  <c r="F1332" i="3"/>
  <c r="G1332" i="3" s="1"/>
  <c r="H1332" i="3" s="1"/>
  <c r="F1333" i="3"/>
  <c r="G1333" i="3" s="1"/>
  <c r="H1333" i="3" s="1"/>
  <c r="F1334" i="3"/>
  <c r="G1334" i="3" s="1"/>
  <c r="H1334" i="3" s="1"/>
  <c r="F1335" i="3"/>
  <c r="G1335" i="3" s="1"/>
  <c r="H1335" i="3" s="1"/>
  <c r="F1336" i="3"/>
  <c r="G1336" i="3" s="1"/>
  <c r="H1336" i="3" s="1"/>
  <c r="F1337" i="3"/>
  <c r="G1337" i="3" s="1"/>
  <c r="H1337" i="3" s="1"/>
  <c r="F1338" i="3"/>
  <c r="G1338" i="3" s="1"/>
  <c r="H1338" i="3" s="1"/>
  <c r="F1339" i="3"/>
  <c r="G1339" i="3" s="1"/>
  <c r="H1339" i="3" s="1"/>
  <c r="L570" i="3" s="1"/>
  <c r="F1340" i="3"/>
  <c r="F1341" i="3"/>
  <c r="G1341" i="3" s="1"/>
  <c r="H1341" i="3" s="1"/>
  <c r="F1342" i="3"/>
  <c r="G1342" i="3" s="1"/>
  <c r="H1342" i="3" s="1"/>
  <c r="F1343" i="3"/>
  <c r="G1343" i="3" s="1"/>
  <c r="H1343" i="3" s="1"/>
  <c r="F1344" i="3"/>
  <c r="G1344" i="3" s="1"/>
  <c r="H1344" i="3" s="1"/>
  <c r="F1345" i="3"/>
  <c r="G1345" i="3" s="1"/>
  <c r="H1345" i="3" s="1"/>
  <c r="F1346" i="3"/>
  <c r="G1346" i="3" s="1"/>
  <c r="H1346" i="3" s="1"/>
  <c r="F1347" i="3"/>
  <c r="G1347" i="3" s="1"/>
  <c r="H1347" i="3" s="1"/>
  <c r="F1348" i="3"/>
  <c r="G1348" i="3" s="1"/>
  <c r="H1348" i="3" s="1"/>
  <c r="F1349" i="3"/>
  <c r="G1349" i="3" s="1"/>
  <c r="H1349" i="3" s="1"/>
  <c r="F1350" i="3"/>
  <c r="G1350" i="3" s="1"/>
  <c r="H1350" i="3" s="1"/>
  <c r="F1351" i="3"/>
  <c r="G1351" i="3" s="1"/>
  <c r="H1351" i="3" s="1"/>
  <c r="F1352" i="3"/>
  <c r="G1352" i="3" s="1"/>
  <c r="H1352" i="3" s="1"/>
  <c r="F1353" i="3"/>
  <c r="G1353" i="3" s="1"/>
  <c r="H1353" i="3" s="1"/>
  <c r="L576" i="3" s="1"/>
  <c r="F1354" i="3"/>
  <c r="G1354" i="3" s="1"/>
  <c r="H1354" i="3" s="1"/>
  <c r="L577" i="3" s="1"/>
  <c r="F1355" i="3"/>
  <c r="G1355" i="3" s="1"/>
  <c r="H1355" i="3" s="1"/>
  <c r="F1356" i="3"/>
  <c r="G1356" i="3" s="1"/>
  <c r="H1356" i="3" s="1"/>
  <c r="F1357" i="3"/>
  <c r="G1357" i="3" s="1"/>
  <c r="H1357" i="3" s="1"/>
  <c r="F1358" i="3"/>
  <c r="G1358" i="3" s="1"/>
  <c r="H1358" i="3" s="1"/>
  <c r="F1359" i="3"/>
  <c r="G1359" i="3" s="1"/>
  <c r="H1359" i="3" s="1"/>
  <c r="L579" i="3" s="1"/>
  <c r="F1360" i="3"/>
  <c r="G1360" i="3" s="1"/>
  <c r="H1360" i="3" s="1"/>
  <c r="F1361" i="3"/>
  <c r="G1361" i="3" s="1"/>
  <c r="H1361" i="3" s="1"/>
  <c r="L580" i="3" s="1"/>
  <c r="F1362" i="3"/>
  <c r="G1362" i="3" s="1"/>
  <c r="H1362" i="3" s="1"/>
  <c r="L581" i="3" s="1"/>
  <c r="F1363" i="3"/>
  <c r="G1363" i="3" s="1"/>
  <c r="H1363" i="3" s="1"/>
  <c r="F1364" i="3"/>
  <c r="G1364" i="3" s="1"/>
  <c r="H1364" i="3" s="1"/>
  <c r="F1365" i="3"/>
  <c r="G1365" i="3" s="1"/>
  <c r="H1365" i="3" s="1"/>
  <c r="F1366" i="3"/>
  <c r="G1366" i="3" s="1"/>
  <c r="H1366" i="3" s="1"/>
  <c r="L583" i="3" s="1"/>
  <c r="F1367" i="3"/>
  <c r="G1367" i="3" s="1"/>
  <c r="H1367" i="3" s="1"/>
  <c r="L584" i="3" s="1"/>
  <c r="F1368" i="3"/>
  <c r="G1368" i="3" s="1"/>
  <c r="H1368" i="3" s="1"/>
  <c r="L585" i="3" s="1"/>
  <c r="F1369" i="3"/>
  <c r="G1369" i="3" s="1"/>
  <c r="H1369" i="3" s="1"/>
  <c r="F1370" i="3"/>
  <c r="G1370" i="3" s="1"/>
  <c r="H1370" i="3" s="1"/>
  <c r="F1371" i="3"/>
  <c r="G1371" i="3" s="1"/>
  <c r="H1371" i="3" s="1"/>
  <c r="L587" i="3" s="1"/>
  <c r="F1372" i="3"/>
  <c r="G1372" i="3" s="1"/>
  <c r="H1372" i="3" s="1"/>
  <c r="F1373" i="3"/>
  <c r="G1373" i="3" s="1"/>
  <c r="H1373" i="3" s="1"/>
  <c r="F1374" i="3"/>
  <c r="G1374" i="3" s="1"/>
  <c r="H1374" i="3" s="1"/>
  <c r="F1375" i="3"/>
  <c r="F1376" i="3"/>
  <c r="G1376" i="3" s="1"/>
  <c r="H1376" i="3" s="1"/>
  <c r="F1377" i="3"/>
  <c r="G1377" i="3" s="1"/>
  <c r="H1377" i="3" s="1"/>
  <c r="F1378" i="3"/>
  <c r="G1378" i="3" s="1"/>
  <c r="H1378" i="3" s="1"/>
  <c r="F1379" i="3"/>
  <c r="G1379" i="3" s="1"/>
  <c r="H1379" i="3" s="1"/>
  <c r="F1380" i="3"/>
  <c r="G1380" i="3" s="1"/>
  <c r="H1380" i="3" s="1"/>
  <c r="F1381" i="3"/>
  <c r="G1381" i="3" s="1"/>
  <c r="H1381" i="3" s="1"/>
  <c r="F1382" i="3"/>
  <c r="G1382" i="3" s="1"/>
  <c r="H1382" i="3" s="1"/>
  <c r="F1383" i="3"/>
  <c r="G1383" i="3" s="1"/>
  <c r="H1383" i="3" s="1"/>
  <c r="L590" i="3" s="1"/>
  <c r="F1384" i="3"/>
  <c r="G1384" i="3" s="1"/>
  <c r="H1384" i="3" s="1"/>
  <c r="L591" i="3" s="1"/>
  <c r="F1385" i="3"/>
  <c r="G1385" i="3" s="1"/>
  <c r="H1385" i="3" s="1"/>
  <c r="L592" i="3" s="1"/>
  <c r="F1386" i="3"/>
  <c r="G1386" i="3" s="1"/>
  <c r="H1386" i="3" s="1"/>
  <c r="F1387" i="3"/>
  <c r="G1387" i="3" s="1"/>
  <c r="H1387" i="3" s="1"/>
  <c r="F1388" i="3"/>
  <c r="G1388" i="3" s="1"/>
  <c r="H1388" i="3" s="1"/>
  <c r="F1389" i="3"/>
  <c r="G1389" i="3" s="1"/>
  <c r="H1389" i="3" s="1"/>
  <c r="F1390" i="3"/>
  <c r="F1391" i="3"/>
  <c r="F1392" i="3"/>
  <c r="F1393" i="3"/>
  <c r="G1393" i="3" s="1"/>
  <c r="H1393" i="3" s="1"/>
  <c r="F1394" i="3"/>
  <c r="G1394" i="3" s="1"/>
  <c r="H1394" i="3" s="1"/>
  <c r="F1395" i="3"/>
  <c r="G1395" i="3" s="1"/>
  <c r="H1395" i="3" s="1"/>
  <c r="L595" i="3" s="1"/>
  <c r="F1396" i="3"/>
  <c r="G1396" i="3" s="1"/>
  <c r="H1396" i="3" s="1"/>
  <c r="F1397" i="3"/>
  <c r="G1397" i="3" s="1"/>
  <c r="H1397" i="3" s="1"/>
  <c r="F1398" i="3"/>
  <c r="G1398" i="3" s="1"/>
  <c r="H1398" i="3" s="1"/>
  <c r="F1399" i="3"/>
  <c r="G1399" i="3" s="1"/>
  <c r="H1399" i="3" s="1"/>
  <c r="F1400" i="3"/>
  <c r="G1400" i="3" s="1"/>
  <c r="H1400" i="3" s="1"/>
  <c r="F1401" i="3"/>
  <c r="G1401" i="3" s="1"/>
  <c r="H1401" i="3" s="1"/>
  <c r="L598" i="3" s="1"/>
  <c r="F1402" i="3"/>
  <c r="G1402" i="3" s="1"/>
  <c r="H1402" i="3" s="1"/>
  <c r="L599" i="3" s="1"/>
  <c r="F1403" i="3"/>
  <c r="G1403" i="3" s="1"/>
  <c r="H1403" i="3" s="1"/>
  <c r="F1404" i="3"/>
  <c r="G1404" i="3" s="1"/>
  <c r="H1404" i="3" s="1"/>
  <c r="F1405" i="3"/>
  <c r="G1405" i="3" s="1"/>
  <c r="H1405" i="3" s="1"/>
  <c r="L600" i="3" s="1"/>
  <c r="F1406" i="3"/>
  <c r="G1406" i="3" s="1"/>
  <c r="H1406" i="3" s="1"/>
  <c r="F1407" i="3"/>
  <c r="G1407" i="3" s="1"/>
  <c r="H1407" i="3" s="1"/>
  <c r="F1408" i="3"/>
  <c r="G1408" i="3" s="1"/>
  <c r="H1408" i="3" s="1"/>
  <c r="L601" i="3" s="1"/>
  <c r="F1409" i="3"/>
  <c r="G1409" i="3" s="1"/>
  <c r="H1409" i="3" s="1"/>
  <c r="F1410" i="3"/>
  <c r="G1410" i="3" s="1"/>
  <c r="H1410" i="3" s="1"/>
  <c r="F1411" i="3"/>
  <c r="G1411" i="3" s="1"/>
  <c r="H1411" i="3" s="1"/>
  <c r="F1412" i="3"/>
  <c r="G1412" i="3" s="1"/>
  <c r="H1412" i="3" s="1"/>
  <c r="F1413" i="3"/>
  <c r="G1413" i="3" s="1"/>
  <c r="H1413" i="3" s="1"/>
  <c r="F1414" i="3"/>
  <c r="G1414" i="3" s="1"/>
  <c r="H1414" i="3" s="1"/>
  <c r="F1415" i="3"/>
  <c r="G1415" i="3" s="1"/>
  <c r="H1415" i="3" s="1"/>
  <c r="F1416" i="3"/>
  <c r="G1416" i="3" s="1"/>
  <c r="H1416" i="3" s="1"/>
  <c r="F1417" i="3"/>
  <c r="G1417" i="3" s="1"/>
  <c r="H1417" i="3" s="1"/>
  <c r="F1418" i="3"/>
  <c r="G1418" i="3" s="1"/>
  <c r="H1418" i="3" s="1"/>
  <c r="F1419" i="3"/>
  <c r="G1419" i="3" s="1"/>
  <c r="H1419" i="3" s="1"/>
  <c r="F1420" i="3"/>
  <c r="G1420" i="3" s="1"/>
  <c r="H1420" i="3" s="1"/>
  <c r="F1421" i="3"/>
  <c r="G1421" i="3" s="1"/>
  <c r="H1421" i="3" s="1"/>
  <c r="F1422" i="3"/>
  <c r="G1422" i="3" s="1"/>
  <c r="H1422" i="3" s="1"/>
  <c r="F1423" i="3"/>
  <c r="G1423" i="3" s="1"/>
  <c r="H1423" i="3" s="1"/>
  <c r="F1424" i="3"/>
  <c r="G1424" i="3" s="1"/>
  <c r="H1424" i="3" s="1"/>
  <c r="F1425" i="3"/>
  <c r="G1425" i="3" s="1"/>
  <c r="H1425" i="3" s="1"/>
  <c r="F1426" i="3"/>
  <c r="G1426" i="3" s="1"/>
  <c r="H1426" i="3" s="1"/>
  <c r="F1427" i="3"/>
  <c r="G1427" i="3" s="1"/>
  <c r="H1427" i="3" s="1"/>
  <c r="F1428" i="3"/>
  <c r="G1428" i="3" s="1"/>
  <c r="H1428" i="3" s="1"/>
  <c r="L608" i="3" s="1"/>
  <c r="F1429" i="3"/>
  <c r="G1429" i="3" s="1"/>
  <c r="H1429" i="3" s="1"/>
  <c r="L609" i="3" s="1"/>
  <c r="F1430" i="3"/>
  <c r="G1430" i="3" s="1"/>
  <c r="H1430" i="3" s="1"/>
  <c r="L610" i="3" s="1"/>
  <c r="F1431" i="3"/>
  <c r="G1431" i="3" s="1"/>
  <c r="H1431" i="3" s="1"/>
  <c r="F1432" i="3"/>
  <c r="G1432" i="3" s="1"/>
  <c r="H1432" i="3" s="1"/>
  <c r="F1433" i="3"/>
  <c r="G1433" i="3" s="1"/>
  <c r="H1433" i="3" s="1"/>
  <c r="F1434" i="3"/>
  <c r="G1434" i="3" s="1"/>
  <c r="H1434" i="3" s="1"/>
  <c r="F1435" i="3"/>
  <c r="G1435" i="3" s="1"/>
  <c r="H1435" i="3" s="1"/>
  <c r="L612" i="3" s="1"/>
  <c r="F1436" i="3"/>
  <c r="G1436" i="3" s="1"/>
  <c r="H1436" i="3" s="1"/>
  <c r="F1437" i="3"/>
  <c r="G1437" i="3" s="1"/>
  <c r="H1437" i="3" s="1"/>
  <c r="F1438" i="3"/>
  <c r="G1438" i="3" s="1"/>
  <c r="H1438" i="3" s="1"/>
  <c r="L614" i="3" s="1"/>
  <c r="F1439" i="3"/>
  <c r="G1439" i="3" s="1"/>
  <c r="H1439" i="3" s="1"/>
  <c r="F1440" i="3"/>
  <c r="G1440" i="3" s="1"/>
  <c r="H1440" i="3" s="1"/>
  <c r="F1441" i="3"/>
  <c r="G1441" i="3" s="1"/>
  <c r="H1441" i="3" s="1"/>
  <c r="F1442" i="3"/>
  <c r="G1442" i="3" s="1"/>
  <c r="H1442" i="3" s="1"/>
  <c r="F1443" i="3"/>
  <c r="G1443" i="3" s="1"/>
  <c r="H1443" i="3" s="1"/>
  <c r="F1444" i="3"/>
  <c r="G1444" i="3" s="1"/>
  <c r="H1444" i="3" s="1"/>
  <c r="F1445" i="3"/>
  <c r="G1445" i="3" s="1"/>
  <c r="H1445" i="3" s="1"/>
  <c r="F1446" i="3"/>
  <c r="G1446" i="3" s="1"/>
  <c r="H1446" i="3" s="1"/>
  <c r="F1447" i="3"/>
  <c r="G1447" i="3" s="1"/>
  <c r="H1447" i="3" s="1"/>
  <c r="F1448" i="3"/>
  <c r="G1448" i="3" s="1"/>
  <c r="H1448" i="3" s="1"/>
  <c r="F1449" i="3"/>
  <c r="G1449" i="3" s="1"/>
  <c r="H1449" i="3" s="1"/>
  <c r="F1450" i="3"/>
  <c r="G1450" i="3" s="1"/>
  <c r="H1450" i="3" s="1"/>
  <c r="F1451" i="3"/>
  <c r="G1451" i="3" s="1"/>
  <c r="H1451" i="3" s="1"/>
  <c r="F1452" i="3"/>
  <c r="G1452" i="3" s="1"/>
  <c r="H1452" i="3" s="1"/>
  <c r="F1453" i="3"/>
  <c r="G1453" i="3" s="1"/>
  <c r="H1453" i="3" s="1"/>
  <c r="F1454" i="3"/>
  <c r="G1454" i="3" s="1"/>
  <c r="H1454" i="3" s="1"/>
  <c r="F1455" i="3"/>
  <c r="G1455" i="3" s="1"/>
  <c r="H1455" i="3" s="1"/>
  <c r="F1456" i="3"/>
  <c r="G1456" i="3" s="1"/>
  <c r="H1456" i="3" s="1"/>
  <c r="L618" i="3" s="1"/>
  <c r="F1457" i="3"/>
  <c r="G1457" i="3" s="1"/>
  <c r="H1457" i="3" s="1"/>
  <c r="L619" i="3" s="1"/>
  <c r="F1458" i="3"/>
  <c r="G1458" i="3" s="1"/>
  <c r="H1458" i="3" s="1"/>
  <c r="F1459" i="3"/>
  <c r="G1459" i="3" s="1"/>
  <c r="H1459" i="3" s="1"/>
  <c r="F1460" i="3"/>
  <c r="G1460" i="3" s="1"/>
  <c r="H1460" i="3" s="1"/>
  <c r="F1461" i="3"/>
  <c r="G1461" i="3" s="1"/>
  <c r="H1461" i="3" s="1"/>
  <c r="F1462" i="3"/>
  <c r="G1462" i="3" s="1"/>
  <c r="H1462" i="3" s="1"/>
  <c r="F1463" i="3"/>
  <c r="G1463" i="3" s="1"/>
  <c r="H1463" i="3" s="1"/>
  <c r="F1464" i="3"/>
  <c r="G1464" i="3" s="1"/>
  <c r="H1464" i="3" s="1"/>
  <c r="F1465" i="3"/>
  <c r="G1465" i="3" s="1"/>
  <c r="H1465" i="3" s="1"/>
  <c r="F1466" i="3"/>
  <c r="G1466" i="3" s="1"/>
  <c r="H1466" i="3" s="1"/>
  <c r="F1467" i="3"/>
  <c r="G1467" i="3" s="1"/>
  <c r="H1467" i="3" s="1"/>
  <c r="F1468" i="3"/>
  <c r="G1468" i="3" s="1"/>
  <c r="H1468" i="3" s="1"/>
  <c r="F1469" i="3"/>
  <c r="G1469" i="3" s="1"/>
  <c r="H1469" i="3" s="1"/>
  <c r="L623" i="3" s="1"/>
  <c r="F1470" i="3"/>
  <c r="G1470" i="3" s="1"/>
  <c r="H1470" i="3" s="1"/>
  <c r="L624" i="3" s="1"/>
  <c r="F1471" i="3"/>
  <c r="G1471" i="3" s="1"/>
  <c r="H1471" i="3" s="1"/>
  <c r="F1472" i="3"/>
  <c r="G1472" i="3" s="1"/>
  <c r="H1472" i="3" s="1"/>
  <c r="F1473" i="3"/>
  <c r="G1473" i="3" s="1"/>
  <c r="H1473" i="3" s="1"/>
  <c r="F1474" i="3"/>
  <c r="G1474" i="3" s="1"/>
  <c r="H1474" i="3" s="1"/>
  <c r="F1475" i="3"/>
  <c r="G1475" i="3" s="1"/>
  <c r="H1475" i="3" s="1"/>
  <c r="F1476" i="3"/>
  <c r="G1476" i="3" s="1"/>
  <c r="H1476" i="3" s="1"/>
  <c r="F1477" i="3"/>
  <c r="G1477" i="3" s="1"/>
  <c r="H1477" i="3" s="1"/>
  <c r="F1478" i="3"/>
  <c r="G1478" i="3" s="1"/>
  <c r="H1478" i="3" s="1"/>
  <c r="F1479" i="3"/>
  <c r="G1479" i="3" s="1"/>
  <c r="H1479" i="3" s="1"/>
  <c r="F1480" i="3"/>
  <c r="G1480" i="3" s="1"/>
  <c r="H1480" i="3" s="1"/>
  <c r="F1481" i="3"/>
  <c r="F1482" i="3"/>
  <c r="G1482" i="3" s="1"/>
  <c r="H1482" i="3" s="1"/>
  <c r="F1483" i="3"/>
  <c r="G1483" i="3" s="1"/>
  <c r="H1483" i="3" s="1"/>
  <c r="F1484" i="3"/>
  <c r="G1484" i="3" s="1"/>
  <c r="H1484" i="3" s="1"/>
  <c r="L628" i="3" s="1"/>
  <c r="F1485" i="3"/>
  <c r="G1485" i="3" s="1"/>
  <c r="H1485" i="3" s="1"/>
  <c r="L629" i="3" s="1"/>
  <c r="F1486" i="3"/>
  <c r="G1486" i="3" s="1"/>
  <c r="H1486" i="3" s="1"/>
  <c r="F1487" i="3"/>
  <c r="G1487" i="3" s="1"/>
  <c r="H1487" i="3" s="1"/>
  <c r="F1488" i="3"/>
  <c r="G1488" i="3" s="1"/>
  <c r="H1488" i="3" s="1"/>
  <c r="F1489" i="3"/>
  <c r="G1489" i="3" s="1"/>
  <c r="H1489" i="3" s="1"/>
  <c r="F1490" i="3"/>
  <c r="G1490" i="3" s="1"/>
  <c r="H1490" i="3" s="1"/>
  <c r="F1491" i="3"/>
  <c r="G1491" i="3" s="1"/>
  <c r="H1491" i="3" s="1"/>
  <c r="F1492" i="3"/>
  <c r="G1492" i="3" s="1"/>
  <c r="H1492" i="3" s="1"/>
  <c r="F1493" i="3"/>
  <c r="G1493" i="3" s="1"/>
  <c r="H1493" i="3" s="1"/>
  <c r="F1494" i="3"/>
  <c r="G1494" i="3" s="1"/>
  <c r="H1494" i="3" s="1"/>
  <c r="F1495" i="3"/>
  <c r="G1495" i="3" s="1"/>
  <c r="H1495" i="3" s="1"/>
  <c r="F1496" i="3"/>
  <c r="G1496" i="3" s="1"/>
  <c r="H1496" i="3" s="1"/>
  <c r="F1497" i="3"/>
  <c r="G1497" i="3" s="1"/>
  <c r="H1497" i="3" s="1"/>
  <c r="F1498" i="3"/>
  <c r="G1498" i="3" s="1"/>
  <c r="H1498" i="3" s="1"/>
  <c r="F1499" i="3"/>
  <c r="G1499" i="3" s="1"/>
  <c r="H1499" i="3" s="1"/>
  <c r="F1500" i="3"/>
  <c r="G1500" i="3" s="1"/>
  <c r="H1500" i="3" s="1"/>
  <c r="F1501" i="3"/>
  <c r="G1501" i="3" s="1"/>
  <c r="H1501" i="3" s="1"/>
  <c r="L634" i="3" s="1"/>
  <c r="F1502" i="3"/>
  <c r="G1502" i="3" s="1"/>
  <c r="H1502" i="3" s="1"/>
  <c r="F1503" i="3"/>
  <c r="G1503" i="3" s="1"/>
  <c r="H1503" i="3" s="1"/>
  <c r="F1504" i="3"/>
  <c r="G1504" i="3" s="1"/>
  <c r="H1504" i="3" s="1"/>
  <c r="F1505" i="3"/>
  <c r="G1505" i="3" s="1"/>
  <c r="H1505" i="3" s="1"/>
  <c r="F1506" i="3"/>
  <c r="G1506" i="3" s="1"/>
  <c r="H1506" i="3" s="1"/>
  <c r="L636" i="3" s="1"/>
  <c r="F1507" i="3"/>
  <c r="G1507" i="3" s="1"/>
  <c r="H1507" i="3" s="1"/>
  <c r="F1508" i="3"/>
  <c r="G1508" i="3" s="1"/>
  <c r="H1508" i="3" s="1"/>
  <c r="F1509" i="3"/>
  <c r="G1509" i="3" s="1"/>
  <c r="H1509" i="3" s="1"/>
  <c r="F1510" i="3"/>
  <c r="G1510" i="3" s="1"/>
  <c r="H1510" i="3" s="1"/>
  <c r="F1511" i="3"/>
  <c r="G1511" i="3" s="1"/>
  <c r="H1511" i="3" s="1"/>
  <c r="F1512" i="3"/>
  <c r="G1512" i="3" s="1"/>
  <c r="H1512" i="3" s="1"/>
  <c r="F1513" i="3"/>
  <c r="G1513" i="3" s="1"/>
  <c r="H1513" i="3" s="1"/>
  <c r="F1514" i="3"/>
  <c r="G1514" i="3" s="1"/>
  <c r="H1514" i="3" s="1"/>
  <c r="F1515" i="3"/>
  <c r="G1515" i="3" s="1"/>
  <c r="H1515" i="3" s="1"/>
  <c r="F1516" i="3"/>
  <c r="G1516" i="3" s="1"/>
  <c r="H1516" i="3" s="1"/>
  <c r="F1517" i="3"/>
  <c r="G1517" i="3" s="1"/>
  <c r="H1517" i="3" s="1"/>
  <c r="F1518" i="3"/>
  <c r="G1518" i="3" s="1"/>
  <c r="H1518" i="3" s="1"/>
  <c r="F1519" i="3"/>
  <c r="G1519" i="3" s="1"/>
  <c r="H1519" i="3" s="1"/>
  <c r="F1520" i="3"/>
  <c r="G1520" i="3" s="1"/>
  <c r="H1520" i="3" s="1"/>
  <c r="F1521" i="3"/>
  <c r="G1521" i="3" s="1"/>
  <c r="H1521" i="3" s="1"/>
  <c r="F1522" i="3"/>
  <c r="G1522" i="3" s="1"/>
  <c r="H1522" i="3" s="1"/>
  <c r="F1523" i="3"/>
  <c r="G1523" i="3" s="1"/>
  <c r="H1523" i="3" s="1"/>
  <c r="F1524" i="3"/>
  <c r="G1524" i="3" s="1"/>
  <c r="H1524" i="3" s="1"/>
  <c r="L641" i="3" s="1"/>
  <c r="F1525" i="3"/>
  <c r="G1525" i="3" s="1"/>
  <c r="H1525" i="3" s="1"/>
  <c r="L642" i="3" s="1"/>
  <c r="F1526" i="3"/>
  <c r="G1526" i="3" s="1"/>
  <c r="H1526" i="3" s="1"/>
  <c r="F1527" i="3"/>
  <c r="G1527" i="3" s="1"/>
  <c r="H1527" i="3" s="1"/>
  <c r="F1528" i="3"/>
  <c r="G1528" i="3" s="1"/>
  <c r="H1528" i="3" s="1"/>
  <c r="F1529" i="3"/>
  <c r="G1529" i="3" s="1"/>
  <c r="H1529" i="3" s="1"/>
  <c r="F1530" i="3"/>
  <c r="G1530" i="3" s="1"/>
  <c r="H1530" i="3" s="1"/>
  <c r="F1531" i="3"/>
  <c r="F1532" i="3"/>
  <c r="F1533" i="3"/>
  <c r="G1533" i="3" s="1"/>
  <c r="H1533" i="3" s="1"/>
  <c r="F1534" i="3"/>
  <c r="G1534" i="3" s="1"/>
  <c r="H1534" i="3" s="1"/>
  <c r="F1535" i="3"/>
  <c r="G1535" i="3" s="1"/>
  <c r="H1535" i="3" s="1"/>
  <c r="L644" i="3" s="1"/>
  <c r="F1536" i="3"/>
  <c r="G1536" i="3" s="1"/>
  <c r="H1536" i="3" s="1"/>
  <c r="L645" i="3" s="1"/>
  <c r="F1537" i="3"/>
  <c r="G1537" i="3" s="1"/>
  <c r="H1537" i="3" s="1"/>
  <c r="F1538" i="3"/>
  <c r="G1538" i="3" s="1"/>
  <c r="H1538" i="3" s="1"/>
  <c r="F1539" i="3"/>
  <c r="G1539" i="3" s="1"/>
  <c r="H1539" i="3" s="1"/>
  <c r="L647" i="3" s="1"/>
  <c r="F1540" i="3"/>
  <c r="G1540" i="3" s="1"/>
  <c r="H1540" i="3" s="1"/>
  <c r="L648" i="3" s="1"/>
  <c r="F1541" i="3"/>
  <c r="G1541" i="3" s="1"/>
  <c r="H1541" i="3" s="1"/>
  <c r="F1542" i="3"/>
  <c r="G1542" i="3" s="1"/>
  <c r="H1542" i="3" s="1"/>
  <c r="F1543" i="3"/>
  <c r="G1543" i="3" s="1"/>
  <c r="H1543" i="3" s="1"/>
  <c r="F1544" i="3"/>
  <c r="G1544" i="3" s="1"/>
  <c r="H1544" i="3" s="1"/>
  <c r="L650" i="3" s="1"/>
  <c r="F1545" i="3"/>
  <c r="G1545" i="3" s="1"/>
  <c r="H1545" i="3" s="1"/>
  <c r="F1546" i="3"/>
  <c r="G1546" i="3" s="1"/>
  <c r="H1546" i="3" s="1"/>
  <c r="F1547" i="3"/>
  <c r="G1547" i="3" s="1"/>
  <c r="H1547" i="3" s="1"/>
  <c r="F1548" i="3"/>
  <c r="G1548" i="3" s="1"/>
  <c r="H1548" i="3" s="1"/>
  <c r="F1549" i="3"/>
  <c r="G1549" i="3" s="1"/>
  <c r="H1549" i="3" s="1"/>
  <c r="L653" i="3" s="1"/>
  <c r="F1550" i="3"/>
  <c r="G1550" i="3" s="1"/>
  <c r="H1550" i="3" s="1"/>
  <c r="F1551" i="3"/>
  <c r="G1551" i="3" s="1"/>
  <c r="H1551" i="3" s="1"/>
  <c r="F1552" i="3"/>
  <c r="G1552" i="3" s="1"/>
  <c r="F1553" i="3"/>
  <c r="G1553" i="3" s="1"/>
  <c r="H1553" i="3" s="1"/>
  <c r="F1554" i="3"/>
  <c r="G1554" i="3" s="1"/>
  <c r="H1554" i="3" s="1"/>
  <c r="F1555" i="3"/>
  <c r="G1555" i="3" s="1"/>
  <c r="H1555" i="3" s="1"/>
  <c r="F1556" i="3"/>
  <c r="G1556" i="3" s="1"/>
  <c r="H1556" i="3" s="1"/>
  <c r="F1557" i="3"/>
  <c r="G1557" i="3" s="1"/>
  <c r="H1557" i="3" s="1"/>
  <c r="F1558" i="3"/>
  <c r="G1558" i="3" s="1"/>
  <c r="H1558" i="3" s="1"/>
  <c r="F1559" i="3"/>
  <c r="G1559" i="3" s="1"/>
  <c r="H1559" i="3" s="1"/>
  <c r="F1560" i="3"/>
  <c r="G1560" i="3" s="1"/>
  <c r="H1560" i="3" s="1"/>
  <c r="F1561" i="3"/>
  <c r="G1561" i="3" s="1"/>
  <c r="H1561" i="3" s="1"/>
  <c r="F1562" i="3"/>
  <c r="G1562" i="3" s="1"/>
  <c r="H1562" i="3" s="1"/>
  <c r="F1563" i="3"/>
  <c r="G1563" i="3" s="1"/>
  <c r="H1563" i="3" s="1"/>
  <c r="F1564" i="3"/>
  <c r="G1564" i="3" s="1"/>
  <c r="H1564" i="3" s="1"/>
  <c r="F1565" i="3"/>
  <c r="F1566" i="3"/>
  <c r="G1566" i="3" s="1"/>
  <c r="H1566" i="3" s="1"/>
  <c r="F1567" i="3"/>
  <c r="G1567" i="3" s="1"/>
  <c r="H1567" i="3" s="1"/>
  <c r="F1568" i="3"/>
  <c r="G1568" i="3" s="1"/>
  <c r="H1568" i="3" s="1"/>
  <c r="F1569" i="3"/>
  <c r="G1569" i="3" s="1"/>
  <c r="H1569" i="3" s="1"/>
  <c r="F1570" i="3"/>
  <c r="G1570" i="3" s="1"/>
  <c r="H1570" i="3" s="1"/>
  <c r="F1571" i="3"/>
  <c r="G1571" i="3" s="1"/>
  <c r="H1571" i="3" s="1"/>
  <c r="F1572" i="3"/>
  <c r="G1572" i="3" s="1"/>
  <c r="H1572" i="3" s="1"/>
  <c r="L657" i="3" s="1"/>
  <c r="F1573" i="3"/>
  <c r="G1573" i="3" s="1"/>
  <c r="H1573" i="3" s="1"/>
  <c r="F1574" i="3"/>
  <c r="G1574" i="3" s="1"/>
  <c r="H1574" i="3" s="1"/>
  <c r="F1575" i="3"/>
  <c r="G1575" i="3" s="1"/>
  <c r="H1575" i="3" s="1"/>
  <c r="F1576" i="3"/>
  <c r="G1576" i="3" s="1"/>
  <c r="H1576" i="3" s="1"/>
  <c r="F1577" i="3"/>
  <c r="G1577" i="3" s="1"/>
  <c r="H1577" i="3" s="1"/>
  <c r="F1578" i="3"/>
  <c r="G1578" i="3" s="1"/>
  <c r="H1578" i="3" s="1"/>
  <c r="F1579" i="3"/>
  <c r="G1579" i="3" s="1"/>
  <c r="H1579" i="3" s="1"/>
  <c r="F1580" i="3"/>
  <c r="G1580" i="3" s="1"/>
  <c r="H1580" i="3" s="1"/>
  <c r="L659" i="3" s="1"/>
  <c r="F1581" i="3"/>
  <c r="G1581" i="3" s="1"/>
  <c r="H1581" i="3" s="1"/>
  <c r="F1582" i="3"/>
  <c r="G1582" i="3" s="1"/>
  <c r="H1582" i="3" s="1"/>
  <c r="F1583" i="3"/>
  <c r="G1583" i="3" s="1"/>
  <c r="H1583" i="3" s="1"/>
  <c r="F1584" i="3"/>
  <c r="G1584" i="3" s="1"/>
  <c r="H1584" i="3" s="1"/>
  <c r="F1585" i="3"/>
  <c r="G1585" i="3" s="1"/>
  <c r="H1585" i="3" s="1"/>
  <c r="F1586" i="3"/>
  <c r="G1586" i="3" s="1"/>
  <c r="H1586" i="3" s="1"/>
  <c r="F1587" i="3"/>
  <c r="G1587" i="3" s="1"/>
  <c r="H1587" i="3" s="1"/>
  <c r="L662" i="3" s="1"/>
  <c r="F1588" i="3"/>
  <c r="G1588" i="3" s="1"/>
  <c r="H1588" i="3" s="1"/>
  <c r="F1589" i="3"/>
  <c r="G1589" i="3" s="1"/>
  <c r="H1589" i="3" s="1"/>
  <c r="F1590" i="3"/>
  <c r="G1590" i="3" s="1"/>
  <c r="H1590" i="3" s="1"/>
  <c r="F1591" i="3"/>
  <c r="G1591" i="3" s="1"/>
  <c r="H1591" i="3" s="1"/>
  <c r="F1592" i="3"/>
  <c r="G1592" i="3" s="1"/>
  <c r="H1592" i="3" s="1"/>
  <c r="L664" i="3" s="1"/>
  <c r="F1593" i="3"/>
  <c r="G1593" i="3" s="1"/>
  <c r="H1593" i="3" s="1"/>
  <c r="F1594" i="3"/>
  <c r="G1594" i="3" s="1"/>
  <c r="H1594" i="3" s="1"/>
  <c r="F1595" i="3"/>
  <c r="G1595" i="3" s="1"/>
  <c r="H1595" i="3" s="1"/>
  <c r="F1596" i="3"/>
  <c r="G1596" i="3" s="1"/>
  <c r="H1596" i="3" s="1"/>
  <c r="F1597" i="3"/>
  <c r="G1597" i="3" s="1"/>
  <c r="H1597" i="3" s="1"/>
  <c r="F1598" i="3"/>
  <c r="G1598" i="3" s="1"/>
  <c r="H1598" i="3" s="1"/>
  <c r="F1599" i="3"/>
  <c r="G1599" i="3" s="1"/>
  <c r="H1599" i="3" s="1"/>
  <c r="F1600" i="3"/>
  <c r="G1600" i="3" s="1"/>
  <c r="H1600" i="3" s="1"/>
  <c r="F1601" i="3"/>
  <c r="G1601" i="3" s="1"/>
  <c r="H1601" i="3" s="1"/>
  <c r="F1602" i="3"/>
  <c r="G1602" i="3" s="1"/>
  <c r="H1602" i="3" s="1"/>
  <c r="F1603" i="3"/>
  <c r="G1603" i="3" s="1"/>
  <c r="H1603" i="3" s="1"/>
  <c r="L667" i="3" s="1"/>
  <c r="F1604" i="3"/>
  <c r="G1604" i="3" s="1"/>
  <c r="H1604" i="3" s="1"/>
  <c r="F1605" i="3"/>
  <c r="G1605" i="3" s="1"/>
  <c r="H1605" i="3" s="1"/>
  <c r="L668" i="3" s="1"/>
  <c r="F1606" i="3"/>
  <c r="G1606" i="3" s="1"/>
  <c r="H1606" i="3" s="1"/>
  <c r="L669" i="3" s="1"/>
  <c r="F1607" i="3"/>
  <c r="G1607" i="3" s="1"/>
  <c r="H1607" i="3" s="1"/>
  <c r="F1608" i="3"/>
  <c r="G1608" i="3" s="1"/>
  <c r="H1608" i="3" s="1"/>
  <c r="L670" i="3" s="1"/>
  <c r="F1609" i="3"/>
  <c r="G1609" i="3" s="1"/>
  <c r="H1609" i="3" s="1"/>
  <c r="L671" i="3" s="1"/>
  <c r="F1610" i="3"/>
  <c r="G1610" i="3" s="1"/>
  <c r="H1610" i="3" s="1"/>
  <c r="F1611" i="3"/>
  <c r="G1611" i="3" s="1"/>
  <c r="H1611" i="3" s="1"/>
  <c r="L672" i="3" s="1"/>
  <c r="F1612" i="3"/>
  <c r="G1612" i="3" s="1"/>
  <c r="H1612" i="3" s="1"/>
  <c r="F1613" i="3"/>
  <c r="G1613" i="3" s="1"/>
  <c r="H1613" i="3" s="1"/>
  <c r="F1614" i="3"/>
  <c r="G1614" i="3" s="1"/>
  <c r="H1614" i="3" s="1"/>
  <c r="F1615" i="3"/>
  <c r="G1615" i="3" s="1"/>
  <c r="H1615" i="3" s="1"/>
  <c r="F1616" i="3"/>
  <c r="G1616" i="3" s="1"/>
  <c r="H1616" i="3" s="1"/>
  <c r="F1617" i="3"/>
  <c r="F1618" i="3"/>
  <c r="G1618" i="3" s="1"/>
  <c r="H1618" i="3" s="1"/>
  <c r="F1619" i="3"/>
  <c r="G1619" i="3" s="1"/>
  <c r="H1619" i="3" s="1"/>
  <c r="F1620" i="3"/>
  <c r="G1620" i="3" s="1"/>
  <c r="H1620" i="3" s="1"/>
  <c r="F1621" i="3"/>
  <c r="G1621" i="3" s="1"/>
  <c r="H1621" i="3" s="1"/>
  <c r="F1622" i="3"/>
  <c r="G1622" i="3" s="1"/>
  <c r="H1622" i="3" s="1"/>
  <c r="F1623" i="3"/>
  <c r="G1623" i="3" s="1"/>
  <c r="H1623" i="3" s="1"/>
  <c r="F1624" i="3"/>
  <c r="F1625" i="3"/>
  <c r="G1625" i="3" s="1"/>
  <c r="H1625" i="3" s="1"/>
  <c r="F1626" i="3"/>
  <c r="G1626" i="3" s="1"/>
  <c r="H1626" i="3" s="1"/>
  <c r="L677" i="3" s="1"/>
  <c r="F1627" i="3"/>
  <c r="G1627" i="3" s="1"/>
  <c r="H1627" i="3" s="1"/>
  <c r="F1628" i="3"/>
  <c r="G1628" i="3" s="1"/>
  <c r="H1628" i="3" s="1"/>
  <c r="F1629" i="3"/>
  <c r="G1629" i="3" s="1"/>
  <c r="H1629" i="3" s="1"/>
  <c r="L679" i="3" s="1"/>
  <c r="F1630" i="3"/>
  <c r="G1630" i="3" s="1"/>
  <c r="H1630" i="3" s="1"/>
  <c r="F1631" i="3"/>
  <c r="F1632" i="3"/>
  <c r="G1632" i="3" s="1"/>
  <c r="H1632" i="3" s="1"/>
  <c r="F1633" i="3"/>
  <c r="G1633" i="3" s="1"/>
  <c r="H1633" i="3" s="1"/>
  <c r="F1634" i="3"/>
  <c r="G1634" i="3" s="1"/>
  <c r="H1634" i="3" s="1"/>
  <c r="F1635" i="3"/>
  <c r="G1635" i="3" s="1"/>
  <c r="H1635" i="3" s="1"/>
  <c r="F1636" i="3"/>
  <c r="G1636" i="3" s="1"/>
  <c r="H1636" i="3" s="1"/>
  <c r="F1637" i="3"/>
  <c r="G1637" i="3" s="1"/>
  <c r="H1637" i="3" s="1"/>
  <c r="L683" i="3" s="1"/>
  <c r="F1638" i="3"/>
  <c r="G1638" i="3" s="1"/>
  <c r="H1638" i="3" s="1"/>
  <c r="F1639" i="3"/>
  <c r="G1639" i="3" s="1"/>
  <c r="H1639" i="3" s="1"/>
  <c r="F1640" i="3"/>
  <c r="G1640" i="3" s="1"/>
  <c r="H1640" i="3" s="1"/>
  <c r="F1641" i="3"/>
  <c r="G1641" i="3" s="1"/>
  <c r="H1641" i="3" s="1"/>
  <c r="F1642" i="3"/>
  <c r="G1642" i="3" s="1"/>
  <c r="H1642" i="3" s="1"/>
  <c r="F1643" i="3"/>
  <c r="G1643" i="3" s="1"/>
  <c r="H1643" i="3" s="1"/>
  <c r="F1644" i="3"/>
  <c r="G1644" i="3" s="1"/>
  <c r="H1644" i="3" s="1"/>
  <c r="F1645" i="3"/>
  <c r="G1645" i="3" s="1"/>
  <c r="H1645" i="3" s="1"/>
  <c r="F1646" i="3"/>
  <c r="G1646" i="3" s="1"/>
  <c r="H1646" i="3" s="1"/>
  <c r="F1647" i="3"/>
  <c r="G1647" i="3" s="1"/>
  <c r="H1647" i="3" s="1"/>
  <c r="F1648" i="3"/>
  <c r="G1648" i="3" s="1"/>
  <c r="H1648" i="3" s="1"/>
  <c r="F1649" i="3"/>
  <c r="G1649" i="3" s="1"/>
  <c r="H1649" i="3" s="1"/>
  <c r="L688" i="3" s="1"/>
  <c r="F1650" i="3"/>
  <c r="G1650" i="3" s="1"/>
  <c r="H1650" i="3" s="1"/>
  <c r="F1651" i="3"/>
  <c r="G1651" i="3" s="1"/>
  <c r="H1651" i="3" s="1"/>
  <c r="F1652" i="3"/>
  <c r="G1652" i="3" s="1"/>
  <c r="H1652" i="3" s="1"/>
  <c r="F1653" i="3"/>
  <c r="G1653" i="3" s="1"/>
  <c r="H1653" i="3" s="1"/>
  <c r="F1654" i="3"/>
  <c r="G1654" i="3" s="1"/>
  <c r="H1654" i="3" s="1"/>
  <c r="F1655" i="3"/>
  <c r="G1655" i="3" s="1"/>
  <c r="H1655" i="3" s="1"/>
  <c r="F1656" i="3"/>
  <c r="G1656" i="3" s="1"/>
  <c r="H1656" i="3" s="1"/>
  <c r="F1657" i="3"/>
  <c r="G1657" i="3" s="1"/>
  <c r="H1657" i="3" s="1"/>
  <c r="F1658" i="3"/>
  <c r="G1658" i="3" s="1"/>
  <c r="H1658" i="3" s="1"/>
  <c r="F1659" i="3"/>
  <c r="G1659" i="3" s="1"/>
  <c r="H1659" i="3" s="1"/>
  <c r="F1660" i="3"/>
  <c r="G1660" i="3" s="1"/>
  <c r="H1660" i="3" s="1"/>
  <c r="F1661" i="3"/>
  <c r="G1661" i="3" s="1"/>
  <c r="H1661" i="3" s="1"/>
  <c r="F1662" i="3"/>
  <c r="G1662" i="3" s="1"/>
  <c r="H1662" i="3" s="1"/>
  <c r="F1663" i="3"/>
  <c r="G1663" i="3" s="1"/>
  <c r="H1663" i="3" s="1"/>
  <c r="F1664" i="3"/>
  <c r="G1664" i="3" s="1"/>
  <c r="H1664" i="3" s="1"/>
  <c r="F1665" i="3"/>
  <c r="G1665" i="3" s="1"/>
  <c r="H1665" i="3" s="1"/>
  <c r="F1666" i="3"/>
  <c r="G1666" i="3" s="1"/>
  <c r="H1666" i="3" s="1"/>
  <c r="F1667" i="3"/>
  <c r="G1667" i="3" s="1"/>
  <c r="H1667" i="3" s="1"/>
  <c r="F1668" i="3"/>
  <c r="G1668" i="3" s="1"/>
  <c r="H1668" i="3" s="1"/>
  <c r="F1669" i="3"/>
  <c r="G1669" i="3" s="1"/>
  <c r="H1669" i="3" s="1"/>
  <c r="F1670" i="3"/>
  <c r="G1670" i="3" s="1"/>
  <c r="H1670" i="3" s="1"/>
  <c r="L695" i="3" s="1"/>
  <c r="F1671" i="3"/>
  <c r="G1671" i="3" s="1"/>
  <c r="H1671" i="3" s="1"/>
  <c r="L696" i="3" s="1"/>
  <c r="F1672" i="3"/>
  <c r="G1672" i="3" s="1"/>
  <c r="H1672" i="3" s="1"/>
  <c r="F1673" i="3"/>
  <c r="F1674" i="3"/>
  <c r="G1674" i="3" s="1"/>
  <c r="H1674" i="3" s="1"/>
  <c r="F1675" i="3"/>
  <c r="G1675" i="3" s="1"/>
  <c r="H1675" i="3" s="1"/>
  <c r="F1676" i="3"/>
  <c r="G1676" i="3" s="1"/>
  <c r="H1676" i="3" s="1"/>
  <c r="F1677" i="3"/>
  <c r="G1677" i="3" s="1"/>
  <c r="H1677" i="3" s="1"/>
  <c r="F1678" i="3"/>
  <c r="G1678" i="3" s="1"/>
  <c r="H1678" i="3" s="1"/>
  <c r="F1679" i="3"/>
  <c r="G1679" i="3" s="1"/>
  <c r="H1679" i="3" s="1"/>
  <c r="F1680" i="3"/>
  <c r="G1680" i="3" s="1"/>
  <c r="H1680" i="3" s="1"/>
  <c r="F1681" i="3"/>
  <c r="G1681" i="3" s="1"/>
  <c r="H1681" i="3" s="1"/>
  <c r="L700" i="3" s="1"/>
  <c r="F1682" i="3"/>
  <c r="G1682" i="3" s="1"/>
  <c r="H1682" i="3" s="1"/>
  <c r="F1683" i="3"/>
  <c r="G1683" i="3" s="1"/>
  <c r="H1683" i="3" s="1"/>
  <c r="F1684" i="3"/>
  <c r="G1684" i="3" s="1"/>
  <c r="H1684" i="3" s="1"/>
  <c r="F1685" i="3"/>
  <c r="G1685" i="3" s="1"/>
  <c r="H1685" i="3" s="1"/>
  <c r="F1686" i="3"/>
  <c r="G1686" i="3" s="1"/>
  <c r="H1686" i="3" s="1"/>
  <c r="F1687" i="3"/>
  <c r="G1687" i="3" s="1"/>
  <c r="H1687" i="3" s="1"/>
  <c r="F1688" i="3"/>
  <c r="G1688" i="3" s="1"/>
  <c r="H1688" i="3" s="1"/>
  <c r="F1689" i="3"/>
  <c r="G1689" i="3" s="1"/>
  <c r="H1689" i="3" s="1"/>
  <c r="F1690" i="3"/>
  <c r="G1690" i="3" s="1"/>
  <c r="H1690" i="3" s="1"/>
  <c r="L704" i="3" s="1"/>
  <c r="F1691" i="3"/>
  <c r="G1691" i="3" s="1"/>
  <c r="H1691" i="3" s="1"/>
  <c r="L705" i="3" s="1"/>
  <c r="F1692" i="3"/>
  <c r="G1692" i="3" s="1"/>
  <c r="H1692" i="3" s="1"/>
  <c r="L706" i="3" s="1"/>
  <c r="F1693" i="3"/>
  <c r="G1693" i="3" s="1"/>
  <c r="H1693" i="3" s="1"/>
  <c r="F1694" i="3"/>
  <c r="G1694" i="3" s="1"/>
  <c r="H1694" i="3" s="1"/>
  <c r="F1695" i="3"/>
  <c r="G1695" i="3" s="1"/>
  <c r="H1695" i="3" s="1"/>
  <c r="F1696" i="3"/>
  <c r="G1696" i="3" s="1"/>
  <c r="H1696" i="3" s="1"/>
  <c r="F1697" i="3"/>
  <c r="G1697" i="3" s="1"/>
  <c r="H1697" i="3" s="1"/>
  <c r="F1698" i="3"/>
  <c r="G1698" i="3" s="1"/>
  <c r="H1698" i="3" s="1"/>
  <c r="F1699" i="3"/>
  <c r="G1699" i="3" s="1"/>
  <c r="H1699" i="3" s="1"/>
  <c r="F1700" i="3"/>
  <c r="G1700" i="3" s="1"/>
  <c r="H1700" i="3" s="1"/>
  <c r="F1701" i="3"/>
  <c r="G1701" i="3" s="1"/>
  <c r="H1701" i="3" s="1"/>
  <c r="F1702" i="3"/>
  <c r="G1702" i="3" s="1"/>
  <c r="H1702" i="3" s="1"/>
  <c r="F1703" i="3"/>
  <c r="G1703" i="3" s="1"/>
  <c r="H1703" i="3" s="1"/>
  <c r="F1704" i="3"/>
  <c r="G1704" i="3" s="1"/>
  <c r="H1704" i="3" s="1"/>
  <c r="F1705" i="3"/>
  <c r="G1705" i="3" s="1"/>
  <c r="H1705" i="3" s="1"/>
  <c r="F1706" i="3"/>
  <c r="G1706" i="3" s="1"/>
  <c r="H1706" i="3" s="1"/>
  <c r="F1707" i="3"/>
  <c r="G1707" i="3" s="1"/>
  <c r="H1707" i="3" s="1"/>
  <c r="F1708" i="3"/>
  <c r="G1708" i="3" s="1"/>
  <c r="H1708" i="3" s="1"/>
  <c r="F1709" i="3"/>
  <c r="G1709" i="3" s="1"/>
  <c r="H1709" i="3" s="1"/>
  <c r="F1710" i="3"/>
  <c r="G1710" i="3" s="1"/>
  <c r="H1710" i="3" s="1"/>
  <c r="F1711" i="3"/>
  <c r="G1711" i="3" s="1"/>
  <c r="H1711" i="3" s="1"/>
  <c r="F1712" i="3"/>
  <c r="G1712" i="3" s="1"/>
  <c r="H1712" i="3" s="1"/>
  <c r="L712" i="3" s="1"/>
  <c r="F1713" i="3"/>
  <c r="G1713" i="3" s="1"/>
  <c r="H1713" i="3" s="1"/>
  <c r="L713" i="3" s="1"/>
  <c r="F1714" i="3"/>
  <c r="G1714" i="3" s="1"/>
  <c r="H1714" i="3" s="1"/>
  <c r="F1715" i="3"/>
  <c r="G1715" i="3" s="1"/>
  <c r="H1715" i="3" s="1"/>
  <c r="F1716" i="3"/>
  <c r="G1716" i="3" s="1"/>
  <c r="H1716" i="3" s="1"/>
  <c r="F1717" i="3"/>
  <c r="G1717" i="3" s="1"/>
  <c r="H1717" i="3" s="1"/>
  <c r="L715" i="3" s="1"/>
  <c r="F1718" i="3"/>
  <c r="G1718" i="3" s="1"/>
  <c r="H1718" i="3" s="1"/>
  <c r="L716" i="3" s="1"/>
  <c r="F1719" i="3"/>
  <c r="G1719" i="3" s="1"/>
  <c r="H1719" i="3" s="1"/>
  <c r="F1720" i="3"/>
  <c r="G1720" i="3" s="1"/>
  <c r="H1720" i="3" s="1"/>
  <c r="F1721" i="3"/>
  <c r="G1721" i="3" s="1"/>
  <c r="H1721" i="3" s="1"/>
  <c r="F1722" i="3"/>
  <c r="G1722" i="3" s="1"/>
  <c r="H1722" i="3" s="1"/>
  <c r="L717" i="3" s="1"/>
  <c r="F1723" i="3"/>
  <c r="G1723" i="3" s="1"/>
  <c r="H1723" i="3" s="1"/>
  <c r="F1724" i="3"/>
  <c r="G1724" i="3" s="1"/>
  <c r="H1724" i="3" s="1"/>
  <c r="F1725" i="3"/>
  <c r="G1725" i="3" s="1"/>
  <c r="H1725" i="3" s="1"/>
  <c r="L718" i="3" s="1"/>
  <c r="F1726" i="3"/>
  <c r="G1726" i="3" s="1"/>
  <c r="H1726" i="3" s="1"/>
  <c r="L719" i="3" s="1"/>
  <c r="F1727" i="3"/>
  <c r="G1727" i="3" s="1"/>
  <c r="H1727" i="3" s="1"/>
  <c r="F1728" i="3"/>
  <c r="G1728" i="3" s="1"/>
  <c r="H1728" i="3" s="1"/>
  <c r="F1729" i="3"/>
  <c r="G1729" i="3" s="1"/>
  <c r="H1729" i="3" s="1"/>
  <c r="F1730" i="3"/>
  <c r="G1730" i="3" s="1"/>
  <c r="H1730" i="3" s="1"/>
  <c r="F1731" i="3"/>
  <c r="G1731" i="3" s="1"/>
  <c r="H1731" i="3" s="1"/>
  <c r="F1732" i="3"/>
  <c r="G1732" i="3" s="1"/>
  <c r="H1732" i="3" s="1"/>
  <c r="F1733" i="3"/>
  <c r="G1733" i="3" s="1"/>
  <c r="H1733" i="3" s="1"/>
  <c r="L722" i="3" s="1"/>
  <c r="F1734" i="3"/>
  <c r="G1734" i="3" s="1"/>
  <c r="H1734" i="3" s="1"/>
  <c r="F1735" i="3"/>
  <c r="G1735" i="3" s="1"/>
  <c r="H1735" i="3" s="1"/>
  <c r="F1736" i="3"/>
  <c r="G1736" i="3" s="1"/>
  <c r="H1736" i="3" s="1"/>
  <c r="F1737" i="3"/>
  <c r="G1737" i="3" s="1"/>
  <c r="H1737" i="3" s="1"/>
  <c r="F1738" i="3"/>
  <c r="G1738" i="3" s="1"/>
  <c r="H1738" i="3" s="1"/>
  <c r="F1739" i="3"/>
  <c r="G1739" i="3" s="1"/>
  <c r="H1739" i="3" s="1"/>
  <c r="F1740" i="3"/>
  <c r="G1740" i="3" s="1"/>
  <c r="H1740" i="3" s="1"/>
  <c r="F1741" i="3"/>
  <c r="G1741" i="3" s="1"/>
  <c r="H1741" i="3" s="1"/>
  <c r="F1742" i="3"/>
  <c r="G1742" i="3" s="1"/>
  <c r="H1742" i="3" s="1"/>
  <c r="F1743" i="3"/>
  <c r="G1743" i="3" s="1"/>
  <c r="H1743" i="3" s="1"/>
  <c r="F1744" i="3"/>
  <c r="G1744" i="3" s="1"/>
  <c r="H1744" i="3" s="1"/>
  <c r="F1745" i="3"/>
  <c r="G1745" i="3" s="1"/>
  <c r="H1745" i="3" s="1"/>
  <c r="F1746" i="3"/>
  <c r="G1746" i="3" s="1"/>
  <c r="H1746" i="3" s="1"/>
  <c r="F1747" i="3"/>
  <c r="G1747" i="3" s="1"/>
  <c r="H1747" i="3" s="1"/>
  <c r="F1748" i="3"/>
  <c r="G1748" i="3" s="1"/>
  <c r="H1748" i="3" s="1"/>
  <c r="F1749" i="3"/>
  <c r="G1749" i="3" s="1"/>
  <c r="H1749" i="3" s="1"/>
  <c r="F1750" i="3"/>
  <c r="G1750" i="3" s="1"/>
  <c r="H1750" i="3" s="1"/>
  <c r="F1751" i="3"/>
  <c r="G1751" i="3" s="1"/>
  <c r="H1751" i="3" s="1"/>
  <c r="F1752" i="3"/>
  <c r="G1752" i="3" s="1"/>
  <c r="H1752" i="3" s="1"/>
  <c r="F1753" i="3"/>
  <c r="G1753" i="3" s="1"/>
  <c r="H1753" i="3" s="1"/>
  <c r="F1754" i="3"/>
  <c r="G1754" i="3" s="1"/>
  <c r="H1754" i="3" s="1"/>
  <c r="F1755" i="3"/>
  <c r="G1755" i="3" s="1"/>
  <c r="H1755" i="3" s="1"/>
  <c r="F1756" i="3"/>
  <c r="G1756" i="3" s="1"/>
  <c r="H1756" i="3" s="1"/>
  <c r="L728" i="3" s="1"/>
  <c r="F1757" i="3"/>
  <c r="F1758" i="3"/>
  <c r="G1758" i="3" s="1"/>
  <c r="H1758" i="3" s="1"/>
  <c r="F1759" i="3"/>
  <c r="F1760" i="3"/>
  <c r="G1760" i="3" s="1"/>
  <c r="H1760" i="3" s="1"/>
  <c r="F1761" i="3"/>
  <c r="G1761" i="3" s="1"/>
  <c r="H1761" i="3" s="1"/>
  <c r="F1762" i="3"/>
  <c r="G1762" i="3" s="1"/>
  <c r="H1762" i="3" s="1"/>
  <c r="L731" i="3" s="1"/>
  <c r="F1763" i="3"/>
  <c r="G1763" i="3" s="1"/>
  <c r="H1763" i="3" s="1"/>
  <c r="F1764" i="3"/>
  <c r="G1764" i="3" s="1"/>
  <c r="H1764" i="3" s="1"/>
  <c r="F1765" i="3"/>
  <c r="G1765" i="3" s="1"/>
  <c r="H1765" i="3" s="1"/>
  <c r="F1766" i="3"/>
  <c r="G1766" i="3" s="1"/>
  <c r="H1766" i="3" s="1"/>
  <c r="F1767" i="3"/>
  <c r="G1767" i="3" s="1"/>
  <c r="H1767" i="3" s="1"/>
  <c r="F1768" i="3"/>
  <c r="G1768" i="3" s="1"/>
  <c r="H1768" i="3" s="1"/>
  <c r="F1769" i="3"/>
  <c r="G1769" i="3" s="1"/>
  <c r="H1769" i="3" s="1"/>
  <c r="F1770" i="3"/>
  <c r="G1770" i="3" s="1"/>
  <c r="H1770" i="3" s="1"/>
  <c r="F1771" i="3"/>
  <c r="G1771" i="3" s="1"/>
  <c r="H1771" i="3" s="1"/>
  <c r="F1772" i="3"/>
  <c r="G1772" i="3" s="1"/>
  <c r="H1772" i="3" s="1"/>
  <c r="F1773" i="3"/>
  <c r="G1773" i="3" s="1"/>
  <c r="H1773" i="3" s="1"/>
  <c r="L734" i="3" s="1"/>
  <c r="F1774" i="3"/>
  <c r="G1774" i="3" s="1"/>
  <c r="H1774" i="3" s="1"/>
  <c r="F1775" i="3"/>
  <c r="G1775" i="3" s="1"/>
  <c r="H1775" i="3" s="1"/>
  <c r="F1776" i="3"/>
  <c r="G1776" i="3" s="1"/>
  <c r="H1776" i="3" s="1"/>
  <c r="L736" i="3" s="1"/>
  <c r="F1777" i="3"/>
  <c r="G1777" i="3" s="1"/>
  <c r="H1777" i="3" s="1"/>
  <c r="F1778" i="3"/>
  <c r="G1778" i="3" s="1"/>
  <c r="H1778" i="3" s="1"/>
  <c r="F1779" i="3"/>
  <c r="G1779" i="3" s="1"/>
  <c r="H1779" i="3" s="1"/>
  <c r="F1780" i="3"/>
  <c r="G1780" i="3" s="1"/>
  <c r="H1780" i="3" s="1"/>
  <c r="F1781" i="3"/>
  <c r="G1781" i="3" s="1"/>
  <c r="H1781" i="3" s="1"/>
  <c r="L739" i="3" s="1"/>
  <c r="F1782" i="3"/>
  <c r="G1782" i="3" s="1"/>
  <c r="H1782" i="3" s="1"/>
  <c r="F1783" i="3"/>
  <c r="G1783" i="3" s="1"/>
  <c r="H1783" i="3" s="1"/>
  <c r="L740" i="3" s="1"/>
  <c r="F1784" i="3"/>
  <c r="G1784" i="3" s="1"/>
  <c r="H1784" i="3" s="1"/>
  <c r="L741" i="3" s="1"/>
  <c r="F1785" i="3"/>
  <c r="G1785" i="3" s="1"/>
  <c r="H1785" i="3" s="1"/>
  <c r="F1786" i="3"/>
  <c r="G1786" i="3" s="1"/>
  <c r="H1786" i="3" s="1"/>
  <c r="F1787" i="3"/>
  <c r="G1787" i="3" s="1"/>
  <c r="H1787" i="3" s="1"/>
  <c r="F1788" i="3"/>
  <c r="G1788" i="3" s="1"/>
  <c r="H1788" i="3" s="1"/>
  <c r="F1789" i="3"/>
  <c r="G1789" i="3" s="1"/>
  <c r="H1789" i="3" s="1"/>
  <c r="F1790" i="3"/>
  <c r="G1790" i="3" s="1"/>
  <c r="H1790" i="3" s="1"/>
  <c r="F1791" i="3"/>
  <c r="G1791" i="3" s="1"/>
  <c r="H1791" i="3" s="1"/>
  <c r="F1792" i="3"/>
  <c r="G1792" i="3" s="1"/>
  <c r="H1792" i="3" s="1"/>
  <c r="F1793" i="3"/>
  <c r="G1793" i="3" s="1"/>
  <c r="H1793" i="3" s="1"/>
  <c r="L744" i="3" s="1"/>
  <c r="F1794" i="3"/>
  <c r="G1794" i="3" s="1"/>
  <c r="H1794" i="3" s="1"/>
  <c r="F1795" i="3"/>
  <c r="G1795" i="3" s="1"/>
  <c r="H1795" i="3" s="1"/>
  <c r="F1796" i="3"/>
  <c r="G1796" i="3" s="1"/>
  <c r="H1796" i="3" s="1"/>
  <c r="F1797" i="3"/>
  <c r="G1797" i="3" s="1"/>
  <c r="H1797" i="3" s="1"/>
  <c r="L745" i="3" s="1"/>
  <c r="F1798" i="3"/>
  <c r="G1798" i="3" s="1"/>
  <c r="H1798" i="3" s="1"/>
  <c r="L746" i="3" s="1"/>
  <c r="F1799" i="3"/>
  <c r="G1799" i="3" s="1"/>
  <c r="H1799" i="3" s="1"/>
  <c r="F1800" i="3"/>
  <c r="G1800" i="3" s="1"/>
  <c r="H1800" i="3" s="1"/>
  <c r="F1801" i="3"/>
  <c r="G1801" i="3" s="1"/>
  <c r="H1801" i="3" s="1"/>
  <c r="F1802" i="3"/>
  <c r="G1802" i="3" s="1"/>
  <c r="H1802" i="3" s="1"/>
  <c r="F1803" i="3"/>
  <c r="G1803" i="3" s="1"/>
  <c r="H1803" i="3" s="1"/>
  <c r="F1804" i="3"/>
  <c r="G1804" i="3" s="1"/>
  <c r="H1804" i="3" s="1"/>
  <c r="F1805" i="3"/>
  <c r="G1805" i="3" s="1"/>
  <c r="H1805" i="3" s="1"/>
  <c r="L748" i="3" s="1"/>
  <c r="F1806" i="3"/>
  <c r="G1806" i="3" s="1"/>
  <c r="H1806" i="3" s="1"/>
  <c r="F1807" i="3"/>
  <c r="G1807" i="3" s="1"/>
  <c r="H1807" i="3" s="1"/>
  <c r="F1808" i="3"/>
  <c r="G1808" i="3" s="1"/>
  <c r="H1808" i="3" s="1"/>
  <c r="F1809" i="3"/>
  <c r="G1809" i="3" s="1"/>
  <c r="H1809" i="3" s="1"/>
  <c r="F1810" i="3"/>
  <c r="G1810" i="3" s="1"/>
  <c r="H1810" i="3" s="1"/>
  <c r="F1811" i="3"/>
  <c r="G1811" i="3" s="1"/>
  <c r="H1811" i="3" s="1"/>
  <c r="F1812" i="3"/>
  <c r="G1812" i="3" s="1"/>
  <c r="H1812" i="3" s="1"/>
  <c r="F1813" i="3"/>
  <c r="G1813" i="3" s="1"/>
  <c r="H1813" i="3" s="1"/>
  <c r="F1814" i="3"/>
  <c r="G1814" i="3" s="1"/>
  <c r="H1814" i="3" s="1"/>
  <c r="F1815" i="3"/>
  <c r="G1815" i="3" s="1"/>
  <c r="H1815" i="3" s="1"/>
  <c r="F1816" i="3"/>
  <c r="G1816" i="3" s="1"/>
  <c r="H1816" i="3" s="1"/>
  <c r="F1817" i="3"/>
  <c r="G1817" i="3" s="1"/>
  <c r="H1817" i="3" s="1"/>
  <c r="F1818" i="3"/>
  <c r="G1818" i="3" s="1"/>
  <c r="H1818" i="3" s="1"/>
  <c r="F1819" i="3"/>
  <c r="G1819" i="3" s="1"/>
  <c r="H1819" i="3" s="1"/>
  <c r="F1820" i="3"/>
  <c r="G1820" i="3" s="1"/>
  <c r="H1820" i="3" s="1"/>
  <c r="F1821" i="3"/>
  <c r="G1821" i="3" s="1"/>
  <c r="H1821" i="3" s="1"/>
  <c r="F1822" i="3"/>
  <c r="G1822" i="3" s="1"/>
  <c r="H1822" i="3" s="1"/>
  <c r="F1823" i="3"/>
  <c r="G1823" i="3" s="1"/>
  <c r="H1823" i="3" s="1"/>
  <c r="F1824" i="3"/>
  <c r="G1824" i="3" s="1"/>
  <c r="H1824" i="3" s="1"/>
  <c r="F1825" i="3"/>
  <c r="G1825" i="3" s="1"/>
  <c r="H1825" i="3" s="1"/>
  <c r="F1826" i="3"/>
  <c r="G1826" i="3" s="1"/>
  <c r="H1826" i="3" s="1"/>
  <c r="F1827" i="3"/>
  <c r="G1827" i="3" s="1"/>
  <c r="H1827" i="3" s="1"/>
  <c r="F1828" i="3"/>
  <c r="G1828" i="3" s="1"/>
  <c r="H1828" i="3" s="1"/>
  <c r="F1829" i="3"/>
  <c r="G1829" i="3" s="1"/>
  <c r="H1829" i="3" s="1"/>
  <c r="L753" i="3" s="1"/>
  <c r="F1830" i="3"/>
  <c r="G1830" i="3" s="1"/>
  <c r="H1830" i="3" s="1"/>
  <c r="F1831" i="3"/>
  <c r="G1831" i="3" s="1"/>
  <c r="H1831" i="3" s="1"/>
  <c r="L754" i="3" s="1"/>
  <c r="F1832" i="3"/>
  <c r="G1832" i="3" s="1"/>
  <c r="H1832" i="3" s="1"/>
  <c r="F1833" i="3"/>
  <c r="G1833" i="3" s="1"/>
  <c r="H1833" i="3" s="1"/>
  <c r="F1834" i="3"/>
  <c r="G1834" i="3" s="1"/>
  <c r="H1834" i="3" s="1"/>
  <c r="F1835" i="3"/>
  <c r="G1835" i="3" s="1"/>
  <c r="H1835" i="3" s="1"/>
  <c r="F1836" i="3"/>
  <c r="G1836" i="3" s="1"/>
  <c r="H1836" i="3" s="1"/>
  <c r="F1837" i="3"/>
  <c r="G1837" i="3" s="1"/>
  <c r="H1837" i="3" s="1"/>
  <c r="F1838" i="3"/>
  <c r="G1838" i="3" s="1"/>
  <c r="H1838" i="3" s="1"/>
  <c r="F1839" i="3"/>
  <c r="G1839" i="3" s="1"/>
  <c r="H1839" i="3" s="1"/>
  <c r="F1840" i="3"/>
  <c r="G1840" i="3" s="1"/>
  <c r="H1840" i="3" s="1"/>
  <c r="F1841" i="3"/>
  <c r="G1841" i="3" s="1"/>
  <c r="H1841" i="3" s="1"/>
  <c r="F1842" i="3"/>
  <c r="G1842" i="3" s="1"/>
  <c r="H1842" i="3" s="1"/>
  <c r="F1843" i="3"/>
  <c r="G1843" i="3" s="1"/>
  <c r="H1843" i="3" s="1"/>
  <c r="F1844" i="3"/>
  <c r="G1844" i="3" s="1"/>
  <c r="H1844" i="3" s="1"/>
  <c r="F1845" i="3"/>
  <c r="G1845" i="3" s="1"/>
  <c r="H1845" i="3" s="1"/>
  <c r="F1846" i="3"/>
  <c r="G1846" i="3" s="1"/>
  <c r="H1846" i="3" s="1"/>
  <c r="F1847" i="3"/>
  <c r="G1847" i="3" s="1"/>
  <c r="H1847" i="3" s="1"/>
  <c r="F1848" i="3"/>
  <c r="G1848" i="3" s="1"/>
  <c r="H1848" i="3" s="1"/>
  <c r="F1849" i="3"/>
  <c r="G1849" i="3" s="1"/>
  <c r="H1849" i="3" s="1"/>
  <c r="F1850" i="3"/>
  <c r="G1850" i="3" s="1"/>
  <c r="H1850" i="3" s="1"/>
  <c r="F1851" i="3"/>
  <c r="G1851" i="3" s="1"/>
  <c r="H1851" i="3" s="1"/>
  <c r="F1852" i="3"/>
  <c r="G1852" i="3" s="1"/>
  <c r="H1852" i="3" s="1"/>
  <c r="L760" i="3" s="1"/>
  <c r="F1853" i="3"/>
  <c r="G1853" i="3" s="1"/>
  <c r="H1853" i="3" s="1"/>
  <c r="L761" i="3" s="1"/>
  <c r="F1854" i="3"/>
  <c r="G1854" i="3" s="1"/>
  <c r="H1854" i="3" s="1"/>
  <c r="L762" i="3" s="1"/>
  <c r="F1855" i="3"/>
  <c r="G1855" i="3" s="1"/>
  <c r="H1855" i="3" s="1"/>
  <c r="L763" i="3" s="1"/>
  <c r="F1856" i="3"/>
  <c r="G1856" i="3" s="1"/>
  <c r="H1856" i="3" s="1"/>
  <c r="L764" i="3" s="1"/>
  <c r="F1857" i="3"/>
  <c r="G1857" i="3" s="1"/>
  <c r="H1857" i="3" s="1"/>
  <c r="L765" i="3" s="1"/>
  <c r="F1858" i="3"/>
  <c r="G1858" i="3" s="1"/>
  <c r="H1858" i="3" s="1"/>
  <c r="L766" i="3" s="1"/>
  <c r="F1859" i="3"/>
  <c r="G1859" i="3" s="1"/>
  <c r="H1859" i="3" s="1"/>
  <c r="F1860" i="3"/>
  <c r="G1860" i="3" s="1"/>
  <c r="H1860" i="3" s="1"/>
  <c r="F1861" i="3"/>
  <c r="G1861" i="3" s="1"/>
  <c r="H1861" i="3" s="1"/>
  <c r="L767" i="3" s="1"/>
  <c r="F1862" i="3"/>
  <c r="G1862" i="3" s="1"/>
  <c r="H1862" i="3" s="1"/>
  <c r="F1863" i="3"/>
  <c r="G1863" i="3" s="1"/>
  <c r="H1863" i="3" s="1"/>
  <c r="L768" i="3" s="1"/>
  <c r="F1864" i="3"/>
  <c r="G1864" i="3" s="1"/>
  <c r="H1864" i="3" s="1"/>
  <c r="L769" i="3" s="1"/>
  <c r="F1865" i="3"/>
  <c r="G1865" i="3" s="1"/>
  <c r="H1865" i="3" s="1"/>
  <c r="F1866" i="3"/>
  <c r="G1866" i="3" s="1"/>
  <c r="H1866" i="3" s="1"/>
  <c r="F1867" i="3"/>
  <c r="G1867" i="3" s="1"/>
  <c r="H1867" i="3" s="1"/>
  <c r="F1868" i="3"/>
  <c r="G1868" i="3" s="1"/>
  <c r="H1868" i="3" s="1"/>
  <c r="F1869" i="3"/>
  <c r="G1869" i="3" s="1"/>
  <c r="H1869" i="3" s="1"/>
  <c r="F1870" i="3"/>
  <c r="G1870" i="3" s="1"/>
  <c r="H1870" i="3" s="1"/>
  <c r="F1871" i="3"/>
  <c r="G1871" i="3" s="1"/>
  <c r="H1871" i="3" s="1"/>
  <c r="L772" i="3" s="1"/>
  <c r="F1872" i="3"/>
  <c r="G1872" i="3" s="1"/>
  <c r="H1872" i="3" s="1"/>
  <c r="L773" i="3" s="1"/>
  <c r="F1873" i="3"/>
  <c r="G1873" i="3" s="1"/>
  <c r="H1873" i="3" s="1"/>
  <c r="F1874" i="3"/>
  <c r="G1874" i="3" s="1"/>
  <c r="H1874" i="3" s="1"/>
  <c r="F1875" i="3"/>
  <c r="G1875" i="3" s="1"/>
  <c r="H1875" i="3" s="1"/>
  <c r="F1876" i="3"/>
  <c r="G1876" i="3" s="1"/>
  <c r="H1876" i="3" s="1"/>
  <c r="L775" i="3" s="1"/>
  <c r="F1877" i="3"/>
  <c r="G1877" i="3" s="1"/>
  <c r="H1877" i="3" s="1"/>
  <c r="F1878" i="3"/>
  <c r="G1878" i="3" s="1"/>
  <c r="H1878" i="3" s="1"/>
  <c r="F1879" i="3"/>
  <c r="G1879" i="3" s="1"/>
  <c r="H1879" i="3" s="1"/>
  <c r="F1880" i="3"/>
  <c r="G1880" i="3" s="1"/>
  <c r="H1880" i="3" s="1"/>
  <c r="F1881" i="3"/>
  <c r="G1881" i="3" s="1"/>
  <c r="H1881" i="3" s="1"/>
  <c r="F1882" i="3"/>
  <c r="G1882" i="3" s="1"/>
  <c r="H1882" i="3" s="1"/>
  <c r="F1883" i="3"/>
  <c r="G1883" i="3" s="1"/>
  <c r="H1883" i="3" s="1"/>
  <c r="F1884" i="3"/>
  <c r="G1884" i="3" s="1"/>
  <c r="H1884" i="3" s="1"/>
  <c r="F1885" i="3"/>
  <c r="G1885" i="3" s="1"/>
  <c r="H1885" i="3" s="1"/>
  <c r="F1886" i="3"/>
  <c r="G1886" i="3" s="1"/>
  <c r="H1886" i="3" s="1"/>
  <c r="F1887" i="3"/>
  <c r="G1887" i="3" s="1"/>
  <c r="H1887" i="3" s="1"/>
  <c r="F1888" i="3"/>
  <c r="F1889" i="3"/>
  <c r="F1890" i="3"/>
  <c r="G1890" i="3" s="1"/>
  <c r="H1890" i="3" s="1"/>
  <c r="F1891" i="3"/>
  <c r="G1891" i="3" s="1"/>
  <c r="H1891" i="3" s="1"/>
  <c r="F1892" i="3"/>
  <c r="G1892" i="3" s="1"/>
  <c r="H1892" i="3" s="1"/>
  <c r="F1893" i="3"/>
  <c r="G1893" i="3" s="1"/>
  <c r="H1893" i="3" s="1"/>
  <c r="F1894" i="3"/>
  <c r="G1894" i="3" s="1"/>
  <c r="H1894" i="3" s="1"/>
  <c r="F1895" i="3"/>
  <c r="G1895" i="3" s="1"/>
  <c r="H1895" i="3" s="1"/>
  <c r="F1896" i="3"/>
  <c r="G1896" i="3" s="1"/>
  <c r="H1896" i="3" s="1"/>
  <c r="F1897" i="3"/>
  <c r="G1897" i="3" s="1"/>
  <c r="H1897" i="3" s="1"/>
  <c r="F1898" i="3"/>
  <c r="G1898" i="3" s="1"/>
  <c r="H1898" i="3" s="1"/>
  <c r="F1899" i="3"/>
  <c r="G1899" i="3" s="1"/>
  <c r="H1899" i="3" s="1"/>
  <c r="F1900" i="3"/>
  <c r="G1900" i="3" s="1"/>
  <c r="H1900" i="3" s="1"/>
  <c r="L782" i="3" s="1"/>
  <c r="F1901" i="3"/>
  <c r="G1901" i="3" s="1"/>
  <c r="H1901" i="3" s="1"/>
  <c r="L783" i="3" s="1"/>
  <c r="F1902" i="3"/>
  <c r="G1902" i="3" s="1"/>
  <c r="H1902" i="3" s="1"/>
  <c r="F1903" i="3"/>
  <c r="G1903" i="3" s="1"/>
  <c r="H1903" i="3" s="1"/>
  <c r="F1904" i="3"/>
  <c r="G1904" i="3" s="1"/>
  <c r="H1904" i="3" s="1"/>
  <c r="F1905" i="3"/>
  <c r="G1905" i="3" s="1"/>
  <c r="H1905" i="3" s="1"/>
  <c r="F1906" i="3"/>
  <c r="G1906" i="3" s="1"/>
  <c r="H1906" i="3" s="1"/>
  <c r="F1907" i="3"/>
  <c r="G1907" i="3" s="1"/>
  <c r="H1907" i="3" s="1"/>
  <c r="F1908" i="3"/>
  <c r="G1908" i="3" s="1"/>
  <c r="H1908" i="3" s="1"/>
  <c r="F1909" i="3"/>
  <c r="G1909" i="3" s="1"/>
  <c r="H1909" i="3" s="1"/>
  <c r="F1910" i="3"/>
  <c r="G1910" i="3" s="1"/>
  <c r="H1910" i="3" s="1"/>
  <c r="F1911" i="3"/>
  <c r="G1911" i="3" s="1"/>
  <c r="H1911" i="3" s="1"/>
  <c r="F1912" i="3"/>
  <c r="G1912" i="3" s="1"/>
  <c r="H1912" i="3" s="1"/>
  <c r="F1913" i="3"/>
  <c r="G1913" i="3" s="1"/>
  <c r="H1913" i="3" s="1"/>
  <c r="F1914" i="3"/>
  <c r="G1914" i="3" s="1"/>
  <c r="H1914" i="3" s="1"/>
  <c r="F1915" i="3"/>
  <c r="F1916" i="3"/>
  <c r="F1917" i="3"/>
  <c r="G1917" i="3" s="1"/>
  <c r="H1917" i="3" s="1"/>
  <c r="F1918" i="3"/>
  <c r="G1918" i="3" s="1"/>
  <c r="H1918" i="3" s="1"/>
  <c r="F1919" i="3"/>
  <c r="G1919" i="3" s="1"/>
  <c r="H1919" i="3" s="1"/>
  <c r="F1920" i="3"/>
  <c r="G1920" i="3" s="1"/>
  <c r="H1920" i="3" s="1"/>
  <c r="F1921" i="3"/>
  <c r="G1921" i="3" s="1"/>
  <c r="H1921" i="3" s="1"/>
  <c r="F1922" i="3"/>
  <c r="G1922" i="3" s="1"/>
  <c r="H1922" i="3" s="1"/>
  <c r="F1923" i="3"/>
  <c r="G1923" i="3" s="1"/>
  <c r="H1923" i="3" s="1"/>
  <c r="L789" i="3" s="1"/>
  <c r="F1924" i="3"/>
  <c r="G1924" i="3" s="1"/>
  <c r="H1924" i="3" s="1"/>
  <c r="F1925" i="3"/>
  <c r="G1925" i="3" s="1"/>
  <c r="H1925" i="3" s="1"/>
  <c r="F1926" i="3"/>
  <c r="G1926" i="3" s="1"/>
  <c r="H1926" i="3" s="1"/>
  <c r="F1927" i="3"/>
  <c r="G1927" i="3" s="1"/>
  <c r="H1927" i="3" s="1"/>
  <c r="F1928" i="3"/>
  <c r="G1928" i="3" s="1"/>
  <c r="H1928" i="3" s="1"/>
  <c r="F1929" i="3"/>
  <c r="G1929" i="3" s="1"/>
  <c r="H1929" i="3" s="1"/>
  <c r="F1930" i="3"/>
  <c r="G1930" i="3" s="1"/>
  <c r="H1930" i="3" s="1"/>
  <c r="L791" i="3" s="1"/>
  <c r="F1931" i="3"/>
  <c r="G1931" i="3" s="1"/>
  <c r="H1931" i="3" s="1"/>
  <c r="L792" i="3" s="1"/>
  <c r="F1932" i="3"/>
  <c r="G1932" i="3" s="1"/>
  <c r="H1932" i="3" s="1"/>
  <c r="F1933" i="3"/>
  <c r="G1933" i="3" s="1"/>
  <c r="H1933" i="3" s="1"/>
  <c r="F1934" i="3"/>
  <c r="G1934" i="3" s="1"/>
  <c r="H1934" i="3" s="1"/>
  <c r="F1935" i="3"/>
  <c r="G1935" i="3" s="1"/>
  <c r="H1935" i="3" s="1"/>
  <c r="F1936" i="3"/>
  <c r="G1936" i="3" s="1"/>
  <c r="H1936" i="3" s="1"/>
  <c r="F1937" i="3"/>
  <c r="G1937" i="3" s="1"/>
  <c r="H1937" i="3" s="1"/>
  <c r="F1938" i="3"/>
  <c r="G1938" i="3" s="1"/>
  <c r="H1938" i="3" s="1"/>
  <c r="F1939" i="3"/>
  <c r="G1939" i="3" s="1"/>
  <c r="H1939" i="3" s="1"/>
  <c r="F1940" i="3"/>
  <c r="G1940" i="3" s="1"/>
  <c r="H1940" i="3" s="1"/>
  <c r="F1941" i="3"/>
  <c r="G1941" i="3" s="1"/>
  <c r="H1941" i="3" s="1"/>
  <c r="F1942" i="3"/>
  <c r="G1942" i="3" s="1"/>
  <c r="H1942" i="3" s="1"/>
  <c r="F1943" i="3"/>
  <c r="G1943" i="3" s="1"/>
  <c r="H1943" i="3" s="1"/>
  <c r="F1944" i="3"/>
  <c r="G1944" i="3" s="1"/>
  <c r="H1944" i="3" s="1"/>
  <c r="F1945" i="3"/>
  <c r="G1945" i="3" s="1"/>
  <c r="H1945" i="3" s="1"/>
  <c r="F1946" i="3"/>
  <c r="G1946" i="3" s="1"/>
  <c r="H1946" i="3" s="1"/>
  <c r="F1947" i="3"/>
  <c r="G1947" i="3" s="1"/>
  <c r="H1947" i="3" s="1"/>
  <c r="L796" i="3" s="1"/>
  <c r="F1948" i="3"/>
  <c r="G1948" i="3" s="1"/>
  <c r="H1948" i="3" s="1"/>
  <c r="F1949" i="3"/>
  <c r="G1949" i="3" s="1"/>
  <c r="H1949" i="3" s="1"/>
  <c r="F1950" i="3"/>
  <c r="G1950" i="3" s="1"/>
  <c r="H1950" i="3" s="1"/>
  <c r="F1951" i="3"/>
  <c r="G1951" i="3" s="1"/>
  <c r="H1951" i="3" s="1"/>
  <c r="F1952" i="3"/>
  <c r="G1952" i="3" s="1"/>
  <c r="H1952" i="3" s="1"/>
  <c r="F1953" i="3"/>
  <c r="G1953" i="3" s="1"/>
  <c r="H1953" i="3" s="1"/>
  <c r="F1954" i="3"/>
  <c r="G1954" i="3" s="1"/>
  <c r="H1954" i="3" s="1"/>
  <c r="F1955" i="3"/>
  <c r="G1955" i="3" s="1"/>
  <c r="H1955" i="3" s="1"/>
  <c r="F1956" i="3"/>
  <c r="G1956" i="3" s="1"/>
  <c r="H1956" i="3" s="1"/>
  <c r="F1957" i="3"/>
  <c r="G1957" i="3" s="1"/>
  <c r="H1957" i="3" s="1"/>
  <c r="F1958" i="3"/>
  <c r="G1958" i="3" s="1"/>
  <c r="H1958" i="3" s="1"/>
  <c r="F1959" i="3"/>
  <c r="G1959" i="3" s="1"/>
  <c r="H1959" i="3" s="1"/>
  <c r="F1960" i="3"/>
  <c r="G1960" i="3" s="1"/>
  <c r="H1960" i="3" s="1"/>
  <c r="F1961" i="3"/>
  <c r="G1961" i="3" s="1"/>
  <c r="H1961" i="3" s="1"/>
  <c r="F1962" i="3"/>
  <c r="G1962" i="3" s="1"/>
  <c r="H1962" i="3" s="1"/>
  <c r="F1963" i="3"/>
  <c r="G1963" i="3" s="1"/>
  <c r="H1963" i="3" s="1"/>
  <c r="F1964" i="3"/>
  <c r="G1964" i="3" s="1"/>
  <c r="H1964" i="3" s="1"/>
  <c r="F1965" i="3"/>
  <c r="G1965" i="3" s="1"/>
  <c r="H1965" i="3" s="1"/>
  <c r="F1966" i="3"/>
  <c r="G1966" i="3" s="1"/>
  <c r="H1966" i="3" s="1"/>
  <c r="F1967" i="3"/>
  <c r="G1967" i="3" s="1"/>
  <c r="H1967" i="3" s="1"/>
  <c r="F1968" i="3"/>
  <c r="G1968" i="3" s="1"/>
  <c r="H1968" i="3" s="1"/>
  <c r="F1969" i="3"/>
  <c r="G1969" i="3" s="1"/>
  <c r="H1969" i="3" s="1"/>
  <c r="F1970" i="3"/>
  <c r="G1970" i="3" s="1"/>
  <c r="H1970" i="3" s="1"/>
  <c r="F1971" i="3"/>
  <c r="G1971" i="3" s="1"/>
  <c r="H1971" i="3" s="1"/>
  <c r="F1972" i="3"/>
  <c r="G1972" i="3" s="1"/>
  <c r="H1972" i="3" s="1"/>
  <c r="F1973" i="3"/>
  <c r="G1973" i="3" s="1"/>
  <c r="H1973" i="3" s="1"/>
  <c r="L805" i="3" s="1"/>
  <c r="F1974" i="3"/>
  <c r="G1974" i="3" s="1"/>
  <c r="H1974" i="3" s="1"/>
  <c r="L806" i="3" s="1"/>
  <c r="F1975" i="3"/>
  <c r="G1975" i="3" s="1"/>
  <c r="H1975" i="3" s="1"/>
  <c r="F1976" i="3"/>
  <c r="G1976" i="3" s="1"/>
  <c r="H1976" i="3" s="1"/>
  <c r="F1977" i="3"/>
  <c r="G1977" i="3" s="1"/>
  <c r="H1977" i="3" s="1"/>
  <c r="F1978" i="3"/>
  <c r="G1978" i="3" s="1"/>
  <c r="H1978" i="3" s="1"/>
  <c r="F1979" i="3"/>
  <c r="G1979" i="3" s="1"/>
  <c r="H1979" i="3" s="1"/>
  <c r="F1980" i="3"/>
  <c r="G1980" i="3" s="1"/>
  <c r="H1980" i="3" s="1"/>
  <c r="L808" i="3" s="1"/>
  <c r="F1981" i="3"/>
  <c r="G1981" i="3" s="1"/>
  <c r="H1981" i="3" s="1"/>
  <c r="F1982" i="3"/>
  <c r="G1982" i="3" s="1"/>
  <c r="H1982" i="3" s="1"/>
  <c r="F1983" i="3"/>
  <c r="G1983" i="3" s="1"/>
  <c r="H1983" i="3" s="1"/>
  <c r="L810" i="3" s="1"/>
  <c r="F1984" i="3"/>
  <c r="G1984" i="3" s="1"/>
  <c r="H1984" i="3" s="1"/>
  <c r="F1985" i="3"/>
  <c r="G1985" i="3" s="1"/>
  <c r="H1985" i="3" s="1"/>
  <c r="F1986" i="3"/>
  <c r="G1986" i="3" s="1"/>
  <c r="H1986" i="3" s="1"/>
  <c r="F1987" i="3"/>
  <c r="G1987" i="3" s="1"/>
  <c r="H1987" i="3" s="1"/>
  <c r="F1988" i="3"/>
  <c r="G1988" i="3" s="1"/>
  <c r="H1988" i="3" s="1"/>
  <c r="F1989" i="3"/>
  <c r="G1989" i="3" s="1"/>
  <c r="H1989" i="3" s="1"/>
  <c r="F1990" i="3"/>
  <c r="G1990" i="3" s="1"/>
  <c r="H1990" i="3" s="1"/>
  <c r="F1991" i="3"/>
  <c r="G1991" i="3" s="1"/>
  <c r="H1991" i="3" s="1"/>
  <c r="F1992" i="3"/>
  <c r="G1992" i="3" s="1"/>
  <c r="H1992" i="3" s="1"/>
  <c r="F1993" i="3"/>
  <c r="G1993" i="3" s="1"/>
  <c r="H1993" i="3" s="1"/>
  <c r="F1994" i="3"/>
  <c r="G1994" i="3" s="1"/>
  <c r="H1994" i="3" s="1"/>
  <c r="F1995" i="3"/>
  <c r="G1995" i="3" s="1"/>
  <c r="H1995" i="3" s="1"/>
  <c r="F1996" i="3"/>
  <c r="G1996" i="3" s="1"/>
  <c r="H1996" i="3" s="1"/>
  <c r="F1997" i="3"/>
  <c r="G1997" i="3" s="1"/>
  <c r="H1997" i="3" s="1"/>
  <c r="F1998" i="3"/>
  <c r="G1998" i="3" s="1"/>
  <c r="H1998" i="3" s="1"/>
  <c r="F1999" i="3"/>
  <c r="G1999" i="3" s="1"/>
  <c r="H1999" i="3" s="1"/>
  <c r="F2000" i="3"/>
  <c r="G2000" i="3" s="1"/>
  <c r="H2000" i="3" s="1"/>
  <c r="F2001" i="3"/>
  <c r="G2001" i="3" s="1"/>
  <c r="H2001" i="3" s="1"/>
  <c r="F2002" i="3"/>
  <c r="G2002" i="3" s="1"/>
  <c r="H2002" i="3" s="1"/>
  <c r="F2003" i="3"/>
  <c r="G2003" i="3" s="1"/>
  <c r="H2003" i="3" s="1"/>
  <c r="F2004" i="3"/>
  <c r="G2004" i="3" s="1"/>
  <c r="H2004" i="3" s="1"/>
  <c r="G2005" i="3"/>
  <c r="H2005" i="3" s="1"/>
  <c r="F2006" i="3"/>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Q146" i="8"/>
  <c r="P7" i="8"/>
  <c r="Q7" i="8" s="1"/>
  <c r="P8" i="8"/>
  <c r="Q8" i="8" s="1"/>
  <c r="P9" i="8"/>
  <c r="Q9" i="8" s="1"/>
  <c r="P10" i="8"/>
  <c r="Q10" i="8" s="1"/>
  <c r="P11" i="8"/>
  <c r="Q11" i="8" s="1"/>
  <c r="P12" i="8"/>
  <c r="Q12" i="8" s="1"/>
  <c r="P13" i="8"/>
  <c r="Q13" i="8" s="1"/>
  <c r="P14" i="8"/>
  <c r="Q14" i="8" s="1"/>
  <c r="P15" i="8"/>
  <c r="Q15" i="8" s="1"/>
  <c r="P16" i="8"/>
  <c r="Q16" i="8" s="1"/>
  <c r="P17" i="8"/>
  <c r="Q17" i="8" s="1"/>
  <c r="P18" i="8"/>
  <c r="Q18" i="8" s="1"/>
  <c r="P19" i="8"/>
  <c r="Q19" i="8" s="1"/>
  <c r="P20" i="8"/>
  <c r="Q20" i="8" s="1"/>
  <c r="P21" i="8"/>
  <c r="Q21" i="8" s="1"/>
  <c r="P22" i="8"/>
  <c r="Q22" i="8" s="1"/>
  <c r="P23" i="8"/>
  <c r="Q23" i="8" s="1"/>
  <c r="P24" i="8"/>
  <c r="Q24" i="8" s="1"/>
  <c r="P25" i="8"/>
  <c r="Q25" i="8" s="1"/>
  <c r="P26" i="8"/>
  <c r="Q26" i="8" s="1"/>
  <c r="P27" i="8"/>
  <c r="Q27" i="8" s="1"/>
  <c r="P28" i="8"/>
  <c r="Q28" i="8" s="1"/>
  <c r="P29" i="8"/>
  <c r="Q29" i="8" s="1"/>
  <c r="P30" i="8"/>
  <c r="Q30" i="8" s="1"/>
  <c r="P31" i="8"/>
  <c r="Q31" i="8" s="1"/>
  <c r="P32" i="8"/>
  <c r="Q32" i="8" s="1"/>
  <c r="P33" i="8"/>
  <c r="Q33" i="8" s="1"/>
  <c r="P34" i="8"/>
  <c r="Q34" i="8" s="1"/>
  <c r="P35" i="8"/>
  <c r="Q35" i="8" s="1"/>
  <c r="P36" i="8"/>
  <c r="Q36" i="8" s="1"/>
  <c r="P37" i="8"/>
  <c r="Q37" i="8" s="1"/>
  <c r="P38" i="8"/>
  <c r="Q38" i="8" s="1"/>
  <c r="P39" i="8"/>
  <c r="Q39" i="8" s="1"/>
  <c r="P40" i="8"/>
  <c r="Q40" i="8" s="1"/>
  <c r="P41" i="8"/>
  <c r="Q41" i="8" s="1"/>
  <c r="P42" i="8"/>
  <c r="Q42" i="8" s="1"/>
  <c r="P43" i="8"/>
  <c r="Q43" i="8" s="1"/>
  <c r="P44" i="8"/>
  <c r="Q44" i="8" s="1"/>
  <c r="P45" i="8"/>
  <c r="Q45" i="8" s="1"/>
  <c r="P46" i="8"/>
  <c r="Q46" i="8" s="1"/>
  <c r="P47" i="8"/>
  <c r="Q47" i="8" s="1"/>
  <c r="P48" i="8"/>
  <c r="Q48" i="8" s="1"/>
  <c r="P49" i="8"/>
  <c r="Q49" i="8" s="1"/>
  <c r="P50" i="8"/>
  <c r="Q50" i="8" s="1"/>
  <c r="P51" i="8"/>
  <c r="Q51" i="8" s="1"/>
  <c r="P52" i="8"/>
  <c r="Q52" i="8" s="1"/>
  <c r="P53" i="8"/>
  <c r="Q53" i="8" s="1"/>
  <c r="P54" i="8"/>
  <c r="Q54" i="8" s="1"/>
  <c r="P55" i="8"/>
  <c r="Q55" i="8" s="1"/>
  <c r="P56" i="8"/>
  <c r="Q56" i="8" s="1"/>
  <c r="P57" i="8"/>
  <c r="Q57" i="8" s="1"/>
  <c r="P58" i="8"/>
  <c r="Q58" i="8" s="1"/>
  <c r="P59" i="8"/>
  <c r="Q59" i="8" s="1"/>
  <c r="P60" i="8"/>
  <c r="Q60" i="8" s="1"/>
  <c r="P61" i="8"/>
  <c r="Q61" i="8" s="1"/>
  <c r="P62" i="8"/>
  <c r="Q62" i="8" s="1"/>
  <c r="P63" i="8"/>
  <c r="Q63" i="8" s="1"/>
  <c r="P64" i="8"/>
  <c r="Q64" i="8" s="1"/>
  <c r="P65" i="8"/>
  <c r="Q65" i="8" s="1"/>
  <c r="P66" i="8"/>
  <c r="Q66" i="8" s="1"/>
  <c r="P67" i="8"/>
  <c r="Q67" i="8" s="1"/>
  <c r="P68" i="8"/>
  <c r="Q68" i="8" s="1"/>
  <c r="P69" i="8"/>
  <c r="Q69" i="8" s="1"/>
  <c r="P70" i="8"/>
  <c r="Q70" i="8" s="1"/>
  <c r="P71" i="8"/>
  <c r="Q71" i="8" s="1"/>
  <c r="P72" i="8"/>
  <c r="Q72" i="8" s="1"/>
  <c r="P73" i="8"/>
  <c r="Q73" i="8" s="1"/>
  <c r="P74" i="8"/>
  <c r="Q74" i="8" s="1"/>
  <c r="P75" i="8"/>
  <c r="Q75" i="8" s="1"/>
  <c r="P76" i="8"/>
  <c r="Q76" i="8" s="1"/>
  <c r="P77" i="8"/>
  <c r="Q77" i="8" s="1"/>
  <c r="P78" i="8"/>
  <c r="Q78" i="8" s="1"/>
  <c r="P79" i="8"/>
  <c r="Q79" i="8" s="1"/>
  <c r="P80" i="8"/>
  <c r="Q80" i="8" s="1"/>
  <c r="P81" i="8"/>
  <c r="Q81" i="8" s="1"/>
  <c r="P82" i="8"/>
  <c r="Q82" i="8" s="1"/>
  <c r="P83" i="8"/>
  <c r="Q83" i="8" s="1"/>
  <c r="P84" i="8"/>
  <c r="Q84" i="8" s="1"/>
  <c r="P85" i="8"/>
  <c r="Q85" i="8" s="1"/>
  <c r="P86" i="8"/>
  <c r="Q86" i="8" s="1"/>
  <c r="P87" i="8"/>
  <c r="Q87" i="8" s="1"/>
  <c r="P88" i="8"/>
  <c r="Q88" i="8" s="1"/>
  <c r="P89" i="8"/>
  <c r="Q89" i="8" s="1"/>
  <c r="P90" i="8"/>
  <c r="Q90" i="8" s="1"/>
  <c r="P91" i="8"/>
  <c r="Q91" i="8" s="1"/>
  <c r="P92" i="8"/>
  <c r="Q92" i="8" s="1"/>
  <c r="P93" i="8"/>
  <c r="Q93" i="8" s="1"/>
  <c r="P94" i="8"/>
  <c r="Q94" i="8" s="1"/>
  <c r="P95" i="8"/>
  <c r="Q95" i="8" s="1"/>
  <c r="P96" i="8"/>
  <c r="Q96" i="8" s="1"/>
  <c r="P97" i="8"/>
  <c r="Q97" i="8" s="1"/>
  <c r="P98" i="8"/>
  <c r="Q98" i="8" s="1"/>
  <c r="P99" i="8"/>
  <c r="Q99" i="8" s="1"/>
  <c r="P100" i="8"/>
  <c r="Q100" i="8" s="1"/>
  <c r="P101" i="8"/>
  <c r="Q101" i="8" s="1"/>
  <c r="P102" i="8"/>
  <c r="Q102" i="8" s="1"/>
  <c r="P103" i="8"/>
  <c r="Q103" i="8" s="1"/>
  <c r="P104" i="8"/>
  <c r="Q104" i="8" s="1"/>
  <c r="P105" i="8"/>
  <c r="Q105" i="8" s="1"/>
  <c r="P106" i="8"/>
  <c r="Q106" i="8" s="1"/>
  <c r="P107" i="8"/>
  <c r="Q107" i="8" s="1"/>
  <c r="P108" i="8"/>
  <c r="Q108" i="8" s="1"/>
  <c r="P109" i="8"/>
  <c r="Q109" i="8" s="1"/>
  <c r="P110" i="8"/>
  <c r="Q110" i="8" s="1"/>
  <c r="P111" i="8"/>
  <c r="Q111" i="8" s="1"/>
  <c r="P112" i="8"/>
  <c r="Q112" i="8" s="1"/>
  <c r="P113" i="8"/>
  <c r="Q113" i="8" s="1"/>
  <c r="P114" i="8"/>
  <c r="Q114" i="8" s="1"/>
  <c r="P115" i="8"/>
  <c r="Q115" i="8" s="1"/>
  <c r="P116" i="8"/>
  <c r="Q116" i="8" s="1"/>
  <c r="P117" i="8"/>
  <c r="Q117" i="8" s="1"/>
  <c r="P118" i="8"/>
  <c r="Q118" i="8" s="1"/>
  <c r="P119" i="8"/>
  <c r="Q119" i="8" s="1"/>
  <c r="P120" i="8"/>
  <c r="Q120" i="8" s="1"/>
  <c r="P121" i="8"/>
  <c r="Q121" i="8" s="1"/>
  <c r="P122" i="8"/>
  <c r="Q122" i="8" s="1"/>
  <c r="P123" i="8"/>
  <c r="Q123" i="8" s="1"/>
  <c r="P124" i="8"/>
  <c r="Q124" i="8" s="1"/>
  <c r="P125" i="8"/>
  <c r="Q125" i="8" s="1"/>
  <c r="P126" i="8"/>
  <c r="Q126" i="8" s="1"/>
  <c r="P127" i="8"/>
  <c r="Q127" i="8" s="1"/>
  <c r="P128" i="8"/>
  <c r="Q128" i="8" s="1"/>
  <c r="P129" i="8"/>
  <c r="Q129" i="8" s="1"/>
  <c r="P130" i="8"/>
  <c r="Q130" i="8" s="1"/>
  <c r="P131" i="8"/>
  <c r="Q131" i="8" s="1"/>
  <c r="P132" i="8"/>
  <c r="Q132" i="8" s="1"/>
  <c r="P133" i="8"/>
  <c r="Q133" i="8" s="1"/>
  <c r="P134" i="8"/>
  <c r="Q134" i="8" s="1"/>
  <c r="P135" i="8"/>
  <c r="Q135" i="8" s="1"/>
  <c r="P136" i="8"/>
  <c r="Q136" i="8" s="1"/>
  <c r="P137" i="8"/>
  <c r="Q137" i="8" s="1"/>
  <c r="P138" i="8"/>
  <c r="Q138" i="8" s="1"/>
  <c r="P139" i="8"/>
  <c r="Q139" i="8" s="1"/>
  <c r="P140" i="8"/>
  <c r="Q140" i="8" s="1"/>
  <c r="P141" i="8"/>
  <c r="Q141" i="8" s="1"/>
  <c r="P142" i="8"/>
  <c r="Q142" i="8" s="1"/>
  <c r="P143" i="8"/>
  <c r="Q143" i="8" s="1"/>
  <c r="P144" i="8"/>
  <c r="Q144" i="8" s="1"/>
  <c r="P145" i="8"/>
  <c r="Q145" i="8" s="1"/>
  <c r="P146" i="8"/>
  <c r="P147" i="8"/>
  <c r="Q147" i="8" s="1"/>
  <c r="P148" i="8"/>
  <c r="Q148" i="8" s="1"/>
  <c r="P149" i="8"/>
  <c r="Q149" i="8" s="1"/>
  <c r="P150" i="8"/>
  <c r="Q150" i="8" s="1"/>
  <c r="P151" i="8"/>
  <c r="Q151" i="8" s="1"/>
  <c r="P152" i="8"/>
  <c r="Q152" i="8" s="1"/>
  <c r="P153" i="8"/>
  <c r="Q153" i="8" s="1"/>
  <c r="P154" i="8"/>
  <c r="Q154" i="8" s="1"/>
  <c r="P155" i="8"/>
  <c r="Q155" i="8" s="1"/>
  <c r="P156" i="8"/>
  <c r="Q156" i="8" s="1"/>
  <c r="P157" i="8"/>
  <c r="Q157" i="8" s="1"/>
  <c r="P158" i="8"/>
  <c r="Q158" i="8" s="1"/>
  <c r="P159" i="8"/>
  <c r="Q159" i="8" s="1"/>
  <c r="P160" i="8"/>
  <c r="Q160" i="8" s="1"/>
  <c r="P161" i="8"/>
  <c r="Q161" i="8" s="1"/>
  <c r="P162" i="8"/>
  <c r="Q162" i="8" s="1"/>
  <c r="P163" i="8"/>
  <c r="Q163" i="8" s="1"/>
  <c r="P164" i="8"/>
  <c r="Q164" i="8" s="1"/>
  <c r="P165" i="8"/>
  <c r="Q165" i="8" s="1"/>
  <c r="P166" i="8"/>
  <c r="Q166" i="8" s="1"/>
  <c r="P167" i="8"/>
  <c r="Q167" i="8" s="1"/>
  <c r="P168" i="8"/>
  <c r="Q168" i="8" s="1"/>
  <c r="P169" i="8"/>
  <c r="Q169" i="8" s="1"/>
  <c r="P170" i="8"/>
  <c r="Q170" i="8" s="1"/>
  <c r="P171" i="8"/>
  <c r="Q171" i="8" s="1"/>
  <c r="P172" i="8"/>
  <c r="Q172" i="8" s="1"/>
  <c r="P173" i="8"/>
  <c r="Q173" i="8" s="1"/>
  <c r="P174" i="8"/>
  <c r="Q174" i="8" s="1"/>
  <c r="P175" i="8"/>
  <c r="Q175" i="8" s="1"/>
  <c r="P176" i="8"/>
  <c r="Q176" i="8" s="1"/>
  <c r="P177" i="8"/>
  <c r="Q177" i="8" s="1"/>
  <c r="P178" i="8"/>
  <c r="Q178" i="8" s="1"/>
  <c r="P179" i="8"/>
  <c r="Q179" i="8" s="1"/>
  <c r="P180" i="8"/>
  <c r="Q180" i="8" s="1"/>
  <c r="P181" i="8"/>
  <c r="Q181" i="8" s="1"/>
  <c r="P182" i="8"/>
  <c r="Q182" i="8" s="1"/>
  <c r="P183" i="8"/>
  <c r="Q183" i="8" s="1"/>
  <c r="P184" i="8"/>
  <c r="Q184" i="8" s="1"/>
  <c r="P185" i="8"/>
  <c r="Q185" i="8" s="1"/>
  <c r="P186" i="8"/>
  <c r="Q186" i="8" s="1"/>
  <c r="P187" i="8"/>
  <c r="Q187" i="8" s="1"/>
  <c r="P188" i="8"/>
  <c r="Q188" i="8" s="1"/>
  <c r="P189" i="8"/>
  <c r="Q189" i="8" s="1"/>
  <c r="P190" i="8"/>
  <c r="Q190" i="8" s="1"/>
  <c r="P191" i="8"/>
  <c r="Q191" i="8" s="1"/>
  <c r="P192" i="8"/>
  <c r="Q192" i="8" s="1"/>
  <c r="P193" i="8"/>
  <c r="Q193" i="8" s="1"/>
  <c r="P194" i="8"/>
  <c r="Q194" i="8" s="1"/>
  <c r="P195" i="8"/>
  <c r="Q195" i="8" s="1"/>
  <c r="P196" i="8"/>
  <c r="Q196" i="8" s="1"/>
  <c r="P197" i="8"/>
  <c r="Q197" i="8" s="1"/>
  <c r="P198" i="8"/>
  <c r="Q198" i="8" s="1"/>
  <c r="P199" i="8"/>
  <c r="Q199" i="8" s="1"/>
  <c r="P200" i="8"/>
  <c r="Q200" i="8" s="1"/>
  <c r="P201" i="8"/>
  <c r="Q201" i="8" s="1"/>
  <c r="P202" i="8"/>
  <c r="Q202" i="8" s="1"/>
  <c r="P203" i="8"/>
  <c r="Q203" i="8" s="1"/>
  <c r="P204" i="8"/>
  <c r="Q204" i="8" s="1"/>
  <c r="P205" i="8"/>
  <c r="Q205" i="8" s="1"/>
  <c r="P206" i="8"/>
  <c r="Q206" i="8" s="1"/>
  <c r="P207" i="8"/>
  <c r="Q207" i="8" s="1"/>
  <c r="P208" i="8"/>
  <c r="Q208" i="8" s="1"/>
  <c r="P209" i="8"/>
  <c r="Q209" i="8" s="1"/>
  <c r="P210" i="8"/>
  <c r="Q210" i="8" s="1"/>
  <c r="P211" i="8"/>
  <c r="Q211" i="8" s="1"/>
  <c r="P212" i="8"/>
  <c r="Q212" i="8" s="1"/>
  <c r="P213" i="8"/>
  <c r="Q213" i="8" s="1"/>
  <c r="P214" i="8"/>
  <c r="Q214" i="8" s="1"/>
  <c r="P215" i="8"/>
  <c r="Q215" i="8" s="1"/>
  <c r="P216" i="8"/>
  <c r="Q216" i="8" s="1"/>
  <c r="P217" i="8"/>
  <c r="Q217" i="8" s="1"/>
  <c r="P218" i="8"/>
  <c r="Q218" i="8" s="1"/>
  <c r="P219" i="8"/>
  <c r="Q219" i="8" s="1"/>
  <c r="P220" i="8"/>
  <c r="Q220" i="8" s="1"/>
  <c r="P221" i="8"/>
  <c r="Q221" i="8" s="1"/>
  <c r="P222" i="8"/>
  <c r="Q222" i="8" s="1"/>
  <c r="P223" i="8"/>
  <c r="Q223" i="8" s="1"/>
  <c r="P224" i="8"/>
  <c r="Q224" i="8" s="1"/>
  <c r="P225" i="8"/>
  <c r="Q225" i="8" s="1"/>
  <c r="P226" i="8"/>
  <c r="Q226" i="8" s="1"/>
  <c r="P227" i="8"/>
  <c r="Q227" i="8" s="1"/>
  <c r="P228" i="8"/>
  <c r="Q228" i="8" s="1"/>
  <c r="P229" i="8"/>
  <c r="Q229" i="8" s="1"/>
  <c r="P230" i="8"/>
  <c r="Q230" i="8" s="1"/>
  <c r="P231" i="8"/>
  <c r="Q231" i="8" s="1"/>
  <c r="P232" i="8"/>
  <c r="Q232" i="8" s="1"/>
  <c r="P233" i="8"/>
  <c r="Q233" i="8" s="1"/>
  <c r="P234" i="8"/>
  <c r="Q234" i="8" s="1"/>
  <c r="P235" i="8"/>
  <c r="Q235" i="8" s="1"/>
  <c r="P236" i="8"/>
  <c r="Q236" i="8" s="1"/>
  <c r="P237" i="8"/>
  <c r="Q237" i="8" s="1"/>
  <c r="P238" i="8"/>
  <c r="Q238" i="8" s="1"/>
  <c r="P239" i="8"/>
  <c r="Q239" i="8" s="1"/>
  <c r="P240" i="8"/>
  <c r="Q240" i="8" s="1"/>
  <c r="P241" i="8"/>
  <c r="Q241" i="8" s="1"/>
  <c r="P242" i="8"/>
  <c r="Q242" i="8" s="1"/>
  <c r="P243" i="8"/>
  <c r="Q243" i="8" s="1"/>
  <c r="P244" i="8"/>
  <c r="Q244" i="8" s="1"/>
  <c r="P245" i="8"/>
  <c r="Q245" i="8" s="1"/>
  <c r="P246" i="8"/>
  <c r="Q246" i="8" s="1"/>
  <c r="P247" i="8"/>
  <c r="Q247" i="8" s="1"/>
  <c r="P248" i="8"/>
  <c r="Q248" i="8" s="1"/>
  <c r="P249" i="8"/>
  <c r="Q249" i="8" s="1"/>
  <c r="P250" i="8"/>
  <c r="Q250" i="8" s="1"/>
  <c r="P251" i="8"/>
  <c r="Q251" i="8" s="1"/>
  <c r="P252" i="8"/>
  <c r="Q252" i="8" s="1"/>
  <c r="P253" i="8"/>
  <c r="Q253" i="8" s="1"/>
  <c r="P254" i="8"/>
  <c r="Q254" i="8" s="1"/>
  <c r="P255" i="8"/>
  <c r="Q255" i="8" s="1"/>
  <c r="P256" i="8"/>
  <c r="Q256" i="8" s="1"/>
  <c r="P257" i="8"/>
  <c r="Q257" i="8" s="1"/>
  <c r="P258" i="8"/>
  <c r="Q258" i="8" s="1"/>
  <c r="P259" i="8"/>
  <c r="Q259" i="8" s="1"/>
  <c r="P260" i="8"/>
  <c r="Q260" i="8" s="1"/>
  <c r="P261" i="8"/>
  <c r="Q261" i="8" s="1"/>
  <c r="P262" i="8"/>
  <c r="Q262" i="8" s="1"/>
  <c r="P263" i="8"/>
  <c r="Q263" i="8" s="1"/>
  <c r="P264" i="8"/>
  <c r="Q264" i="8" s="1"/>
  <c r="P265" i="8"/>
  <c r="Q265" i="8" s="1"/>
  <c r="P266" i="8"/>
  <c r="Q266" i="8" s="1"/>
  <c r="P267" i="8"/>
  <c r="Q267" i="8" s="1"/>
  <c r="P268" i="8"/>
  <c r="Q268" i="8" s="1"/>
  <c r="P269" i="8"/>
  <c r="Q269" i="8" s="1"/>
  <c r="P270" i="8"/>
  <c r="Q270" i="8" s="1"/>
  <c r="P271" i="8"/>
  <c r="Q271" i="8" s="1"/>
  <c r="P272" i="8"/>
  <c r="Q272" i="8" s="1"/>
  <c r="P273" i="8"/>
  <c r="Q273" i="8" s="1"/>
  <c r="P274" i="8"/>
  <c r="Q274" i="8" s="1"/>
  <c r="P275" i="8"/>
  <c r="Q275" i="8" s="1"/>
  <c r="P276" i="8"/>
  <c r="Q276" i="8" s="1"/>
  <c r="P277" i="8"/>
  <c r="Q277" i="8" s="1"/>
  <c r="P278" i="8"/>
  <c r="Q278" i="8" s="1"/>
  <c r="P279" i="8"/>
  <c r="Q279" i="8" s="1"/>
  <c r="P280" i="8"/>
  <c r="Q280" i="8" s="1"/>
  <c r="P281" i="8"/>
  <c r="Q281" i="8" s="1"/>
  <c r="P282" i="8"/>
  <c r="Q282" i="8" s="1"/>
  <c r="P283" i="8"/>
  <c r="Q283" i="8" s="1"/>
  <c r="P284" i="8"/>
  <c r="Q284" i="8" s="1"/>
  <c r="P285" i="8"/>
  <c r="Q285" i="8" s="1"/>
  <c r="P286" i="8"/>
  <c r="Q286" i="8" s="1"/>
  <c r="P287" i="8"/>
  <c r="Q287" i="8" s="1"/>
  <c r="P288" i="8"/>
  <c r="Q288" i="8" s="1"/>
  <c r="P289" i="8"/>
  <c r="Q289" i="8" s="1"/>
  <c r="P290" i="8"/>
  <c r="Q290" i="8" s="1"/>
  <c r="P291" i="8"/>
  <c r="Q291" i="8" s="1"/>
  <c r="P292" i="8"/>
  <c r="Q292" i="8" s="1"/>
  <c r="P293" i="8"/>
  <c r="Q293" i="8" s="1"/>
  <c r="P294" i="8"/>
  <c r="Q294" i="8" s="1"/>
  <c r="P295" i="8"/>
  <c r="Q295" i="8" s="1"/>
  <c r="P296" i="8"/>
  <c r="Q296" i="8" s="1"/>
  <c r="P297" i="8"/>
  <c r="Q297" i="8" s="1"/>
  <c r="P298" i="8"/>
  <c r="Q298" i="8" s="1"/>
  <c r="P299" i="8"/>
  <c r="Q299" i="8" s="1"/>
  <c r="P300" i="8"/>
  <c r="Q300" i="8" s="1"/>
  <c r="P301" i="8"/>
  <c r="Q301" i="8" s="1"/>
  <c r="P302" i="8"/>
  <c r="Q302" i="8" s="1"/>
  <c r="P303" i="8"/>
  <c r="Q303" i="8" s="1"/>
  <c r="P304" i="8"/>
  <c r="Q304" i="8" s="1"/>
  <c r="P305" i="8"/>
  <c r="Q305" i="8" s="1"/>
  <c r="P306" i="8"/>
  <c r="Q306" i="8" s="1"/>
  <c r="P307" i="8"/>
  <c r="Q307" i="8" s="1"/>
  <c r="P308" i="8"/>
  <c r="Q308" i="8" s="1"/>
  <c r="P309" i="8"/>
  <c r="Q309" i="8" s="1"/>
  <c r="P310" i="8"/>
  <c r="Q310" i="8" s="1"/>
  <c r="P311" i="8"/>
  <c r="Q311" i="8" s="1"/>
  <c r="P312" i="8"/>
  <c r="Q312" i="8" s="1"/>
  <c r="P313" i="8"/>
  <c r="Q313" i="8" s="1"/>
  <c r="P314" i="8"/>
  <c r="Q314" i="8" s="1"/>
  <c r="P315" i="8"/>
  <c r="Q315" i="8" s="1"/>
  <c r="P316" i="8"/>
  <c r="Q316" i="8" s="1"/>
  <c r="P317" i="8"/>
  <c r="Q317" i="8" s="1"/>
  <c r="P318" i="8"/>
  <c r="Q318" i="8" s="1"/>
  <c r="P319" i="8"/>
  <c r="Q319" i="8" s="1"/>
  <c r="P320" i="8"/>
  <c r="Q320" i="8" s="1"/>
  <c r="P321" i="8"/>
  <c r="Q321" i="8" s="1"/>
  <c r="P322" i="8"/>
  <c r="Q322" i="8" s="1"/>
  <c r="P323" i="8"/>
  <c r="Q323" i="8" s="1"/>
  <c r="P324" i="8"/>
  <c r="Q324" i="8" s="1"/>
  <c r="P325" i="8"/>
  <c r="Q325" i="8" s="1"/>
  <c r="P326" i="8"/>
  <c r="Q326" i="8" s="1"/>
  <c r="P327" i="8"/>
  <c r="Q327" i="8" s="1"/>
  <c r="P328" i="8"/>
  <c r="Q328" i="8" s="1"/>
  <c r="P329" i="8"/>
  <c r="Q329" i="8" s="1"/>
  <c r="P330" i="8"/>
  <c r="Q330" i="8" s="1"/>
  <c r="P331" i="8"/>
  <c r="Q331" i="8" s="1"/>
  <c r="P332" i="8"/>
  <c r="Q332" i="8" s="1"/>
  <c r="P333" i="8"/>
  <c r="Q333" i="8" s="1"/>
  <c r="P334" i="8"/>
  <c r="Q334" i="8" s="1"/>
  <c r="P335" i="8"/>
  <c r="Q335" i="8" s="1"/>
  <c r="P336" i="8"/>
  <c r="Q336" i="8" s="1"/>
  <c r="P337" i="8"/>
  <c r="Q337" i="8" s="1"/>
  <c r="P338" i="8"/>
  <c r="Q338" i="8" s="1"/>
  <c r="P339" i="8"/>
  <c r="Q339" i="8" s="1"/>
  <c r="P340" i="8"/>
  <c r="Q340" i="8" s="1"/>
  <c r="P341" i="8"/>
  <c r="Q341" i="8" s="1"/>
  <c r="P342" i="8"/>
  <c r="Q342" i="8" s="1"/>
  <c r="P343" i="8"/>
  <c r="Q343" i="8" s="1"/>
  <c r="P344" i="8"/>
  <c r="Q344" i="8" s="1"/>
  <c r="P345" i="8"/>
  <c r="Q345" i="8" s="1"/>
  <c r="P346" i="8"/>
  <c r="Q346" i="8" s="1"/>
  <c r="P347" i="8"/>
  <c r="Q347" i="8" s="1"/>
  <c r="P348" i="8"/>
  <c r="Q348" i="8" s="1"/>
  <c r="P349" i="8"/>
  <c r="Q349" i="8" s="1"/>
  <c r="P350" i="8"/>
  <c r="Q350" i="8" s="1"/>
  <c r="P351" i="8"/>
  <c r="Q351" i="8" s="1"/>
  <c r="P352" i="8"/>
  <c r="Q352" i="8" s="1"/>
  <c r="P353" i="8"/>
  <c r="Q353" i="8" s="1"/>
  <c r="P354" i="8"/>
  <c r="Q354" i="8" s="1"/>
  <c r="P355" i="8"/>
  <c r="Q355" i="8" s="1"/>
  <c r="P356" i="8"/>
  <c r="Q356" i="8" s="1"/>
  <c r="P357" i="8"/>
  <c r="Q357" i="8" s="1"/>
  <c r="P358" i="8"/>
  <c r="Q358" i="8" s="1"/>
  <c r="P359" i="8"/>
  <c r="Q359" i="8" s="1"/>
  <c r="P360" i="8"/>
  <c r="Q360" i="8" s="1"/>
  <c r="P361" i="8"/>
  <c r="Q361" i="8" s="1"/>
  <c r="P362" i="8"/>
  <c r="Q362" i="8" s="1"/>
  <c r="P363" i="8"/>
  <c r="Q363" i="8" s="1"/>
  <c r="P364" i="8"/>
  <c r="Q364" i="8" s="1"/>
  <c r="P365" i="8"/>
  <c r="Q365" i="8" s="1"/>
  <c r="P366" i="8"/>
  <c r="Q366" i="8" s="1"/>
  <c r="P367" i="8"/>
  <c r="Q367" i="8" s="1"/>
  <c r="P368" i="8"/>
  <c r="Q368" i="8" s="1"/>
  <c r="P369" i="8"/>
  <c r="Q369" i="8" s="1"/>
  <c r="P370" i="8"/>
  <c r="Q370" i="8" s="1"/>
  <c r="P371" i="8"/>
  <c r="Q371" i="8" s="1"/>
  <c r="P372" i="8"/>
  <c r="Q372" i="8" s="1"/>
  <c r="P373" i="8"/>
  <c r="Q373" i="8" s="1"/>
  <c r="P374" i="8"/>
  <c r="Q374" i="8" s="1"/>
  <c r="P375" i="8"/>
  <c r="Q375" i="8" s="1"/>
  <c r="P376" i="8"/>
  <c r="Q376" i="8" s="1"/>
  <c r="P377" i="8"/>
  <c r="Q377" i="8" s="1"/>
  <c r="P378" i="8"/>
  <c r="Q378" i="8" s="1"/>
  <c r="P379" i="8"/>
  <c r="Q379" i="8" s="1"/>
  <c r="P380" i="8"/>
  <c r="Q380" i="8" s="1"/>
  <c r="P381" i="8"/>
  <c r="Q381" i="8" s="1"/>
  <c r="P382" i="8"/>
  <c r="Q382" i="8" s="1"/>
  <c r="P383" i="8"/>
  <c r="Q383" i="8" s="1"/>
  <c r="P384" i="8"/>
  <c r="Q384" i="8" s="1"/>
  <c r="P385" i="8"/>
  <c r="Q385" i="8" s="1"/>
  <c r="P386" i="8"/>
  <c r="Q386" i="8" s="1"/>
  <c r="P387" i="8"/>
  <c r="Q387" i="8" s="1"/>
  <c r="P388" i="8"/>
  <c r="Q388" i="8" s="1"/>
  <c r="P389" i="8"/>
  <c r="Q389" i="8" s="1"/>
  <c r="P390" i="8"/>
  <c r="Q390" i="8" s="1"/>
  <c r="P391" i="8"/>
  <c r="Q391" i="8" s="1"/>
  <c r="P392" i="8"/>
  <c r="Q392" i="8" s="1"/>
  <c r="P393" i="8"/>
  <c r="Q393" i="8" s="1"/>
  <c r="P394" i="8"/>
  <c r="Q394" i="8" s="1"/>
  <c r="P395" i="8"/>
  <c r="Q395" i="8" s="1"/>
  <c r="P396" i="8"/>
  <c r="Q396" i="8" s="1"/>
  <c r="P397" i="8"/>
  <c r="Q397" i="8" s="1"/>
  <c r="P398" i="8"/>
  <c r="Q398" i="8" s="1"/>
  <c r="P399" i="8"/>
  <c r="Q399" i="8" s="1"/>
  <c r="P400" i="8"/>
  <c r="Q400" i="8" s="1"/>
  <c r="P401" i="8"/>
  <c r="Q401" i="8" s="1"/>
  <c r="P402" i="8"/>
  <c r="Q402" i="8" s="1"/>
  <c r="P403" i="8"/>
  <c r="Q403" i="8" s="1"/>
  <c r="P404" i="8"/>
  <c r="Q404" i="8" s="1"/>
  <c r="P405" i="8"/>
  <c r="Q405" i="8" s="1"/>
  <c r="P406" i="8"/>
  <c r="Q406" i="8" s="1"/>
  <c r="P407" i="8"/>
  <c r="Q407" i="8" s="1"/>
  <c r="P408" i="8"/>
  <c r="Q408" i="8" s="1"/>
  <c r="P409" i="8"/>
  <c r="Q409" i="8" s="1"/>
  <c r="P410" i="8"/>
  <c r="Q410" i="8" s="1"/>
  <c r="P411" i="8"/>
  <c r="Q411" i="8" s="1"/>
  <c r="P412" i="8"/>
  <c r="Q412" i="8" s="1"/>
  <c r="P413" i="8"/>
  <c r="Q413" i="8" s="1"/>
  <c r="P414" i="8"/>
  <c r="Q414" i="8" s="1"/>
  <c r="P415" i="8"/>
  <c r="Q415" i="8" s="1"/>
  <c r="P416" i="8"/>
  <c r="Q416" i="8" s="1"/>
  <c r="P417" i="8"/>
  <c r="Q417" i="8" s="1"/>
  <c r="P418" i="8"/>
  <c r="Q418" i="8" s="1"/>
  <c r="P419" i="8"/>
  <c r="Q419" i="8" s="1"/>
  <c r="P420" i="8"/>
  <c r="Q420" i="8" s="1"/>
  <c r="P421" i="8"/>
  <c r="Q421" i="8" s="1"/>
  <c r="P422" i="8"/>
  <c r="Q422" i="8" s="1"/>
  <c r="P423" i="8"/>
  <c r="Q423" i="8" s="1"/>
  <c r="P424" i="8"/>
  <c r="Q424" i="8" s="1"/>
  <c r="P425" i="8"/>
  <c r="Q425" i="8" s="1"/>
  <c r="P426" i="8"/>
  <c r="Q426" i="8" s="1"/>
  <c r="P427" i="8"/>
  <c r="Q427" i="8" s="1"/>
  <c r="P428" i="8"/>
  <c r="Q428" i="8" s="1"/>
  <c r="P429" i="8"/>
  <c r="Q429" i="8" s="1"/>
  <c r="P430" i="8"/>
  <c r="Q430" i="8" s="1"/>
  <c r="P431" i="8"/>
  <c r="Q431" i="8" s="1"/>
  <c r="P432" i="8"/>
  <c r="Q432" i="8" s="1"/>
  <c r="P433" i="8"/>
  <c r="Q433" i="8" s="1"/>
  <c r="P434" i="8"/>
  <c r="Q434" i="8" s="1"/>
  <c r="P435" i="8"/>
  <c r="Q435" i="8" s="1"/>
  <c r="P436" i="8"/>
  <c r="Q436" i="8" s="1"/>
  <c r="P437" i="8"/>
  <c r="Q437" i="8" s="1"/>
  <c r="P438" i="8"/>
  <c r="Q438" i="8" s="1"/>
  <c r="P439" i="8"/>
  <c r="Q439" i="8" s="1"/>
  <c r="P440" i="8"/>
  <c r="Q440" i="8" s="1"/>
  <c r="P441" i="8"/>
  <c r="Q441" i="8" s="1"/>
  <c r="P442" i="8"/>
  <c r="Q442" i="8" s="1"/>
  <c r="P443" i="8"/>
  <c r="Q443" i="8" s="1"/>
  <c r="P444" i="8"/>
  <c r="Q444" i="8" s="1"/>
  <c r="P445" i="8"/>
  <c r="Q445" i="8" s="1"/>
  <c r="P446" i="8"/>
  <c r="Q446" i="8" s="1"/>
  <c r="P447" i="8"/>
  <c r="Q447" i="8" s="1"/>
  <c r="P448" i="8"/>
  <c r="Q448" i="8" s="1"/>
  <c r="P449" i="8"/>
  <c r="Q449" i="8" s="1"/>
  <c r="P450" i="8"/>
  <c r="Q450" i="8" s="1"/>
  <c r="P451" i="8"/>
  <c r="Q451" i="8" s="1"/>
  <c r="P452" i="8"/>
  <c r="Q452" i="8" s="1"/>
  <c r="P453" i="8"/>
  <c r="Q453" i="8" s="1"/>
  <c r="P454" i="8"/>
  <c r="Q454" i="8" s="1"/>
  <c r="P455" i="8"/>
  <c r="Q455" i="8" s="1"/>
  <c r="P456" i="8"/>
  <c r="Q456" i="8" s="1"/>
  <c r="P457" i="8"/>
  <c r="Q457" i="8" s="1"/>
  <c r="P458" i="8"/>
  <c r="Q458" i="8" s="1"/>
  <c r="P459" i="8"/>
  <c r="Q459" i="8" s="1"/>
  <c r="P460" i="8"/>
  <c r="Q460" i="8" s="1"/>
  <c r="P461" i="8"/>
  <c r="Q461" i="8" s="1"/>
  <c r="P462" i="8"/>
  <c r="Q462" i="8" s="1"/>
  <c r="P463" i="8"/>
  <c r="Q463" i="8" s="1"/>
  <c r="P464" i="8"/>
  <c r="Q464" i="8" s="1"/>
  <c r="P465" i="8"/>
  <c r="Q465" i="8" s="1"/>
  <c r="P466" i="8"/>
  <c r="Q466" i="8" s="1"/>
  <c r="P467" i="8"/>
  <c r="Q467" i="8" s="1"/>
  <c r="P468" i="8"/>
  <c r="Q468" i="8" s="1"/>
  <c r="P469" i="8"/>
  <c r="Q469" i="8" s="1"/>
  <c r="P470" i="8"/>
  <c r="Q470" i="8" s="1"/>
  <c r="P471" i="8"/>
  <c r="Q471" i="8" s="1"/>
  <c r="P472" i="8"/>
  <c r="Q472" i="8" s="1"/>
  <c r="P473" i="8"/>
  <c r="Q473" i="8" s="1"/>
  <c r="P474" i="8"/>
  <c r="Q474" i="8" s="1"/>
  <c r="P475" i="8"/>
  <c r="Q475" i="8" s="1"/>
  <c r="P476" i="8"/>
  <c r="Q476" i="8" s="1"/>
  <c r="P477" i="8"/>
  <c r="Q477" i="8" s="1"/>
  <c r="P478" i="8"/>
  <c r="Q478" i="8" s="1"/>
  <c r="P479" i="8"/>
  <c r="Q479" i="8" s="1"/>
  <c r="P480" i="8"/>
  <c r="Q480" i="8" s="1"/>
  <c r="P481" i="8"/>
  <c r="Q481" i="8" s="1"/>
  <c r="P482" i="8"/>
  <c r="Q482" i="8" s="1"/>
  <c r="P483" i="8"/>
  <c r="Q483" i="8" s="1"/>
  <c r="P484" i="8"/>
  <c r="Q484" i="8" s="1"/>
  <c r="P485" i="8"/>
  <c r="Q485" i="8" s="1"/>
  <c r="P486" i="8"/>
  <c r="Q486" i="8" s="1"/>
  <c r="P487" i="8"/>
  <c r="Q487" i="8" s="1"/>
  <c r="P488" i="8"/>
  <c r="Q488" i="8" s="1"/>
  <c r="P489" i="8"/>
  <c r="Q489" i="8" s="1"/>
  <c r="P490" i="8"/>
  <c r="Q490" i="8" s="1"/>
  <c r="P491" i="8"/>
  <c r="Q491" i="8" s="1"/>
  <c r="P492" i="8"/>
  <c r="Q492" i="8" s="1"/>
  <c r="P493" i="8"/>
  <c r="Q493" i="8" s="1"/>
  <c r="P494" i="8"/>
  <c r="Q494" i="8" s="1"/>
  <c r="P495" i="8"/>
  <c r="Q495" i="8" s="1"/>
  <c r="P496" i="8"/>
  <c r="Q496" i="8" s="1"/>
  <c r="P497" i="8"/>
  <c r="Q497" i="8" s="1"/>
  <c r="P498" i="8"/>
  <c r="Q498" i="8" s="1"/>
  <c r="P499" i="8"/>
  <c r="Q499" i="8" s="1"/>
  <c r="P500" i="8"/>
  <c r="Q500" i="8" s="1"/>
  <c r="P501" i="8"/>
  <c r="Q501" i="8" s="1"/>
  <c r="P502" i="8"/>
  <c r="Q502" i="8" s="1"/>
  <c r="P503" i="8"/>
  <c r="Q503" i="8" s="1"/>
  <c r="P504" i="8"/>
  <c r="Q504" i="8" s="1"/>
  <c r="P505" i="8"/>
  <c r="Q505" i="8" s="1"/>
  <c r="P506" i="8"/>
  <c r="Q506" i="8" s="1"/>
  <c r="P507" i="8"/>
  <c r="Q507" i="8" s="1"/>
  <c r="P508" i="8"/>
  <c r="Q508" i="8" s="1"/>
  <c r="P509" i="8"/>
  <c r="Q509" i="8" s="1"/>
  <c r="P510" i="8"/>
  <c r="Q510" i="8" s="1"/>
  <c r="P511" i="8"/>
  <c r="Q511" i="8" s="1"/>
  <c r="P512" i="8"/>
  <c r="Q512" i="8" s="1"/>
  <c r="P513" i="8"/>
  <c r="Q513" i="8" s="1"/>
  <c r="P514" i="8"/>
  <c r="Q514" i="8" s="1"/>
  <c r="P515" i="8"/>
  <c r="Q515" i="8" s="1"/>
  <c r="P516" i="8"/>
  <c r="Q516" i="8" s="1"/>
  <c r="P517" i="8"/>
  <c r="Q517" i="8" s="1"/>
  <c r="P518" i="8"/>
  <c r="Q518" i="8" s="1"/>
  <c r="P519" i="8"/>
  <c r="Q519" i="8" s="1"/>
  <c r="P520" i="8"/>
  <c r="Q520" i="8" s="1"/>
  <c r="P521" i="8"/>
  <c r="Q521" i="8" s="1"/>
  <c r="P522" i="8"/>
  <c r="Q522" i="8" s="1"/>
  <c r="P523" i="8"/>
  <c r="Q523" i="8" s="1"/>
  <c r="P524" i="8"/>
  <c r="Q524" i="8" s="1"/>
  <c r="P525" i="8"/>
  <c r="Q525" i="8" s="1"/>
  <c r="P526" i="8"/>
  <c r="Q526" i="8" s="1"/>
  <c r="P527" i="8"/>
  <c r="Q527" i="8" s="1"/>
  <c r="P528" i="8"/>
  <c r="Q528" i="8" s="1"/>
  <c r="P529" i="8"/>
  <c r="Q529" i="8" s="1"/>
  <c r="P530" i="8"/>
  <c r="Q530" i="8" s="1"/>
  <c r="P531" i="8"/>
  <c r="Q531" i="8" s="1"/>
  <c r="P532" i="8"/>
  <c r="Q532" i="8" s="1"/>
  <c r="P533" i="8"/>
  <c r="Q533" i="8" s="1"/>
  <c r="P534" i="8"/>
  <c r="Q534" i="8" s="1"/>
  <c r="P535" i="8"/>
  <c r="Q535" i="8" s="1"/>
  <c r="P536" i="8"/>
  <c r="Q536" i="8" s="1"/>
  <c r="P537" i="8"/>
  <c r="Q537" i="8" s="1"/>
  <c r="P538" i="8"/>
  <c r="Q538" i="8" s="1"/>
  <c r="P539" i="8"/>
  <c r="Q539" i="8" s="1"/>
  <c r="P540" i="8"/>
  <c r="Q540" i="8" s="1"/>
  <c r="P541" i="8"/>
  <c r="Q541" i="8" s="1"/>
  <c r="P542" i="8"/>
  <c r="Q542" i="8" s="1"/>
  <c r="P543" i="8"/>
  <c r="Q543" i="8" s="1"/>
  <c r="P544" i="8"/>
  <c r="Q544" i="8" s="1"/>
  <c r="P545" i="8"/>
  <c r="Q545" i="8" s="1"/>
  <c r="P546" i="8"/>
  <c r="Q546" i="8" s="1"/>
  <c r="P547" i="8"/>
  <c r="Q547" i="8" s="1"/>
  <c r="P548" i="8"/>
  <c r="Q548" i="8" s="1"/>
  <c r="P549" i="8"/>
  <c r="Q549" i="8" s="1"/>
  <c r="P550" i="8"/>
  <c r="Q550" i="8" s="1"/>
  <c r="P551" i="8"/>
  <c r="Q551" i="8" s="1"/>
  <c r="P552" i="8"/>
  <c r="Q552" i="8" s="1"/>
  <c r="P553" i="8"/>
  <c r="Q553" i="8" s="1"/>
  <c r="P554" i="8"/>
  <c r="Q554" i="8" s="1"/>
  <c r="P555" i="8"/>
  <c r="Q555" i="8" s="1"/>
  <c r="P556" i="8"/>
  <c r="Q556" i="8" s="1"/>
  <c r="P557" i="8"/>
  <c r="Q557" i="8" s="1"/>
  <c r="P558" i="8"/>
  <c r="Q558" i="8" s="1"/>
  <c r="P559" i="8"/>
  <c r="Q559" i="8" s="1"/>
  <c r="P560" i="8"/>
  <c r="Q560" i="8" s="1"/>
  <c r="P561" i="8"/>
  <c r="Q561" i="8" s="1"/>
  <c r="P562" i="8"/>
  <c r="Q562" i="8" s="1"/>
  <c r="P563" i="8"/>
  <c r="Q563" i="8" s="1"/>
  <c r="P564" i="8"/>
  <c r="Q564" i="8" s="1"/>
  <c r="P565" i="8"/>
  <c r="Q565" i="8" s="1"/>
  <c r="P566" i="8"/>
  <c r="Q566" i="8" s="1"/>
  <c r="P567" i="8"/>
  <c r="Q567" i="8" s="1"/>
  <c r="P568" i="8"/>
  <c r="Q568" i="8" s="1"/>
  <c r="P569" i="8"/>
  <c r="Q569" i="8" s="1"/>
  <c r="P570" i="8"/>
  <c r="Q570" i="8" s="1"/>
  <c r="P571" i="8"/>
  <c r="Q571" i="8" s="1"/>
  <c r="P572" i="8"/>
  <c r="Q572" i="8" s="1"/>
  <c r="P573" i="8"/>
  <c r="Q573" i="8" s="1"/>
  <c r="P574" i="8"/>
  <c r="Q574" i="8" s="1"/>
  <c r="P575" i="8"/>
  <c r="Q575" i="8" s="1"/>
  <c r="P576" i="8"/>
  <c r="Q576" i="8" s="1"/>
  <c r="P577" i="8"/>
  <c r="Q577" i="8" s="1"/>
  <c r="P578" i="8"/>
  <c r="Q578" i="8" s="1"/>
  <c r="P579" i="8"/>
  <c r="Q579" i="8" s="1"/>
  <c r="P580" i="8"/>
  <c r="Q580" i="8" s="1"/>
  <c r="P581" i="8"/>
  <c r="Q581" i="8" s="1"/>
  <c r="P582" i="8"/>
  <c r="Q582" i="8" s="1"/>
  <c r="P583" i="8"/>
  <c r="Q583" i="8" s="1"/>
  <c r="P584" i="8"/>
  <c r="Q584" i="8" s="1"/>
  <c r="P585" i="8"/>
  <c r="Q585" i="8" s="1"/>
  <c r="P586" i="8"/>
  <c r="Q586" i="8" s="1"/>
  <c r="P587" i="8"/>
  <c r="Q587" i="8" s="1"/>
  <c r="P588" i="8"/>
  <c r="Q588" i="8" s="1"/>
  <c r="P589" i="8"/>
  <c r="Q589" i="8" s="1"/>
  <c r="P590" i="8"/>
  <c r="Q590" i="8" s="1"/>
  <c r="P591" i="8"/>
  <c r="Q591" i="8" s="1"/>
  <c r="P592" i="8"/>
  <c r="Q592" i="8" s="1"/>
  <c r="P593" i="8"/>
  <c r="Q593" i="8" s="1"/>
  <c r="P594" i="8"/>
  <c r="Q594" i="8" s="1"/>
  <c r="P595" i="8"/>
  <c r="Q595" i="8" s="1"/>
  <c r="P596" i="8"/>
  <c r="Q596" i="8" s="1"/>
  <c r="P597" i="8"/>
  <c r="Q597" i="8" s="1"/>
  <c r="P598" i="8"/>
  <c r="Q598" i="8" s="1"/>
  <c r="P599" i="8"/>
  <c r="Q599" i="8" s="1"/>
  <c r="P600" i="8"/>
  <c r="Q600" i="8" s="1"/>
  <c r="P601" i="8"/>
  <c r="Q601" i="8" s="1"/>
  <c r="P602" i="8"/>
  <c r="Q602" i="8" s="1"/>
  <c r="P603" i="8"/>
  <c r="Q603" i="8" s="1"/>
  <c r="P604" i="8"/>
  <c r="Q604" i="8" s="1"/>
  <c r="P605" i="8"/>
  <c r="Q605" i="8" s="1"/>
  <c r="P606" i="8"/>
  <c r="Q606" i="8" s="1"/>
  <c r="P607" i="8"/>
  <c r="Q607" i="8" s="1"/>
  <c r="P608" i="8"/>
  <c r="Q608" i="8" s="1"/>
  <c r="P609" i="8"/>
  <c r="Q609" i="8" s="1"/>
  <c r="P610" i="8"/>
  <c r="Q610" i="8" s="1"/>
  <c r="P611" i="8"/>
  <c r="Q611" i="8" s="1"/>
  <c r="P612" i="8"/>
  <c r="Q612" i="8" s="1"/>
  <c r="P613" i="8"/>
  <c r="Q613" i="8" s="1"/>
  <c r="P614" i="8"/>
  <c r="Q614" i="8" s="1"/>
  <c r="P615" i="8"/>
  <c r="Q615" i="8" s="1"/>
  <c r="P616" i="8"/>
  <c r="Q616" i="8" s="1"/>
  <c r="P617" i="8"/>
  <c r="Q617" i="8" s="1"/>
  <c r="P618" i="8"/>
  <c r="Q618" i="8" s="1"/>
  <c r="P619" i="8"/>
  <c r="Q619" i="8" s="1"/>
  <c r="P620" i="8"/>
  <c r="Q620" i="8" s="1"/>
  <c r="P621" i="8"/>
  <c r="Q621" i="8" s="1"/>
  <c r="P622" i="8"/>
  <c r="Q622" i="8" s="1"/>
  <c r="P623" i="8"/>
  <c r="Q623" i="8" s="1"/>
  <c r="P624" i="8"/>
  <c r="Q624" i="8" s="1"/>
  <c r="P625" i="8"/>
  <c r="Q625" i="8" s="1"/>
  <c r="P626" i="8"/>
  <c r="Q626" i="8" s="1"/>
  <c r="P627" i="8"/>
  <c r="Q627" i="8" s="1"/>
  <c r="P628" i="8"/>
  <c r="Q628" i="8" s="1"/>
  <c r="P629" i="8"/>
  <c r="Q629" i="8" s="1"/>
  <c r="P630" i="8"/>
  <c r="Q630" i="8" s="1"/>
  <c r="P631" i="8"/>
  <c r="Q631" i="8" s="1"/>
  <c r="P632" i="8"/>
  <c r="Q632" i="8" s="1"/>
  <c r="P633" i="8"/>
  <c r="Q633" i="8" s="1"/>
  <c r="P634" i="8"/>
  <c r="Q634" i="8" s="1"/>
  <c r="P635" i="8"/>
  <c r="Q635" i="8" s="1"/>
  <c r="P636" i="8"/>
  <c r="Q636" i="8" s="1"/>
  <c r="P637" i="8"/>
  <c r="Q637" i="8" s="1"/>
  <c r="P638" i="8"/>
  <c r="Q638" i="8" s="1"/>
  <c r="P639" i="8"/>
  <c r="Q639" i="8" s="1"/>
  <c r="P640" i="8"/>
  <c r="Q640" i="8" s="1"/>
  <c r="P641" i="8"/>
  <c r="Q641" i="8" s="1"/>
  <c r="P642" i="8"/>
  <c r="Q642" i="8" s="1"/>
  <c r="P643" i="8"/>
  <c r="Q643" i="8" s="1"/>
  <c r="P644" i="8"/>
  <c r="Q644" i="8" s="1"/>
  <c r="P645" i="8"/>
  <c r="Q645" i="8" s="1"/>
  <c r="P646" i="8"/>
  <c r="Q646" i="8" s="1"/>
  <c r="P647" i="8"/>
  <c r="Q647" i="8" s="1"/>
  <c r="P648" i="8"/>
  <c r="Q648" i="8" s="1"/>
  <c r="P649" i="8"/>
  <c r="Q649" i="8" s="1"/>
  <c r="P650" i="8"/>
  <c r="Q650" i="8" s="1"/>
  <c r="P651" i="8"/>
  <c r="Q651" i="8" s="1"/>
  <c r="P652" i="8"/>
  <c r="Q652" i="8" s="1"/>
  <c r="P653" i="8"/>
  <c r="Q653" i="8" s="1"/>
  <c r="P654" i="8"/>
  <c r="Q654" i="8" s="1"/>
  <c r="P655" i="8"/>
  <c r="Q655" i="8" s="1"/>
  <c r="P656" i="8"/>
  <c r="Q656" i="8" s="1"/>
  <c r="P657" i="8"/>
  <c r="Q657" i="8" s="1"/>
  <c r="P658" i="8"/>
  <c r="Q658" i="8" s="1"/>
  <c r="P659" i="8"/>
  <c r="Q659" i="8" s="1"/>
  <c r="P660" i="8"/>
  <c r="Q660" i="8" s="1"/>
  <c r="P661" i="8"/>
  <c r="Q661" i="8" s="1"/>
  <c r="P662" i="8"/>
  <c r="Q662" i="8" s="1"/>
  <c r="P663" i="8"/>
  <c r="Q663" i="8" s="1"/>
  <c r="P664" i="8"/>
  <c r="Q664" i="8" s="1"/>
  <c r="P665" i="8"/>
  <c r="Q665" i="8" s="1"/>
  <c r="P666" i="8"/>
  <c r="Q666" i="8" s="1"/>
  <c r="P667" i="8"/>
  <c r="Q667" i="8" s="1"/>
  <c r="P668" i="8"/>
  <c r="Q668" i="8" s="1"/>
  <c r="P669" i="8"/>
  <c r="Q669" i="8" s="1"/>
  <c r="P670" i="8"/>
  <c r="Q670" i="8" s="1"/>
  <c r="P671" i="8"/>
  <c r="Q671" i="8" s="1"/>
  <c r="P672" i="8"/>
  <c r="Q672" i="8" s="1"/>
  <c r="P673" i="8"/>
  <c r="Q673" i="8" s="1"/>
  <c r="P674" i="8"/>
  <c r="Q674" i="8" s="1"/>
  <c r="P675" i="8"/>
  <c r="Q675" i="8" s="1"/>
  <c r="P676" i="8"/>
  <c r="Q676" i="8" s="1"/>
  <c r="P677" i="8"/>
  <c r="Q677" i="8" s="1"/>
  <c r="P678" i="8"/>
  <c r="Q678" i="8" s="1"/>
  <c r="P679" i="8"/>
  <c r="Q679" i="8" s="1"/>
  <c r="P680" i="8"/>
  <c r="Q680" i="8" s="1"/>
  <c r="P681" i="8"/>
  <c r="Q681" i="8" s="1"/>
  <c r="P682" i="8"/>
  <c r="Q682" i="8" s="1"/>
  <c r="P683" i="8"/>
  <c r="Q683" i="8" s="1"/>
  <c r="P684" i="8"/>
  <c r="Q684" i="8" s="1"/>
  <c r="P685" i="8"/>
  <c r="Q685" i="8" s="1"/>
  <c r="P686" i="8"/>
  <c r="Q686" i="8" s="1"/>
  <c r="P687" i="8"/>
  <c r="Q687" i="8" s="1"/>
  <c r="P688" i="8"/>
  <c r="Q688" i="8" s="1"/>
  <c r="P689" i="8"/>
  <c r="Q689" i="8" s="1"/>
  <c r="P690" i="8"/>
  <c r="Q690" i="8" s="1"/>
  <c r="P691" i="8"/>
  <c r="Q691" i="8" s="1"/>
  <c r="P692" i="8"/>
  <c r="Q692" i="8" s="1"/>
  <c r="P693" i="8"/>
  <c r="Q693" i="8" s="1"/>
  <c r="P694" i="8"/>
  <c r="Q694" i="8" s="1"/>
  <c r="P695" i="8"/>
  <c r="Q695" i="8" s="1"/>
  <c r="P696" i="8"/>
  <c r="Q696" i="8" s="1"/>
  <c r="P697" i="8"/>
  <c r="Q697" i="8" s="1"/>
  <c r="P698" i="8"/>
  <c r="Q698" i="8" s="1"/>
  <c r="P699" i="8"/>
  <c r="Q699" i="8" s="1"/>
  <c r="P700" i="8"/>
  <c r="Q700" i="8" s="1"/>
  <c r="P701" i="8"/>
  <c r="Q701" i="8" s="1"/>
  <c r="P702" i="8"/>
  <c r="Q702" i="8" s="1"/>
  <c r="P703" i="8"/>
  <c r="Q703" i="8" s="1"/>
  <c r="P704" i="8"/>
  <c r="Q704" i="8" s="1"/>
  <c r="P705" i="8"/>
  <c r="Q705" i="8" s="1"/>
  <c r="P706" i="8"/>
  <c r="Q706" i="8" s="1"/>
  <c r="P707" i="8"/>
  <c r="Q707" i="8" s="1"/>
  <c r="P708" i="8"/>
  <c r="Q708" i="8" s="1"/>
  <c r="P709" i="8"/>
  <c r="Q709" i="8" s="1"/>
  <c r="P710" i="8"/>
  <c r="Q710" i="8" s="1"/>
  <c r="P711" i="8"/>
  <c r="Q711" i="8" s="1"/>
  <c r="P712" i="8"/>
  <c r="Q712" i="8" s="1"/>
  <c r="P713" i="8"/>
  <c r="Q713" i="8" s="1"/>
  <c r="P714" i="8"/>
  <c r="Q714" i="8" s="1"/>
  <c r="P715" i="8"/>
  <c r="Q715" i="8" s="1"/>
  <c r="P716" i="8"/>
  <c r="Q716" i="8" s="1"/>
  <c r="P717" i="8"/>
  <c r="Q717" i="8" s="1"/>
  <c r="P718" i="8"/>
  <c r="Q718" i="8" s="1"/>
  <c r="P719" i="8"/>
  <c r="Q719" i="8" s="1"/>
  <c r="P720" i="8"/>
  <c r="Q720" i="8" s="1"/>
  <c r="P721" i="8"/>
  <c r="Q721" i="8" s="1"/>
  <c r="P722" i="8"/>
  <c r="Q722" i="8" s="1"/>
  <c r="P723" i="8"/>
  <c r="Q723" i="8" s="1"/>
  <c r="P724" i="8"/>
  <c r="Q724" i="8" s="1"/>
  <c r="P725" i="8"/>
  <c r="Q725" i="8" s="1"/>
  <c r="P726" i="8"/>
  <c r="Q726" i="8" s="1"/>
  <c r="P727" i="8"/>
  <c r="Q727" i="8" s="1"/>
  <c r="P728" i="8"/>
  <c r="Q728" i="8" s="1"/>
  <c r="P729" i="8"/>
  <c r="Q729" i="8" s="1"/>
  <c r="P730" i="8"/>
  <c r="Q730" i="8" s="1"/>
  <c r="P731" i="8"/>
  <c r="Q731" i="8" s="1"/>
  <c r="P732" i="8"/>
  <c r="Q732" i="8" s="1"/>
  <c r="P733" i="8"/>
  <c r="Q733" i="8" s="1"/>
  <c r="P734" i="8"/>
  <c r="Q734" i="8" s="1"/>
  <c r="P735" i="8"/>
  <c r="Q735" i="8" s="1"/>
  <c r="P736" i="8"/>
  <c r="Q736" i="8" s="1"/>
  <c r="P737" i="8"/>
  <c r="Q737" i="8" s="1"/>
  <c r="P738" i="8"/>
  <c r="Q738" i="8" s="1"/>
  <c r="P739" i="8"/>
  <c r="Q739" i="8" s="1"/>
  <c r="P740" i="8"/>
  <c r="Q740" i="8" s="1"/>
  <c r="P741" i="8"/>
  <c r="Q741" i="8" s="1"/>
  <c r="P742" i="8"/>
  <c r="Q742" i="8" s="1"/>
  <c r="P743" i="8"/>
  <c r="Q743" i="8" s="1"/>
  <c r="P744" i="8"/>
  <c r="Q744" i="8" s="1"/>
  <c r="P745" i="8"/>
  <c r="Q745" i="8" s="1"/>
  <c r="P746" i="8"/>
  <c r="Q746" i="8" s="1"/>
  <c r="P747" i="8"/>
  <c r="Q747" i="8" s="1"/>
  <c r="P748" i="8"/>
  <c r="Q748" i="8" s="1"/>
  <c r="P749" i="8"/>
  <c r="Q749" i="8" s="1"/>
  <c r="P750" i="8"/>
  <c r="Q750" i="8" s="1"/>
  <c r="P751" i="8"/>
  <c r="Q751" i="8" s="1"/>
  <c r="P752" i="8"/>
  <c r="Q752" i="8" s="1"/>
  <c r="P753" i="8"/>
  <c r="Q753" i="8" s="1"/>
  <c r="P754" i="8"/>
  <c r="Q754" i="8" s="1"/>
  <c r="P755" i="8"/>
  <c r="Q755" i="8" s="1"/>
  <c r="P756" i="8"/>
  <c r="Q756" i="8" s="1"/>
  <c r="P757" i="8"/>
  <c r="Q757" i="8" s="1"/>
  <c r="P758" i="8"/>
  <c r="Q758" i="8" s="1"/>
  <c r="P759" i="8"/>
  <c r="Q759" i="8" s="1"/>
  <c r="P760" i="8"/>
  <c r="Q760" i="8" s="1"/>
  <c r="P761" i="8"/>
  <c r="Q761" i="8" s="1"/>
  <c r="P762" i="8"/>
  <c r="Q762" i="8" s="1"/>
  <c r="P763" i="8"/>
  <c r="Q763" i="8" s="1"/>
  <c r="P764" i="8"/>
  <c r="Q764" i="8" s="1"/>
  <c r="P765" i="8"/>
  <c r="Q765" i="8" s="1"/>
  <c r="P766" i="8"/>
  <c r="Q766" i="8" s="1"/>
  <c r="P767" i="8"/>
  <c r="Q767" i="8" s="1"/>
  <c r="P768" i="8"/>
  <c r="Q768" i="8" s="1"/>
  <c r="P769" i="8"/>
  <c r="Q769" i="8" s="1"/>
  <c r="P770" i="8"/>
  <c r="Q770" i="8" s="1"/>
  <c r="P771" i="8"/>
  <c r="Q771" i="8" s="1"/>
  <c r="P772" i="8"/>
  <c r="Q772" i="8" s="1"/>
  <c r="P773" i="8"/>
  <c r="Q773" i="8" s="1"/>
  <c r="P774" i="8"/>
  <c r="Q774" i="8" s="1"/>
  <c r="P775" i="8"/>
  <c r="Q775" i="8" s="1"/>
  <c r="P776" i="8"/>
  <c r="Q776" i="8" s="1"/>
  <c r="P777" i="8"/>
  <c r="Q777" i="8" s="1"/>
  <c r="P778" i="8"/>
  <c r="Q778" i="8" s="1"/>
  <c r="P779" i="8"/>
  <c r="Q779" i="8" s="1"/>
  <c r="P780" i="8"/>
  <c r="Q780" i="8" s="1"/>
  <c r="P781" i="8"/>
  <c r="Q781" i="8" s="1"/>
  <c r="P782" i="8"/>
  <c r="Q782" i="8" s="1"/>
  <c r="P783" i="8"/>
  <c r="Q783" i="8" s="1"/>
  <c r="P784" i="8"/>
  <c r="Q784" i="8" s="1"/>
  <c r="P785" i="8"/>
  <c r="Q785" i="8" s="1"/>
  <c r="P786" i="8"/>
  <c r="Q786" i="8" s="1"/>
  <c r="P787" i="8"/>
  <c r="Q787" i="8" s="1"/>
  <c r="P788" i="8"/>
  <c r="Q788" i="8" s="1"/>
  <c r="P789" i="8"/>
  <c r="Q789" i="8" s="1"/>
  <c r="P790" i="8"/>
  <c r="Q790" i="8" s="1"/>
  <c r="P791" i="8"/>
  <c r="Q791" i="8" s="1"/>
  <c r="P792" i="8"/>
  <c r="Q792" i="8" s="1"/>
  <c r="P793" i="8"/>
  <c r="Q793" i="8" s="1"/>
  <c r="P794" i="8"/>
  <c r="Q794" i="8" s="1"/>
  <c r="P795" i="8"/>
  <c r="Q795" i="8" s="1"/>
  <c r="P796" i="8"/>
  <c r="Q796" i="8" s="1"/>
  <c r="P797" i="8"/>
  <c r="Q797" i="8" s="1"/>
  <c r="P798" i="8"/>
  <c r="Q798" i="8" s="1"/>
  <c r="P799" i="8"/>
  <c r="Q799" i="8" s="1"/>
  <c r="P800" i="8"/>
  <c r="Q800" i="8" s="1"/>
  <c r="P801" i="8"/>
  <c r="Q801" i="8" s="1"/>
  <c r="P802" i="8"/>
  <c r="Q802" i="8" s="1"/>
  <c r="P803" i="8"/>
  <c r="Q803" i="8" s="1"/>
  <c r="P804" i="8"/>
  <c r="Q804" i="8" s="1"/>
  <c r="P805" i="8"/>
  <c r="Q805" i="8" s="1"/>
  <c r="P806" i="8"/>
  <c r="Q806" i="8" s="1"/>
  <c r="P807" i="8"/>
  <c r="Q807" i="8" s="1"/>
  <c r="P808" i="8"/>
  <c r="Q808" i="8" s="1"/>
  <c r="P809" i="8"/>
  <c r="Q809" i="8" s="1"/>
  <c r="P810" i="8"/>
  <c r="Q810" i="8" s="1"/>
  <c r="P811" i="8"/>
  <c r="Q811" i="8" s="1"/>
  <c r="P812" i="8"/>
  <c r="Q812" i="8" s="1"/>
  <c r="P813" i="8"/>
  <c r="Q813" i="8" s="1"/>
  <c r="P814" i="8"/>
  <c r="Q814" i="8" s="1"/>
  <c r="P815" i="8"/>
  <c r="Q815" i="8" s="1"/>
  <c r="P816" i="8"/>
  <c r="Q816" i="8" s="1"/>
  <c r="P817" i="8"/>
  <c r="Q817" i="8" s="1"/>
  <c r="L797" i="3" l="1"/>
  <c r="L574" i="3"/>
  <c r="L384" i="3"/>
  <c r="AG758" i="8"/>
  <c r="AG674" i="8"/>
  <c r="AG614" i="8"/>
  <c r="AG554" i="8"/>
  <c r="AG446" i="8"/>
  <c r="L747" i="3"/>
  <c r="L615" i="3"/>
  <c r="L333" i="3"/>
  <c r="AG803" i="8"/>
  <c r="AG779" i="8"/>
  <c r="AG755" i="8"/>
  <c r="AG731" i="8"/>
  <c r="AG695" i="8"/>
  <c r="AG671" i="8"/>
  <c r="AG647" i="8"/>
  <c r="AG623" i="8"/>
  <c r="AG599" i="8"/>
  <c r="AG575" i="8"/>
  <c r="AG563" i="8"/>
  <c r="AG551" i="8"/>
  <c r="AG527" i="8"/>
  <c r="AG503" i="8"/>
  <c r="AG479" i="8"/>
  <c r="AG455" i="8"/>
  <c r="L383" i="3"/>
  <c r="AG814" i="8"/>
  <c r="AG802" i="8"/>
  <c r="AG790" i="8"/>
  <c r="AG778" i="8"/>
  <c r="AG766" i="8"/>
  <c r="AG754" i="8"/>
  <c r="AG742" i="8"/>
  <c r="AG730" i="8"/>
  <c r="AG718" i="8"/>
  <c r="AG706" i="8"/>
  <c r="AG694" i="8"/>
  <c r="AG682" i="8"/>
  <c r="AG670" i="8"/>
  <c r="AG658" i="8"/>
  <c r="AG646" i="8"/>
  <c r="AG634" i="8"/>
  <c r="AG622" i="8"/>
  <c r="AG610" i="8"/>
  <c r="AG598" i="8"/>
  <c r="AG586" i="8"/>
  <c r="AG574" i="8"/>
  <c r="AG562" i="8"/>
  <c r="AG550" i="8"/>
  <c r="AG538" i="8"/>
  <c r="AG526" i="8"/>
  <c r="AG514" i="8"/>
  <c r="AG502" i="8"/>
  <c r="AG490" i="8"/>
  <c r="AG478" i="8"/>
  <c r="AG466" i="8"/>
  <c r="AG454" i="8"/>
  <c r="AG442" i="8"/>
  <c r="AG430" i="8"/>
  <c r="AG418" i="8"/>
  <c r="AG406" i="8"/>
  <c r="AG394" i="8"/>
  <c r="AG382" i="8"/>
  <c r="AG370" i="8"/>
  <c r="AG358" i="8"/>
  <c r="AG346" i="8"/>
  <c r="AG334" i="8"/>
  <c r="AG322" i="8"/>
  <c r="AG310" i="8"/>
  <c r="AG298" i="8"/>
  <c r="AG286" i="8"/>
  <c r="AG274" i="8"/>
  <c r="AG262" i="8"/>
  <c r="AG250" i="8"/>
  <c r="AG238" i="8"/>
  <c r="AG226" i="8"/>
  <c r="AG214" i="8"/>
  <c r="AG202" i="8"/>
  <c r="AG190" i="8"/>
  <c r="AG178" i="8"/>
  <c r="AG166" i="8"/>
  <c r="AG154" i="8"/>
  <c r="AG142" i="8"/>
  <c r="AG130" i="8"/>
  <c r="AG118" i="8"/>
  <c r="AG106" i="8"/>
  <c r="AG94" i="8"/>
  <c r="AG82" i="8"/>
  <c r="AG70" i="8"/>
  <c r="AG58" i="8"/>
  <c r="AG46" i="8"/>
  <c r="AG34" i="8"/>
  <c r="AG22" i="8"/>
  <c r="AG10" i="8"/>
  <c r="AH808" i="8"/>
  <c r="AH796" i="8"/>
  <c r="AH784" i="8"/>
  <c r="AH772" i="8"/>
  <c r="AH760" i="8"/>
  <c r="AH748" i="8"/>
  <c r="AH736" i="8"/>
  <c r="AH724" i="8"/>
  <c r="AH712" i="8"/>
  <c r="AH700" i="8"/>
  <c r="AH688" i="8"/>
  <c r="AH676" i="8"/>
  <c r="AH664" i="8"/>
  <c r="AH652" i="8"/>
  <c r="AH640" i="8"/>
  <c r="AH628" i="8"/>
  <c r="AH616" i="8"/>
  <c r="AH604" i="8"/>
  <c r="AH592" i="8"/>
  <c r="AH580" i="8"/>
  <c r="AH568" i="8"/>
  <c r="AH556" i="8"/>
  <c r="AH544" i="8"/>
  <c r="AH532" i="8"/>
  <c r="AH520" i="8"/>
  <c r="AH508" i="8"/>
  <c r="AH496" i="8"/>
  <c r="AH484" i="8"/>
  <c r="AH472" i="8"/>
  <c r="AH460" i="8"/>
  <c r="AH448" i="8"/>
  <c r="AH436" i="8"/>
  <c r="AH424" i="8"/>
  <c r="AH412" i="8"/>
  <c r="AH400" i="8"/>
  <c r="AH388" i="8"/>
  <c r="AH376" i="8"/>
  <c r="AH364" i="8"/>
  <c r="AH352" i="8"/>
  <c r="AH340" i="8"/>
  <c r="AH328" i="8"/>
  <c r="AH316" i="8"/>
  <c r="AH304" i="8"/>
  <c r="AH292" i="8"/>
  <c r="AH280" i="8"/>
  <c r="AH268" i="8"/>
  <c r="AH256" i="8"/>
  <c r="AH244" i="8"/>
  <c r="AH232" i="8"/>
  <c r="AH220" i="8"/>
  <c r="AH208" i="8"/>
  <c r="AH196" i="8"/>
  <c r="AH184" i="8"/>
  <c r="AH172" i="8"/>
  <c r="AH160" i="8"/>
  <c r="AH148" i="8"/>
  <c r="AH136" i="8"/>
  <c r="AH124" i="8"/>
  <c r="AH112" i="8"/>
  <c r="AH100" i="8"/>
  <c r="AH88" i="8"/>
  <c r="AH76" i="8"/>
  <c r="AH64" i="8"/>
  <c r="AH52" i="8"/>
  <c r="AH40" i="8"/>
  <c r="AH28" i="8"/>
  <c r="AH16" i="8"/>
  <c r="L733" i="3"/>
  <c r="L526" i="3"/>
  <c r="AG770" i="8"/>
  <c r="AG686" i="8"/>
  <c r="AG626" i="8"/>
  <c r="AG566" i="8"/>
  <c r="AG518" i="8"/>
  <c r="AG422" i="8"/>
  <c r="L454" i="3"/>
  <c r="AG815" i="8"/>
  <c r="AG791" i="8"/>
  <c r="AG767" i="8"/>
  <c r="AG743" i="8"/>
  <c r="AG719" i="8"/>
  <c r="AG707" i="8"/>
  <c r="AG683" i="8"/>
  <c r="AG659" i="8"/>
  <c r="AG635" i="8"/>
  <c r="AG611" i="8"/>
  <c r="AG587" i="8"/>
  <c r="AG539" i="8"/>
  <c r="AG515" i="8"/>
  <c r="AG491" i="8"/>
  <c r="AG467" i="8"/>
  <c r="L795" i="3"/>
  <c r="L735" i="3"/>
  <c r="L686" i="3"/>
  <c r="L561" i="3"/>
  <c r="L313" i="3"/>
  <c r="L380" i="3"/>
  <c r="AG813" i="8"/>
  <c r="AG801" i="8"/>
  <c r="AG789" i="8"/>
  <c r="AG777" i="8"/>
  <c r="AG765" i="8"/>
  <c r="AG753" i="8"/>
  <c r="AG741" i="8"/>
  <c r="AG729" i="8"/>
  <c r="AG717" i="8"/>
  <c r="AG705" i="8"/>
  <c r="AG693" i="8"/>
  <c r="AG681" i="8"/>
  <c r="AG669" i="8"/>
  <c r="AG657" i="8"/>
  <c r="AG645" i="8"/>
  <c r="AG633" i="8"/>
  <c r="AG621" i="8"/>
  <c r="AG609" i="8"/>
  <c r="AG597" i="8"/>
  <c r="AG585" i="8"/>
  <c r="AG573" i="8"/>
  <c r="AG561" i="8"/>
  <c r="AG549" i="8"/>
  <c r="AG537" i="8"/>
  <c r="AG525" i="8"/>
  <c r="AG513" i="8"/>
  <c r="AG501" i="8"/>
  <c r="AG489" i="8"/>
  <c r="AG477" i="8"/>
  <c r="AG465" i="8"/>
  <c r="AG453" i="8"/>
  <c r="AG441" i="8"/>
  <c r="AG429" i="8"/>
  <c r="AG417" i="8"/>
  <c r="AG405" i="8"/>
  <c r="AG393" i="8"/>
  <c r="AG381" i="8"/>
  <c r="AG369" i="8"/>
  <c r="AG357" i="8"/>
  <c r="AG345" i="8"/>
  <c r="AG333" i="8"/>
  <c r="AG321" i="8"/>
  <c r="AG309" i="8"/>
  <c r="AG297" i="8"/>
  <c r="AG285" i="8"/>
  <c r="AG273" i="8"/>
  <c r="AG261" i="8"/>
  <c r="AG249" i="8"/>
  <c r="AG237" i="8"/>
  <c r="AG225" i="8"/>
  <c r="AG213" i="8"/>
  <c r="AG201" i="8"/>
  <c r="AG189" i="8"/>
  <c r="AG177" i="8"/>
  <c r="AG165" i="8"/>
  <c r="AG153" i="8"/>
  <c r="AG141" i="8"/>
  <c r="AG129" i="8"/>
  <c r="AG117" i="8"/>
  <c r="AG105" i="8"/>
  <c r="AG93" i="8"/>
  <c r="AG81" i="8"/>
  <c r="AG69" i="8"/>
  <c r="AG57" i="8"/>
  <c r="AG45" i="8"/>
  <c r="AG33" i="8"/>
  <c r="AG21" i="8"/>
  <c r="AG9" i="8"/>
  <c r="AH807" i="8"/>
  <c r="AH795" i="8"/>
  <c r="AH783" i="8"/>
  <c r="AH771" i="8"/>
  <c r="AH759" i="8"/>
  <c r="AH747" i="8"/>
  <c r="AH735" i="8"/>
  <c r="AH723" i="8"/>
  <c r="AH711" i="8"/>
  <c r="AH699" i="8"/>
  <c r="AH687" i="8"/>
  <c r="AH675" i="8"/>
  <c r="AH663" i="8"/>
  <c r="AH651" i="8"/>
  <c r="AH639" i="8"/>
  <c r="AH627" i="8"/>
  <c r="AH615" i="8"/>
  <c r="AH603" i="8"/>
  <c r="AH591" i="8"/>
  <c r="AH579" i="8"/>
  <c r="AH567" i="8"/>
  <c r="AH555" i="8"/>
  <c r="AH543" i="8"/>
  <c r="AH531" i="8"/>
  <c r="AH519" i="8"/>
  <c r="AH507" i="8"/>
  <c r="AH495" i="8"/>
  <c r="AH483" i="8"/>
  <c r="AH471" i="8"/>
  <c r="AH459" i="8"/>
  <c r="AH447" i="8"/>
  <c r="AH435" i="8"/>
  <c r="AH423" i="8"/>
  <c r="AH411" i="8"/>
  <c r="AH399" i="8"/>
  <c r="AH387" i="8"/>
  <c r="AH375" i="8"/>
  <c r="AH363" i="8"/>
  <c r="AH351" i="8"/>
  <c r="AH339" i="8"/>
  <c r="AH327" i="8"/>
  <c r="AH315" i="8"/>
  <c r="AH303" i="8"/>
  <c r="AH291" i="8"/>
  <c r="AH279" i="8"/>
  <c r="AH267" i="8"/>
  <c r="AH255" i="8"/>
  <c r="AH243" i="8"/>
  <c r="AH231" i="8"/>
  <c r="AH219" i="8"/>
  <c r="AH207" i="8"/>
  <c r="AH195" i="8"/>
  <c r="AH183" i="8"/>
  <c r="AH171" i="8"/>
  <c r="AH159" i="8"/>
  <c r="AH147" i="8"/>
  <c r="AH135" i="8"/>
  <c r="AH123" i="8"/>
  <c r="AH111" i="8"/>
  <c r="AH99" i="8"/>
  <c r="AH87" i="8"/>
  <c r="AH75" i="8"/>
  <c r="AH63" i="8"/>
  <c r="AH51" i="8"/>
  <c r="AH39" i="8"/>
  <c r="AH27" i="8"/>
  <c r="AH15" i="8"/>
  <c r="L367" i="3"/>
  <c r="AG722" i="8"/>
  <c r="AG482" i="8"/>
  <c r="L418" i="3"/>
  <c r="L399" i="3"/>
  <c r="AG812" i="8"/>
  <c r="AG800" i="8"/>
  <c r="AG788" i="8"/>
  <c r="AG776" i="8"/>
  <c r="AG764" i="8"/>
  <c r="AG752" i="8"/>
  <c r="AG740" i="8"/>
  <c r="AG728" i="8"/>
  <c r="AG716" i="8"/>
  <c r="AG704" i="8"/>
  <c r="AG692" i="8"/>
  <c r="AG680" i="8"/>
  <c r="AG668" i="8"/>
  <c r="AG656" i="8"/>
  <c r="AG644" i="8"/>
  <c r="AG632" i="8"/>
  <c r="AG620" i="8"/>
  <c r="AG608" i="8"/>
  <c r="AG596" i="8"/>
  <c r="AG584" i="8"/>
  <c r="AG572" i="8"/>
  <c r="AG560" i="8"/>
  <c r="AG548" i="8"/>
  <c r="AG536" i="8"/>
  <c r="AG524" i="8"/>
  <c r="AG512" i="8"/>
  <c r="AG500" i="8"/>
  <c r="AG488" i="8"/>
  <c r="AG476" i="8"/>
  <c r="AG464" i="8"/>
  <c r="AG452" i="8"/>
  <c r="AG440" i="8"/>
  <c r="AG428" i="8"/>
  <c r="AG416" i="8"/>
  <c r="AG404" i="8"/>
  <c r="AG392" i="8"/>
  <c r="AG380" i="8"/>
  <c r="AG368" i="8"/>
  <c r="AG356" i="8"/>
  <c r="AG344" i="8"/>
  <c r="AG332" i="8"/>
  <c r="AG320" i="8"/>
  <c r="AG308" i="8"/>
  <c r="AG296" i="8"/>
  <c r="AG284" i="8"/>
  <c r="AG272" i="8"/>
  <c r="AG260" i="8"/>
  <c r="AG248" i="8"/>
  <c r="AG236" i="8"/>
  <c r="AG224" i="8"/>
  <c r="AG212" i="8"/>
  <c r="AG200" i="8"/>
  <c r="AG188" i="8"/>
  <c r="AG176" i="8"/>
  <c r="AG164" i="8"/>
  <c r="AG152" i="8"/>
  <c r="AG140" i="8"/>
  <c r="AG128" i="8"/>
  <c r="AG116" i="8"/>
  <c r="AG104" i="8"/>
  <c r="AG92" i="8"/>
  <c r="AG80" i="8"/>
  <c r="AG68" i="8"/>
  <c r="AG56" i="8"/>
  <c r="AG44" i="8"/>
  <c r="AG32" i="8"/>
  <c r="AG20" i="8"/>
  <c r="AG8" i="8"/>
  <c r="AH806" i="8"/>
  <c r="AH794" i="8"/>
  <c r="AH782" i="8"/>
  <c r="AH770" i="8"/>
  <c r="AH758" i="8"/>
  <c r="AH746" i="8"/>
  <c r="AH734" i="8"/>
  <c r="AH722" i="8"/>
  <c r="AH710" i="8"/>
  <c r="AH698" i="8"/>
  <c r="AH686" i="8"/>
  <c r="AH674" i="8"/>
  <c r="AH662" i="8"/>
  <c r="AH650" i="8"/>
  <c r="AH638" i="8"/>
  <c r="AH626" i="8"/>
  <c r="AH614" i="8"/>
  <c r="AH602" i="8"/>
  <c r="AH590" i="8"/>
  <c r="AH578" i="8"/>
  <c r="AH566" i="8"/>
  <c r="AH554" i="8"/>
  <c r="AH542" i="8"/>
  <c r="AH530" i="8"/>
  <c r="AH518" i="8"/>
  <c r="AH506" i="8"/>
  <c r="AH494" i="8"/>
  <c r="AH482" i="8"/>
  <c r="AH470" i="8"/>
  <c r="AH458" i="8"/>
  <c r="AH446" i="8"/>
  <c r="AH434" i="8"/>
  <c r="AH422" i="8"/>
  <c r="AH410" i="8"/>
  <c r="AH398" i="8"/>
  <c r="AH386" i="8"/>
  <c r="AH374" i="8"/>
  <c r="AH362" i="8"/>
  <c r="AH350" i="8"/>
  <c r="AH338" i="8"/>
  <c r="AH326" i="8"/>
  <c r="AH314" i="8"/>
  <c r="AH302" i="8"/>
  <c r="AH290" i="8"/>
  <c r="AH278" i="8"/>
  <c r="AH266" i="8"/>
  <c r="AH254" i="8"/>
  <c r="AH242" i="8"/>
  <c r="AH230" i="8"/>
  <c r="AH218" i="8"/>
  <c r="AH206" i="8"/>
  <c r="AH194" i="8"/>
  <c r="AH182" i="8"/>
  <c r="AH170" i="8"/>
  <c r="AH158" i="8"/>
  <c r="AH146" i="8"/>
  <c r="AH134" i="8"/>
  <c r="AH122" i="8"/>
  <c r="AH110" i="8"/>
  <c r="AH98" i="8"/>
  <c r="AH86" i="8"/>
  <c r="AH74" i="8"/>
  <c r="AH62" i="8"/>
  <c r="AH50" i="8"/>
  <c r="AH38" i="8"/>
  <c r="AH26" i="8"/>
  <c r="AH14" i="8"/>
  <c r="L605" i="3"/>
  <c r="L549" i="3"/>
  <c r="AG806" i="8"/>
  <c r="AJ806" i="8" s="1"/>
  <c r="AK806" i="8" s="1"/>
  <c r="AG698" i="8"/>
  <c r="AJ698" i="8" s="1"/>
  <c r="AK698" i="8" s="1"/>
  <c r="AG650" i="8"/>
  <c r="AG602" i="8"/>
  <c r="AJ602" i="8" s="1"/>
  <c r="AK602" i="8" s="1"/>
  <c r="AG530" i="8"/>
  <c r="AJ530" i="8" s="1"/>
  <c r="AK530" i="8" s="1"/>
  <c r="AG458" i="8"/>
  <c r="AJ458" i="8" s="1"/>
  <c r="AK458" i="8" s="1"/>
  <c r="L752" i="3"/>
  <c r="L362" i="3"/>
  <c r="L685" i="3"/>
  <c r="L651" i="3"/>
  <c r="L633" i="3"/>
  <c r="L493" i="3"/>
  <c r="L417" i="3"/>
  <c r="L312" i="3"/>
  <c r="L277" i="3"/>
  <c r="L218" i="3"/>
  <c r="L168" i="3"/>
  <c r="L109" i="3"/>
  <c r="L33" i="3"/>
  <c r="AG811" i="8"/>
  <c r="AJ811" i="8" s="1"/>
  <c r="AK811" i="8" s="1"/>
  <c r="AG799" i="8"/>
  <c r="AJ799" i="8" s="1"/>
  <c r="AK799" i="8" s="1"/>
  <c r="AG787" i="8"/>
  <c r="AG775" i="8"/>
  <c r="AG763" i="8"/>
  <c r="AG751" i="8"/>
  <c r="AG739" i="8"/>
  <c r="AJ739" i="8" s="1"/>
  <c r="AK739" i="8" s="1"/>
  <c r="AG727" i="8"/>
  <c r="AJ727" i="8" s="1"/>
  <c r="AK727" i="8" s="1"/>
  <c r="AG715" i="8"/>
  <c r="AG703" i="8"/>
  <c r="AG691" i="8"/>
  <c r="AG679" i="8"/>
  <c r="AG667" i="8"/>
  <c r="AG655" i="8"/>
  <c r="AJ655" i="8" s="1"/>
  <c r="AK655" i="8" s="1"/>
  <c r="AG643" i="8"/>
  <c r="AG631" i="8"/>
  <c r="AG619" i="8"/>
  <c r="AG607" i="8"/>
  <c r="AG595" i="8"/>
  <c r="AJ595" i="8" s="1"/>
  <c r="AK595" i="8" s="1"/>
  <c r="AG583" i="8"/>
  <c r="AJ583" i="8" s="1"/>
  <c r="AK583" i="8" s="1"/>
  <c r="AG571" i="8"/>
  <c r="AG559" i="8"/>
  <c r="AG547" i="8"/>
  <c r="AG535" i="8"/>
  <c r="AG523" i="8"/>
  <c r="AG511" i="8"/>
  <c r="AJ511" i="8" s="1"/>
  <c r="AK511" i="8" s="1"/>
  <c r="AG499" i="8"/>
  <c r="AG487" i="8"/>
  <c r="AG475" i="8"/>
  <c r="AG463" i="8"/>
  <c r="AG451" i="8"/>
  <c r="AJ451" i="8" s="1"/>
  <c r="AK451" i="8" s="1"/>
  <c r="AG439" i="8"/>
  <c r="AJ439" i="8" s="1"/>
  <c r="AK439" i="8" s="1"/>
  <c r="AG427" i="8"/>
  <c r="AG415" i="8"/>
  <c r="AG403" i="8"/>
  <c r="AG391" i="8"/>
  <c r="AG379" i="8"/>
  <c r="AG367" i="8"/>
  <c r="AJ367" i="8" s="1"/>
  <c r="AK367" i="8" s="1"/>
  <c r="AG355" i="8"/>
  <c r="AG343" i="8"/>
  <c r="AG331" i="8"/>
  <c r="AG319" i="8"/>
  <c r="AG307" i="8"/>
  <c r="AJ307" i="8" s="1"/>
  <c r="AK307" i="8" s="1"/>
  <c r="AG295" i="8"/>
  <c r="AJ295" i="8" s="1"/>
  <c r="AK295" i="8" s="1"/>
  <c r="AG283" i="8"/>
  <c r="AG271" i="8"/>
  <c r="AG259" i="8"/>
  <c r="AG247" i="8"/>
  <c r="AG235" i="8"/>
  <c r="AG223" i="8"/>
  <c r="AJ223" i="8" s="1"/>
  <c r="AK223" i="8" s="1"/>
  <c r="AG211" i="8"/>
  <c r="AG199" i="8"/>
  <c r="AG187" i="8"/>
  <c r="AG175" i="8"/>
  <c r="AG163" i="8"/>
  <c r="AJ163" i="8" s="1"/>
  <c r="AK163" i="8" s="1"/>
  <c r="AG151" i="8"/>
  <c r="AJ151" i="8" s="1"/>
  <c r="AK151" i="8" s="1"/>
  <c r="AG139" i="8"/>
  <c r="AG127" i="8"/>
  <c r="AG115" i="8"/>
  <c r="AG103" i="8"/>
  <c r="AG91" i="8"/>
  <c r="AG79" i="8"/>
  <c r="AJ79" i="8" s="1"/>
  <c r="AK79" i="8" s="1"/>
  <c r="AG67" i="8"/>
  <c r="AG55" i="8"/>
  <c r="AG43" i="8"/>
  <c r="AG31" i="8"/>
  <c r="AG19" i="8"/>
  <c r="AJ19" i="8" s="1"/>
  <c r="AK19" i="8" s="1"/>
  <c r="AG7" i="8"/>
  <c r="AJ7" i="8" s="1"/>
  <c r="AK7" i="8" s="1"/>
  <c r="AH805" i="8"/>
  <c r="AH793" i="8"/>
  <c r="AH781" i="8"/>
  <c r="AH769" i="8"/>
  <c r="AH757" i="8"/>
  <c r="AH745" i="8"/>
  <c r="AH733" i="8"/>
  <c r="AH721" i="8"/>
  <c r="AH709" i="8"/>
  <c r="AH697" i="8"/>
  <c r="AH685" i="8"/>
  <c r="AH673" i="8"/>
  <c r="AH661" i="8"/>
  <c r="AH649" i="8"/>
  <c r="AH637" i="8"/>
  <c r="AH625" i="8"/>
  <c r="AH613" i="8"/>
  <c r="AH601" i="8"/>
  <c r="AH589" i="8"/>
  <c r="AH577" i="8"/>
  <c r="AH565" i="8"/>
  <c r="AH553" i="8"/>
  <c r="AH541" i="8"/>
  <c r="AH529" i="8"/>
  <c r="AH517" i="8"/>
  <c r="AH505" i="8"/>
  <c r="AH493" i="8"/>
  <c r="AH481" i="8"/>
  <c r="AH469" i="8"/>
  <c r="AH457" i="8"/>
  <c r="AH445" i="8"/>
  <c r="AH433" i="8"/>
  <c r="AH421" i="8"/>
  <c r="AH409" i="8"/>
  <c r="AH397" i="8"/>
  <c r="AH385" i="8"/>
  <c r="AH373" i="8"/>
  <c r="AH361" i="8"/>
  <c r="AH349" i="8"/>
  <c r="AH337" i="8"/>
  <c r="AH325" i="8"/>
  <c r="AH313" i="8"/>
  <c r="AH301" i="8"/>
  <c r="AH289" i="8"/>
  <c r="AH277" i="8"/>
  <c r="AH265" i="8"/>
  <c r="AH253" i="8"/>
  <c r="AH241" i="8"/>
  <c r="AH229" i="8"/>
  <c r="AH217" i="8"/>
  <c r="AH205" i="8"/>
  <c r="AH193" i="8"/>
  <c r="AH181" i="8"/>
  <c r="AH169" i="8"/>
  <c r="AH157" i="8"/>
  <c r="AH145" i="8"/>
  <c r="AH133" i="8"/>
  <c r="AH121" i="8"/>
  <c r="AH109" i="8"/>
  <c r="AH97" i="8"/>
  <c r="AH85" i="8"/>
  <c r="AH73" i="8"/>
  <c r="AH61" i="8"/>
  <c r="AH49" i="8"/>
  <c r="AH37" i="8"/>
  <c r="AH25" i="8"/>
  <c r="AH13" i="8"/>
  <c r="L666" i="3"/>
  <c r="L569" i="3"/>
  <c r="L488" i="3"/>
  <c r="AG734" i="8"/>
  <c r="AJ734" i="8" s="1"/>
  <c r="AK734" i="8" s="1"/>
  <c r="AG470" i="8"/>
  <c r="AJ470" i="8" s="1"/>
  <c r="AK470" i="8" s="1"/>
  <c r="L776" i="3"/>
  <c r="L620" i="3"/>
  <c r="L613" i="3"/>
  <c r="L575" i="3"/>
  <c r="L477" i="3"/>
  <c r="L303" i="3"/>
  <c r="L237" i="3"/>
  <c r="L205" i="3"/>
  <c r="L179" i="3"/>
  <c r="L95" i="3"/>
  <c r="L13" i="3"/>
  <c r="AG810" i="8"/>
  <c r="AG798" i="8"/>
  <c r="AG786" i="8"/>
  <c r="AG774" i="8"/>
  <c r="AG762" i="8"/>
  <c r="AG750" i="8"/>
  <c r="AG738" i="8"/>
  <c r="AG726" i="8"/>
  <c r="AG714" i="8"/>
  <c r="AG702" i="8"/>
  <c r="AG690" i="8"/>
  <c r="AG678" i="8"/>
  <c r="AG666" i="8"/>
  <c r="AG654" i="8"/>
  <c r="AG642" i="8"/>
  <c r="AG630" i="8"/>
  <c r="AG618" i="8"/>
  <c r="AG606" i="8"/>
  <c r="AG594" i="8"/>
  <c r="AG582" i="8"/>
  <c r="AG570" i="8"/>
  <c r="AG558" i="8"/>
  <c r="AG546" i="8"/>
  <c r="AG534" i="8"/>
  <c r="AG522" i="8"/>
  <c r="AG510" i="8"/>
  <c r="AG498" i="8"/>
  <c r="AG486" i="8"/>
  <c r="AG474" i="8"/>
  <c r="AG462" i="8"/>
  <c r="AG450" i="8"/>
  <c r="AG438" i="8"/>
  <c r="AG426" i="8"/>
  <c r="AG414" i="8"/>
  <c r="AG402" i="8"/>
  <c r="AG390" i="8"/>
  <c r="AG378" i="8"/>
  <c r="AG366" i="8"/>
  <c r="AG354" i="8"/>
  <c r="AG342" i="8"/>
  <c r="AG330" i="8"/>
  <c r="AG318" i="8"/>
  <c r="AG306" i="8"/>
  <c r="AG294" i="8"/>
  <c r="AG282" i="8"/>
  <c r="AG270" i="8"/>
  <c r="AG258" i="8"/>
  <c r="AG246" i="8"/>
  <c r="AG234" i="8"/>
  <c r="AG222" i="8"/>
  <c r="AG210" i="8"/>
  <c r="AG198" i="8"/>
  <c r="AG186" i="8"/>
  <c r="AG174" i="8"/>
  <c r="AG162" i="8"/>
  <c r="AG150" i="8"/>
  <c r="AG138" i="8"/>
  <c r="AG126" i="8"/>
  <c r="AG114" i="8"/>
  <c r="AG102" i="8"/>
  <c r="AG90" i="8"/>
  <c r="AG78" i="8"/>
  <c r="AG66" i="8"/>
  <c r="AG54" i="8"/>
  <c r="AG42" i="8"/>
  <c r="AG30" i="8"/>
  <c r="AG18" i="8"/>
  <c r="AH817" i="8"/>
  <c r="AH804" i="8"/>
  <c r="AH792" i="8"/>
  <c r="AH780" i="8"/>
  <c r="AH768" i="8"/>
  <c r="AH756" i="8"/>
  <c r="AH744" i="8"/>
  <c r="AH732" i="8"/>
  <c r="AH720" i="8"/>
  <c r="AH708" i="8"/>
  <c r="AH696" i="8"/>
  <c r="AH684" i="8"/>
  <c r="AH672" i="8"/>
  <c r="AH660" i="8"/>
  <c r="AH648" i="8"/>
  <c r="AH636" i="8"/>
  <c r="AH624" i="8"/>
  <c r="AH612" i="8"/>
  <c r="AH600" i="8"/>
  <c r="AH588" i="8"/>
  <c r="AH576" i="8"/>
  <c r="AH564" i="8"/>
  <c r="AH552" i="8"/>
  <c r="AH540" i="8"/>
  <c r="AH528" i="8"/>
  <c r="AH516" i="8"/>
  <c r="AH504" i="8"/>
  <c r="AH492" i="8"/>
  <c r="AH480" i="8"/>
  <c r="AH468" i="8"/>
  <c r="AH456" i="8"/>
  <c r="AH444" i="8"/>
  <c r="AH432" i="8"/>
  <c r="AH420" i="8"/>
  <c r="AH408" i="8"/>
  <c r="AH396" i="8"/>
  <c r="AH384" i="8"/>
  <c r="AH372" i="8"/>
  <c r="AH360" i="8"/>
  <c r="AH348" i="8"/>
  <c r="AH336" i="8"/>
  <c r="AH324" i="8"/>
  <c r="AH312" i="8"/>
  <c r="AH300" i="8"/>
  <c r="AH288" i="8"/>
  <c r="AH276" i="8"/>
  <c r="AH264" i="8"/>
  <c r="AH252" i="8"/>
  <c r="AH240" i="8"/>
  <c r="AH228" i="8"/>
  <c r="AH216" i="8"/>
  <c r="AH204" i="8"/>
  <c r="AH192" i="8"/>
  <c r="AH180" i="8"/>
  <c r="AH168" i="8"/>
  <c r="AH156" i="8"/>
  <c r="AH144" i="8"/>
  <c r="AH132" i="8"/>
  <c r="AH120" i="8"/>
  <c r="AH108" i="8"/>
  <c r="AH96" i="8"/>
  <c r="AH84" i="8"/>
  <c r="AH72" i="8"/>
  <c r="AH60" i="8"/>
  <c r="AH48" i="8"/>
  <c r="AH36" i="8"/>
  <c r="AH24" i="8"/>
  <c r="AH12" i="8"/>
  <c r="L794" i="3"/>
  <c r="L554" i="3"/>
  <c r="L470" i="3"/>
  <c r="AG794" i="8"/>
  <c r="AJ794" i="8" s="1"/>
  <c r="AK794" i="8" s="1"/>
  <c r="AG506" i="8"/>
  <c r="AJ506" i="8" s="1"/>
  <c r="AK506" i="8" s="1"/>
  <c r="L770" i="3"/>
  <c r="L692" i="3"/>
  <c r="L663" i="3"/>
  <c r="L632" i="3"/>
  <c r="L530" i="3"/>
  <c r="L410" i="3"/>
  <c r="L158" i="3"/>
  <c r="L130" i="3"/>
  <c r="L68" i="3"/>
  <c r="L59" i="3"/>
  <c r="AG809" i="8"/>
  <c r="AG797" i="8"/>
  <c r="AG785" i="8"/>
  <c r="AG773" i="8"/>
  <c r="AG761" i="8"/>
  <c r="AG749" i="8"/>
  <c r="AG737" i="8"/>
  <c r="AJ737" i="8" s="1"/>
  <c r="AK737" i="8" s="1"/>
  <c r="AG725" i="8"/>
  <c r="AJ725" i="8" s="1"/>
  <c r="AK725" i="8" s="1"/>
  <c r="AG713" i="8"/>
  <c r="AG701" i="8"/>
  <c r="AG689" i="8"/>
  <c r="AG677" i="8"/>
  <c r="AG665" i="8"/>
  <c r="AG653" i="8"/>
  <c r="AG641" i="8"/>
  <c r="AG629" i="8"/>
  <c r="AG617" i="8"/>
  <c r="AG605" i="8"/>
  <c r="AG593" i="8"/>
  <c r="AJ593" i="8" s="1"/>
  <c r="AK593" i="8" s="1"/>
  <c r="AG581" i="8"/>
  <c r="AJ581" i="8" s="1"/>
  <c r="AK581" i="8" s="1"/>
  <c r="AG569" i="8"/>
  <c r="AG557" i="8"/>
  <c r="AG545" i="8"/>
  <c r="AG533" i="8"/>
  <c r="AG521" i="8"/>
  <c r="AG509" i="8"/>
  <c r="AG497" i="8"/>
  <c r="AG485" i="8"/>
  <c r="AG473" i="8"/>
  <c r="AG461" i="8"/>
  <c r="AG449" i="8"/>
  <c r="AJ449" i="8" s="1"/>
  <c r="AK449" i="8" s="1"/>
  <c r="AG437" i="8"/>
  <c r="AJ437" i="8" s="1"/>
  <c r="AK437" i="8" s="1"/>
  <c r="AG425" i="8"/>
  <c r="AG413" i="8"/>
  <c r="AG401" i="8"/>
  <c r="AG389" i="8"/>
  <c r="AG377" i="8"/>
  <c r="AG365" i="8"/>
  <c r="AG353" i="8"/>
  <c r="AG341" i="8"/>
  <c r="AG329" i="8"/>
  <c r="AG317" i="8"/>
  <c r="AG305" i="8"/>
  <c r="AJ305" i="8" s="1"/>
  <c r="AK305" i="8" s="1"/>
  <c r="AG293" i="8"/>
  <c r="AJ293" i="8" s="1"/>
  <c r="AK293" i="8" s="1"/>
  <c r="AG281" i="8"/>
  <c r="AG269" i="8"/>
  <c r="AG257" i="8"/>
  <c r="AG245" i="8"/>
  <c r="AG233" i="8"/>
  <c r="AG221" i="8"/>
  <c r="AG209" i="8"/>
  <c r="AG197" i="8"/>
  <c r="AG185" i="8"/>
  <c r="AG173" i="8"/>
  <c r="AG161" i="8"/>
  <c r="AJ161" i="8" s="1"/>
  <c r="AK161" i="8" s="1"/>
  <c r="AG149" i="8"/>
  <c r="AJ149" i="8" s="1"/>
  <c r="AK149" i="8" s="1"/>
  <c r="AG137" i="8"/>
  <c r="AG125" i="8"/>
  <c r="AG113" i="8"/>
  <c r="AG101" i="8"/>
  <c r="AG89" i="8"/>
  <c r="AG77" i="8"/>
  <c r="AG65" i="8"/>
  <c r="AG53" i="8"/>
  <c r="AG41" i="8"/>
  <c r="AG29" i="8"/>
  <c r="AG17" i="8"/>
  <c r="AJ17" i="8" s="1"/>
  <c r="AK17" i="8" s="1"/>
  <c r="AH816" i="8"/>
  <c r="AH803" i="8"/>
  <c r="AH791" i="8"/>
  <c r="AH779" i="8"/>
  <c r="AH767" i="8"/>
  <c r="AH755" i="8"/>
  <c r="AH743" i="8"/>
  <c r="AH731" i="8"/>
  <c r="AH719" i="8"/>
  <c r="AH707" i="8"/>
  <c r="AH695" i="8"/>
  <c r="AH683" i="8"/>
  <c r="AH671" i="8"/>
  <c r="AH659" i="8"/>
  <c r="AH647" i="8"/>
  <c r="AH635" i="8"/>
  <c r="AH623" i="8"/>
  <c r="AH611" i="8"/>
  <c r="AH599" i="8"/>
  <c r="AH587" i="8"/>
  <c r="AH575" i="8"/>
  <c r="AH563" i="8"/>
  <c r="AH551" i="8"/>
  <c r="AH539" i="8"/>
  <c r="AH527" i="8"/>
  <c r="AH515" i="8"/>
  <c r="AH503" i="8"/>
  <c r="AH491" i="8"/>
  <c r="AH479" i="8"/>
  <c r="AH467" i="8"/>
  <c r="AH455" i="8"/>
  <c r="AH443" i="8"/>
  <c r="AH431" i="8"/>
  <c r="AH419" i="8"/>
  <c r="AH407" i="8"/>
  <c r="AH395" i="8"/>
  <c r="AH383" i="8"/>
  <c r="AH371" i="8"/>
  <c r="AH359" i="8"/>
  <c r="AH347" i="8"/>
  <c r="AH335" i="8"/>
  <c r="AH323" i="8"/>
  <c r="AH311" i="8"/>
  <c r="AH299" i="8"/>
  <c r="AH287" i="8"/>
  <c r="AH275" i="8"/>
  <c r="AH263" i="8"/>
  <c r="AH251" i="8"/>
  <c r="AH239" i="8"/>
  <c r="AH227" i="8"/>
  <c r="AH215" i="8"/>
  <c r="AH203" i="8"/>
  <c r="AH191" i="8"/>
  <c r="AH179" i="8"/>
  <c r="AH167" i="8"/>
  <c r="AH155" i="8"/>
  <c r="AH143" i="8"/>
  <c r="AH131" i="8"/>
  <c r="AH119" i="8"/>
  <c r="AH107" i="8"/>
  <c r="AH95" i="8"/>
  <c r="AH83" i="8"/>
  <c r="AH71" i="8"/>
  <c r="AH59" i="8"/>
  <c r="AH47" i="8"/>
  <c r="AH35" i="8"/>
  <c r="AH23" i="8"/>
  <c r="AH11" i="8"/>
  <c r="L811" i="3"/>
  <c r="L673" i="3"/>
  <c r="L434" i="3"/>
  <c r="L373" i="3"/>
  <c r="L319" i="3"/>
  <c r="AG746" i="8"/>
  <c r="AJ746" i="8" s="1"/>
  <c r="AK746" i="8" s="1"/>
  <c r="AG662" i="8"/>
  <c r="AJ662" i="8" s="1"/>
  <c r="AK662" i="8" s="1"/>
  <c r="AG590" i="8"/>
  <c r="AJ590" i="8" s="1"/>
  <c r="AK590" i="8" s="1"/>
  <c r="AG494" i="8"/>
  <c r="L816" i="3"/>
  <c r="L749" i="3"/>
  <c r="L711" i="3"/>
  <c r="L684" i="3"/>
  <c r="L649" i="3"/>
  <c r="L597" i="3"/>
  <c r="L489" i="3"/>
  <c r="L385" i="3"/>
  <c r="L309" i="3"/>
  <c r="L57" i="3"/>
  <c r="AG808" i="8"/>
  <c r="AJ808" i="8" s="1"/>
  <c r="AK808" i="8" s="1"/>
  <c r="AG796" i="8"/>
  <c r="AG784" i="8"/>
  <c r="AG772" i="8"/>
  <c r="AJ772" i="8" s="1"/>
  <c r="AK772" i="8" s="1"/>
  <c r="AG760" i="8"/>
  <c r="AJ760" i="8" s="1"/>
  <c r="AK760" i="8" s="1"/>
  <c r="AG748" i="8"/>
  <c r="AJ748" i="8" s="1"/>
  <c r="AK748" i="8" s="1"/>
  <c r="AG736" i="8"/>
  <c r="AJ736" i="8" s="1"/>
  <c r="AK736" i="8" s="1"/>
  <c r="AG724" i="8"/>
  <c r="AG712" i="8"/>
  <c r="AG700" i="8"/>
  <c r="AJ700" i="8" s="1"/>
  <c r="AK700" i="8" s="1"/>
  <c r="AG688" i="8"/>
  <c r="AJ688" i="8" s="1"/>
  <c r="AK688" i="8" s="1"/>
  <c r="AG676" i="8"/>
  <c r="AJ676" i="8" s="1"/>
  <c r="AK676" i="8" s="1"/>
  <c r="AG664" i="8"/>
  <c r="AJ664" i="8" s="1"/>
  <c r="AK664" i="8" s="1"/>
  <c r="AG652" i="8"/>
  <c r="AG640" i="8"/>
  <c r="AG628" i="8"/>
  <c r="AJ628" i="8" s="1"/>
  <c r="AK628" i="8" s="1"/>
  <c r="AG616" i="8"/>
  <c r="AJ616" i="8" s="1"/>
  <c r="AK616" i="8" s="1"/>
  <c r="AG604" i="8"/>
  <c r="AJ604" i="8" s="1"/>
  <c r="AK604" i="8" s="1"/>
  <c r="AG592" i="8"/>
  <c r="AJ592" i="8" s="1"/>
  <c r="AK592" i="8" s="1"/>
  <c r="AG580" i="8"/>
  <c r="AG568" i="8"/>
  <c r="AG556" i="8"/>
  <c r="AJ556" i="8" s="1"/>
  <c r="AK556" i="8" s="1"/>
  <c r="AG544" i="8"/>
  <c r="AJ544" i="8" s="1"/>
  <c r="AK544" i="8" s="1"/>
  <c r="AG532" i="8"/>
  <c r="AJ532" i="8" s="1"/>
  <c r="AK532" i="8" s="1"/>
  <c r="AG520" i="8"/>
  <c r="AJ520" i="8" s="1"/>
  <c r="AK520" i="8" s="1"/>
  <c r="AG508" i="8"/>
  <c r="AG496" i="8"/>
  <c r="AG484" i="8"/>
  <c r="AJ484" i="8" s="1"/>
  <c r="AK484" i="8" s="1"/>
  <c r="AG472" i="8"/>
  <c r="AJ472" i="8" s="1"/>
  <c r="AK472" i="8" s="1"/>
  <c r="AG460" i="8"/>
  <c r="AJ460" i="8" s="1"/>
  <c r="AK460" i="8" s="1"/>
  <c r="AG448" i="8"/>
  <c r="AJ448" i="8" s="1"/>
  <c r="AK448" i="8" s="1"/>
  <c r="AG436" i="8"/>
  <c r="AG424" i="8"/>
  <c r="AG412" i="8"/>
  <c r="AJ412" i="8" s="1"/>
  <c r="AK412" i="8" s="1"/>
  <c r="AG400" i="8"/>
  <c r="AJ400" i="8" s="1"/>
  <c r="AK400" i="8" s="1"/>
  <c r="AG388" i="8"/>
  <c r="AJ388" i="8" s="1"/>
  <c r="AK388" i="8" s="1"/>
  <c r="AG376" i="8"/>
  <c r="AJ376" i="8" s="1"/>
  <c r="AK376" i="8" s="1"/>
  <c r="AG364" i="8"/>
  <c r="AG352" i="8"/>
  <c r="AG340" i="8"/>
  <c r="AJ340" i="8" s="1"/>
  <c r="AK340" i="8" s="1"/>
  <c r="AG328" i="8"/>
  <c r="AJ328" i="8" s="1"/>
  <c r="AK328" i="8" s="1"/>
  <c r="AG316" i="8"/>
  <c r="AJ316" i="8" s="1"/>
  <c r="AK316" i="8" s="1"/>
  <c r="AG304" i="8"/>
  <c r="AJ304" i="8" s="1"/>
  <c r="AK304" i="8" s="1"/>
  <c r="AG292" i="8"/>
  <c r="AG280" i="8"/>
  <c r="AG268" i="8"/>
  <c r="AJ268" i="8" s="1"/>
  <c r="AK268" i="8" s="1"/>
  <c r="AG256" i="8"/>
  <c r="AJ256" i="8" s="1"/>
  <c r="AK256" i="8" s="1"/>
  <c r="AG244" i="8"/>
  <c r="AJ244" i="8" s="1"/>
  <c r="AK244" i="8" s="1"/>
  <c r="AG232" i="8"/>
  <c r="AJ232" i="8" s="1"/>
  <c r="AK232" i="8" s="1"/>
  <c r="AG220" i="8"/>
  <c r="AG208" i="8"/>
  <c r="AG196" i="8"/>
  <c r="AJ196" i="8" s="1"/>
  <c r="AK196" i="8" s="1"/>
  <c r="AG184" i="8"/>
  <c r="AJ184" i="8" s="1"/>
  <c r="AK184" i="8" s="1"/>
  <c r="AG172" i="8"/>
  <c r="AJ172" i="8" s="1"/>
  <c r="AK172" i="8" s="1"/>
  <c r="AG160" i="8"/>
  <c r="AJ160" i="8" s="1"/>
  <c r="AK160" i="8" s="1"/>
  <c r="AG148" i="8"/>
  <c r="AG136" i="8"/>
  <c r="AG124" i="8"/>
  <c r="AJ124" i="8" s="1"/>
  <c r="AK124" i="8" s="1"/>
  <c r="AG112" i="8"/>
  <c r="AJ112" i="8" s="1"/>
  <c r="AK112" i="8" s="1"/>
  <c r="AG100" i="8"/>
  <c r="AJ100" i="8" s="1"/>
  <c r="AK100" i="8" s="1"/>
  <c r="AG88" i="8"/>
  <c r="AJ88" i="8" s="1"/>
  <c r="AK88" i="8" s="1"/>
  <c r="AG76" i="8"/>
  <c r="AG64" i="8"/>
  <c r="AG52" i="8"/>
  <c r="AJ52" i="8" s="1"/>
  <c r="AK52" i="8" s="1"/>
  <c r="AG40" i="8"/>
  <c r="AJ40" i="8" s="1"/>
  <c r="AK40" i="8" s="1"/>
  <c r="AG28" i="8"/>
  <c r="AJ28" i="8" s="1"/>
  <c r="AK28" i="8" s="1"/>
  <c r="AG16" i="8"/>
  <c r="AJ16" i="8" s="1"/>
  <c r="AK16" i="8" s="1"/>
  <c r="AH815" i="8"/>
  <c r="AH802" i="8"/>
  <c r="AH790" i="8"/>
  <c r="AH778" i="8"/>
  <c r="AH766" i="8"/>
  <c r="AH754" i="8"/>
  <c r="AH742" i="8"/>
  <c r="AH730" i="8"/>
  <c r="AH718" i="8"/>
  <c r="AH706" i="8"/>
  <c r="AH694" i="8"/>
  <c r="AH682" i="8"/>
  <c r="AH670" i="8"/>
  <c r="AH658" i="8"/>
  <c r="AH646" i="8"/>
  <c r="AH634" i="8"/>
  <c r="AH622" i="8"/>
  <c r="AH610" i="8"/>
  <c r="AH598" i="8"/>
  <c r="AH586" i="8"/>
  <c r="AH574" i="8"/>
  <c r="AH562" i="8"/>
  <c r="AH550" i="8"/>
  <c r="AH538" i="8"/>
  <c r="AH526" i="8"/>
  <c r="AH514" i="8"/>
  <c r="AH502" i="8"/>
  <c r="AH490" i="8"/>
  <c r="AH478" i="8"/>
  <c r="AH466" i="8"/>
  <c r="AH454" i="8"/>
  <c r="AH442" i="8"/>
  <c r="AH430" i="8"/>
  <c r="AH418" i="8"/>
  <c r="AH406" i="8"/>
  <c r="AH394" i="8"/>
  <c r="AH382" i="8"/>
  <c r="AH370" i="8"/>
  <c r="AH358" i="8"/>
  <c r="AH346" i="8"/>
  <c r="AH334" i="8"/>
  <c r="AH322" i="8"/>
  <c r="AH310" i="8"/>
  <c r="AH298" i="8"/>
  <c r="AH286" i="8"/>
  <c r="AH274" i="8"/>
  <c r="AH262" i="8"/>
  <c r="AH250" i="8"/>
  <c r="AH238" i="8"/>
  <c r="AH226" i="8"/>
  <c r="AH214" i="8"/>
  <c r="AH202" i="8"/>
  <c r="AH190" i="8"/>
  <c r="AH178" i="8"/>
  <c r="AH166" i="8"/>
  <c r="AH154" i="8"/>
  <c r="AH142" i="8"/>
  <c r="AH130" i="8"/>
  <c r="AH118" i="8"/>
  <c r="AH106" i="8"/>
  <c r="AH94" i="8"/>
  <c r="AH82" i="8"/>
  <c r="AH70" i="8"/>
  <c r="AH58" i="8"/>
  <c r="AH46" i="8"/>
  <c r="AH34" i="8"/>
  <c r="AH22" i="8"/>
  <c r="AH10" i="8"/>
  <c r="L252" i="3"/>
  <c r="L145" i="3"/>
  <c r="L133" i="3"/>
  <c r="AG807" i="8"/>
  <c r="AJ807" i="8" s="1"/>
  <c r="AK807" i="8" s="1"/>
  <c r="AG795" i="8"/>
  <c r="AJ795" i="8" s="1"/>
  <c r="AK795" i="8" s="1"/>
  <c r="AG783" i="8"/>
  <c r="AJ783" i="8" s="1"/>
  <c r="AK783" i="8" s="1"/>
  <c r="AG771" i="8"/>
  <c r="AG759" i="8"/>
  <c r="AG747" i="8"/>
  <c r="AJ747" i="8" s="1"/>
  <c r="AK747" i="8" s="1"/>
  <c r="AG735" i="8"/>
  <c r="AJ735" i="8" s="1"/>
  <c r="AK735" i="8" s="1"/>
  <c r="AG723" i="8"/>
  <c r="AJ723" i="8" s="1"/>
  <c r="AK723" i="8" s="1"/>
  <c r="AG711" i="8"/>
  <c r="AJ711" i="8" s="1"/>
  <c r="AK711" i="8" s="1"/>
  <c r="AG699" i="8"/>
  <c r="AG687" i="8"/>
  <c r="AG675" i="8"/>
  <c r="AJ675" i="8" s="1"/>
  <c r="AK675" i="8" s="1"/>
  <c r="AG663" i="8"/>
  <c r="AJ663" i="8" s="1"/>
  <c r="AK663" i="8" s="1"/>
  <c r="AG651" i="8"/>
  <c r="AJ651" i="8" s="1"/>
  <c r="AK651" i="8" s="1"/>
  <c r="AG639" i="8"/>
  <c r="AJ639" i="8" s="1"/>
  <c r="AK639" i="8" s="1"/>
  <c r="AG627" i="8"/>
  <c r="AG615" i="8"/>
  <c r="AG603" i="8"/>
  <c r="AJ603" i="8" s="1"/>
  <c r="AK603" i="8" s="1"/>
  <c r="AG591" i="8"/>
  <c r="AJ591" i="8" s="1"/>
  <c r="AK591" i="8" s="1"/>
  <c r="AG579" i="8"/>
  <c r="AJ579" i="8" s="1"/>
  <c r="AK579" i="8" s="1"/>
  <c r="AG567" i="8"/>
  <c r="AJ567" i="8" s="1"/>
  <c r="AK567" i="8" s="1"/>
  <c r="AG555" i="8"/>
  <c r="AG543" i="8"/>
  <c r="AG531" i="8"/>
  <c r="AJ531" i="8" s="1"/>
  <c r="AK531" i="8" s="1"/>
  <c r="AG519" i="8"/>
  <c r="AJ519" i="8" s="1"/>
  <c r="AK519" i="8" s="1"/>
  <c r="AG507" i="8"/>
  <c r="AJ507" i="8" s="1"/>
  <c r="AK507" i="8" s="1"/>
  <c r="AG495" i="8"/>
  <c r="AJ495" i="8" s="1"/>
  <c r="AK495" i="8" s="1"/>
  <c r="AG483" i="8"/>
  <c r="AG471" i="8"/>
  <c r="AG459" i="8"/>
  <c r="AJ459" i="8" s="1"/>
  <c r="AK459" i="8" s="1"/>
  <c r="AG447" i="8"/>
  <c r="AJ447" i="8" s="1"/>
  <c r="AK447" i="8" s="1"/>
  <c r="AG435" i="8"/>
  <c r="AJ435" i="8" s="1"/>
  <c r="AK435" i="8" s="1"/>
  <c r="AG423" i="8"/>
  <c r="AJ423" i="8" s="1"/>
  <c r="AK423" i="8" s="1"/>
  <c r="AG411" i="8"/>
  <c r="AG399" i="8"/>
  <c r="AG387" i="8"/>
  <c r="AJ387" i="8" s="1"/>
  <c r="AK387" i="8" s="1"/>
  <c r="AG375" i="8"/>
  <c r="AJ375" i="8" s="1"/>
  <c r="AK375" i="8" s="1"/>
  <c r="AG363" i="8"/>
  <c r="AJ363" i="8" s="1"/>
  <c r="AK363" i="8" s="1"/>
  <c r="AG351" i="8"/>
  <c r="AJ351" i="8" s="1"/>
  <c r="AK351" i="8" s="1"/>
  <c r="AG339" i="8"/>
  <c r="AG327" i="8"/>
  <c r="AG315" i="8"/>
  <c r="AJ315" i="8" s="1"/>
  <c r="AK315" i="8" s="1"/>
  <c r="AG303" i="8"/>
  <c r="AJ303" i="8" s="1"/>
  <c r="AK303" i="8" s="1"/>
  <c r="AG291" i="8"/>
  <c r="AJ291" i="8" s="1"/>
  <c r="AK291" i="8" s="1"/>
  <c r="AG279" i="8"/>
  <c r="AJ279" i="8" s="1"/>
  <c r="AK279" i="8" s="1"/>
  <c r="AG267" i="8"/>
  <c r="AG255" i="8"/>
  <c r="AG243" i="8"/>
  <c r="AJ243" i="8" s="1"/>
  <c r="AK243" i="8" s="1"/>
  <c r="AG231" i="8"/>
  <c r="AJ231" i="8" s="1"/>
  <c r="AK231" i="8" s="1"/>
  <c r="AG219" i="8"/>
  <c r="AJ219" i="8" s="1"/>
  <c r="AK219" i="8" s="1"/>
  <c r="AG207" i="8"/>
  <c r="AJ207" i="8" s="1"/>
  <c r="AK207" i="8" s="1"/>
  <c r="AG195" i="8"/>
  <c r="AG183" i="8"/>
  <c r="AG171" i="8"/>
  <c r="AJ171" i="8" s="1"/>
  <c r="AK171" i="8" s="1"/>
  <c r="AG159" i="8"/>
  <c r="AJ159" i="8" s="1"/>
  <c r="AK159" i="8" s="1"/>
  <c r="AG147" i="8"/>
  <c r="AJ147" i="8" s="1"/>
  <c r="AK147" i="8" s="1"/>
  <c r="AG135" i="8"/>
  <c r="AJ135" i="8" s="1"/>
  <c r="AK135" i="8" s="1"/>
  <c r="AG123" i="8"/>
  <c r="AG111" i="8"/>
  <c r="AG99" i="8"/>
  <c r="AJ99" i="8" s="1"/>
  <c r="AK99" i="8" s="1"/>
  <c r="AG87" i="8"/>
  <c r="AJ87" i="8" s="1"/>
  <c r="AK87" i="8" s="1"/>
  <c r="AG75" i="8"/>
  <c r="AJ75" i="8" s="1"/>
  <c r="AK75" i="8" s="1"/>
  <c r="AG63" i="8"/>
  <c r="AJ63" i="8" s="1"/>
  <c r="AK63" i="8" s="1"/>
  <c r="AG51" i="8"/>
  <c r="AG39" i="8"/>
  <c r="AG27" i="8"/>
  <c r="AJ27" i="8" s="1"/>
  <c r="AK27" i="8" s="1"/>
  <c r="AG15" i="8"/>
  <c r="AJ15" i="8" s="1"/>
  <c r="AK15" i="8" s="1"/>
  <c r="AH814" i="8"/>
  <c r="AH801" i="8"/>
  <c r="AH789" i="8"/>
  <c r="AH777" i="8"/>
  <c r="AH765" i="8"/>
  <c r="AH753" i="8"/>
  <c r="AH741" i="8"/>
  <c r="AH729" i="8"/>
  <c r="AH717" i="8"/>
  <c r="AH705" i="8"/>
  <c r="AH693" i="8"/>
  <c r="AH681" i="8"/>
  <c r="AH669" i="8"/>
  <c r="AH657" i="8"/>
  <c r="AH645" i="8"/>
  <c r="AH633" i="8"/>
  <c r="AH621" i="8"/>
  <c r="AH609" i="8"/>
  <c r="AH597" i="8"/>
  <c r="AH585" i="8"/>
  <c r="AH573" i="8"/>
  <c r="AH561" i="8"/>
  <c r="AH549" i="8"/>
  <c r="AH537" i="8"/>
  <c r="AH525" i="8"/>
  <c r="AH513" i="8"/>
  <c r="AH501" i="8"/>
  <c r="AH489" i="8"/>
  <c r="AH477" i="8"/>
  <c r="AH465" i="8"/>
  <c r="AH453" i="8"/>
  <c r="AH441" i="8"/>
  <c r="AH429" i="8"/>
  <c r="AH417" i="8"/>
  <c r="AH405" i="8"/>
  <c r="AH393" i="8"/>
  <c r="AH381" i="8"/>
  <c r="AH369" i="8"/>
  <c r="AH357" i="8"/>
  <c r="AH345" i="8"/>
  <c r="AH333" i="8"/>
  <c r="AH321" i="8"/>
  <c r="AH309" i="8"/>
  <c r="AH297" i="8"/>
  <c r="AH285" i="8"/>
  <c r="AH273" i="8"/>
  <c r="AH261" i="8"/>
  <c r="AH249" i="8"/>
  <c r="AH237" i="8"/>
  <c r="AH225" i="8"/>
  <c r="AH213" i="8"/>
  <c r="AH201" i="8"/>
  <c r="AH189" i="8"/>
  <c r="AH177" i="8"/>
  <c r="AH165" i="8"/>
  <c r="AH153" i="8"/>
  <c r="AH141" i="8"/>
  <c r="AH129" i="8"/>
  <c r="AH117" i="8"/>
  <c r="AH105" i="8"/>
  <c r="AH93" i="8"/>
  <c r="AH81" i="8"/>
  <c r="AH69" i="8"/>
  <c r="AH57" i="8"/>
  <c r="AH45" i="8"/>
  <c r="AH33" i="8"/>
  <c r="AH21" i="8"/>
  <c r="AH9" i="8"/>
  <c r="AG410" i="8"/>
  <c r="AG398" i="8"/>
  <c r="AG386" i="8"/>
  <c r="AJ386" i="8" s="1"/>
  <c r="AK386" i="8" s="1"/>
  <c r="AG374" i="8"/>
  <c r="AJ374" i="8" s="1"/>
  <c r="AK374" i="8" s="1"/>
  <c r="AG362" i="8"/>
  <c r="AJ362" i="8" s="1"/>
  <c r="AK362" i="8" s="1"/>
  <c r="AG350" i="8"/>
  <c r="AG338" i="8"/>
  <c r="AG326" i="8"/>
  <c r="AJ326" i="8" s="1"/>
  <c r="AK326" i="8" s="1"/>
  <c r="AG314" i="8"/>
  <c r="AJ314" i="8" s="1"/>
  <c r="AK314" i="8" s="1"/>
  <c r="AG302" i="8"/>
  <c r="AJ302" i="8" s="1"/>
  <c r="AK302" i="8" s="1"/>
  <c r="AG290" i="8"/>
  <c r="AJ290" i="8" s="1"/>
  <c r="AK290" i="8" s="1"/>
  <c r="AG278" i="8"/>
  <c r="AG266" i="8"/>
  <c r="AG254" i="8"/>
  <c r="AG242" i="8"/>
  <c r="AJ242" i="8" s="1"/>
  <c r="AK242" i="8" s="1"/>
  <c r="AG230" i="8"/>
  <c r="AG218" i="8"/>
  <c r="AJ218" i="8" s="1"/>
  <c r="AK218" i="8" s="1"/>
  <c r="AG206" i="8"/>
  <c r="AG194" i="8"/>
  <c r="AG182" i="8"/>
  <c r="AJ182" i="8" s="1"/>
  <c r="AK182" i="8" s="1"/>
  <c r="AG170" i="8"/>
  <c r="AG158" i="8"/>
  <c r="AG146" i="8"/>
  <c r="AJ146" i="8" s="1"/>
  <c r="AK146" i="8" s="1"/>
  <c r="AG134" i="8"/>
  <c r="AG122" i="8"/>
  <c r="AG110" i="8"/>
  <c r="AG98" i="8"/>
  <c r="AG86" i="8"/>
  <c r="AG74" i="8"/>
  <c r="AJ74" i="8" s="1"/>
  <c r="AK74" i="8" s="1"/>
  <c r="AG62" i="8"/>
  <c r="AG50" i="8"/>
  <c r="AG38" i="8"/>
  <c r="AJ38" i="8" s="1"/>
  <c r="AK38" i="8" s="1"/>
  <c r="AG26" i="8"/>
  <c r="AG14" i="8"/>
  <c r="AH813" i="8"/>
  <c r="AH800" i="8"/>
  <c r="AH788" i="8"/>
  <c r="AH776" i="8"/>
  <c r="AH764" i="8"/>
  <c r="AH752" i="8"/>
  <c r="AH740" i="8"/>
  <c r="AH728" i="8"/>
  <c r="AH716" i="8"/>
  <c r="AH704" i="8"/>
  <c r="AH692" i="8"/>
  <c r="AH680" i="8"/>
  <c r="AH668" i="8"/>
  <c r="AH656" i="8"/>
  <c r="AH644" i="8"/>
  <c r="AH632" i="8"/>
  <c r="AH620" i="8"/>
  <c r="AH608" i="8"/>
  <c r="AH596" i="8"/>
  <c r="AH584" i="8"/>
  <c r="AH572" i="8"/>
  <c r="AH560" i="8"/>
  <c r="AH548" i="8"/>
  <c r="AH536" i="8"/>
  <c r="AH524" i="8"/>
  <c r="AH512" i="8"/>
  <c r="AH500" i="8"/>
  <c r="AH488" i="8"/>
  <c r="AH476" i="8"/>
  <c r="AH464" i="8"/>
  <c r="AH452" i="8"/>
  <c r="AH440" i="8"/>
  <c r="AH428" i="8"/>
  <c r="AH416" i="8"/>
  <c r="AH404" i="8"/>
  <c r="AH392" i="8"/>
  <c r="AH380" i="8"/>
  <c r="AH368" i="8"/>
  <c r="AH356" i="8"/>
  <c r="AH344" i="8"/>
  <c r="AH332" i="8"/>
  <c r="AH320" i="8"/>
  <c r="AH308" i="8"/>
  <c r="AH296" i="8"/>
  <c r="AH284" i="8"/>
  <c r="AH272" i="8"/>
  <c r="AH260" i="8"/>
  <c r="AH248" i="8"/>
  <c r="AH236" i="8"/>
  <c r="AH224" i="8"/>
  <c r="AH212" i="8"/>
  <c r="AH200" i="8"/>
  <c r="AH188" i="8"/>
  <c r="AH176" i="8"/>
  <c r="AH164" i="8"/>
  <c r="AH152" i="8"/>
  <c r="AH140" i="8"/>
  <c r="AH128" i="8"/>
  <c r="AH116" i="8"/>
  <c r="AH104" i="8"/>
  <c r="AH92" i="8"/>
  <c r="AH80" i="8"/>
  <c r="AH68" i="8"/>
  <c r="AH56" i="8"/>
  <c r="AH44" i="8"/>
  <c r="AH32" i="8"/>
  <c r="AH20" i="8"/>
  <c r="AH8" i="8"/>
  <c r="L420" i="3"/>
  <c r="L395" i="3"/>
  <c r="L274" i="3"/>
  <c r="L217" i="3"/>
  <c r="L167" i="3"/>
  <c r="AG817" i="8"/>
  <c r="AG805" i="8"/>
  <c r="AJ805" i="8" s="1"/>
  <c r="AK805" i="8" s="1"/>
  <c r="AG793" i="8"/>
  <c r="AJ793" i="8" s="1"/>
  <c r="AK793" i="8" s="1"/>
  <c r="AG781" i="8"/>
  <c r="AJ781" i="8" s="1"/>
  <c r="AK781" i="8" s="1"/>
  <c r="AG769" i="8"/>
  <c r="AJ769" i="8" s="1"/>
  <c r="AK769" i="8" s="1"/>
  <c r="AG757" i="8"/>
  <c r="AG745" i="8"/>
  <c r="AG733" i="8"/>
  <c r="AJ733" i="8" s="1"/>
  <c r="AK733" i="8" s="1"/>
  <c r="AG721" i="8"/>
  <c r="AJ721" i="8" s="1"/>
  <c r="AK721" i="8" s="1"/>
  <c r="AG709" i="8"/>
  <c r="AJ709" i="8" s="1"/>
  <c r="AK709" i="8" s="1"/>
  <c r="AG697" i="8"/>
  <c r="AJ697" i="8" s="1"/>
  <c r="AK697" i="8" s="1"/>
  <c r="AG685" i="8"/>
  <c r="AG673" i="8"/>
  <c r="AG661" i="8"/>
  <c r="AJ661" i="8" s="1"/>
  <c r="AK661" i="8" s="1"/>
  <c r="AG649" i="8"/>
  <c r="AJ649" i="8" s="1"/>
  <c r="AK649" i="8" s="1"/>
  <c r="AG637" i="8"/>
  <c r="AJ637" i="8" s="1"/>
  <c r="AK637" i="8" s="1"/>
  <c r="AG625" i="8"/>
  <c r="AJ625" i="8" s="1"/>
  <c r="AK625" i="8" s="1"/>
  <c r="AG613" i="8"/>
  <c r="AG601" i="8"/>
  <c r="AG589" i="8"/>
  <c r="AJ589" i="8" s="1"/>
  <c r="AK589" i="8" s="1"/>
  <c r="AG577" i="8"/>
  <c r="AJ577" i="8" s="1"/>
  <c r="AK577" i="8" s="1"/>
  <c r="AG565" i="8"/>
  <c r="AJ565" i="8" s="1"/>
  <c r="AK565" i="8" s="1"/>
  <c r="AG553" i="8"/>
  <c r="AJ553" i="8" s="1"/>
  <c r="AK553" i="8" s="1"/>
  <c r="AG541" i="8"/>
  <c r="AG529" i="8"/>
  <c r="AG517" i="8"/>
  <c r="AJ517" i="8" s="1"/>
  <c r="AK517" i="8" s="1"/>
  <c r="AG505" i="8"/>
  <c r="AJ505" i="8" s="1"/>
  <c r="AK505" i="8" s="1"/>
  <c r="AG493" i="8"/>
  <c r="AJ493" i="8" s="1"/>
  <c r="AK493" i="8" s="1"/>
  <c r="AG481" i="8"/>
  <c r="AJ481" i="8" s="1"/>
  <c r="AK481" i="8" s="1"/>
  <c r="AG469" i="8"/>
  <c r="AG457" i="8"/>
  <c r="AG445" i="8"/>
  <c r="AJ445" i="8" s="1"/>
  <c r="AK445" i="8" s="1"/>
  <c r="AG433" i="8"/>
  <c r="AJ433" i="8" s="1"/>
  <c r="AK433" i="8" s="1"/>
  <c r="AG421" i="8"/>
  <c r="AJ421" i="8" s="1"/>
  <c r="AK421" i="8" s="1"/>
  <c r="AG409" i="8"/>
  <c r="AJ409" i="8" s="1"/>
  <c r="AK409" i="8" s="1"/>
  <c r="AG397" i="8"/>
  <c r="AG385" i="8"/>
  <c r="AG373" i="8"/>
  <c r="AJ373" i="8" s="1"/>
  <c r="AK373" i="8" s="1"/>
  <c r="AG361" i="8"/>
  <c r="AJ361" i="8" s="1"/>
  <c r="AK361" i="8" s="1"/>
  <c r="AG349" i="8"/>
  <c r="AJ349" i="8" s="1"/>
  <c r="AK349" i="8" s="1"/>
  <c r="AG337" i="8"/>
  <c r="AJ337" i="8" s="1"/>
  <c r="AK337" i="8" s="1"/>
  <c r="AG325" i="8"/>
  <c r="AG313" i="8"/>
  <c r="AG301" i="8"/>
  <c r="AJ301" i="8" s="1"/>
  <c r="AK301" i="8" s="1"/>
  <c r="AG289" i="8"/>
  <c r="AJ289" i="8" s="1"/>
  <c r="AK289" i="8" s="1"/>
  <c r="AG277" i="8"/>
  <c r="AJ277" i="8" s="1"/>
  <c r="AK277" i="8" s="1"/>
  <c r="AG265" i="8"/>
  <c r="AJ265" i="8" s="1"/>
  <c r="AK265" i="8" s="1"/>
  <c r="AG253" i="8"/>
  <c r="AG241" i="8"/>
  <c r="AG229" i="8"/>
  <c r="AJ229" i="8" s="1"/>
  <c r="AK229" i="8" s="1"/>
  <c r="AG217" i="8"/>
  <c r="AJ217" i="8" s="1"/>
  <c r="AK217" i="8" s="1"/>
  <c r="AG205" i="8"/>
  <c r="AJ205" i="8" s="1"/>
  <c r="AK205" i="8" s="1"/>
  <c r="AG193" i="8"/>
  <c r="AJ193" i="8" s="1"/>
  <c r="AK193" i="8" s="1"/>
  <c r="AG181" i="8"/>
  <c r="AG169" i="8"/>
  <c r="AG157" i="8"/>
  <c r="AJ157" i="8" s="1"/>
  <c r="AK157" i="8" s="1"/>
  <c r="AG145" i="8"/>
  <c r="AJ145" i="8" s="1"/>
  <c r="AK145" i="8" s="1"/>
  <c r="AG133" i="8"/>
  <c r="AJ133" i="8" s="1"/>
  <c r="AK133" i="8" s="1"/>
  <c r="AG121" i="8"/>
  <c r="AJ121" i="8" s="1"/>
  <c r="AK121" i="8" s="1"/>
  <c r="AG109" i="8"/>
  <c r="AG97" i="8"/>
  <c r="AG85" i="8"/>
  <c r="AJ85" i="8" s="1"/>
  <c r="AK85" i="8" s="1"/>
  <c r="AG73" i="8"/>
  <c r="AJ73" i="8" s="1"/>
  <c r="AK73" i="8" s="1"/>
  <c r="AG61" i="8"/>
  <c r="AJ61" i="8" s="1"/>
  <c r="AK61" i="8" s="1"/>
  <c r="AG49" i="8"/>
  <c r="AJ49" i="8" s="1"/>
  <c r="AK49" i="8" s="1"/>
  <c r="AG37" i="8"/>
  <c r="AG25" i="8"/>
  <c r="AG13" i="8"/>
  <c r="AJ13" i="8" s="1"/>
  <c r="AK13" i="8" s="1"/>
  <c r="AH812" i="8"/>
  <c r="AH799" i="8"/>
  <c r="AH787" i="8"/>
  <c r="AH775" i="8"/>
  <c r="AH763" i="8"/>
  <c r="AH751" i="8"/>
  <c r="AH739" i="8"/>
  <c r="AH727" i="8"/>
  <c r="AH715" i="8"/>
  <c r="AH703" i="8"/>
  <c r="AH691" i="8"/>
  <c r="AH679" i="8"/>
  <c r="AH667" i="8"/>
  <c r="AH655" i="8"/>
  <c r="AH643" i="8"/>
  <c r="AH631" i="8"/>
  <c r="AH619" i="8"/>
  <c r="AH607" i="8"/>
  <c r="AH595" i="8"/>
  <c r="AH583" i="8"/>
  <c r="AH571" i="8"/>
  <c r="AH559" i="8"/>
  <c r="AH547" i="8"/>
  <c r="AH535" i="8"/>
  <c r="AH523" i="8"/>
  <c r="AH511" i="8"/>
  <c r="AH499" i="8"/>
  <c r="AH487" i="8"/>
  <c r="AH475" i="8"/>
  <c r="AH463" i="8"/>
  <c r="AH451" i="8"/>
  <c r="AH439" i="8"/>
  <c r="AH427" i="8"/>
  <c r="AH415" i="8"/>
  <c r="AH403" i="8"/>
  <c r="AH391" i="8"/>
  <c r="AH379" i="8"/>
  <c r="AH367" i="8"/>
  <c r="AH355" i="8"/>
  <c r="AH343" i="8"/>
  <c r="AH331" i="8"/>
  <c r="AH319" i="8"/>
  <c r="AH307" i="8"/>
  <c r="AH295" i="8"/>
  <c r="AH283" i="8"/>
  <c r="AH271" i="8"/>
  <c r="AH259" i="8"/>
  <c r="AH247" i="8"/>
  <c r="AH235" i="8"/>
  <c r="AH223" i="8"/>
  <c r="AH211" i="8"/>
  <c r="AH199" i="8"/>
  <c r="AH187" i="8"/>
  <c r="AH175" i="8"/>
  <c r="AH163" i="8"/>
  <c r="AH151" i="8"/>
  <c r="AH139" i="8"/>
  <c r="AH127" i="8"/>
  <c r="AH115" i="8"/>
  <c r="AH103" i="8"/>
  <c r="AH91" i="8"/>
  <c r="AH79" i="8"/>
  <c r="AH67" i="8"/>
  <c r="AH55" i="8"/>
  <c r="AH43" i="8"/>
  <c r="AH31" i="8"/>
  <c r="AH19" i="8"/>
  <c r="AH7" i="8"/>
  <c r="L596" i="3"/>
  <c r="L520" i="3"/>
  <c r="L357" i="3"/>
  <c r="AG782" i="8"/>
  <c r="AJ782" i="8" s="1"/>
  <c r="AK782" i="8" s="1"/>
  <c r="AG710" i="8"/>
  <c r="AJ710" i="8" s="1"/>
  <c r="AK710" i="8" s="1"/>
  <c r="AG638" i="8"/>
  <c r="AG578" i="8"/>
  <c r="AJ578" i="8" s="1"/>
  <c r="AK578" i="8" s="1"/>
  <c r="AG542" i="8"/>
  <c r="AJ542" i="8" s="1"/>
  <c r="AK542" i="8" s="1"/>
  <c r="AG434" i="8"/>
  <c r="L611" i="3"/>
  <c r="L562" i="3"/>
  <c r="L491" i="3"/>
  <c r="L815" i="3"/>
  <c r="L804" i="3"/>
  <c r="L793" i="3"/>
  <c r="L786" i="3"/>
  <c r="L781" i="3"/>
  <c r="L757" i="3"/>
  <c r="L724" i="3"/>
  <c r="L701" i="3"/>
  <c r="L687" i="3"/>
  <c r="L682" i="3"/>
  <c r="L635" i="3"/>
  <c r="L631" i="3"/>
  <c r="L604" i="3"/>
  <c r="L553" i="3"/>
  <c r="L529" i="3"/>
  <c r="L508" i="3"/>
  <c r="L481" i="3"/>
  <c r="L129" i="3"/>
  <c r="AG816" i="8"/>
  <c r="AG804" i="8"/>
  <c r="AJ804" i="8" s="1"/>
  <c r="AK804" i="8" s="1"/>
  <c r="AG792" i="8"/>
  <c r="AJ792" i="8" s="1"/>
  <c r="AK792" i="8" s="1"/>
  <c r="AG780" i="8"/>
  <c r="AJ780" i="8" s="1"/>
  <c r="AK780" i="8" s="1"/>
  <c r="AG768" i="8"/>
  <c r="AG756" i="8"/>
  <c r="AG744" i="8"/>
  <c r="AG732" i="8"/>
  <c r="AJ732" i="8" s="1"/>
  <c r="AK732" i="8" s="1"/>
  <c r="AG720" i="8"/>
  <c r="AJ720" i="8" s="1"/>
  <c r="AK720" i="8" s="1"/>
  <c r="AG708" i="8"/>
  <c r="AJ708" i="8" s="1"/>
  <c r="AK708" i="8" s="1"/>
  <c r="AG696" i="8"/>
  <c r="AJ696" i="8" s="1"/>
  <c r="AK696" i="8" s="1"/>
  <c r="AG684" i="8"/>
  <c r="AG672" i="8"/>
  <c r="AG660" i="8"/>
  <c r="AJ660" i="8" s="1"/>
  <c r="AK660" i="8" s="1"/>
  <c r="AG648" i="8"/>
  <c r="AJ648" i="8" s="1"/>
  <c r="AK648" i="8" s="1"/>
  <c r="AG636" i="8"/>
  <c r="AJ636" i="8" s="1"/>
  <c r="AK636" i="8" s="1"/>
  <c r="AG624" i="8"/>
  <c r="AG612" i="8"/>
  <c r="AG600" i="8"/>
  <c r="AG588" i="8"/>
  <c r="AJ588" i="8" s="1"/>
  <c r="AK588" i="8" s="1"/>
  <c r="AG576" i="8"/>
  <c r="AJ576" i="8" s="1"/>
  <c r="AK576" i="8" s="1"/>
  <c r="AG564" i="8"/>
  <c r="AJ564" i="8" s="1"/>
  <c r="AK564" i="8" s="1"/>
  <c r="AG552" i="8"/>
  <c r="AJ552" i="8" s="1"/>
  <c r="AK552" i="8" s="1"/>
  <c r="AG540" i="8"/>
  <c r="AG528" i="8"/>
  <c r="AG516" i="8"/>
  <c r="AJ516" i="8" s="1"/>
  <c r="AK516" i="8" s="1"/>
  <c r="AG504" i="8"/>
  <c r="AJ504" i="8" s="1"/>
  <c r="AK504" i="8" s="1"/>
  <c r="AG492" i="8"/>
  <c r="AJ492" i="8" s="1"/>
  <c r="AK492" i="8" s="1"/>
  <c r="AG480" i="8"/>
  <c r="AG468" i="8"/>
  <c r="AG456" i="8"/>
  <c r="AG444" i="8"/>
  <c r="AJ444" i="8" s="1"/>
  <c r="AK444" i="8" s="1"/>
  <c r="AG432" i="8"/>
  <c r="AJ432" i="8" s="1"/>
  <c r="AK432" i="8" s="1"/>
  <c r="AG420" i="8"/>
  <c r="AJ420" i="8" s="1"/>
  <c r="AK420" i="8" s="1"/>
  <c r="AG408" i="8"/>
  <c r="AJ408" i="8" s="1"/>
  <c r="AK408" i="8" s="1"/>
  <c r="AG396" i="8"/>
  <c r="AG384" i="8"/>
  <c r="AG372" i="8"/>
  <c r="AJ372" i="8" s="1"/>
  <c r="AK372" i="8" s="1"/>
  <c r="AG360" i="8"/>
  <c r="AJ360" i="8" s="1"/>
  <c r="AK360" i="8" s="1"/>
  <c r="AG348" i="8"/>
  <c r="AJ348" i="8" s="1"/>
  <c r="AK348" i="8" s="1"/>
  <c r="AG336" i="8"/>
  <c r="AG324" i="8"/>
  <c r="AG312" i="8"/>
  <c r="AG300" i="8"/>
  <c r="AJ300" i="8" s="1"/>
  <c r="AK300" i="8" s="1"/>
  <c r="AG288" i="8"/>
  <c r="AJ288" i="8" s="1"/>
  <c r="AK288" i="8" s="1"/>
  <c r="AG276" i="8"/>
  <c r="AJ276" i="8" s="1"/>
  <c r="AK276" i="8" s="1"/>
  <c r="AG264" i="8"/>
  <c r="AJ264" i="8" s="1"/>
  <c r="AK264" i="8" s="1"/>
  <c r="AG252" i="8"/>
  <c r="AG240" i="8"/>
  <c r="AG228" i="8"/>
  <c r="AJ228" i="8" s="1"/>
  <c r="AK228" i="8" s="1"/>
  <c r="AG216" i="8"/>
  <c r="AJ216" i="8" s="1"/>
  <c r="AK216" i="8" s="1"/>
  <c r="AG204" i="8"/>
  <c r="AJ204" i="8" s="1"/>
  <c r="AK204" i="8" s="1"/>
  <c r="AG192" i="8"/>
  <c r="AG180" i="8"/>
  <c r="AG168" i="8"/>
  <c r="AG156" i="8"/>
  <c r="AJ156" i="8" s="1"/>
  <c r="AK156" i="8" s="1"/>
  <c r="AG144" i="8"/>
  <c r="AG132" i="8"/>
  <c r="AJ132" i="8" s="1"/>
  <c r="AK132" i="8" s="1"/>
  <c r="AG120" i="8"/>
  <c r="AJ120" i="8" s="1"/>
  <c r="AK120" i="8" s="1"/>
  <c r="AG108" i="8"/>
  <c r="AG96" i="8"/>
  <c r="AG84" i="8"/>
  <c r="AJ84" i="8" s="1"/>
  <c r="AK84" i="8" s="1"/>
  <c r="AG72" i="8"/>
  <c r="AJ72" i="8" s="1"/>
  <c r="AK72" i="8" s="1"/>
  <c r="AG60" i="8"/>
  <c r="AJ60" i="8" s="1"/>
  <c r="AK60" i="8" s="1"/>
  <c r="AG48" i="8"/>
  <c r="AG36" i="8"/>
  <c r="AG24" i="8"/>
  <c r="AG12" i="8"/>
  <c r="AJ12" i="8" s="1"/>
  <c r="AK12" i="8" s="1"/>
  <c r="AH810" i="8"/>
  <c r="AH798" i="8"/>
  <c r="AH786" i="8"/>
  <c r="AH774" i="8"/>
  <c r="AH762" i="8"/>
  <c r="AH750" i="8"/>
  <c r="AH738" i="8"/>
  <c r="AH726" i="8"/>
  <c r="AH714" i="8"/>
  <c r="AH702" i="8"/>
  <c r="AH690" i="8"/>
  <c r="AH678" i="8"/>
  <c r="AH666" i="8"/>
  <c r="AH654" i="8"/>
  <c r="AH642" i="8"/>
  <c r="AH630" i="8"/>
  <c r="AH618" i="8"/>
  <c r="AH606" i="8"/>
  <c r="AH594" i="8"/>
  <c r="AH582" i="8"/>
  <c r="AH570" i="8"/>
  <c r="AH558" i="8"/>
  <c r="AH546" i="8"/>
  <c r="AH534" i="8"/>
  <c r="AH522" i="8"/>
  <c r="AH510" i="8"/>
  <c r="AH498" i="8"/>
  <c r="AH486" i="8"/>
  <c r="AH474" i="8"/>
  <c r="AH462" i="8"/>
  <c r="AH450" i="8"/>
  <c r="AH438" i="8"/>
  <c r="AH426" i="8"/>
  <c r="AH414" i="8"/>
  <c r="AH402" i="8"/>
  <c r="AH390" i="8"/>
  <c r="AH378" i="8"/>
  <c r="AH366" i="8"/>
  <c r="AH354" i="8"/>
  <c r="AH342" i="8"/>
  <c r="AH330" i="8"/>
  <c r="AH318" i="8"/>
  <c r="AH306" i="8"/>
  <c r="AH294" i="8"/>
  <c r="AH282" i="8"/>
  <c r="AH270" i="8"/>
  <c r="AH258" i="8"/>
  <c r="AH246" i="8"/>
  <c r="AH234" i="8"/>
  <c r="AH222" i="8"/>
  <c r="AH210" i="8"/>
  <c r="AH198" i="8"/>
  <c r="AH186" i="8"/>
  <c r="AH174" i="8"/>
  <c r="AH162" i="8"/>
  <c r="AH150" i="8"/>
  <c r="AH138" i="8"/>
  <c r="AH126" i="8"/>
  <c r="AH114" i="8"/>
  <c r="AH102" i="8"/>
  <c r="AH90" i="8"/>
  <c r="AH78" i="8"/>
  <c r="AH66" i="8"/>
  <c r="AH54" i="8"/>
  <c r="AH42" i="8"/>
  <c r="AH30" i="8"/>
  <c r="AH18" i="8"/>
  <c r="AG443" i="8"/>
  <c r="AJ443" i="8" s="1"/>
  <c r="AK443" i="8" s="1"/>
  <c r="AG431" i="8"/>
  <c r="AJ431" i="8" s="1"/>
  <c r="AK431" i="8" s="1"/>
  <c r="AG419" i="8"/>
  <c r="AJ419" i="8" s="1"/>
  <c r="AK419" i="8" s="1"/>
  <c r="AG407" i="8"/>
  <c r="AG395" i="8"/>
  <c r="AG383" i="8"/>
  <c r="AG371" i="8"/>
  <c r="AJ371" i="8" s="1"/>
  <c r="AK371" i="8" s="1"/>
  <c r="AG359" i="8"/>
  <c r="AJ359" i="8" s="1"/>
  <c r="AK359" i="8" s="1"/>
  <c r="AG347" i="8"/>
  <c r="AG335" i="8"/>
  <c r="AJ335" i="8" s="1"/>
  <c r="AK335" i="8" s="1"/>
  <c r="AG323" i="8"/>
  <c r="AG311" i="8"/>
  <c r="AG299" i="8"/>
  <c r="AJ299" i="8" s="1"/>
  <c r="AK299" i="8" s="1"/>
  <c r="AG287" i="8"/>
  <c r="AJ287" i="8" s="1"/>
  <c r="AK287" i="8" s="1"/>
  <c r="AG275" i="8"/>
  <c r="AJ275" i="8" s="1"/>
  <c r="AK275" i="8" s="1"/>
  <c r="AG263" i="8"/>
  <c r="AG251" i="8"/>
  <c r="AG239" i="8"/>
  <c r="AG227" i="8"/>
  <c r="AJ227" i="8" s="1"/>
  <c r="AK227" i="8" s="1"/>
  <c r="AG215" i="8"/>
  <c r="AJ215" i="8" s="1"/>
  <c r="AK215" i="8" s="1"/>
  <c r="AG203" i="8"/>
  <c r="AG191" i="8"/>
  <c r="AJ191" i="8" s="1"/>
  <c r="AK191" i="8" s="1"/>
  <c r="AG179" i="8"/>
  <c r="AG167" i="8"/>
  <c r="AG155" i="8"/>
  <c r="AJ155" i="8" s="1"/>
  <c r="AK155" i="8" s="1"/>
  <c r="AG143" i="8"/>
  <c r="AJ143" i="8" s="1"/>
  <c r="AK143" i="8" s="1"/>
  <c r="AG131" i="8"/>
  <c r="AJ131" i="8" s="1"/>
  <c r="AK131" i="8" s="1"/>
  <c r="AG119" i="8"/>
  <c r="AG107" i="8"/>
  <c r="AG95" i="8"/>
  <c r="AG83" i="8"/>
  <c r="AJ83" i="8" s="1"/>
  <c r="AK83" i="8" s="1"/>
  <c r="AG71" i="8"/>
  <c r="AJ71" i="8" s="1"/>
  <c r="AK71" i="8" s="1"/>
  <c r="AG59" i="8"/>
  <c r="AG47" i="8"/>
  <c r="AJ47" i="8" s="1"/>
  <c r="AK47" i="8" s="1"/>
  <c r="AG35" i="8"/>
  <c r="AG23" i="8"/>
  <c r="AG11" i="8"/>
  <c r="AJ11" i="8" s="1"/>
  <c r="AK11" i="8" s="1"/>
  <c r="AH809" i="8"/>
  <c r="AH797" i="8"/>
  <c r="AH785" i="8"/>
  <c r="AH773" i="8"/>
  <c r="AH761" i="8"/>
  <c r="AH749" i="8"/>
  <c r="AH737" i="8"/>
  <c r="AH725" i="8"/>
  <c r="AH713" i="8"/>
  <c r="AH701" i="8"/>
  <c r="AH689" i="8"/>
  <c r="AH677" i="8"/>
  <c r="AH665" i="8"/>
  <c r="AH653" i="8"/>
  <c r="AH641" i="8"/>
  <c r="AH629" i="8"/>
  <c r="AH617" i="8"/>
  <c r="AH605" i="8"/>
  <c r="AH593" i="8"/>
  <c r="AH581" i="8"/>
  <c r="AH569" i="8"/>
  <c r="AH557" i="8"/>
  <c r="AH545" i="8"/>
  <c r="AH533" i="8"/>
  <c r="AH521" i="8"/>
  <c r="AH509" i="8"/>
  <c r="AH497" i="8"/>
  <c r="AH485" i="8"/>
  <c r="AH473" i="8"/>
  <c r="AH461" i="8"/>
  <c r="AH449" i="8"/>
  <c r="AH437" i="8"/>
  <c r="AH425" i="8"/>
  <c r="AH413" i="8"/>
  <c r="AH401" i="8"/>
  <c r="AH389" i="8"/>
  <c r="AH377" i="8"/>
  <c r="AH365" i="8"/>
  <c r="AH353" i="8"/>
  <c r="AH341" i="8"/>
  <c r="AH329" i="8"/>
  <c r="AH317" i="8"/>
  <c r="AH305" i="8"/>
  <c r="AH293" i="8"/>
  <c r="AH281" i="8"/>
  <c r="AH269" i="8"/>
  <c r="AH257" i="8"/>
  <c r="AH245" i="8"/>
  <c r="AH233" i="8"/>
  <c r="AH221" i="8"/>
  <c r="AH209" i="8"/>
  <c r="AH197" i="8"/>
  <c r="AH185" i="8"/>
  <c r="AH173" i="8"/>
  <c r="AH161" i="8"/>
  <c r="AH149" i="8"/>
  <c r="AH137" i="8"/>
  <c r="AH125" i="8"/>
  <c r="AH113" i="8"/>
  <c r="AH101" i="8"/>
  <c r="AH89" i="8"/>
  <c r="AH77" i="8"/>
  <c r="AH65" i="8"/>
  <c r="AH53" i="8"/>
  <c r="AH41" i="8"/>
  <c r="AH29" i="8"/>
  <c r="AH17" i="8"/>
  <c r="N16" i="4"/>
  <c r="N8" i="4"/>
  <c r="M13" i="4"/>
  <c r="M14" i="4"/>
  <c r="N15" i="4" s="1"/>
  <c r="M12" i="4"/>
  <c r="N12" i="4" s="1"/>
  <c r="V6" i="8"/>
  <c r="S4" i="8"/>
  <c r="R4" i="8"/>
  <c r="L471" i="3"/>
  <c r="L697" i="3"/>
  <c r="L777" i="3"/>
  <c r="L698" i="3"/>
  <c r="L602" i="3"/>
  <c r="L515" i="3"/>
  <c r="L675" i="3"/>
  <c r="L401" i="3"/>
  <c r="L125" i="3"/>
  <c r="L113" i="3"/>
  <c r="T7" i="3"/>
  <c r="L807" i="3"/>
  <c r="L326" i="3"/>
  <c r="L725" i="3"/>
  <c r="L606" i="3"/>
  <c r="L429" i="3"/>
  <c r="L334" i="3"/>
  <c r="L63" i="3"/>
  <c r="L76" i="3"/>
  <c r="L456" i="3"/>
  <c r="L226" i="3"/>
  <c r="L134" i="3"/>
  <c r="L801" i="3"/>
  <c r="L656" i="3"/>
  <c r="L639" i="3"/>
  <c r="L280" i="3"/>
  <c r="L263" i="3"/>
  <c r="L258" i="3"/>
  <c r="L229" i="3"/>
  <c r="L213" i="3"/>
  <c r="L193" i="3"/>
  <c r="L177" i="3"/>
  <c r="L172" i="3"/>
  <c r="L162" i="3"/>
  <c r="L157" i="3"/>
  <c r="L154" i="3"/>
  <c r="L120" i="3"/>
  <c r="L118" i="3"/>
  <c r="L98" i="3"/>
  <c r="L83" i="3"/>
  <c r="L46" i="3"/>
  <c r="L21" i="3"/>
  <c r="L466" i="3"/>
  <c r="L790" i="3"/>
  <c r="L750" i="3"/>
  <c r="L588" i="3"/>
  <c r="L540" i="3"/>
  <c r="L721" i="3"/>
  <c r="L708" i="3"/>
  <c r="L622" i="3"/>
  <c r="L458" i="3"/>
  <c r="L361" i="3"/>
  <c r="L654" i="3"/>
  <c r="L506" i="3"/>
  <c r="L497" i="3"/>
  <c r="L475" i="3"/>
  <c r="L390" i="3"/>
  <c r="L379" i="3"/>
  <c r="L271" i="3"/>
  <c r="L246" i="3"/>
  <c r="L241" i="3"/>
  <c r="L233" i="3"/>
  <c r="L132" i="3"/>
  <c r="L97" i="3"/>
  <c r="L730" i="3"/>
  <c r="L732" i="3"/>
  <c r="L261" i="3"/>
  <c r="L814" i="3"/>
  <c r="L800" i="3"/>
  <c r="L778" i="3"/>
  <c r="L681" i="3"/>
  <c r="L578" i="3"/>
  <c r="L528" i="3"/>
  <c r="L505" i="3"/>
  <c r="L273" i="3"/>
  <c r="L240" i="3"/>
  <c r="L203" i="3"/>
  <c r="L153" i="3"/>
  <c r="L116" i="3"/>
  <c r="L73" i="3"/>
  <c r="L627" i="3"/>
  <c r="L779" i="3"/>
  <c r="L527" i="3"/>
  <c r="L332" i="3"/>
  <c r="L188" i="3"/>
  <c r="L780" i="3"/>
  <c r="L813" i="3"/>
  <c r="L759" i="3"/>
  <c r="L720" i="3"/>
  <c r="L699" i="3"/>
  <c r="L507" i="3"/>
  <c r="L440" i="3"/>
  <c r="L239" i="3"/>
  <c r="L165" i="3"/>
  <c r="L146" i="3"/>
  <c r="L485" i="3"/>
  <c r="L809" i="3"/>
  <c r="L707" i="3"/>
  <c r="L465" i="3"/>
  <c r="L300" i="3"/>
  <c r="L191" i="3"/>
  <c r="L88" i="3"/>
  <c r="L31" i="3"/>
  <c r="L533" i="3"/>
  <c r="L372" i="3"/>
  <c r="L176" i="3"/>
  <c r="L105" i="3"/>
  <c r="L694" i="3"/>
  <c r="L658" i="3"/>
  <c r="L586" i="3"/>
  <c r="L329" i="3"/>
  <c r="L223" i="3"/>
  <c r="L568" i="3"/>
  <c r="L305" i="3"/>
  <c r="L143" i="3"/>
  <c r="L617" i="3"/>
  <c r="L432" i="3"/>
  <c r="L342" i="3"/>
  <c r="L299" i="3"/>
  <c r="L222" i="3"/>
  <c r="L8" i="3"/>
  <c r="L690" i="3"/>
  <c r="L532" i="3"/>
  <c r="L355" i="3"/>
  <c r="L136" i="3"/>
  <c r="T10" i="8"/>
  <c r="L726" i="3"/>
  <c r="L511" i="3"/>
  <c r="L467" i="3"/>
  <c r="L391" i="3"/>
  <c r="L335" i="3"/>
  <c r="L304" i="3"/>
  <c r="L288" i="3"/>
  <c r="L282" i="3"/>
  <c r="L272" i="3"/>
  <c r="L247" i="3"/>
  <c r="L227" i="3"/>
  <c r="L180" i="3"/>
  <c r="L164" i="3"/>
  <c r="L160" i="3"/>
  <c r="L86" i="3"/>
  <c r="L55" i="3"/>
  <c r="L44" i="3"/>
  <c r="L38" i="3"/>
  <c r="L19" i="3"/>
  <c r="G2006" i="3"/>
  <c r="H2006" i="3" s="1"/>
  <c r="L818" i="3" s="1"/>
  <c r="L47" i="3"/>
  <c r="L737" i="3"/>
  <c r="L691" i="3"/>
  <c r="L199" i="3"/>
  <c r="L24" i="3"/>
  <c r="L727" i="3"/>
  <c r="L557" i="3"/>
  <c r="L279" i="3"/>
  <c r="L170" i="3"/>
  <c r="L92" i="3"/>
  <c r="L674" i="3"/>
  <c r="T8" i="3"/>
  <c r="L572" i="3"/>
  <c r="L501" i="3"/>
  <c r="L447" i="3"/>
  <c r="L392" i="3"/>
  <c r="L365" i="3"/>
  <c r="L323" i="3"/>
  <c r="L123" i="3"/>
  <c r="L80" i="3"/>
  <c r="L39" i="3"/>
  <c r="L803" i="3"/>
  <c r="L680" i="3"/>
  <c r="L537" i="3"/>
  <c r="L244" i="3"/>
  <c r="L65" i="3"/>
  <c r="L799" i="3"/>
  <c r="L742" i="3"/>
  <c r="L655" i="3"/>
  <c r="L594" i="3"/>
  <c r="L546" i="3"/>
  <c r="L386" i="3"/>
  <c r="L370" i="3"/>
  <c r="L341" i="3"/>
  <c r="L817" i="3"/>
  <c r="L802" i="3"/>
  <c r="L785" i="3"/>
  <c r="L771" i="3"/>
  <c r="L758" i="3"/>
  <c r="L755" i="3"/>
  <c r="L693" i="3"/>
  <c r="L555" i="3"/>
  <c r="L539" i="3"/>
  <c r="L531" i="3"/>
  <c r="L503" i="3"/>
  <c r="L423" i="3"/>
  <c r="L411" i="3"/>
  <c r="L298" i="3"/>
  <c r="L265" i="3"/>
  <c r="L215" i="3"/>
  <c r="L99" i="3"/>
  <c r="L60" i="3"/>
  <c r="L22" i="3"/>
  <c r="L500" i="3"/>
  <c r="T10" i="3"/>
  <c r="L743" i="3"/>
  <c r="L661" i="3"/>
  <c r="L573" i="3"/>
  <c r="L336" i="3"/>
  <c r="L267" i="3"/>
  <c r="L40" i="3"/>
  <c r="L676" i="3"/>
  <c r="L480" i="3"/>
  <c r="L270" i="3"/>
  <c r="L626" i="3"/>
  <c r="L518" i="3"/>
  <c r="L407" i="3"/>
  <c r="L127" i="3"/>
  <c r="L30" i="3"/>
  <c r="H23" i="3"/>
  <c r="L14" i="3" s="1"/>
  <c r="G23" i="3"/>
  <c r="L714" i="3"/>
  <c r="L630" i="3"/>
  <c r="L567" i="3"/>
  <c r="L295" i="3"/>
  <c r="L23" i="3"/>
  <c r="L709" i="3"/>
  <c r="L607" i="3"/>
  <c r="L472" i="3"/>
  <c r="L637" i="3"/>
  <c r="L625" i="3"/>
  <c r="L445" i="3"/>
  <c r="L321" i="3"/>
  <c r="L230" i="3"/>
  <c r="L643" i="3"/>
  <c r="L710" i="3"/>
  <c r="L502" i="3"/>
  <c r="L356" i="3"/>
  <c r="L262" i="3"/>
  <c r="L228" i="3"/>
  <c r="L149" i="3"/>
  <c r="L67" i="3"/>
  <c r="T9" i="3"/>
  <c r="L751" i="3"/>
  <c r="L589" i="3"/>
  <c r="L220" i="3"/>
  <c r="L56" i="3"/>
  <c r="L652" i="3"/>
  <c r="L547" i="3"/>
  <c r="L464" i="3"/>
  <c r="L248" i="3"/>
  <c r="L148" i="3"/>
  <c r="L62" i="3"/>
  <c r="L788" i="3"/>
  <c r="L640" i="3"/>
  <c r="L504" i="3"/>
  <c r="L266" i="3"/>
  <c r="L206" i="3"/>
  <c r="L104" i="3"/>
  <c r="L660" i="3"/>
  <c r="L603" i="3"/>
  <c r="L523" i="3"/>
  <c r="L723" i="3"/>
  <c r="L689" i="3"/>
  <c r="L550" i="3"/>
  <c r="L374" i="3"/>
  <c r="L243" i="3"/>
  <c r="L122" i="3"/>
  <c r="L119" i="3"/>
  <c r="L315" i="3"/>
  <c r="L774" i="3"/>
  <c r="L646" i="3"/>
  <c r="L436" i="3"/>
  <c r="L343" i="3"/>
  <c r="L257" i="3"/>
  <c r="L138" i="3"/>
  <c r="L621" i="3"/>
  <c r="L524" i="3"/>
  <c r="L413" i="3"/>
  <c r="L317" i="3"/>
  <c r="L161" i="3"/>
  <c r="L20" i="3"/>
  <c r="L756" i="3"/>
  <c r="L552" i="3"/>
  <c r="L236" i="3"/>
  <c r="L45" i="3"/>
  <c r="L571" i="3"/>
  <c r="L638" i="3"/>
  <c r="L556" i="3"/>
  <c r="L494" i="3"/>
  <c r="L175" i="3"/>
  <c r="L665" i="3"/>
  <c r="L703" i="3"/>
  <c r="L582" i="3"/>
  <c r="L559" i="3"/>
  <c r="L545" i="3"/>
  <c r="L402" i="3"/>
  <c r="L340" i="3"/>
  <c r="L281" i="3"/>
  <c r="L221" i="3"/>
  <c r="L103" i="3"/>
  <c r="L43" i="3"/>
  <c r="L812" i="3"/>
  <c r="L784" i="3"/>
  <c r="L702" i="3"/>
  <c r="L535" i="3"/>
  <c r="L521" i="3"/>
  <c r="L293" i="3"/>
  <c r="L269" i="3"/>
  <c r="L209" i="3"/>
  <c r="L187" i="3"/>
  <c r="L163" i="3"/>
  <c r="L18" i="3"/>
  <c r="L798" i="3"/>
  <c r="L439" i="3"/>
  <c r="L364" i="3"/>
  <c r="L90" i="3"/>
  <c r="L616" i="3"/>
  <c r="L438" i="3"/>
  <c r="L89" i="3"/>
  <c r="L484" i="3"/>
  <c r="L316" i="3"/>
  <c r="L174" i="3"/>
  <c r="L126" i="3"/>
  <c r="L114" i="3"/>
  <c r="L28" i="3"/>
  <c r="L678" i="3"/>
  <c r="L593" i="3"/>
  <c r="L787" i="3"/>
  <c r="L738" i="3"/>
  <c r="L558" i="3"/>
  <c r="L450" i="3"/>
  <c r="L139" i="3"/>
  <c r="L124" i="3"/>
  <c r="L112" i="3"/>
  <c r="L101" i="3"/>
  <c r="L54" i="3"/>
  <c r="Q4" i="8"/>
  <c r="U815" i="8"/>
  <c r="U803" i="8"/>
  <c r="U813" i="8"/>
  <c r="V810" i="8"/>
  <c r="V798" i="8"/>
  <c r="V786" i="8"/>
  <c r="V774" i="8"/>
  <c r="V762" i="8"/>
  <c r="U755" i="8"/>
  <c r="U671" i="8"/>
  <c r="U575" i="8"/>
  <c r="U491" i="8"/>
  <c r="U407" i="8"/>
  <c r="U311" i="8"/>
  <c r="U227" i="8"/>
  <c r="V690" i="8"/>
  <c r="V594" i="8"/>
  <c r="V546" i="8"/>
  <c r="V438" i="8"/>
  <c r="V378" i="8"/>
  <c r="V150" i="8"/>
  <c r="U778" i="8"/>
  <c r="U706" i="8"/>
  <c r="U610" i="8"/>
  <c r="U526" i="8"/>
  <c r="U454" i="8"/>
  <c r="U370" i="8"/>
  <c r="U274" i="8"/>
  <c r="U202" i="8"/>
  <c r="U118" i="8"/>
  <c r="V809" i="8"/>
  <c r="V713" i="8"/>
  <c r="U719" i="8"/>
  <c r="U635" i="8"/>
  <c r="U551" i="8"/>
  <c r="U467" i="8"/>
  <c r="U395" i="8"/>
  <c r="U335" i="8"/>
  <c r="U251" i="8"/>
  <c r="U167" i="8"/>
  <c r="U143" i="8"/>
  <c r="U119" i="8"/>
  <c r="U95" i="8"/>
  <c r="U71" i="8"/>
  <c r="U47" i="8"/>
  <c r="U23" i="8"/>
  <c r="V750" i="8"/>
  <c r="V678" i="8"/>
  <c r="V618" i="8"/>
  <c r="V486" i="8"/>
  <c r="V414" i="8"/>
  <c r="V330" i="8"/>
  <c r="V210" i="8"/>
  <c r="U766" i="8"/>
  <c r="U670" i="8"/>
  <c r="U598" i="8"/>
  <c r="U502" i="8"/>
  <c r="U430" i="8"/>
  <c r="U334" i="8"/>
  <c r="U250" i="8"/>
  <c r="U166" i="8"/>
  <c r="U82" i="8"/>
  <c r="V773" i="8"/>
  <c r="V701" i="8"/>
  <c r="U791" i="8"/>
  <c r="U695" i="8"/>
  <c r="U623" i="8"/>
  <c r="U515" i="8"/>
  <c r="U443" i="8"/>
  <c r="U347" i="8"/>
  <c r="U275" i="8"/>
  <c r="U179" i="8"/>
  <c r="V702" i="8"/>
  <c r="V630" i="8"/>
  <c r="V534" i="8"/>
  <c r="V426" i="8"/>
  <c r="V258" i="8"/>
  <c r="V66" i="8"/>
  <c r="U742" i="8"/>
  <c r="U646" i="8"/>
  <c r="U562" i="8"/>
  <c r="U478" i="8"/>
  <c r="U394" i="8"/>
  <c r="U310" i="8"/>
  <c r="U238" i="8"/>
  <c r="U154" i="8"/>
  <c r="U46" i="8"/>
  <c r="U34" i="8"/>
  <c r="V749" i="8"/>
  <c r="V665" i="8"/>
  <c r="U779" i="8"/>
  <c r="U707" i="8"/>
  <c r="U611" i="8"/>
  <c r="U527" i="8"/>
  <c r="U431" i="8"/>
  <c r="U359" i="8"/>
  <c r="U263" i="8"/>
  <c r="U191" i="8"/>
  <c r="U155" i="8"/>
  <c r="U131" i="8"/>
  <c r="U107" i="8"/>
  <c r="U83" i="8"/>
  <c r="U59" i="8"/>
  <c r="U35" i="8"/>
  <c r="U11" i="8"/>
  <c r="V738" i="8"/>
  <c r="V654" i="8"/>
  <c r="V570" i="8"/>
  <c r="V522" i="8"/>
  <c r="V462" i="8"/>
  <c r="V354" i="8"/>
  <c r="V174" i="8"/>
  <c r="U814" i="8"/>
  <c r="U730" i="8"/>
  <c r="U658" i="8"/>
  <c r="U574" i="8"/>
  <c r="U490" i="8"/>
  <c r="U406" i="8"/>
  <c r="U322" i="8"/>
  <c r="U226" i="8"/>
  <c r="U130" i="8"/>
  <c r="U58" i="8"/>
  <c r="U22" i="8"/>
  <c r="V761" i="8"/>
  <c r="V677" i="8"/>
  <c r="U743" i="8"/>
  <c r="U647" i="8"/>
  <c r="U563" i="8"/>
  <c r="U479" i="8"/>
  <c r="U383" i="8"/>
  <c r="U299" i="8"/>
  <c r="U203" i="8"/>
  <c r="V714" i="8"/>
  <c r="V582" i="8"/>
  <c r="V474" i="8"/>
  <c r="V402" i="8"/>
  <c r="V306" i="8"/>
  <c r="V114" i="8"/>
  <c r="U802" i="8"/>
  <c r="U718" i="8"/>
  <c r="U634" i="8"/>
  <c r="U550" i="8"/>
  <c r="U466" i="8"/>
  <c r="U382" i="8"/>
  <c r="U298" i="8"/>
  <c r="U214" i="8"/>
  <c r="U142" i="8"/>
  <c r="U70" i="8"/>
  <c r="U10" i="8"/>
  <c r="V737" i="8"/>
  <c r="U731" i="8"/>
  <c r="U659" i="8"/>
  <c r="U599" i="8"/>
  <c r="U539" i="8"/>
  <c r="U455" i="8"/>
  <c r="U371" i="8"/>
  <c r="U287" i="8"/>
  <c r="U215" i="8"/>
  <c r="V726" i="8"/>
  <c r="V642" i="8"/>
  <c r="V558" i="8"/>
  <c r="V498" i="8"/>
  <c r="V390" i="8"/>
  <c r="V234" i="8"/>
  <c r="V90" i="8"/>
  <c r="U754" i="8"/>
  <c r="U682" i="8"/>
  <c r="U586" i="8"/>
  <c r="U514" i="8"/>
  <c r="U418" i="8"/>
  <c r="U346" i="8"/>
  <c r="U262" i="8"/>
  <c r="U178" i="8"/>
  <c r="U94" i="8"/>
  <c r="V785" i="8"/>
  <c r="V689" i="8"/>
  <c r="U767" i="8"/>
  <c r="U683" i="8"/>
  <c r="U587" i="8"/>
  <c r="U503" i="8"/>
  <c r="U419" i="8"/>
  <c r="U323" i="8"/>
  <c r="U239" i="8"/>
  <c r="V666" i="8"/>
  <c r="V606" i="8"/>
  <c r="V510" i="8"/>
  <c r="V450" i="8"/>
  <c r="V282" i="8"/>
  <c r="V30" i="8"/>
  <c r="U790" i="8"/>
  <c r="U694" i="8"/>
  <c r="U622" i="8"/>
  <c r="U538" i="8"/>
  <c r="U442" i="8"/>
  <c r="U358" i="8"/>
  <c r="U286" i="8"/>
  <c r="U190" i="8"/>
  <c r="U106" i="8"/>
  <c r="V797" i="8"/>
  <c r="V725" i="8"/>
  <c r="U344" i="8"/>
  <c r="V593" i="8"/>
  <c r="V497" i="8"/>
  <c r="V413" i="8"/>
  <c r="V317" i="8"/>
  <c r="V233" i="8"/>
  <c r="V125" i="8"/>
  <c r="U753" i="8"/>
  <c r="U681" i="8"/>
  <c r="U609" i="8"/>
  <c r="U537" i="8"/>
  <c r="U465" i="8"/>
  <c r="U393" i="8"/>
  <c r="U321" i="8"/>
  <c r="U249" i="8"/>
  <c r="U177" i="8"/>
  <c r="U105" i="8"/>
  <c r="U33" i="8"/>
  <c r="V772" i="8"/>
  <c r="V700" i="8"/>
  <c r="V628" i="8"/>
  <c r="V556" i="8"/>
  <c r="V484" i="8"/>
  <c r="V412" i="8"/>
  <c r="V352" i="8"/>
  <c r="V316" i="8"/>
  <c r="V244" i="8"/>
  <c r="V172" i="8"/>
  <c r="V88" i="8"/>
  <c r="U812" i="8"/>
  <c r="U764" i="8"/>
  <c r="U716" i="8"/>
  <c r="U668" i="8"/>
  <c r="U632" i="8"/>
  <c r="U584" i="8"/>
  <c r="U536" i="8"/>
  <c r="U500" i="8"/>
  <c r="U464" i="8"/>
  <c r="U380" i="8"/>
  <c r="U811" i="8"/>
  <c r="U799" i="8"/>
  <c r="U787" i="8"/>
  <c r="U775" i="8"/>
  <c r="U763" i="8"/>
  <c r="U751" i="8"/>
  <c r="U739" i="8"/>
  <c r="U727" i="8"/>
  <c r="U715" i="8"/>
  <c r="U703" i="8"/>
  <c r="U691" i="8"/>
  <c r="U679" i="8"/>
  <c r="U667" i="8"/>
  <c r="U655" i="8"/>
  <c r="U643" i="8"/>
  <c r="U631" i="8"/>
  <c r="U619" i="8"/>
  <c r="U607" i="8"/>
  <c r="U595" i="8"/>
  <c r="U583" i="8"/>
  <c r="U571" i="8"/>
  <c r="U559" i="8"/>
  <c r="U547" i="8"/>
  <c r="U535" i="8"/>
  <c r="U523" i="8"/>
  <c r="U511" i="8"/>
  <c r="U499" i="8"/>
  <c r="U487" i="8"/>
  <c r="U475" i="8"/>
  <c r="U463" i="8"/>
  <c r="U451" i="8"/>
  <c r="U439" i="8"/>
  <c r="U427" i="8"/>
  <c r="U415" i="8"/>
  <c r="U403" i="8"/>
  <c r="U391" i="8"/>
  <c r="U379" i="8"/>
  <c r="U367" i="8"/>
  <c r="U355" i="8"/>
  <c r="U343" i="8"/>
  <c r="U331" i="8"/>
  <c r="U319" i="8"/>
  <c r="U307" i="8"/>
  <c r="U295" i="8"/>
  <c r="V581" i="8"/>
  <c r="V485" i="8"/>
  <c r="V389" i="8"/>
  <c r="V293" i="8"/>
  <c r="V197" i="8"/>
  <c r="V113" i="8"/>
  <c r="U801" i="8"/>
  <c r="U729" i="8"/>
  <c r="U657" i="8"/>
  <c r="U585" i="8"/>
  <c r="U513" i="8"/>
  <c r="U441" i="8"/>
  <c r="U369" i="8"/>
  <c r="U297" i="8"/>
  <c r="U225" i="8"/>
  <c r="U153" i="8"/>
  <c r="U81" i="8"/>
  <c r="V808" i="8"/>
  <c r="V736" i="8"/>
  <c r="V652" i="8"/>
  <c r="V592" i="8"/>
  <c r="V520" i="8"/>
  <c r="V448" i="8"/>
  <c r="V388" i="8"/>
  <c r="V304" i="8"/>
  <c r="V208" i="8"/>
  <c r="V136" i="8"/>
  <c r="V40" i="8"/>
  <c r="U776" i="8"/>
  <c r="U728" i="8"/>
  <c r="U680" i="8"/>
  <c r="U620" i="8"/>
  <c r="U572" i="8"/>
  <c r="U524" i="8"/>
  <c r="U476" i="8"/>
  <c r="U428" i="8"/>
  <c r="U392" i="8"/>
  <c r="U810" i="8"/>
  <c r="U798" i="8"/>
  <c r="U786" i="8"/>
  <c r="U774" i="8"/>
  <c r="U762" i="8"/>
  <c r="U750" i="8"/>
  <c r="U738" i="8"/>
  <c r="U726" i="8"/>
  <c r="U714" i="8"/>
  <c r="U702" i="8"/>
  <c r="U690" i="8"/>
  <c r="U678" i="8"/>
  <c r="U666" i="8"/>
  <c r="U654" i="8"/>
  <c r="U642" i="8"/>
  <c r="U630" i="8"/>
  <c r="U618" i="8"/>
  <c r="U606" i="8"/>
  <c r="U594" i="8"/>
  <c r="U582" i="8"/>
  <c r="U570" i="8"/>
  <c r="U558" i="8"/>
  <c r="V629" i="8"/>
  <c r="V533" i="8"/>
  <c r="V437" i="8"/>
  <c r="V341" i="8"/>
  <c r="V221" i="8"/>
  <c r="V161" i="8"/>
  <c r="V29" i="8"/>
  <c r="U789" i="8"/>
  <c r="U717" i="8"/>
  <c r="U645" i="8"/>
  <c r="U573" i="8"/>
  <c r="U501" i="8"/>
  <c r="U429" i="8"/>
  <c r="U357" i="8"/>
  <c r="U285" i="8"/>
  <c r="U213" i="8"/>
  <c r="U129" i="8"/>
  <c r="U57" i="8"/>
  <c r="U9" i="8"/>
  <c r="V748" i="8"/>
  <c r="V664" i="8"/>
  <c r="V580" i="8"/>
  <c r="V508" i="8"/>
  <c r="V460" i="8"/>
  <c r="V376" i="8"/>
  <c r="V292" i="8"/>
  <c r="V232" i="8"/>
  <c r="V148" i="8"/>
  <c r="V76" i="8"/>
  <c r="U788" i="8"/>
  <c r="U740" i="8"/>
  <c r="U692" i="8"/>
  <c r="U644" i="8"/>
  <c r="U596" i="8"/>
  <c r="U548" i="8"/>
  <c r="U488" i="8"/>
  <c r="U440" i="8"/>
  <c r="U404" i="8"/>
  <c r="U356" i="8"/>
  <c r="U809" i="8"/>
  <c r="U797" i="8"/>
  <c r="U785" i="8"/>
  <c r="U773" i="8"/>
  <c r="U761" i="8"/>
  <c r="U749" i="8"/>
  <c r="U737" i="8"/>
  <c r="U725" i="8"/>
  <c r="U713" i="8"/>
  <c r="U701" i="8"/>
  <c r="U689" i="8"/>
  <c r="U677" i="8"/>
  <c r="U665" i="8"/>
  <c r="U653" i="8"/>
  <c r="U641" i="8"/>
  <c r="U629" i="8"/>
  <c r="U617" i="8"/>
  <c r="U605" i="8"/>
  <c r="U593" i="8"/>
  <c r="U581" i="8"/>
  <c r="U569" i="8"/>
  <c r="U557" i="8"/>
  <c r="U545" i="8"/>
  <c r="U533" i="8"/>
  <c r="U521" i="8"/>
  <c r="U509" i="8"/>
  <c r="U497" i="8"/>
  <c r="V569" i="8"/>
  <c r="V473" i="8"/>
  <c r="V377" i="8"/>
  <c r="V281" i="8"/>
  <c r="V185" i="8"/>
  <c r="V101" i="8"/>
  <c r="U741" i="8"/>
  <c r="U669" i="8"/>
  <c r="U597" i="8"/>
  <c r="U525" i="8"/>
  <c r="U453" i="8"/>
  <c r="U381" i="8"/>
  <c r="U309" i="8"/>
  <c r="U237" i="8"/>
  <c r="U165" i="8"/>
  <c r="U93" i="8"/>
  <c r="U21" i="8"/>
  <c r="V760" i="8"/>
  <c r="V688" i="8"/>
  <c r="V616" i="8"/>
  <c r="V544" i="8"/>
  <c r="V472" i="8"/>
  <c r="V400" i="8"/>
  <c r="V328" i="8"/>
  <c r="V256" i="8"/>
  <c r="V184" i="8"/>
  <c r="V112" i="8"/>
  <c r="V64" i="8"/>
  <c r="U800" i="8"/>
  <c r="U752" i="8"/>
  <c r="U704" i="8"/>
  <c r="U656" i="8"/>
  <c r="U608" i="8"/>
  <c r="U560" i="8"/>
  <c r="U512" i="8"/>
  <c r="U452" i="8"/>
  <c r="U416" i="8"/>
  <c r="U368" i="8"/>
  <c r="U808" i="8"/>
  <c r="U796" i="8"/>
  <c r="U784" i="8"/>
  <c r="U772" i="8"/>
  <c r="U760" i="8"/>
  <c r="U748" i="8"/>
  <c r="U736" i="8"/>
  <c r="U724" i="8"/>
  <c r="U712" i="8"/>
  <c r="U700" i="8"/>
  <c r="U688" i="8"/>
  <c r="U676" i="8"/>
  <c r="U664" i="8"/>
  <c r="U652" i="8"/>
  <c r="U640" i="8"/>
  <c r="U628" i="8"/>
  <c r="U616" i="8"/>
  <c r="U604" i="8"/>
  <c r="V641" i="8"/>
  <c r="V545" i="8"/>
  <c r="V449" i="8"/>
  <c r="V353" i="8"/>
  <c r="V257" i="8"/>
  <c r="V89" i="8"/>
  <c r="U765" i="8"/>
  <c r="U705" i="8"/>
  <c r="U621" i="8"/>
  <c r="U561" i="8"/>
  <c r="U477" i="8"/>
  <c r="U405" i="8"/>
  <c r="U333" i="8"/>
  <c r="U261" i="8"/>
  <c r="U189" i="8"/>
  <c r="U117" i="8"/>
  <c r="U45" i="8"/>
  <c r="V784" i="8"/>
  <c r="V712" i="8"/>
  <c r="V640" i="8"/>
  <c r="V568" i="8"/>
  <c r="V496" i="8"/>
  <c r="V424" i="8"/>
  <c r="V340" i="8"/>
  <c r="V268" i="8"/>
  <c r="V196" i="8"/>
  <c r="V124" i="8"/>
  <c r="V52" i="8"/>
  <c r="U807" i="8"/>
  <c r="U795" i="8"/>
  <c r="U783" i="8"/>
  <c r="U771" i="8"/>
  <c r="U759" i="8"/>
  <c r="U747" i="8"/>
  <c r="U735" i="8"/>
  <c r="U723" i="8"/>
  <c r="U711" i="8"/>
  <c r="U699" i="8"/>
  <c r="U687" i="8"/>
  <c r="U675" i="8"/>
  <c r="U663" i="8"/>
  <c r="U651" i="8"/>
  <c r="U639" i="8"/>
  <c r="U627" i="8"/>
  <c r="U615" i="8"/>
  <c r="U603" i="8"/>
  <c r="U591" i="8"/>
  <c r="U579" i="8"/>
  <c r="U567" i="8"/>
  <c r="U555" i="8"/>
  <c r="U543" i="8"/>
  <c r="U531" i="8"/>
  <c r="U519" i="8"/>
  <c r="U507" i="8"/>
  <c r="U495" i="8"/>
  <c r="U483" i="8"/>
  <c r="U471" i="8"/>
  <c r="U459" i="8"/>
  <c r="U447" i="8"/>
  <c r="U435" i="8"/>
  <c r="U423" i="8"/>
  <c r="U411" i="8"/>
  <c r="U399" i="8"/>
  <c r="U387" i="8"/>
  <c r="U375" i="8"/>
  <c r="U363" i="8"/>
  <c r="U351" i="8"/>
  <c r="U339" i="8"/>
  <c r="U327" i="8"/>
  <c r="U315" i="8"/>
  <c r="U303" i="8"/>
  <c r="U291" i="8"/>
  <c r="U279" i="8"/>
  <c r="U267" i="8"/>
  <c r="U255" i="8"/>
  <c r="U243" i="8"/>
  <c r="U231" i="8"/>
  <c r="U219" i="8"/>
  <c r="V617" i="8"/>
  <c r="V521" i="8"/>
  <c r="V401" i="8"/>
  <c r="V305" i="8"/>
  <c r="V209" i="8"/>
  <c r="V149" i="8"/>
  <c r="V77" i="8"/>
  <c r="U777" i="8"/>
  <c r="U693" i="8"/>
  <c r="U633" i="8"/>
  <c r="U549" i="8"/>
  <c r="U489" i="8"/>
  <c r="U417" i="8"/>
  <c r="U345" i="8"/>
  <c r="U273" i="8"/>
  <c r="U201" i="8"/>
  <c r="U141" i="8"/>
  <c r="U69" i="8"/>
  <c r="V796" i="8"/>
  <c r="V724" i="8"/>
  <c r="V676" i="8"/>
  <c r="V604" i="8"/>
  <c r="V532" i="8"/>
  <c r="V436" i="8"/>
  <c r="V364" i="8"/>
  <c r="V280" i="8"/>
  <c r="V220" i="8"/>
  <c r="V160" i="8"/>
  <c r="V100" i="8"/>
  <c r="V28" i="8"/>
  <c r="U806" i="8"/>
  <c r="U794" i="8"/>
  <c r="U782" i="8"/>
  <c r="U770" i="8"/>
  <c r="U758" i="8"/>
  <c r="U746" i="8"/>
  <c r="U734" i="8"/>
  <c r="U722" i="8"/>
  <c r="U710" i="8"/>
  <c r="U698" i="8"/>
  <c r="U686" i="8"/>
  <c r="U674" i="8"/>
  <c r="U662" i="8"/>
  <c r="U650" i="8"/>
  <c r="U638" i="8"/>
  <c r="U626" i="8"/>
  <c r="U614" i="8"/>
  <c r="U602" i="8"/>
  <c r="U590" i="8"/>
  <c r="U578" i="8"/>
  <c r="U566" i="8"/>
  <c r="U554" i="8"/>
  <c r="U542" i="8"/>
  <c r="U530" i="8"/>
  <c r="U518" i="8"/>
  <c r="U506" i="8"/>
  <c r="U494" i="8"/>
  <c r="U482" i="8"/>
  <c r="U470" i="8"/>
  <c r="U458" i="8"/>
  <c r="U446" i="8"/>
  <c r="U434" i="8"/>
  <c r="U422" i="8"/>
  <c r="U410" i="8"/>
  <c r="U398" i="8"/>
  <c r="U386" i="8"/>
  <c r="U374" i="8"/>
  <c r="U362" i="8"/>
  <c r="U350" i="8"/>
  <c r="U338" i="8"/>
  <c r="U326" i="8"/>
  <c r="U314" i="8"/>
  <c r="U302" i="8"/>
  <c r="U290" i="8"/>
  <c r="U278" i="8"/>
  <c r="U266" i="8"/>
  <c r="U254" i="8"/>
  <c r="U242" i="8"/>
  <c r="U230" i="8"/>
  <c r="U218" i="8"/>
  <c r="V605" i="8"/>
  <c r="V509" i="8"/>
  <c r="V425" i="8"/>
  <c r="V329" i="8"/>
  <c r="V245" i="8"/>
  <c r="V173" i="8"/>
  <c r="V65" i="8"/>
  <c r="U817" i="8"/>
  <c r="U805" i="8"/>
  <c r="U793" i="8"/>
  <c r="U781" i="8"/>
  <c r="U769" i="8"/>
  <c r="U757" i="8"/>
  <c r="U745" i="8"/>
  <c r="U733" i="8"/>
  <c r="U721" i="8"/>
  <c r="U709" i="8"/>
  <c r="U697" i="8"/>
  <c r="U685" i="8"/>
  <c r="U673" i="8"/>
  <c r="U661" i="8"/>
  <c r="U649" i="8"/>
  <c r="U637" i="8"/>
  <c r="U625" i="8"/>
  <c r="U613" i="8"/>
  <c r="U601" i="8"/>
  <c r="U589" i="8"/>
  <c r="U577" i="8"/>
  <c r="U565" i="8"/>
  <c r="U553" i="8"/>
  <c r="U541" i="8"/>
  <c r="U529" i="8"/>
  <c r="U517" i="8"/>
  <c r="U505" i="8"/>
  <c r="U493" i="8"/>
  <c r="U481" i="8"/>
  <c r="U469" i="8"/>
  <c r="U457" i="8"/>
  <c r="U445" i="8"/>
  <c r="U433" i="8"/>
  <c r="U421" i="8"/>
  <c r="U409" i="8"/>
  <c r="U397" i="8"/>
  <c r="U385" i="8"/>
  <c r="U373" i="8"/>
  <c r="U361" i="8"/>
  <c r="U349" i="8"/>
  <c r="U337" i="8"/>
  <c r="U325" i="8"/>
  <c r="U313" i="8"/>
  <c r="U301" i="8"/>
  <c r="U289" i="8"/>
  <c r="U277" i="8"/>
  <c r="U265" i="8"/>
  <c r="U253" i="8"/>
  <c r="U241" i="8"/>
  <c r="U229" i="8"/>
  <c r="U217" i="8"/>
  <c r="U205" i="8"/>
  <c r="U193" i="8"/>
  <c r="U181" i="8"/>
  <c r="U169" i="8"/>
  <c r="U157" i="8"/>
  <c r="U145" i="8"/>
  <c r="U133" i="8"/>
  <c r="U121" i="8"/>
  <c r="U109" i="8"/>
  <c r="U97" i="8"/>
  <c r="U85" i="8"/>
  <c r="U73" i="8"/>
  <c r="U61" i="8"/>
  <c r="U49" i="8"/>
  <c r="U37" i="8"/>
  <c r="U25" i="8"/>
  <c r="U13" i="8"/>
  <c r="V812" i="8"/>
  <c r="V800" i="8"/>
  <c r="V788" i="8"/>
  <c r="V776" i="8"/>
  <c r="V764" i="8"/>
  <c r="V752" i="8"/>
  <c r="V740" i="8"/>
  <c r="V728" i="8"/>
  <c r="V716" i="8"/>
  <c r="V704" i="8"/>
  <c r="V692" i="8"/>
  <c r="V680" i="8"/>
  <c r="V668" i="8"/>
  <c r="V656" i="8"/>
  <c r="V644" i="8"/>
  <c r="V632" i="8"/>
  <c r="V620" i="8"/>
  <c r="V608" i="8"/>
  <c r="V596" i="8"/>
  <c r="V584" i="8"/>
  <c r="V572" i="8"/>
  <c r="V560" i="8"/>
  <c r="V548" i="8"/>
  <c r="V536" i="8"/>
  <c r="V524" i="8"/>
  <c r="V512" i="8"/>
  <c r="V500" i="8"/>
  <c r="V488" i="8"/>
  <c r="V653" i="8"/>
  <c r="V557" i="8"/>
  <c r="V461" i="8"/>
  <c r="V365" i="8"/>
  <c r="V269" i="8"/>
  <c r="V137" i="8"/>
  <c r="U816" i="8"/>
  <c r="U804" i="8"/>
  <c r="U792" i="8"/>
  <c r="U780" i="8"/>
  <c r="U768" i="8"/>
  <c r="U756" i="8"/>
  <c r="U744" i="8"/>
  <c r="U732" i="8"/>
  <c r="U720" i="8"/>
  <c r="U708" i="8"/>
  <c r="U696" i="8"/>
  <c r="U684" i="8"/>
  <c r="U672" i="8"/>
  <c r="U660" i="8"/>
  <c r="U648" i="8"/>
  <c r="U636" i="8"/>
  <c r="U624" i="8"/>
  <c r="U612" i="8"/>
  <c r="U600" i="8"/>
  <c r="U588" i="8"/>
  <c r="U576" i="8"/>
  <c r="U564" i="8"/>
  <c r="U552" i="8"/>
  <c r="U540" i="8"/>
  <c r="U528" i="8"/>
  <c r="U516" i="8"/>
  <c r="U504" i="8"/>
  <c r="U492" i="8"/>
  <c r="U480" i="8"/>
  <c r="U468" i="8"/>
  <c r="U456" i="8"/>
  <c r="U444" i="8"/>
  <c r="U432" i="8"/>
  <c r="U420" i="8"/>
  <c r="U408" i="8"/>
  <c r="U396" i="8"/>
  <c r="U384" i="8"/>
  <c r="U372" i="8"/>
  <c r="U332" i="8"/>
  <c r="U320" i="8"/>
  <c r="U308" i="8"/>
  <c r="U296" i="8"/>
  <c r="U284" i="8"/>
  <c r="U272" i="8"/>
  <c r="U260" i="8"/>
  <c r="U248" i="8"/>
  <c r="U236" i="8"/>
  <c r="U224" i="8"/>
  <c r="U212" i="8"/>
  <c r="U200" i="8"/>
  <c r="U188" i="8"/>
  <c r="U176" i="8"/>
  <c r="U164" i="8"/>
  <c r="U152" i="8"/>
  <c r="U140" i="8"/>
  <c r="U128" i="8"/>
  <c r="U116" i="8"/>
  <c r="U104" i="8"/>
  <c r="U92" i="8"/>
  <c r="U80" i="8"/>
  <c r="U68" i="8"/>
  <c r="U56" i="8"/>
  <c r="U44" i="8"/>
  <c r="U32" i="8"/>
  <c r="U20" i="8"/>
  <c r="U8" i="8"/>
  <c r="V807" i="8"/>
  <c r="V795" i="8"/>
  <c r="V783" i="8"/>
  <c r="V771" i="8"/>
  <c r="V759" i="8"/>
  <c r="V747" i="8"/>
  <c r="V735" i="8"/>
  <c r="V723" i="8"/>
  <c r="V711" i="8"/>
  <c r="V699" i="8"/>
  <c r="V687" i="8"/>
  <c r="V675" i="8"/>
  <c r="V663" i="8"/>
  <c r="V651" i="8"/>
  <c r="V639" i="8"/>
  <c r="V627" i="8"/>
  <c r="V615" i="8"/>
  <c r="V603" i="8"/>
  <c r="V591" i="8"/>
  <c r="V579" i="8"/>
  <c r="V567" i="8"/>
  <c r="V555" i="8"/>
  <c r="V543" i="8"/>
  <c r="V531" i="8"/>
  <c r="V519" i="8"/>
  <c r="V507" i="8"/>
  <c r="V495" i="8"/>
  <c r="V483" i="8"/>
  <c r="V471" i="8"/>
  <c r="V459" i="8"/>
  <c r="V447" i="8"/>
  <c r="V435" i="8"/>
  <c r="V423" i="8"/>
  <c r="V411" i="8"/>
  <c r="V399" i="8"/>
  <c r="V387" i="8"/>
  <c r="V375" i="8"/>
  <c r="V363" i="8"/>
  <c r="V351" i="8"/>
  <c r="V339" i="8"/>
  <c r="V327" i="8"/>
  <c r="V315" i="8"/>
  <c r="V303" i="8"/>
  <c r="V279" i="8"/>
  <c r="V255" i="8"/>
  <c r="V231" i="8"/>
  <c r="V207" i="8"/>
  <c r="V183" i="8"/>
  <c r="V147" i="8"/>
  <c r="V123" i="8"/>
  <c r="V99" i="8"/>
  <c r="V63" i="8"/>
  <c r="V39" i="8"/>
  <c r="U283" i="8"/>
  <c r="U271" i="8"/>
  <c r="U259" i="8"/>
  <c r="U247" i="8"/>
  <c r="U235" i="8"/>
  <c r="U223" i="8"/>
  <c r="U211" i="8"/>
  <c r="U199" i="8"/>
  <c r="U187" i="8"/>
  <c r="U175" i="8"/>
  <c r="U163" i="8"/>
  <c r="U151" i="8"/>
  <c r="U139" i="8"/>
  <c r="U127" i="8"/>
  <c r="U115" i="8"/>
  <c r="U103" i="8"/>
  <c r="U91" i="8"/>
  <c r="U79" i="8"/>
  <c r="U67" i="8"/>
  <c r="U55" i="8"/>
  <c r="U43" i="8"/>
  <c r="U31" i="8"/>
  <c r="U19" i="8"/>
  <c r="U7" i="8"/>
  <c r="V806" i="8"/>
  <c r="V794" i="8"/>
  <c r="V782" i="8"/>
  <c r="V770" i="8"/>
  <c r="V758" i="8"/>
  <c r="V746" i="8"/>
  <c r="V734" i="8"/>
  <c r="V722" i="8"/>
  <c r="V710" i="8"/>
  <c r="V698" i="8"/>
  <c r="V686" i="8"/>
  <c r="V674" i="8"/>
  <c r="V662" i="8"/>
  <c r="V650" i="8"/>
  <c r="V638" i="8"/>
  <c r="V626" i="8"/>
  <c r="V614" i="8"/>
  <c r="V602" i="8"/>
  <c r="V590" i="8"/>
  <c r="V578" i="8"/>
  <c r="V566" i="8"/>
  <c r="V554" i="8"/>
  <c r="V542" i="8"/>
  <c r="V530" i="8"/>
  <c r="V518" i="8"/>
  <c r="V506" i="8"/>
  <c r="V494" i="8"/>
  <c r="V482" i="8"/>
  <c r="V470" i="8"/>
  <c r="V458" i="8"/>
  <c r="V446" i="8"/>
  <c r="V434" i="8"/>
  <c r="V422" i="8"/>
  <c r="V410" i="8"/>
  <c r="V398" i="8"/>
  <c r="V386" i="8"/>
  <c r="V374" i="8"/>
  <c r="V362" i="8"/>
  <c r="V350" i="8"/>
  <c r="V338" i="8"/>
  <c r="V326" i="8"/>
  <c r="V314" i="8"/>
  <c r="V302" i="8"/>
  <c r="V290" i="8"/>
  <c r="V278" i="8"/>
  <c r="V266" i="8"/>
  <c r="V254" i="8"/>
  <c r="V242" i="8"/>
  <c r="V230" i="8"/>
  <c r="V218" i="8"/>
  <c r="V206" i="8"/>
  <c r="V194" i="8"/>
  <c r="V182" i="8"/>
  <c r="V170" i="8"/>
  <c r="V158" i="8"/>
  <c r="V146" i="8"/>
  <c r="V134" i="8"/>
  <c r="V122" i="8"/>
  <c r="V110" i="8"/>
  <c r="V98" i="8"/>
  <c r="V86" i="8"/>
  <c r="V74" i="8"/>
  <c r="V62" i="8"/>
  <c r="V50" i="8"/>
  <c r="V38" i="8"/>
  <c r="V26" i="8"/>
  <c r="V14" i="8"/>
  <c r="U546" i="8"/>
  <c r="U534" i="8"/>
  <c r="U522" i="8"/>
  <c r="U510" i="8"/>
  <c r="U498" i="8"/>
  <c r="U486" i="8"/>
  <c r="U474" i="8"/>
  <c r="U462" i="8"/>
  <c r="U450" i="8"/>
  <c r="U438" i="8"/>
  <c r="U426" i="8"/>
  <c r="U414" i="8"/>
  <c r="U402" i="8"/>
  <c r="U390" i="8"/>
  <c r="U378" i="8"/>
  <c r="U366" i="8"/>
  <c r="U354" i="8"/>
  <c r="U342" i="8"/>
  <c r="U330" i="8"/>
  <c r="U318" i="8"/>
  <c r="U306" i="8"/>
  <c r="U294" i="8"/>
  <c r="U282" i="8"/>
  <c r="U270" i="8"/>
  <c r="U258" i="8"/>
  <c r="U246" i="8"/>
  <c r="U234" i="8"/>
  <c r="U222" i="8"/>
  <c r="U210" i="8"/>
  <c r="U198" i="8"/>
  <c r="U186" i="8"/>
  <c r="U174" i="8"/>
  <c r="U162" i="8"/>
  <c r="U150" i="8"/>
  <c r="U138" i="8"/>
  <c r="U126" i="8"/>
  <c r="U114" i="8"/>
  <c r="U102" i="8"/>
  <c r="U90" i="8"/>
  <c r="U78" i="8"/>
  <c r="U66" i="8"/>
  <c r="U54" i="8"/>
  <c r="U42" i="8"/>
  <c r="U30" i="8"/>
  <c r="U18" i="8"/>
  <c r="V817" i="8"/>
  <c r="V805" i="8"/>
  <c r="V793" i="8"/>
  <c r="V781" i="8"/>
  <c r="V769" i="8"/>
  <c r="V757" i="8"/>
  <c r="V745" i="8"/>
  <c r="V733" i="8"/>
  <c r="V721" i="8"/>
  <c r="V709" i="8"/>
  <c r="V697" i="8"/>
  <c r="V685" i="8"/>
  <c r="V673" i="8"/>
  <c r="V661" i="8"/>
  <c r="V649" i="8"/>
  <c r="V637" i="8"/>
  <c r="V625" i="8"/>
  <c r="V613" i="8"/>
  <c r="V601" i="8"/>
  <c r="V589" i="8"/>
  <c r="V577" i="8"/>
  <c r="V565" i="8"/>
  <c r="V553" i="8"/>
  <c r="V541" i="8"/>
  <c r="V529" i="8"/>
  <c r="V517" i="8"/>
  <c r="V505" i="8"/>
  <c r="V493" i="8"/>
  <c r="V481" i="8"/>
  <c r="V469" i="8"/>
  <c r="V457" i="8"/>
  <c r="V445" i="8"/>
  <c r="V433" i="8"/>
  <c r="V421" i="8"/>
  <c r="V409" i="8"/>
  <c r="V397" i="8"/>
  <c r="V385" i="8"/>
  <c r="V373" i="8"/>
  <c r="V361" i="8"/>
  <c r="V349" i="8"/>
  <c r="V337" i="8"/>
  <c r="U485" i="8"/>
  <c r="U473" i="8"/>
  <c r="U461" i="8"/>
  <c r="U449" i="8"/>
  <c r="U437" i="8"/>
  <c r="U425" i="8"/>
  <c r="U413" i="8"/>
  <c r="U401" i="8"/>
  <c r="U389" i="8"/>
  <c r="U377" i="8"/>
  <c r="U365" i="8"/>
  <c r="U353" i="8"/>
  <c r="U341" i="8"/>
  <c r="U329" i="8"/>
  <c r="U317" i="8"/>
  <c r="U305" i="8"/>
  <c r="U293" i="8"/>
  <c r="U281" i="8"/>
  <c r="U269" i="8"/>
  <c r="U257" i="8"/>
  <c r="U245" i="8"/>
  <c r="U233" i="8"/>
  <c r="U221" i="8"/>
  <c r="U209" i="8"/>
  <c r="U197" i="8"/>
  <c r="U185" i="8"/>
  <c r="U173" i="8"/>
  <c r="U161" i="8"/>
  <c r="U149" i="8"/>
  <c r="U137" i="8"/>
  <c r="U125" i="8"/>
  <c r="U113" i="8"/>
  <c r="U101" i="8"/>
  <c r="U89" i="8"/>
  <c r="U77" i="8"/>
  <c r="U65" i="8"/>
  <c r="U53" i="8"/>
  <c r="U41" i="8"/>
  <c r="U29" i="8"/>
  <c r="U17" i="8"/>
  <c r="V816" i="8"/>
  <c r="V804" i="8"/>
  <c r="V792" i="8"/>
  <c r="V780" i="8"/>
  <c r="V768" i="8"/>
  <c r="V756" i="8"/>
  <c r="V744" i="8"/>
  <c r="V732" i="8"/>
  <c r="V720" i="8"/>
  <c r="V708" i="8"/>
  <c r="V696" i="8"/>
  <c r="V684" i="8"/>
  <c r="V672" i="8"/>
  <c r="V660" i="8"/>
  <c r="V648" i="8"/>
  <c r="V636" i="8"/>
  <c r="V624" i="8"/>
  <c r="V612" i="8"/>
  <c r="V600" i="8"/>
  <c r="V588" i="8"/>
  <c r="V576" i="8"/>
  <c r="V564" i="8"/>
  <c r="V552" i="8"/>
  <c r="V540" i="8"/>
  <c r="V528" i="8"/>
  <c r="V516" i="8"/>
  <c r="V504" i="8"/>
  <c r="V492" i="8"/>
  <c r="V480" i="8"/>
  <c r="V468" i="8"/>
  <c r="V456" i="8"/>
  <c r="V444" i="8"/>
  <c r="V432" i="8"/>
  <c r="V420" i="8"/>
  <c r="V408" i="8"/>
  <c r="V396" i="8"/>
  <c r="V384" i="8"/>
  <c r="V372" i="8"/>
  <c r="V360" i="8"/>
  <c r="V348" i="8"/>
  <c r="V336" i="8"/>
  <c r="V324" i="8"/>
  <c r="V312" i="8"/>
  <c r="U592" i="8"/>
  <c r="U580" i="8"/>
  <c r="U568" i="8"/>
  <c r="U556" i="8"/>
  <c r="U544" i="8"/>
  <c r="U532" i="8"/>
  <c r="U520" i="8"/>
  <c r="U508" i="8"/>
  <c r="U496" i="8"/>
  <c r="U484" i="8"/>
  <c r="U472" i="8"/>
  <c r="U460" i="8"/>
  <c r="U448" i="8"/>
  <c r="U436" i="8"/>
  <c r="U424" i="8"/>
  <c r="U412" i="8"/>
  <c r="U400" i="8"/>
  <c r="U388" i="8"/>
  <c r="U376" i="8"/>
  <c r="U364" i="8"/>
  <c r="U352" i="8"/>
  <c r="U340" i="8"/>
  <c r="U328" i="8"/>
  <c r="U316" i="8"/>
  <c r="U304" i="8"/>
  <c r="U292" i="8"/>
  <c r="U280" i="8"/>
  <c r="U268" i="8"/>
  <c r="U256" i="8"/>
  <c r="U244" i="8"/>
  <c r="U232" i="8"/>
  <c r="U220" i="8"/>
  <c r="U208" i="8"/>
  <c r="U196" i="8"/>
  <c r="U184" i="8"/>
  <c r="U172" i="8"/>
  <c r="U160" i="8"/>
  <c r="U148" i="8"/>
  <c r="U136" i="8"/>
  <c r="U124" i="8"/>
  <c r="U112" i="8"/>
  <c r="U100" i="8"/>
  <c r="U88" i="8"/>
  <c r="U76" i="8"/>
  <c r="U64" i="8"/>
  <c r="U52" i="8"/>
  <c r="U40" i="8"/>
  <c r="U28" i="8"/>
  <c r="U16" i="8"/>
  <c r="V815" i="8"/>
  <c r="V803" i="8"/>
  <c r="V791" i="8"/>
  <c r="V779" i="8"/>
  <c r="V767" i="8"/>
  <c r="V755" i="8"/>
  <c r="V743" i="8"/>
  <c r="V731" i="8"/>
  <c r="V719" i="8"/>
  <c r="V707" i="8"/>
  <c r="V695" i="8"/>
  <c r="V683" i="8"/>
  <c r="V671" i="8"/>
  <c r="V659" i="8"/>
  <c r="V647" i="8"/>
  <c r="V635" i="8"/>
  <c r="V623" i="8"/>
  <c r="V611" i="8"/>
  <c r="V599" i="8"/>
  <c r="V587" i="8"/>
  <c r="V575" i="8"/>
  <c r="V563" i="8"/>
  <c r="V551" i="8"/>
  <c r="V539" i="8"/>
  <c r="V527" i="8"/>
  <c r="V515" i="8"/>
  <c r="V503" i="8"/>
  <c r="V491" i="8"/>
  <c r="V479" i="8"/>
  <c r="V467" i="8"/>
  <c r="V455" i="8"/>
  <c r="V443" i="8"/>
  <c r="V431" i="8"/>
  <c r="V419" i="8"/>
  <c r="V407" i="8"/>
  <c r="V395" i="8"/>
  <c r="V383" i="8"/>
  <c r="V371" i="8"/>
  <c r="V359" i="8"/>
  <c r="V347" i="8"/>
  <c r="V335" i="8"/>
  <c r="V323" i="8"/>
  <c r="V311" i="8"/>
  <c r="V299" i="8"/>
  <c r="V275" i="8"/>
  <c r="V251" i="8"/>
  <c r="V227" i="8"/>
  <c r="U207" i="8"/>
  <c r="U195" i="8"/>
  <c r="U183" i="8"/>
  <c r="U171" i="8"/>
  <c r="U159" i="8"/>
  <c r="U147" i="8"/>
  <c r="U135" i="8"/>
  <c r="U123" i="8"/>
  <c r="U111" i="8"/>
  <c r="U99" i="8"/>
  <c r="U87" i="8"/>
  <c r="U75" i="8"/>
  <c r="U63" i="8"/>
  <c r="U51" i="8"/>
  <c r="U39" i="8"/>
  <c r="U27" i="8"/>
  <c r="U15" i="8"/>
  <c r="V814" i="8"/>
  <c r="V802" i="8"/>
  <c r="V790" i="8"/>
  <c r="V778" i="8"/>
  <c r="V766" i="8"/>
  <c r="V754" i="8"/>
  <c r="V742" i="8"/>
  <c r="V730" i="8"/>
  <c r="V718" i="8"/>
  <c r="V706" i="8"/>
  <c r="V694" i="8"/>
  <c r="V682" i="8"/>
  <c r="V670" i="8"/>
  <c r="V658" i="8"/>
  <c r="V646" i="8"/>
  <c r="V634" i="8"/>
  <c r="V622" i="8"/>
  <c r="V610" i="8"/>
  <c r="V598" i="8"/>
  <c r="V586" i="8"/>
  <c r="V574" i="8"/>
  <c r="V562" i="8"/>
  <c r="V550" i="8"/>
  <c r="V538" i="8"/>
  <c r="V526" i="8"/>
  <c r="V514" i="8"/>
  <c r="V502" i="8"/>
  <c r="V490" i="8"/>
  <c r="V478" i="8"/>
  <c r="V466" i="8"/>
  <c r="V454" i="8"/>
  <c r="V442" i="8"/>
  <c r="V430" i="8"/>
  <c r="V418" i="8"/>
  <c r="V406" i="8"/>
  <c r="V394" i="8"/>
  <c r="V382" i="8"/>
  <c r="V370" i="8"/>
  <c r="V358" i="8"/>
  <c r="V346" i="8"/>
  <c r="V334" i="8"/>
  <c r="V322" i="8"/>
  <c r="V310" i="8"/>
  <c r="V298" i="8"/>
  <c r="V286" i="8"/>
  <c r="V274" i="8"/>
  <c r="V262" i="8"/>
  <c r="V250" i="8"/>
  <c r="V238" i="8"/>
  <c r="V226" i="8"/>
  <c r="V214" i="8"/>
  <c r="V202" i="8"/>
  <c r="V190" i="8"/>
  <c r="V178" i="8"/>
  <c r="V166" i="8"/>
  <c r="V154" i="8"/>
  <c r="V142" i="8"/>
  <c r="V130" i="8"/>
  <c r="V118" i="8"/>
  <c r="V106" i="8"/>
  <c r="V94" i="8"/>
  <c r="V82" i="8"/>
  <c r="V70" i="8"/>
  <c r="V58" i="8"/>
  <c r="V46" i="8"/>
  <c r="V34" i="8"/>
  <c r="V22" i="8"/>
  <c r="V10" i="8"/>
  <c r="U206" i="8"/>
  <c r="U194" i="8"/>
  <c r="U182" i="8"/>
  <c r="U170" i="8"/>
  <c r="U158" i="8"/>
  <c r="U146" i="8"/>
  <c r="U134" i="8"/>
  <c r="U122" i="8"/>
  <c r="U110" i="8"/>
  <c r="U98" i="8"/>
  <c r="U86" i="8"/>
  <c r="U74" i="8"/>
  <c r="U62" i="8"/>
  <c r="U50" i="8"/>
  <c r="U38" i="8"/>
  <c r="U26" i="8"/>
  <c r="U14" i="8"/>
  <c r="V813" i="8"/>
  <c r="V801" i="8"/>
  <c r="V789" i="8"/>
  <c r="V777" i="8"/>
  <c r="V765" i="8"/>
  <c r="V753" i="8"/>
  <c r="V741" i="8"/>
  <c r="V729" i="8"/>
  <c r="V717" i="8"/>
  <c r="V705" i="8"/>
  <c r="V693" i="8"/>
  <c r="V681" i="8"/>
  <c r="V669" i="8"/>
  <c r="V657" i="8"/>
  <c r="V645" i="8"/>
  <c r="V633" i="8"/>
  <c r="V621" i="8"/>
  <c r="V609" i="8"/>
  <c r="V597" i="8"/>
  <c r="V585" i="8"/>
  <c r="V573" i="8"/>
  <c r="V561" i="8"/>
  <c r="V549" i="8"/>
  <c r="V537" i="8"/>
  <c r="V525" i="8"/>
  <c r="V513" i="8"/>
  <c r="V501" i="8"/>
  <c r="V489" i="8"/>
  <c r="V477" i="8"/>
  <c r="V465" i="8"/>
  <c r="V453" i="8"/>
  <c r="V441" i="8"/>
  <c r="V429" i="8"/>
  <c r="V417" i="8"/>
  <c r="V405" i="8"/>
  <c r="V393" i="8"/>
  <c r="V381" i="8"/>
  <c r="V369" i="8"/>
  <c r="V357" i="8"/>
  <c r="V345" i="8"/>
  <c r="V333" i="8"/>
  <c r="V321" i="8"/>
  <c r="V309" i="8"/>
  <c r="V297" i="8"/>
  <c r="V285" i="8"/>
  <c r="V273" i="8"/>
  <c r="V261" i="8"/>
  <c r="V249" i="8"/>
  <c r="V237" i="8"/>
  <c r="V225" i="8"/>
  <c r="V213" i="8"/>
  <c r="V201" i="8"/>
  <c r="V189" i="8"/>
  <c r="V177" i="8"/>
  <c r="V165" i="8"/>
  <c r="V153" i="8"/>
  <c r="V141" i="8"/>
  <c r="V129" i="8"/>
  <c r="V117" i="8"/>
  <c r="V105" i="8"/>
  <c r="V93" i="8"/>
  <c r="V81" i="8"/>
  <c r="V69" i="8"/>
  <c r="V57" i="8"/>
  <c r="V45" i="8"/>
  <c r="V33" i="8"/>
  <c r="V21" i="8"/>
  <c r="V9" i="8"/>
  <c r="V476" i="8"/>
  <c r="V464" i="8"/>
  <c r="V452" i="8"/>
  <c r="V440" i="8"/>
  <c r="V428" i="8"/>
  <c r="V416" i="8"/>
  <c r="V404" i="8"/>
  <c r="V392" i="8"/>
  <c r="V380" i="8"/>
  <c r="V368" i="8"/>
  <c r="V356" i="8"/>
  <c r="V344" i="8"/>
  <c r="U360" i="8"/>
  <c r="U348" i="8"/>
  <c r="U336" i="8"/>
  <c r="U324" i="8"/>
  <c r="U312" i="8"/>
  <c r="U300" i="8"/>
  <c r="U288" i="8"/>
  <c r="U276" i="8"/>
  <c r="U264" i="8"/>
  <c r="U252" i="8"/>
  <c r="U240" i="8"/>
  <c r="U228" i="8"/>
  <c r="U216" i="8"/>
  <c r="U204" i="8"/>
  <c r="U192" i="8"/>
  <c r="U180" i="8"/>
  <c r="U168" i="8"/>
  <c r="U156" i="8"/>
  <c r="U144" i="8"/>
  <c r="U132" i="8"/>
  <c r="U120" i="8"/>
  <c r="U108" i="8"/>
  <c r="U96" i="8"/>
  <c r="U84" i="8"/>
  <c r="U72" i="8"/>
  <c r="U60" i="8"/>
  <c r="U48" i="8"/>
  <c r="U36" i="8"/>
  <c r="U24" i="8"/>
  <c r="U12" i="8"/>
  <c r="V811" i="8"/>
  <c r="V799" i="8"/>
  <c r="V787" i="8"/>
  <c r="V775" i="8"/>
  <c r="V763" i="8"/>
  <c r="V751" i="8"/>
  <c r="V739" i="8"/>
  <c r="V727" i="8"/>
  <c r="V715" i="8"/>
  <c r="V703" i="8"/>
  <c r="V691" i="8"/>
  <c r="V679" i="8"/>
  <c r="V667" i="8"/>
  <c r="V655" i="8"/>
  <c r="V643" i="8"/>
  <c r="V631" i="8"/>
  <c r="V619" i="8"/>
  <c r="V607" i="8"/>
  <c r="V595" i="8"/>
  <c r="V583" i="8"/>
  <c r="V571" i="8"/>
  <c r="V559" i="8"/>
  <c r="V547" i="8"/>
  <c r="V535" i="8"/>
  <c r="V523" i="8"/>
  <c r="V511" i="8"/>
  <c r="V499" i="8"/>
  <c r="V487" i="8"/>
  <c r="V475" i="8"/>
  <c r="V463" i="8"/>
  <c r="V451" i="8"/>
  <c r="V439" i="8"/>
  <c r="V427" i="8"/>
  <c r="V415" i="8"/>
  <c r="V403" i="8"/>
  <c r="V391" i="8"/>
  <c r="V379" i="8"/>
  <c r="V367" i="8"/>
  <c r="V355" i="8"/>
  <c r="V343" i="8"/>
  <c r="V331" i="8"/>
  <c r="V319" i="8"/>
  <c r="V307" i="8"/>
  <c r="V295" i="8"/>
  <c r="V283" i="8"/>
  <c r="V271" i="8"/>
  <c r="V259" i="8"/>
  <c r="V247" i="8"/>
  <c r="V235" i="8"/>
  <c r="V223" i="8"/>
  <c r="V211" i="8"/>
  <c r="V199" i="8"/>
  <c r="V187" i="8"/>
  <c r="V175" i="8"/>
  <c r="V163" i="8"/>
  <c r="V151" i="8"/>
  <c r="V115" i="8"/>
  <c r="V91" i="8"/>
  <c r="V55" i="8"/>
  <c r="V31" i="8"/>
  <c r="V291" i="8"/>
  <c r="V267" i="8"/>
  <c r="V243" i="8"/>
  <c r="V219" i="8"/>
  <c r="V195" i="8"/>
  <c r="V171" i="8"/>
  <c r="V159" i="8"/>
  <c r="V135" i="8"/>
  <c r="V111" i="8"/>
  <c r="V87" i="8"/>
  <c r="V75" i="8"/>
  <c r="V51" i="8"/>
  <c r="V27" i="8"/>
  <c r="V15" i="8"/>
  <c r="V7" i="8"/>
  <c r="V325" i="8"/>
  <c r="V313" i="8"/>
  <c r="V301" i="8"/>
  <c r="V289" i="8"/>
  <c r="V277" i="8"/>
  <c r="V265" i="8"/>
  <c r="V253" i="8"/>
  <c r="V241" i="8"/>
  <c r="V229" i="8"/>
  <c r="V217" i="8"/>
  <c r="V205" i="8"/>
  <c r="V193" i="8"/>
  <c r="V181" i="8"/>
  <c r="V169" i="8"/>
  <c r="V157" i="8"/>
  <c r="V145" i="8"/>
  <c r="V133" i="8"/>
  <c r="V121" i="8"/>
  <c r="V109" i="8"/>
  <c r="V97" i="8"/>
  <c r="V85" i="8"/>
  <c r="V73" i="8"/>
  <c r="V61" i="8"/>
  <c r="V49" i="8"/>
  <c r="V37" i="8"/>
  <c r="V25" i="8"/>
  <c r="V13" i="8"/>
  <c r="V300" i="8"/>
  <c r="V288" i="8"/>
  <c r="V276" i="8"/>
  <c r="V264" i="8"/>
  <c r="V252" i="8"/>
  <c r="V240" i="8"/>
  <c r="V228" i="8"/>
  <c r="V216" i="8"/>
  <c r="V204" i="8"/>
  <c r="V192" i="8"/>
  <c r="V180" i="8"/>
  <c r="V168" i="8"/>
  <c r="V156" i="8"/>
  <c r="V144" i="8"/>
  <c r="V132" i="8"/>
  <c r="V120" i="8"/>
  <c r="V108" i="8"/>
  <c r="V96" i="8"/>
  <c r="V84" i="8"/>
  <c r="V72" i="8"/>
  <c r="V60" i="8"/>
  <c r="V48" i="8"/>
  <c r="V36" i="8"/>
  <c r="V24" i="8"/>
  <c r="V12" i="8"/>
  <c r="V287" i="8"/>
  <c r="V263" i="8"/>
  <c r="V239" i="8"/>
  <c r="V215" i="8"/>
  <c r="V203" i="8"/>
  <c r="V191" i="8"/>
  <c r="V179" i="8"/>
  <c r="V167" i="8"/>
  <c r="V155" i="8"/>
  <c r="V143" i="8"/>
  <c r="V131" i="8"/>
  <c r="V119" i="8"/>
  <c r="V107" i="8"/>
  <c r="V95" i="8"/>
  <c r="V83" i="8"/>
  <c r="V71" i="8"/>
  <c r="V59" i="8"/>
  <c r="V47" i="8"/>
  <c r="V35" i="8"/>
  <c r="V23" i="8"/>
  <c r="V11" i="8"/>
  <c r="V332" i="8"/>
  <c r="V320" i="8"/>
  <c r="V308" i="8"/>
  <c r="V296" i="8"/>
  <c r="V284" i="8"/>
  <c r="V272" i="8"/>
  <c r="V260" i="8"/>
  <c r="V248" i="8"/>
  <c r="V236" i="8"/>
  <c r="V224" i="8"/>
  <c r="V212" i="8"/>
  <c r="V200" i="8"/>
  <c r="V188" i="8"/>
  <c r="V176" i="8"/>
  <c r="V164" i="8"/>
  <c r="V152" i="8"/>
  <c r="V140" i="8"/>
  <c r="V128" i="8"/>
  <c r="V116" i="8"/>
  <c r="V104" i="8"/>
  <c r="V92" i="8"/>
  <c r="V80" i="8"/>
  <c r="V68" i="8"/>
  <c r="V56" i="8"/>
  <c r="V44" i="8"/>
  <c r="V32" i="8"/>
  <c r="V20" i="8"/>
  <c r="V8" i="8"/>
  <c r="V139" i="8"/>
  <c r="V127" i="8"/>
  <c r="V103" i="8"/>
  <c r="V79" i="8"/>
  <c r="V67" i="8"/>
  <c r="V43" i="8"/>
  <c r="V19" i="8"/>
  <c r="V366" i="8"/>
  <c r="V342" i="8"/>
  <c r="V318" i="8"/>
  <c r="V294" i="8"/>
  <c r="V270" i="8"/>
  <c r="V246" i="8"/>
  <c r="V222" i="8"/>
  <c r="V198" i="8"/>
  <c r="V186" i="8"/>
  <c r="V162" i="8"/>
  <c r="V138" i="8"/>
  <c r="V126" i="8"/>
  <c r="V102" i="8"/>
  <c r="V78" i="8"/>
  <c r="V54" i="8"/>
  <c r="V42" i="8"/>
  <c r="V18" i="8"/>
  <c r="V53" i="8"/>
  <c r="V41" i="8"/>
  <c r="V17" i="8"/>
  <c r="V16" i="8"/>
  <c r="T383" i="8"/>
  <c r="T8" i="8"/>
  <c r="T203" i="8"/>
  <c r="M10" i="4"/>
  <c r="N11" i="4" s="1"/>
  <c r="M9" i="4"/>
  <c r="N10" i="4" s="1"/>
  <c r="O11" i="4" s="1"/>
  <c r="T805" i="8"/>
  <c r="T781" i="8"/>
  <c r="T757" i="8"/>
  <c r="T385" i="8"/>
  <c r="T205" i="8"/>
  <c r="T169" i="8"/>
  <c r="T730" i="8"/>
  <c r="T706" i="8"/>
  <c r="T586" i="8"/>
  <c r="T729" i="8"/>
  <c r="T705" i="8"/>
  <c r="W705" i="8" s="1"/>
  <c r="T585" i="8"/>
  <c r="T167" i="8"/>
  <c r="T661" i="8"/>
  <c r="T613" i="8"/>
  <c r="T61" i="8"/>
  <c r="T756" i="8"/>
  <c r="W756" i="8" s="1"/>
  <c r="T588" i="8"/>
  <c r="T709" i="8"/>
  <c r="T589" i="8"/>
  <c r="T421" i="8"/>
  <c r="T804" i="8"/>
  <c r="T732" i="8"/>
  <c r="T636" i="8"/>
  <c r="T564" i="8"/>
  <c r="T815" i="8"/>
  <c r="T779" i="8"/>
  <c r="T347" i="8"/>
  <c r="T562" i="8"/>
  <c r="T685" i="8"/>
  <c r="T541" i="8"/>
  <c r="T457" i="8"/>
  <c r="T780" i="8"/>
  <c r="T660" i="8"/>
  <c r="T540" i="8"/>
  <c r="T96" i="8"/>
  <c r="T803" i="8"/>
  <c r="T311" i="8"/>
  <c r="W311" i="8" s="1"/>
  <c r="T239" i="8"/>
  <c r="T778" i="8"/>
  <c r="T658" i="8"/>
  <c r="T610" i="8"/>
  <c r="T753" i="8"/>
  <c r="T633" i="8"/>
  <c r="T513" i="8"/>
  <c r="T637" i="8"/>
  <c r="T469" i="8"/>
  <c r="T684" i="8"/>
  <c r="T516" i="8"/>
  <c r="W516" i="8" s="1"/>
  <c r="T767" i="8"/>
  <c r="T419" i="8"/>
  <c r="T92" i="8"/>
  <c r="T514" i="8"/>
  <c r="T733" i="8"/>
  <c r="T565" i="8"/>
  <c r="T517" i="8"/>
  <c r="W517" i="8" s="1"/>
  <c r="T708" i="8"/>
  <c r="T612" i="8"/>
  <c r="T791" i="8"/>
  <c r="W791" i="8" s="1"/>
  <c r="T275" i="8"/>
  <c r="T131" i="8"/>
  <c r="T802" i="8"/>
  <c r="T754" i="8"/>
  <c r="T634" i="8"/>
  <c r="T34" i="8"/>
  <c r="W34" i="8" s="1"/>
  <c r="T801" i="8"/>
  <c r="T777" i="8"/>
  <c r="T657" i="8"/>
  <c r="T609" i="8"/>
  <c r="T561" i="8"/>
  <c r="T459" i="8"/>
  <c r="T423" i="8"/>
  <c r="T387" i="8"/>
  <c r="T351" i="8"/>
  <c r="T315" i="8"/>
  <c r="T279" i="8"/>
  <c r="T243" i="8"/>
  <c r="T207" i="8"/>
  <c r="T171" i="8"/>
  <c r="T135" i="8"/>
  <c r="T806" i="8"/>
  <c r="T782" i="8"/>
  <c r="T758" i="8"/>
  <c r="T734" i="8"/>
  <c r="T710" i="8"/>
  <c r="T686" i="8"/>
  <c r="T662" i="8"/>
  <c r="T638" i="8"/>
  <c r="T614" i="8"/>
  <c r="W614" i="8" s="1"/>
  <c r="T590" i="8"/>
  <c r="T566" i="8"/>
  <c r="W566" i="8" s="1"/>
  <c r="T542" i="8"/>
  <c r="W542" i="8" s="1"/>
  <c r="T518" i="8"/>
  <c r="T470" i="8"/>
  <c r="W470" i="8" s="1"/>
  <c r="T458" i="8"/>
  <c r="T422" i="8"/>
  <c r="T386" i="8"/>
  <c r="T350" i="8"/>
  <c r="T314" i="8"/>
  <c r="W314" i="8" s="1"/>
  <c r="T278" i="8"/>
  <c r="T242" i="8"/>
  <c r="T206" i="8"/>
  <c r="T170" i="8"/>
  <c r="T134" i="8"/>
  <c r="T743" i="8"/>
  <c r="T695" i="8"/>
  <c r="T623" i="8"/>
  <c r="T611" i="8"/>
  <c r="T539" i="8"/>
  <c r="T491" i="8"/>
  <c r="T443" i="8"/>
  <c r="T371" i="8"/>
  <c r="T323" i="8"/>
  <c r="T263" i="8"/>
  <c r="T227" i="8"/>
  <c r="T155" i="8"/>
  <c r="T143" i="8"/>
  <c r="T71" i="8"/>
  <c r="T35" i="8"/>
  <c r="T133" i="8"/>
  <c r="T814" i="8"/>
  <c r="W814" i="8" s="1"/>
  <c r="T742" i="8"/>
  <c r="T718" i="8"/>
  <c r="T502" i="8"/>
  <c r="T454" i="8"/>
  <c r="W454" i="8" s="1"/>
  <c r="T406" i="8"/>
  <c r="T370" i="8"/>
  <c r="T322" i="8"/>
  <c r="T286" i="8"/>
  <c r="T238" i="8"/>
  <c r="T178" i="8"/>
  <c r="T142" i="8"/>
  <c r="T82" i="8"/>
  <c r="T22" i="8"/>
  <c r="T537" i="8"/>
  <c r="T813" i="8"/>
  <c r="T789" i="8"/>
  <c r="T765" i="8"/>
  <c r="T741" i="8"/>
  <c r="T717" i="8"/>
  <c r="T693" i="8"/>
  <c r="T621" i="8"/>
  <c r="T597" i="8"/>
  <c r="T573" i="8"/>
  <c r="T549" i="8"/>
  <c r="T525" i="8"/>
  <c r="T501" i="8"/>
  <c r="T489" i="8"/>
  <c r="T477" i="8"/>
  <c r="T465" i="8"/>
  <c r="T453" i="8"/>
  <c r="T441" i="8"/>
  <c r="W441" i="8" s="1"/>
  <c r="T429" i="8"/>
  <c r="T417" i="8"/>
  <c r="T405" i="8"/>
  <c r="T393" i="8"/>
  <c r="T381" i="8"/>
  <c r="T369" i="8"/>
  <c r="T357" i="8"/>
  <c r="T345" i="8"/>
  <c r="T333" i="8"/>
  <c r="T321" i="8"/>
  <c r="T309" i="8"/>
  <c r="T297" i="8"/>
  <c r="W297" i="8" s="1"/>
  <c r="T285" i="8"/>
  <c r="T273" i="8"/>
  <c r="T261" i="8"/>
  <c r="T249" i="8"/>
  <c r="T237" i="8"/>
  <c r="T225" i="8"/>
  <c r="T213" i="8"/>
  <c r="T201" i="8"/>
  <c r="T189" i="8"/>
  <c r="T177" i="8"/>
  <c r="T165" i="8"/>
  <c r="T153" i="8"/>
  <c r="T93" i="8"/>
  <c r="T193" i="8"/>
  <c r="T313" i="8"/>
  <c r="T719" i="8"/>
  <c r="T659" i="8"/>
  <c r="T551" i="8"/>
  <c r="T479" i="8"/>
  <c r="T395" i="8"/>
  <c r="T287" i="8"/>
  <c r="W287" i="8" s="1"/>
  <c r="T191" i="8"/>
  <c r="T95" i="8"/>
  <c r="T11" i="8"/>
  <c r="T682" i="8"/>
  <c r="T694" i="8"/>
  <c r="T574" i="8"/>
  <c r="T478" i="8"/>
  <c r="T418" i="8"/>
  <c r="T334" i="8"/>
  <c r="T274" i="8"/>
  <c r="T214" i="8"/>
  <c r="T154" i="8"/>
  <c r="W154" i="8" s="1"/>
  <c r="T94" i="8"/>
  <c r="T500" i="8"/>
  <c r="T488" i="8"/>
  <c r="W488" i="8" s="1"/>
  <c r="T440" i="8"/>
  <c r="T404" i="8"/>
  <c r="T368" i="8"/>
  <c r="T332" i="8"/>
  <c r="T296" i="8"/>
  <c r="T260" i="8"/>
  <c r="T224" i="8"/>
  <c r="T188" i="8"/>
  <c r="T152" i="8"/>
  <c r="W152" i="8" s="1"/>
  <c r="T116" i="8"/>
  <c r="T44" i="8"/>
  <c r="T18" i="8"/>
  <c r="T90" i="8"/>
  <c r="T683" i="8"/>
  <c r="T587" i="8"/>
  <c r="T503" i="8"/>
  <c r="T431" i="8"/>
  <c r="T335" i="8"/>
  <c r="W335" i="8" s="1"/>
  <c r="T251" i="8"/>
  <c r="T119" i="8"/>
  <c r="T47" i="8"/>
  <c r="T349" i="8"/>
  <c r="T790" i="8"/>
  <c r="T646" i="8"/>
  <c r="W646" i="8" s="1"/>
  <c r="T550" i="8"/>
  <c r="T466" i="8"/>
  <c r="T394" i="8"/>
  <c r="T346" i="8"/>
  <c r="T298" i="8"/>
  <c r="T226" i="8"/>
  <c r="T166" i="8"/>
  <c r="T106" i="8"/>
  <c r="T70" i="8"/>
  <c r="T669" i="8"/>
  <c r="T811" i="8"/>
  <c r="T499" i="8"/>
  <c r="W499" i="8" s="1"/>
  <c r="T487" i="8"/>
  <c r="T439" i="8"/>
  <c r="T67" i="8"/>
  <c r="T43" i="8"/>
  <c r="T64" i="8"/>
  <c r="T485" i="8"/>
  <c r="T277" i="8"/>
  <c r="T37" i="8"/>
  <c r="T671" i="8"/>
  <c r="T599" i="8"/>
  <c r="T527" i="8"/>
  <c r="T455" i="8"/>
  <c r="T359" i="8"/>
  <c r="T215" i="8"/>
  <c r="T107" i="8"/>
  <c r="T59" i="8"/>
  <c r="T670" i="8"/>
  <c r="T598" i="8"/>
  <c r="T490" i="8"/>
  <c r="T430" i="8"/>
  <c r="T358" i="8"/>
  <c r="T262" i="8"/>
  <c r="W262" i="8" s="1"/>
  <c r="T190" i="8"/>
  <c r="W190" i="8" s="1"/>
  <c r="T130" i="8"/>
  <c r="W130" i="8" s="1"/>
  <c r="T58" i="8"/>
  <c r="T681" i="8"/>
  <c r="T645" i="8"/>
  <c r="T486" i="8"/>
  <c r="T438" i="8"/>
  <c r="T402" i="8"/>
  <c r="T366" i="8"/>
  <c r="T330" i="8"/>
  <c r="T294" i="8"/>
  <c r="T258" i="8"/>
  <c r="T222" i="8"/>
  <c r="T186" i="8"/>
  <c r="T150" i="8"/>
  <c r="T114" i="8"/>
  <c r="T42" i="8"/>
  <c r="T484" i="8"/>
  <c r="W484" i="8" s="1"/>
  <c r="T731" i="8"/>
  <c r="T647" i="8"/>
  <c r="T563" i="8"/>
  <c r="T467" i="8"/>
  <c r="T407" i="8"/>
  <c r="W407" i="8" s="1"/>
  <c r="T299" i="8"/>
  <c r="T179" i="8"/>
  <c r="T83" i="8"/>
  <c r="T23" i="8"/>
  <c r="T538" i="8"/>
  <c r="T766" i="8"/>
  <c r="W766" i="8" s="1"/>
  <c r="T622" i="8"/>
  <c r="T526" i="8"/>
  <c r="W526" i="8" s="1"/>
  <c r="T442" i="8"/>
  <c r="T382" i="8"/>
  <c r="T310" i="8"/>
  <c r="T250" i="8"/>
  <c r="T202" i="8"/>
  <c r="T118" i="8"/>
  <c r="W118" i="8" s="1"/>
  <c r="T46" i="8"/>
  <c r="T437" i="8"/>
  <c r="T425" i="8"/>
  <c r="T401" i="8"/>
  <c r="T389" i="8"/>
  <c r="W389" i="8" s="1"/>
  <c r="T365" i="8"/>
  <c r="T353" i="8"/>
  <c r="T329" i="8"/>
  <c r="T317" i="8"/>
  <c r="T293" i="8"/>
  <c r="T281" i="8"/>
  <c r="T257" i="8"/>
  <c r="T245" i="8"/>
  <c r="W245" i="8" s="1"/>
  <c r="T221" i="8"/>
  <c r="T209" i="8"/>
  <c r="T185" i="8"/>
  <c r="T173" i="8"/>
  <c r="T149" i="8"/>
  <c r="T137" i="8"/>
  <c r="T113" i="8"/>
  <c r="T452" i="8"/>
  <c r="T241" i="8"/>
  <c r="T755" i="8"/>
  <c r="T707" i="8"/>
  <c r="W707" i="8" s="1"/>
  <c r="T635" i="8"/>
  <c r="T575" i="8"/>
  <c r="T515" i="8"/>
  <c r="T436" i="8"/>
  <c r="T424" i="8"/>
  <c r="T400" i="8"/>
  <c r="T388" i="8"/>
  <c r="T364" i="8"/>
  <c r="T352" i="8"/>
  <c r="T328" i="8"/>
  <c r="W328" i="8" s="1"/>
  <c r="T316" i="8"/>
  <c r="T292" i="8"/>
  <c r="T280" i="8"/>
  <c r="T256" i="8"/>
  <c r="T244" i="8"/>
  <c r="T220" i="8"/>
  <c r="T208" i="8"/>
  <c r="T184" i="8"/>
  <c r="T172" i="8"/>
  <c r="T148" i="8"/>
  <c r="T136" i="8"/>
  <c r="T112" i="8"/>
  <c r="T40" i="8"/>
  <c r="T451" i="8"/>
  <c r="W451" i="8" s="1"/>
  <c r="T129" i="8"/>
  <c r="T69" i="8"/>
  <c r="T746" i="8"/>
  <c r="T626" i="8"/>
  <c r="T554" i="8"/>
  <c r="T409" i="8"/>
  <c r="W409" i="8" s="1"/>
  <c r="T229" i="8"/>
  <c r="T73" i="8"/>
  <c r="T788" i="8"/>
  <c r="T752" i="8"/>
  <c r="W752" i="8" s="1"/>
  <c r="T692" i="8"/>
  <c r="W692" i="8" s="1"/>
  <c r="T668" i="8"/>
  <c r="W668" i="8" s="1"/>
  <c r="T620" i="8"/>
  <c r="T572" i="8"/>
  <c r="W572" i="8" s="1"/>
  <c r="T524" i="8"/>
  <c r="W524" i="8" s="1"/>
  <c r="T476" i="8"/>
  <c r="T344" i="8"/>
  <c r="T248" i="8"/>
  <c r="T176" i="8"/>
  <c r="T68" i="8"/>
  <c r="T816" i="8"/>
  <c r="T721" i="8"/>
  <c r="T625" i="8"/>
  <c r="T529" i="8"/>
  <c r="W529" i="8" s="1"/>
  <c r="T751" i="8"/>
  <c r="W751" i="8" s="1"/>
  <c r="T715" i="8"/>
  <c r="T679" i="8"/>
  <c r="T643" i="8"/>
  <c r="T583" i="8"/>
  <c r="T535" i="8"/>
  <c r="T427" i="8"/>
  <c r="T403" i="8"/>
  <c r="T343" i="8"/>
  <c r="T331" i="8"/>
  <c r="W331" i="8" s="1"/>
  <c r="T271" i="8"/>
  <c r="T211" i="8"/>
  <c r="W211" i="8" s="1"/>
  <c r="T187" i="8"/>
  <c r="T139" i="8"/>
  <c r="T91" i="8"/>
  <c r="T55" i="8"/>
  <c r="T720" i="8"/>
  <c r="T576" i="8"/>
  <c r="T798" i="8"/>
  <c r="T774" i="8"/>
  <c r="T726" i="8"/>
  <c r="W726" i="8" s="1"/>
  <c r="T666" i="8"/>
  <c r="T618" i="8"/>
  <c r="W618" i="8" s="1"/>
  <c r="T570" i="8"/>
  <c r="W570" i="8" s="1"/>
  <c r="T510" i="8"/>
  <c r="T462" i="8"/>
  <c r="T306" i="8"/>
  <c r="T198" i="8"/>
  <c r="T162" i="8"/>
  <c r="T78" i="8"/>
  <c r="T809" i="8"/>
  <c r="T797" i="8"/>
  <c r="T785" i="8"/>
  <c r="T773" i="8"/>
  <c r="W773" i="8" s="1"/>
  <c r="T761" i="8"/>
  <c r="W761" i="8" s="1"/>
  <c r="T749" i="8"/>
  <c r="T737" i="8"/>
  <c r="W737" i="8" s="1"/>
  <c r="T725" i="8"/>
  <c r="W725" i="8" s="1"/>
  <c r="T713" i="8"/>
  <c r="W713" i="8" s="1"/>
  <c r="T701" i="8"/>
  <c r="T689" i="8"/>
  <c r="T677" i="8"/>
  <c r="T665" i="8"/>
  <c r="T653" i="8"/>
  <c r="T641" i="8"/>
  <c r="T629" i="8"/>
  <c r="W629" i="8" s="1"/>
  <c r="T617" i="8"/>
  <c r="W617" i="8" s="1"/>
  <c r="T605" i="8"/>
  <c r="T593" i="8"/>
  <c r="W593" i="8" s="1"/>
  <c r="T581" i="8"/>
  <c r="W581" i="8" s="1"/>
  <c r="T569" i="8"/>
  <c r="W569" i="8" s="1"/>
  <c r="T557" i="8"/>
  <c r="T545" i="8"/>
  <c r="T533" i="8"/>
  <c r="T521" i="8"/>
  <c r="T509" i="8"/>
  <c r="T497" i="8"/>
  <c r="T461" i="8"/>
  <c r="T449" i="8"/>
  <c r="T413" i="8"/>
  <c r="T377" i="8"/>
  <c r="W377" i="8" s="1"/>
  <c r="T341" i="8"/>
  <c r="T305" i="8"/>
  <c r="T269" i="8"/>
  <c r="T233" i="8"/>
  <c r="W233" i="8" s="1"/>
  <c r="T197" i="8"/>
  <c r="T161" i="8"/>
  <c r="T125" i="8"/>
  <c r="T101" i="8"/>
  <c r="T89" i="8"/>
  <c r="W89" i="8" s="1"/>
  <c r="T77" i="8"/>
  <c r="T65" i="8"/>
  <c r="T53" i="8"/>
  <c r="T41" i="8"/>
  <c r="T29" i="8"/>
  <c r="T17" i="8"/>
  <c r="T105" i="8"/>
  <c r="T21" i="8"/>
  <c r="T817" i="8"/>
  <c r="T698" i="8"/>
  <c r="T578" i="8"/>
  <c r="T265" i="8"/>
  <c r="T20" i="8"/>
  <c r="W20" i="8" s="1"/>
  <c r="T812" i="8"/>
  <c r="W812" i="8" s="1"/>
  <c r="T728" i="8"/>
  <c r="W728" i="8" s="1"/>
  <c r="T656" i="8"/>
  <c r="T596" i="8"/>
  <c r="W596" i="8" s="1"/>
  <c r="T536" i="8"/>
  <c r="T416" i="8"/>
  <c r="T284" i="8"/>
  <c r="T212" i="8"/>
  <c r="T140" i="8"/>
  <c r="T56" i="8"/>
  <c r="T697" i="8"/>
  <c r="W697" i="8" s="1"/>
  <c r="T577" i="8"/>
  <c r="T775" i="8"/>
  <c r="T703" i="8"/>
  <c r="T631" i="8"/>
  <c r="T571" i="8"/>
  <c r="T511" i="8"/>
  <c r="W511" i="8" s="1"/>
  <c r="T367" i="8"/>
  <c r="W367" i="8" s="1"/>
  <c r="T307" i="8"/>
  <c r="T247" i="8"/>
  <c r="T175" i="8"/>
  <c r="T115" i="8"/>
  <c r="W115" i="8" s="1"/>
  <c r="T31" i="8"/>
  <c r="T696" i="8"/>
  <c r="T600" i="8"/>
  <c r="W600" i="8" s="1"/>
  <c r="T472" i="8"/>
  <c r="T786" i="8"/>
  <c r="T714" i="8"/>
  <c r="W714" i="8" s="1"/>
  <c r="T654" i="8"/>
  <c r="T594" i="8"/>
  <c r="T534" i="8"/>
  <c r="T378" i="8"/>
  <c r="T318" i="8"/>
  <c r="T246" i="8"/>
  <c r="T174" i="8"/>
  <c r="W174" i="8" s="1"/>
  <c r="T102" i="8"/>
  <c r="T30" i="8"/>
  <c r="T471" i="8"/>
  <c r="W471" i="8" s="1"/>
  <c r="T9" i="8"/>
  <c r="T808" i="8"/>
  <c r="T796" i="8"/>
  <c r="W796" i="8" s="1"/>
  <c r="T784" i="8"/>
  <c r="W784" i="8" s="1"/>
  <c r="T772" i="8"/>
  <c r="W772" i="8" s="1"/>
  <c r="T760" i="8"/>
  <c r="T748" i="8"/>
  <c r="T736" i="8"/>
  <c r="T724" i="8"/>
  <c r="T712" i="8"/>
  <c r="T700" i="8"/>
  <c r="T688" i="8"/>
  <c r="W688" i="8" s="1"/>
  <c r="T676" i="8"/>
  <c r="W676" i="8" s="1"/>
  <c r="T664" i="8"/>
  <c r="T652" i="8"/>
  <c r="W652" i="8" s="1"/>
  <c r="T640" i="8"/>
  <c r="W640" i="8" s="1"/>
  <c r="T628" i="8"/>
  <c r="W628" i="8" s="1"/>
  <c r="T616" i="8"/>
  <c r="T604" i="8"/>
  <c r="T592" i="8"/>
  <c r="T580" i="8"/>
  <c r="T568" i="8"/>
  <c r="T556" i="8"/>
  <c r="T544" i="8"/>
  <c r="T532" i="8"/>
  <c r="T520" i="8"/>
  <c r="T508" i="8"/>
  <c r="T496" i="8"/>
  <c r="T460" i="8"/>
  <c r="T448" i="8"/>
  <c r="T412" i="8"/>
  <c r="T376" i="8"/>
  <c r="W376" i="8" s="1"/>
  <c r="T340" i="8"/>
  <c r="T304" i="8"/>
  <c r="T268" i="8"/>
  <c r="T232" i="8"/>
  <c r="T196" i="8"/>
  <c r="W196" i="8" s="1"/>
  <c r="T160" i="8"/>
  <c r="T124" i="8"/>
  <c r="T100" i="8"/>
  <c r="T88" i="8"/>
  <c r="T76" i="8"/>
  <c r="T52" i="8"/>
  <c r="T28" i="8"/>
  <c r="T16" i="8"/>
  <c r="T7" i="8"/>
  <c r="T81" i="8"/>
  <c r="T33" i="8"/>
  <c r="W33" i="8" s="1"/>
  <c r="T770" i="8"/>
  <c r="T650" i="8"/>
  <c r="T506" i="8"/>
  <c r="T301" i="8"/>
  <c r="T121" i="8"/>
  <c r="W121" i="8" s="1"/>
  <c r="T800" i="8"/>
  <c r="W800" i="8" s="1"/>
  <c r="T740" i="8"/>
  <c r="W740" i="8" s="1"/>
  <c r="T680" i="8"/>
  <c r="W680" i="8" s="1"/>
  <c r="T608" i="8"/>
  <c r="T548" i="8"/>
  <c r="W548" i="8" s="1"/>
  <c r="T464" i="8"/>
  <c r="T380" i="8"/>
  <c r="T320" i="8"/>
  <c r="T200" i="8"/>
  <c r="T128" i="8"/>
  <c r="T32" i="8"/>
  <c r="T769" i="8"/>
  <c r="T649" i="8"/>
  <c r="T473" i="8"/>
  <c r="T799" i="8"/>
  <c r="T727" i="8"/>
  <c r="W727" i="8" s="1"/>
  <c r="T655" i="8"/>
  <c r="T595" i="8"/>
  <c r="W595" i="8" s="1"/>
  <c r="T523" i="8"/>
  <c r="T463" i="8"/>
  <c r="T391" i="8"/>
  <c r="T319" i="8"/>
  <c r="T235" i="8"/>
  <c r="T151" i="8"/>
  <c r="T79" i="8"/>
  <c r="W79" i="8" s="1"/>
  <c r="T792" i="8"/>
  <c r="W792" i="8" s="1"/>
  <c r="T648" i="8"/>
  <c r="W648" i="8" s="1"/>
  <c r="T504" i="8"/>
  <c r="W504" i="8" s="1"/>
  <c r="T810" i="8"/>
  <c r="T738" i="8"/>
  <c r="T690" i="8"/>
  <c r="T630" i="8"/>
  <c r="T558" i="8"/>
  <c r="W558" i="8" s="1"/>
  <c r="T498" i="8"/>
  <c r="T414" i="8"/>
  <c r="W414" i="8" s="1"/>
  <c r="T342" i="8"/>
  <c r="T282" i="8"/>
  <c r="W282" i="8" s="1"/>
  <c r="T138" i="8"/>
  <c r="T54" i="8"/>
  <c r="T807" i="8"/>
  <c r="W807" i="8" s="1"/>
  <c r="T795" i="8"/>
  <c r="W795" i="8" s="1"/>
  <c r="T783" i="8"/>
  <c r="T771" i="8"/>
  <c r="W771" i="8" s="1"/>
  <c r="T759" i="8"/>
  <c r="W759" i="8" s="1"/>
  <c r="T747" i="8"/>
  <c r="W747" i="8" s="1"/>
  <c r="T735" i="8"/>
  <c r="T723" i="8"/>
  <c r="T711" i="8"/>
  <c r="T699" i="8"/>
  <c r="T687" i="8"/>
  <c r="T675" i="8"/>
  <c r="T663" i="8"/>
  <c r="W663" i="8" s="1"/>
  <c r="T651" i="8"/>
  <c r="W651" i="8" s="1"/>
  <c r="T639" i="8"/>
  <c r="T627" i="8"/>
  <c r="W627" i="8" s="1"/>
  <c r="T615" i="8"/>
  <c r="W615" i="8" s="1"/>
  <c r="T603" i="8"/>
  <c r="W603" i="8" s="1"/>
  <c r="T591" i="8"/>
  <c r="T579" i="8"/>
  <c r="T567" i="8"/>
  <c r="T555" i="8"/>
  <c r="T543" i="8"/>
  <c r="T531" i="8"/>
  <c r="T519" i="8"/>
  <c r="W519" i="8" s="1"/>
  <c r="T507" i="8"/>
  <c r="W507" i="8" s="1"/>
  <c r="T495" i="8"/>
  <c r="T483" i="8"/>
  <c r="W483" i="8" s="1"/>
  <c r="T447" i="8"/>
  <c r="T435" i="8"/>
  <c r="T411" i="8"/>
  <c r="T399" i="8"/>
  <c r="T375" i="8"/>
  <c r="W375" i="8" s="1"/>
  <c r="T363" i="8"/>
  <c r="W363" i="8" s="1"/>
  <c r="T339" i="8"/>
  <c r="W339" i="8" s="1"/>
  <c r="T327" i="8"/>
  <c r="W327" i="8" s="1"/>
  <c r="T303" i="8"/>
  <c r="W303" i="8" s="1"/>
  <c r="T291" i="8"/>
  <c r="T267" i="8"/>
  <c r="T255" i="8"/>
  <c r="T231" i="8"/>
  <c r="W231" i="8" s="1"/>
  <c r="T219" i="8"/>
  <c r="T195" i="8"/>
  <c r="T183" i="8"/>
  <c r="T159" i="8"/>
  <c r="T147" i="8"/>
  <c r="T123" i="8"/>
  <c r="T111" i="8"/>
  <c r="T99" i="8"/>
  <c r="T87" i="8"/>
  <c r="T75" i="8"/>
  <c r="T63" i="8"/>
  <c r="T51" i="8"/>
  <c r="T39" i="8"/>
  <c r="T27" i="8"/>
  <c r="T141" i="8"/>
  <c r="T45" i="8"/>
  <c r="T794" i="8"/>
  <c r="T674" i="8"/>
  <c r="T530" i="8"/>
  <c r="T337" i="8"/>
  <c r="T157" i="8"/>
  <c r="T764" i="8"/>
  <c r="T704" i="8"/>
  <c r="T632" i="8"/>
  <c r="W632" i="8" s="1"/>
  <c r="T560" i="8"/>
  <c r="T392" i="8"/>
  <c r="T308" i="8"/>
  <c r="T236" i="8"/>
  <c r="T104" i="8"/>
  <c r="T793" i="8"/>
  <c r="T673" i="8"/>
  <c r="W673" i="8" s="1"/>
  <c r="T553" i="8"/>
  <c r="W553" i="8" s="1"/>
  <c r="T763" i="8"/>
  <c r="W763" i="8" s="1"/>
  <c r="T691" i="8"/>
  <c r="T619" i="8"/>
  <c r="W619" i="8" s="1"/>
  <c r="T559" i="8"/>
  <c r="T475" i="8"/>
  <c r="T415" i="8"/>
  <c r="T355" i="8"/>
  <c r="T283" i="8"/>
  <c r="T223" i="8"/>
  <c r="W223" i="8" s="1"/>
  <c r="T163" i="8"/>
  <c r="T127" i="8"/>
  <c r="T768" i="8"/>
  <c r="W768" i="8" s="1"/>
  <c r="T672" i="8"/>
  <c r="T528" i="8"/>
  <c r="T750" i="8"/>
  <c r="W750" i="8" s="1"/>
  <c r="T678" i="8"/>
  <c r="T606" i="8"/>
  <c r="W606" i="8" s="1"/>
  <c r="T546" i="8"/>
  <c r="T450" i="8"/>
  <c r="T390" i="8"/>
  <c r="T270" i="8"/>
  <c r="W270" i="8" s="1"/>
  <c r="T210" i="8"/>
  <c r="T66" i="8"/>
  <c r="T494" i="8"/>
  <c r="T482" i="8"/>
  <c r="T446" i="8"/>
  <c r="T434" i="8"/>
  <c r="W434" i="8" s="1"/>
  <c r="T410" i="8"/>
  <c r="W410" i="8" s="1"/>
  <c r="T398" i="8"/>
  <c r="T374" i="8"/>
  <c r="T362" i="8"/>
  <c r="T338" i="8"/>
  <c r="T326" i="8"/>
  <c r="W326" i="8" s="1"/>
  <c r="T302" i="8"/>
  <c r="T290" i="8"/>
  <c r="W290" i="8" s="1"/>
  <c r="T266" i="8"/>
  <c r="W266" i="8" s="1"/>
  <c r="T254" i="8"/>
  <c r="W254" i="8" s="1"/>
  <c r="T230" i="8"/>
  <c r="T218" i="8"/>
  <c r="T194" i="8"/>
  <c r="T182" i="8"/>
  <c r="T158" i="8"/>
  <c r="T146" i="8"/>
  <c r="T122" i="8"/>
  <c r="T110" i="8"/>
  <c r="T98" i="8"/>
  <c r="W98" i="8" s="1"/>
  <c r="T86" i="8"/>
  <c r="W86" i="8" s="1"/>
  <c r="T74" i="8"/>
  <c r="W74" i="8" s="1"/>
  <c r="T62" i="8"/>
  <c r="T50" i="8"/>
  <c r="T38" i="8"/>
  <c r="T26" i="8"/>
  <c r="T14" i="8"/>
  <c r="T117" i="8"/>
  <c r="T57" i="8"/>
  <c r="T722" i="8"/>
  <c r="W722" i="8" s="1"/>
  <c r="T602" i="8"/>
  <c r="W602" i="8" s="1"/>
  <c r="T474" i="8"/>
  <c r="T373" i="8"/>
  <c r="W373" i="8" s="1"/>
  <c r="T776" i="8"/>
  <c r="T716" i="8"/>
  <c r="W716" i="8" s="1"/>
  <c r="T644" i="8"/>
  <c r="T584" i="8"/>
  <c r="T512" i="8"/>
  <c r="T428" i="8"/>
  <c r="T356" i="8"/>
  <c r="T272" i="8"/>
  <c r="T164" i="8"/>
  <c r="T80" i="8"/>
  <c r="T745" i="8"/>
  <c r="T601" i="8"/>
  <c r="T505" i="8"/>
  <c r="W505" i="8" s="1"/>
  <c r="T787" i="8"/>
  <c r="W787" i="8" s="1"/>
  <c r="T739" i="8"/>
  <c r="W739" i="8" s="1"/>
  <c r="T667" i="8"/>
  <c r="T607" i="8"/>
  <c r="W607" i="8" s="1"/>
  <c r="T547" i="8"/>
  <c r="T379" i="8"/>
  <c r="T295" i="8"/>
  <c r="T259" i="8"/>
  <c r="T199" i="8"/>
  <c r="T103" i="8"/>
  <c r="T19" i="8"/>
  <c r="T744" i="8"/>
  <c r="W744" i="8" s="1"/>
  <c r="T624" i="8"/>
  <c r="W624" i="8" s="1"/>
  <c r="T552" i="8"/>
  <c r="T762" i="8"/>
  <c r="W762" i="8" s="1"/>
  <c r="T702" i="8"/>
  <c r="W702" i="8" s="1"/>
  <c r="T642" i="8"/>
  <c r="T582" i="8"/>
  <c r="W582" i="8" s="1"/>
  <c r="T522" i="8"/>
  <c r="T426" i="8"/>
  <c r="W426" i="8" s="1"/>
  <c r="T354" i="8"/>
  <c r="T234" i="8"/>
  <c r="T126" i="8"/>
  <c r="W126" i="8" s="1"/>
  <c r="T493" i="8"/>
  <c r="T481" i="8"/>
  <c r="T445" i="8"/>
  <c r="T433" i="8"/>
  <c r="T397" i="8"/>
  <c r="W397" i="8" s="1"/>
  <c r="T361" i="8"/>
  <c r="T325" i="8"/>
  <c r="T289" i="8"/>
  <c r="T253" i="8"/>
  <c r="W253" i="8" s="1"/>
  <c r="T217" i="8"/>
  <c r="T181" i="8"/>
  <c r="T145" i="8"/>
  <c r="W145" i="8" s="1"/>
  <c r="T109" i="8"/>
  <c r="T97" i="8"/>
  <c r="T85" i="8"/>
  <c r="T49" i="8"/>
  <c r="T25" i="8"/>
  <c r="T492" i="8"/>
  <c r="T480" i="8"/>
  <c r="W480" i="8" s="1"/>
  <c r="T468" i="8"/>
  <c r="T456" i="8"/>
  <c r="T444" i="8"/>
  <c r="T432" i="8"/>
  <c r="T420" i="8"/>
  <c r="T408" i="8"/>
  <c r="T396" i="8"/>
  <c r="T384" i="8"/>
  <c r="T372" i="8"/>
  <c r="T360" i="8"/>
  <c r="T348" i="8"/>
  <c r="T336" i="8"/>
  <c r="T324" i="8"/>
  <c r="T312" i="8"/>
  <c r="T300" i="8"/>
  <c r="T288" i="8"/>
  <c r="T276" i="8"/>
  <c r="T264" i="8"/>
  <c r="T252" i="8"/>
  <c r="T240" i="8"/>
  <c r="T228" i="8"/>
  <c r="T216" i="8"/>
  <c r="T204" i="8"/>
  <c r="T192" i="8"/>
  <c r="T180" i="8"/>
  <c r="T168" i="8"/>
  <c r="T156" i="8"/>
  <c r="T144" i="8"/>
  <c r="T132" i="8"/>
  <c r="T120" i="8"/>
  <c r="T108" i="8"/>
  <c r="T84" i="8"/>
  <c r="T72" i="8"/>
  <c r="T60" i="8"/>
  <c r="T48" i="8"/>
  <c r="T36" i="8"/>
  <c r="T24" i="8"/>
  <c r="T15" i="8"/>
  <c r="T13" i="8"/>
  <c r="T12" i="8"/>
  <c r="W10" i="8"/>
  <c r="N13" i="4" l="1"/>
  <c r="N14" i="4"/>
  <c r="O16" i="4"/>
  <c r="AJ77" i="8"/>
  <c r="AK77" i="8" s="1"/>
  <c r="AJ221" i="8"/>
  <c r="AK221" i="8" s="1"/>
  <c r="AJ365" i="8"/>
  <c r="AK365" i="8" s="1"/>
  <c r="AJ509" i="8"/>
  <c r="AK509" i="8" s="1"/>
  <c r="AJ653" i="8"/>
  <c r="AK653" i="8" s="1"/>
  <c r="AJ797" i="8"/>
  <c r="AK797" i="8" s="1"/>
  <c r="AJ144" i="8"/>
  <c r="AK144" i="8" s="1"/>
  <c r="AJ89" i="8"/>
  <c r="AK89" i="8" s="1"/>
  <c r="AJ233" i="8"/>
  <c r="AK233" i="8" s="1"/>
  <c r="AJ377" i="8"/>
  <c r="AJ521" i="8"/>
  <c r="AK521" i="8" s="1"/>
  <c r="AJ665" i="8"/>
  <c r="AK665" i="8" s="1"/>
  <c r="AJ809" i="8"/>
  <c r="AK809" i="8" s="1"/>
  <c r="AJ683" i="8"/>
  <c r="AK683" i="8" s="1"/>
  <c r="AJ434" i="8"/>
  <c r="AJ91" i="8"/>
  <c r="AJ235" i="8"/>
  <c r="AK235" i="8" s="1"/>
  <c r="AJ379" i="8"/>
  <c r="AK379" i="8" s="1"/>
  <c r="AJ523" i="8"/>
  <c r="AK523" i="8" s="1"/>
  <c r="AJ667" i="8"/>
  <c r="AK667" i="8" s="1"/>
  <c r="AJ707" i="8"/>
  <c r="AK707" i="8" s="1"/>
  <c r="AJ119" i="8"/>
  <c r="AK119" i="8" s="1"/>
  <c r="AJ263" i="8"/>
  <c r="AK263" i="8" s="1"/>
  <c r="AJ407" i="8"/>
  <c r="AK407" i="8" s="1"/>
  <c r="AJ86" i="8"/>
  <c r="AJ230" i="8"/>
  <c r="AK230" i="8" s="1"/>
  <c r="AJ575" i="8"/>
  <c r="AK575" i="8" s="1"/>
  <c r="AJ21" i="8"/>
  <c r="AK21" i="8" s="1"/>
  <c r="AJ165" i="8"/>
  <c r="AK165" i="8" s="1"/>
  <c r="AJ309" i="8"/>
  <c r="AK309" i="8" s="1"/>
  <c r="AJ453" i="8"/>
  <c r="AK453" i="8" s="1"/>
  <c r="AJ597" i="8"/>
  <c r="AK597" i="8" s="1"/>
  <c r="AJ741" i="8"/>
  <c r="AK741" i="8" s="1"/>
  <c r="AJ98" i="8"/>
  <c r="AK98" i="8" s="1"/>
  <c r="AJ48" i="8"/>
  <c r="AK48" i="8" s="1"/>
  <c r="AJ192" i="8"/>
  <c r="AK192" i="8" s="1"/>
  <c r="AJ336" i="8"/>
  <c r="AK336" i="8" s="1"/>
  <c r="AJ480" i="8"/>
  <c r="AJ624" i="8"/>
  <c r="AJ768" i="8"/>
  <c r="AJ110" i="8"/>
  <c r="AK110" i="8" s="1"/>
  <c r="AJ254" i="8"/>
  <c r="AK254" i="8" s="1"/>
  <c r="AJ398" i="8"/>
  <c r="AK398" i="8" s="1"/>
  <c r="AJ614" i="8"/>
  <c r="AK614" i="8" s="1"/>
  <c r="AJ515" i="8"/>
  <c r="AK515" i="8" s="1"/>
  <c r="AJ815" i="8"/>
  <c r="AK815" i="8" s="1"/>
  <c r="AJ539" i="8"/>
  <c r="AK539" i="8" s="1"/>
  <c r="AJ455" i="8"/>
  <c r="AK455" i="8" s="1"/>
  <c r="AJ731" i="8"/>
  <c r="AK731" i="8" s="1"/>
  <c r="AJ14" i="8"/>
  <c r="AK14" i="8" s="1"/>
  <c r="AJ158" i="8"/>
  <c r="AK158" i="8" s="1"/>
  <c r="AJ59" i="8"/>
  <c r="AK59" i="8" s="1"/>
  <c r="AJ203" i="8"/>
  <c r="AK203" i="8" s="1"/>
  <c r="AJ347" i="8"/>
  <c r="AK347" i="8" s="1"/>
  <c r="AJ26" i="8"/>
  <c r="AK26" i="8" s="1"/>
  <c r="AJ170" i="8"/>
  <c r="AK170" i="8" s="1"/>
  <c r="AJ93" i="8"/>
  <c r="AK93" i="8" s="1"/>
  <c r="AJ237" i="8"/>
  <c r="AK237" i="8" s="1"/>
  <c r="AJ381" i="8"/>
  <c r="AK381" i="8" s="1"/>
  <c r="AJ525" i="8"/>
  <c r="AK525" i="8" s="1"/>
  <c r="AJ669" i="8"/>
  <c r="AK669" i="8" s="1"/>
  <c r="AJ813" i="8"/>
  <c r="AJ479" i="8"/>
  <c r="AK479" i="8" s="1"/>
  <c r="AJ755" i="8"/>
  <c r="AK755" i="8" s="1"/>
  <c r="W510" i="8"/>
  <c r="W62" i="8"/>
  <c r="X62" i="8" s="1"/>
  <c r="W157" i="8"/>
  <c r="W304" i="8"/>
  <c r="AN304" i="8" s="1"/>
  <c r="W77" i="8"/>
  <c r="X77" i="8" s="1"/>
  <c r="W40" i="8"/>
  <c r="W316" i="8"/>
  <c r="W258" i="8"/>
  <c r="W588" i="8"/>
  <c r="W813" i="8"/>
  <c r="W594" i="8"/>
  <c r="W401" i="8"/>
  <c r="W168" i="8"/>
  <c r="W259" i="8"/>
  <c r="W122" i="8"/>
  <c r="X122" i="8" s="1"/>
  <c r="W438" i="8"/>
  <c r="X438" i="8" s="1"/>
  <c r="W496" i="8"/>
  <c r="X496" i="8" s="1"/>
  <c r="W492" i="8"/>
  <c r="W520" i="8"/>
  <c r="W664" i="8"/>
  <c r="W808" i="8"/>
  <c r="X808" i="8" s="1"/>
  <c r="W306" i="8"/>
  <c r="W746" i="8"/>
  <c r="W425" i="8"/>
  <c r="W76" i="8"/>
  <c r="W247" i="8"/>
  <c r="X247" i="8" s="1"/>
  <c r="W137" i="8"/>
  <c r="W235" i="8"/>
  <c r="AN235" i="8" s="1"/>
  <c r="W346" i="8"/>
  <c r="X346" i="8" s="1"/>
  <c r="W636" i="8"/>
  <c r="W302" i="8"/>
  <c r="W312" i="8"/>
  <c r="W372" i="8"/>
  <c r="AN372" i="8" s="1"/>
  <c r="W433" i="8"/>
  <c r="W187" i="8"/>
  <c r="W620" i="8"/>
  <c r="W280" i="8"/>
  <c r="W46" i="8"/>
  <c r="X46" i="8" s="1"/>
  <c r="W18" i="8"/>
  <c r="W717" i="8"/>
  <c r="X717" i="8" s="1"/>
  <c r="W135" i="8"/>
  <c r="AN135" i="8" s="1"/>
  <c r="W589" i="8"/>
  <c r="W445" i="8"/>
  <c r="W644" i="8"/>
  <c r="W446" i="8"/>
  <c r="X446" i="8" s="1"/>
  <c r="W764" i="8"/>
  <c r="W495" i="8"/>
  <c r="W639" i="8"/>
  <c r="W783" i="8"/>
  <c r="W738" i="8"/>
  <c r="W775" i="8"/>
  <c r="X775" i="8" s="1"/>
  <c r="W65" i="8"/>
  <c r="W605" i="8"/>
  <c r="W749" i="8"/>
  <c r="W292" i="8"/>
  <c r="W257" i="8"/>
  <c r="W227" i="8"/>
  <c r="X227" i="8" s="1"/>
  <c r="W508" i="8"/>
  <c r="W269" i="8"/>
  <c r="W765" i="8"/>
  <c r="W590" i="8"/>
  <c r="W207" i="8"/>
  <c r="X207" i="8" s="1"/>
  <c r="AJ78" i="8"/>
  <c r="AK78" i="8" s="1"/>
  <c r="AJ150" i="8"/>
  <c r="AK150" i="8" s="1"/>
  <c r="AJ222" i="8"/>
  <c r="AK222" i="8" s="1"/>
  <c r="AJ176" i="8"/>
  <c r="AJ294" i="8"/>
  <c r="AK294" i="8" s="1"/>
  <c r="AJ582" i="8"/>
  <c r="AK582" i="8" s="1"/>
  <c r="AJ798" i="8"/>
  <c r="AK798" i="8" s="1"/>
  <c r="AJ32" i="8"/>
  <c r="AJ392" i="8"/>
  <c r="AK392" i="8" s="1"/>
  <c r="AJ680" i="8"/>
  <c r="AK680" i="8" s="1"/>
  <c r="AJ46" i="8"/>
  <c r="AK46" i="8" s="1"/>
  <c r="AJ622" i="8"/>
  <c r="AK622" i="8" s="1"/>
  <c r="AJ23" i="8"/>
  <c r="AK23" i="8" s="1"/>
  <c r="AJ383" i="8"/>
  <c r="AK383" i="8" s="1"/>
  <c r="AJ385" i="8"/>
  <c r="AK385" i="8" s="1"/>
  <c r="AJ745" i="8"/>
  <c r="AK745" i="8" s="1"/>
  <c r="AJ90" i="8"/>
  <c r="AK90" i="8" s="1"/>
  <c r="AJ306" i="8"/>
  <c r="AK306" i="8" s="1"/>
  <c r="AJ594" i="8"/>
  <c r="AK594" i="8" s="1"/>
  <c r="AJ249" i="8"/>
  <c r="AK249" i="8" s="1"/>
  <c r="AJ188" i="8"/>
  <c r="AK188" i="8" s="1"/>
  <c r="AJ404" i="8"/>
  <c r="AK404" i="8" s="1"/>
  <c r="AJ620" i="8"/>
  <c r="AK620" i="8" s="1"/>
  <c r="AJ482" i="8"/>
  <c r="AK482" i="8" s="1"/>
  <c r="AJ422" i="8"/>
  <c r="AK422" i="8" s="1"/>
  <c r="AJ130" i="8"/>
  <c r="AK130" i="8" s="1"/>
  <c r="AJ346" i="8"/>
  <c r="AK346" i="8" s="1"/>
  <c r="AJ490" i="8"/>
  <c r="AK490" i="8" s="1"/>
  <c r="AJ634" i="8"/>
  <c r="AK634" i="8" s="1"/>
  <c r="AJ706" i="8"/>
  <c r="AK706" i="8" s="1"/>
  <c r="AJ778" i="8"/>
  <c r="AK778" i="8" s="1"/>
  <c r="AJ35" i="8"/>
  <c r="AK35" i="8" s="1"/>
  <c r="AJ107" i="8"/>
  <c r="AK107" i="8" s="1"/>
  <c r="AJ179" i="8"/>
  <c r="AK179" i="8" s="1"/>
  <c r="AJ251" i="8"/>
  <c r="AK251" i="8" s="1"/>
  <c r="AJ323" i="8"/>
  <c r="AK323" i="8" s="1"/>
  <c r="AJ395" i="8"/>
  <c r="AK395" i="8" s="1"/>
  <c r="AJ37" i="8"/>
  <c r="AK37" i="8" s="1"/>
  <c r="AJ109" i="8"/>
  <c r="AK109" i="8" s="1"/>
  <c r="AJ181" i="8"/>
  <c r="AK181" i="8" s="1"/>
  <c r="AJ253" i="8"/>
  <c r="AK253" i="8" s="1"/>
  <c r="AJ325" i="8"/>
  <c r="AK325" i="8" s="1"/>
  <c r="AJ397" i="8"/>
  <c r="AK397" i="8" s="1"/>
  <c r="AJ469" i="8"/>
  <c r="AK469" i="8" s="1"/>
  <c r="AJ541" i="8"/>
  <c r="AK541" i="8" s="1"/>
  <c r="AJ613" i="8"/>
  <c r="AK613" i="8" s="1"/>
  <c r="AJ685" i="8"/>
  <c r="AK685" i="8" s="1"/>
  <c r="AJ757" i="8"/>
  <c r="AK757" i="8" s="1"/>
  <c r="AJ30" i="8"/>
  <c r="AK30" i="8" s="1"/>
  <c r="AJ102" i="8"/>
  <c r="AK102" i="8" s="1"/>
  <c r="AJ174" i="8"/>
  <c r="AK174" i="8" s="1"/>
  <c r="AJ246" i="8"/>
  <c r="AK246" i="8" s="1"/>
  <c r="AJ318" i="8"/>
  <c r="AK318" i="8" s="1"/>
  <c r="AJ390" i="8"/>
  <c r="AK390" i="8" s="1"/>
  <c r="AJ462" i="8"/>
  <c r="AK462" i="8" s="1"/>
  <c r="AJ534" i="8"/>
  <c r="AK534" i="8" s="1"/>
  <c r="AJ606" i="8"/>
  <c r="AJ678" i="8"/>
  <c r="AK678" i="8" s="1"/>
  <c r="AJ750" i="8"/>
  <c r="AJ31" i="8"/>
  <c r="AK31" i="8" s="1"/>
  <c r="AJ103" i="8"/>
  <c r="AK103" i="8" s="1"/>
  <c r="AJ175" i="8"/>
  <c r="AK175" i="8" s="1"/>
  <c r="AJ247" i="8"/>
  <c r="AK247" i="8" s="1"/>
  <c r="AJ319" i="8"/>
  <c r="AK319" i="8" s="1"/>
  <c r="AJ391" i="8"/>
  <c r="AK391" i="8" s="1"/>
  <c r="AJ463" i="8"/>
  <c r="AK463" i="8" s="1"/>
  <c r="AJ535" i="8"/>
  <c r="AK535" i="8" s="1"/>
  <c r="AJ607" i="8"/>
  <c r="AJ679" i="8"/>
  <c r="AK679" i="8" s="1"/>
  <c r="AJ751" i="8"/>
  <c r="AK751" i="8" s="1"/>
  <c r="AJ45" i="8"/>
  <c r="AK45" i="8" s="1"/>
  <c r="AJ117" i="8"/>
  <c r="AK117" i="8" s="1"/>
  <c r="AJ189" i="8"/>
  <c r="AK189" i="8" s="1"/>
  <c r="AJ261" i="8"/>
  <c r="AK261" i="8" s="1"/>
  <c r="AJ333" i="8"/>
  <c r="AK333" i="8" s="1"/>
  <c r="AJ405" i="8"/>
  <c r="AK405" i="8" s="1"/>
  <c r="AJ477" i="8"/>
  <c r="AK477" i="8" s="1"/>
  <c r="AJ549" i="8"/>
  <c r="AK549" i="8" s="1"/>
  <c r="AJ621" i="8"/>
  <c r="AK621" i="8" s="1"/>
  <c r="AJ693" i="8"/>
  <c r="AK693" i="8" s="1"/>
  <c r="AJ765" i="8"/>
  <c r="AJ587" i="8"/>
  <c r="AK587" i="8" s="1"/>
  <c r="AJ719" i="8"/>
  <c r="AK719" i="8" s="1"/>
  <c r="AJ503" i="8"/>
  <c r="AK503" i="8" s="1"/>
  <c r="AJ623" i="8"/>
  <c r="AK623" i="8" s="1"/>
  <c r="AJ779" i="8"/>
  <c r="AK779" i="8" s="1"/>
  <c r="AJ464" i="8"/>
  <c r="AK464" i="8" s="1"/>
  <c r="AJ752" i="8"/>
  <c r="AK752" i="8" s="1"/>
  <c r="AJ262" i="8"/>
  <c r="AK262" i="8" s="1"/>
  <c r="AJ766" i="8"/>
  <c r="AK766" i="8" s="1"/>
  <c r="AJ169" i="8"/>
  <c r="AK169" i="8" s="1"/>
  <c r="AJ817" i="8"/>
  <c r="AK817" i="8" s="1"/>
  <c r="AJ162" i="8"/>
  <c r="AK162" i="8" s="1"/>
  <c r="AJ450" i="8"/>
  <c r="AK450" i="8" s="1"/>
  <c r="AJ738" i="8"/>
  <c r="AK738" i="8" s="1"/>
  <c r="AJ33" i="8"/>
  <c r="AK33" i="8" s="1"/>
  <c r="AJ116" i="8"/>
  <c r="AK116" i="8" s="1"/>
  <c r="AJ332" i="8"/>
  <c r="AK332" i="8" s="1"/>
  <c r="AJ548" i="8"/>
  <c r="AK548" i="8" s="1"/>
  <c r="AJ764" i="8"/>
  <c r="AK764" i="8" s="1"/>
  <c r="AJ274" i="8"/>
  <c r="AK274" i="8" s="1"/>
  <c r="AJ39" i="8"/>
  <c r="AK39" i="8" s="1"/>
  <c r="AJ111" i="8"/>
  <c r="AK111" i="8" s="1"/>
  <c r="AJ183" i="8"/>
  <c r="AK183" i="8" s="1"/>
  <c r="AJ255" i="8"/>
  <c r="AK255" i="8" s="1"/>
  <c r="AJ327" i="8"/>
  <c r="AK327" i="8" s="1"/>
  <c r="AJ399" i="8"/>
  <c r="AK399" i="8" s="1"/>
  <c r="AJ471" i="8"/>
  <c r="AK471" i="8" s="1"/>
  <c r="AJ543" i="8"/>
  <c r="AK543" i="8" s="1"/>
  <c r="AJ615" i="8"/>
  <c r="AK615" i="8" s="1"/>
  <c r="AJ687" i="8"/>
  <c r="AK687" i="8" s="1"/>
  <c r="AJ759" i="8"/>
  <c r="AJ29" i="8"/>
  <c r="AK29" i="8" s="1"/>
  <c r="AJ101" i="8"/>
  <c r="AK101" i="8" s="1"/>
  <c r="AJ173" i="8"/>
  <c r="AK173" i="8" s="1"/>
  <c r="AJ245" i="8"/>
  <c r="AJ317" i="8"/>
  <c r="AK317" i="8" s="1"/>
  <c r="AJ389" i="8"/>
  <c r="AK389" i="8" s="1"/>
  <c r="AJ461" i="8"/>
  <c r="AK461" i="8" s="1"/>
  <c r="AJ533" i="8"/>
  <c r="AK533" i="8" s="1"/>
  <c r="AJ605" i="8"/>
  <c r="AK605" i="8" s="1"/>
  <c r="AJ677" i="8"/>
  <c r="AK677" i="8" s="1"/>
  <c r="AJ749" i="8"/>
  <c r="AK749" i="8" s="1"/>
  <c r="AJ56" i="8"/>
  <c r="AK56" i="8" s="1"/>
  <c r="AJ128" i="8"/>
  <c r="AK128" i="8" s="1"/>
  <c r="AJ200" i="8"/>
  <c r="AK200" i="8" s="1"/>
  <c r="AJ272" i="8"/>
  <c r="AK272" i="8" s="1"/>
  <c r="AJ344" i="8"/>
  <c r="AK344" i="8" s="1"/>
  <c r="AJ416" i="8"/>
  <c r="AK416" i="8" s="1"/>
  <c r="AJ488" i="8"/>
  <c r="AK488" i="8" s="1"/>
  <c r="AJ560" i="8"/>
  <c r="AK560" i="8" s="1"/>
  <c r="AJ632" i="8"/>
  <c r="AK632" i="8" s="1"/>
  <c r="AJ704" i="8"/>
  <c r="AK704" i="8" s="1"/>
  <c r="AJ776" i="8"/>
  <c r="AK776" i="8" s="1"/>
  <c r="AJ722" i="8"/>
  <c r="AK722" i="8" s="1"/>
  <c r="AJ518" i="8"/>
  <c r="AK518" i="8" s="1"/>
  <c r="AJ70" i="8"/>
  <c r="AK70" i="8" s="1"/>
  <c r="AJ142" i="8"/>
  <c r="AK142" i="8" s="1"/>
  <c r="AJ214" i="8"/>
  <c r="AK214" i="8" s="1"/>
  <c r="AJ286" i="8"/>
  <c r="AK286" i="8" s="1"/>
  <c r="AJ358" i="8"/>
  <c r="AK358" i="8" s="1"/>
  <c r="AJ430" i="8"/>
  <c r="AK430" i="8" s="1"/>
  <c r="AJ502" i="8"/>
  <c r="AK502" i="8" s="1"/>
  <c r="AJ574" i="8"/>
  <c r="AK574" i="8" s="1"/>
  <c r="AJ646" i="8"/>
  <c r="AK646" i="8" s="1"/>
  <c r="AJ718" i="8"/>
  <c r="AK718" i="8" s="1"/>
  <c r="AJ790" i="8"/>
  <c r="AK790" i="8" s="1"/>
  <c r="AJ674" i="8"/>
  <c r="AK674" i="8" s="1"/>
  <c r="AJ248" i="8"/>
  <c r="AK248" i="8" s="1"/>
  <c r="AJ536" i="8"/>
  <c r="AK536" i="8" s="1"/>
  <c r="AJ770" i="8"/>
  <c r="AK770" i="8" s="1"/>
  <c r="AJ334" i="8"/>
  <c r="AK334" i="8" s="1"/>
  <c r="AJ167" i="8"/>
  <c r="AK167" i="8" s="1"/>
  <c r="AJ25" i="8"/>
  <c r="AK25" i="8" s="1"/>
  <c r="AJ313" i="8"/>
  <c r="AK313" i="8" s="1"/>
  <c r="AJ601" i="8"/>
  <c r="AK601" i="8" s="1"/>
  <c r="AJ18" i="8"/>
  <c r="AK18" i="8" s="1"/>
  <c r="AJ378" i="8"/>
  <c r="AK378" i="8" s="1"/>
  <c r="AJ666" i="8"/>
  <c r="AK666" i="8" s="1"/>
  <c r="AJ44" i="8"/>
  <c r="AK44" i="8" s="1"/>
  <c r="AJ260" i="8"/>
  <c r="AK260" i="8" s="1"/>
  <c r="AJ476" i="8"/>
  <c r="AK476" i="8" s="1"/>
  <c r="AJ692" i="8"/>
  <c r="AJ58" i="8"/>
  <c r="AK58" i="8" s="1"/>
  <c r="AJ202" i="8"/>
  <c r="AK202" i="8" s="1"/>
  <c r="AJ418" i="8"/>
  <c r="AK418" i="8" s="1"/>
  <c r="AJ562" i="8"/>
  <c r="AK562" i="8" s="1"/>
  <c r="AJ24" i="8"/>
  <c r="AK24" i="8" s="1"/>
  <c r="AJ96" i="8"/>
  <c r="AK96" i="8" s="1"/>
  <c r="AJ168" i="8"/>
  <c r="AK168" i="8" s="1"/>
  <c r="AJ240" i="8"/>
  <c r="AK240" i="8" s="1"/>
  <c r="AJ312" i="8"/>
  <c r="AK312" i="8" s="1"/>
  <c r="AJ384" i="8"/>
  <c r="AK384" i="8" s="1"/>
  <c r="AJ456" i="8"/>
  <c r="AK456" i="8" s="1"/>
  <c r="AJ528" i="8"/>
  <c r="AK528" i="8" s="1"/>
  <c r="AJ600" i="8"/>
  <c r="AK600" i="8" s="1"/>
  <c r="AJ672" i="8"/>
  <c r="AK672" i="8" s="1"/>
  <c r="AJ744" i="8"/>
  <c r="AK744" i="8" s="1"/>
  <c r="AJ816" i="8"/>
  <c r="AK816" i="8" s="1"/>
  <c r="AJ64" i="8"/>
  <c r="AK64" i="8" s="1"/>
  <c r="AJ136" i="8"/>
  <c r="AK136" i="8" s="1"/>
  <c r="AJ208" i="8"/>
  <c r="AK208" i="8" s="1"/>
  <c r="AJ280" i="8"/>
  <c r="AK280" i="8" s="1"/>
  <c r="AJ352" i="8"/>
  <c r="AK352" i="8" s="1"/>
  <c r="AJ424" i="8"/>
  <c r="AK424" i="8" s="1"/>
  <c r="AJ496" i="8"/>
  <c r="AK496" i="8" s="1"/>
  <c r="AJ568" i="8"/>
  <c r="AK568" i="8" s="1"/>
  <c r="AJ640" i="8"/>
  <c r="AK640" i="8" s="1"/>
  <c r="AJ712" i="8"/>
  <c r="AK712" i="8" s="1"/>
  <c r="AJ784" i="8"/>
  <c r="AK784" i="8" s="1"/>
  <c r="AJ42" i="8"/>
  <c r="AK42" i="8" s="1"/>
  <c r="AJ114" i="8"/>
  <c r="AK114" i="8" s="1"/>
  <c r="AJ186" i="8"/>
  <c r="AK186" i="8" s="1"/>
  <c r="AJ258" i="8"/>
  <c r="AK258" i="8" s="1"/>
  <c r="AJ330" i="8"/>
  <c r="AK330" i="8" s="1"/>
  <c r="AJ402" i="8"/>
  <c r="AK402" i="8" s="1"/>
  <c r="AJ474" i="8"/>
  <c r="AK474" i="8" s="1"/>
  <c r="AJ546" i="8"/>
  <c r="AK546" i="8" s="1"/>
  <c r="AJ618" i="8"/>
  <c r="AJ690" i="8"/>
  <c r="AK690" i="8" s="1"/>
  <c r="AJ762" i="8"/>
  <c r="AK762" i="8" s="1"/>
  <c r="AJ43" i="8"/>
  <c r="AK43" i="8" s="1"/>
  <c r="AJ115" i="8"/>
  <c r="AK115" i="8" s="1"/>
  <c r="AJ187" i="8"/>
  <c r="AK187" i="8" s="1"/>
  <c r="AJ259" i="8"/>
  <c r="AK259" i="8" s="1"/>
  <c r="AJ331" i="8"/>
  <c r="AK331" i="8" s="1"/>
  <c r="AJ403" i="8"/>
  <c r="AK403" i="8" s="1"/>
  <c r="AJ475" i="8"/>
  <c r="AK475" i="8" s="1"/>
  <c r="AJ547" i="8"/>
  <c r="AK547" i="8" s="1"/>
  <c r="AJ619" i="8"/>
  <c r="AK619" i="8" s="1"/>
  <c r="AJ691" i="8"/>
  <c r="AK691" i="8" s="1"/>
  <c r="AJ763" i="8"/>
  <c r="AJ57" i="8"/>
  <c r="AK57" i="8" s="1"/>
  <c r="AJ129" i="8"/>
  <c r="AK129" i="8" s="1"/>
  <c r="AJ201" i="8"/>
  <c r="AK201" i="8" s="1"/>
  <c r="AJ273" i="8"/>
  <c r="AK273" i="8" s="1"/>
  <c r="AJ345" i="8"/>
  <c r="AK345" i="8" s="1"/>
  <c r="AJ417" i="8"/>
  <c r="AK417" i="8" s="1"/>
  <c r="AJ489" i="8"/>
  <c r="AK489" i="8" s="1"/>
  <c r="AJ561" i="8"/>
  <c r="AK561" i="8" s="1"/>
  <c r="AJ633" i="8"/>
  <c r="AK633" i="8" s="1"/>
  <c r="AJ705" i="8"/>
  <c r="AK705" i="8" s="1"/>
  <c r="AJ777" i="8"/>
  <c r="AK777" i="8" s="1"/>
  <c r="AJ611" i="8"/>
  <c r="AK611" i="8" s="1"/>
  <c r="AJ743" i="8"/>
  <c r="AK743" i="8" s="1"/>
  <c r="AJ527" i="8"/>
  <c r="AK527" i="8" s="1"/>
  <c r="AJ647" i="8"/>
  <c r="AK647" i="8" s="1"/>
  <c r="AJ803" i="8"/>
  <c r="AK803" i="8" s="1"/>
  <c r="AJ50" i="8"/>
  <c r="AK50" i="8" s="1"/>
  <c r="AJ122" i="8"/>
  <c r="AK122" i="8" s="1"/>
  <c r="AJ194" i="8"/>
  <c r="AK194" i="8" s="1"/>
  <c r="AJ266" i="8"/>
  <c r="AK266" i="8" s="1"/>
  <c r="AJ338" i="8"/>
  <c r="AK338" i="8" s="1"/>
  <c r="AJ410" i="8"/>
  <c r="AK410" i="8" s="1"/>
  <c r="AJ51" i="8"/>
  <c r="AK51" i="8" s="1"/>
  <c r="AJ123" i="8"/>
  <c r="AK123" i="8" s="1"/>
  <c r="AJ195" i="8"/>
  <c r="AK195" i="8" s="1"/>
  <c r="AJ267" i="8"/>
  <c r="AK267" i="8" s="1"/>
  <c r="AJ339" i="8"/>
  <c r="AK339" i="8" s="1"/>
  <c r="AJ411" i="8"/>
  <c r="AK411" i="8" s="1"/>
  <c r="AJ483" i="8"/>
  <c r="AK483" i="8" s="1"/>
  <c r="AJ555" i="8"/>
  <c r="AK555" i="8" s="1"/>
  <c r="AJ627" i="8"/>
  <c r="AK627" i="8" s="1"/>
  <c r="AJ699" i="8"/>
  <c r="AK699" i="8" s="1"/>
  <c r="AJ771" i="8"/>
  <c r="AK771" i="8" s="1"/>
  <c r="AJ41" i="8"/>
  <c r="AK41" i="8" s="1"/>
  <c r="AJ113" i="8"/>
  <c r="AK113" i="8" s="1"/>
  <c r="AJ185" i="8"/>
  <c r="AK185" i="8" s="1"/>
  <c r="AJ257" i="8"/>
  <c r="AK257" i="8" s="1"/>
  <c r="AJ329" i="8"/>
  <c r="AK329" i="8" s="1"/>
  <c r="AJ401" i="8"/>
  <c r="AK401" i="8" s="1"/>
  <c r="AJ473" i="8"/>
  <c r="AK473" i="8" s="1"/>
  <c r="AJ545" i="8"/>
  <c r="AK545" i="8" s="1"/>
  <c r="AJ617" i="8"/>
  <c r="AK617" i="8" s="1"/>
  <c r="AJ689" i="8"/>
  <c r="AK689" i="8" s="1"/>
  <c r="AJ761" i="8"/>
  <c r="AK761" i="8" s="1"/>
  <c r="AJ68" i="8"/>
  <c r="AK68" i="8" s="1"/>
  <c r="AJ140" i="8"/>
  <c r="AK140" i="8" s="1"/>
  <c r="AJ212" i="8"/>
  <c r="AK212" i="8" s="1"/>
  <c r="AJ284" i="8"/>
  <c r="AK284" i="8" s="1"/>
  <c r="AJ356" i="8"/>
  <c r="AK356" i="8" s="1"/>
  <c r="AJ428" i="8"/>
  <c r="AK428" i="8" s="1"/>
  <c r="AJ500" i="8"/>
  <c r="AK500" i="8" s="1"/>
  <c r="AJ572" i="8"/>
  <c r="AK572" i="8" s="1"/>
  <c r="AJ644" i="8"/>
  <c r="AK644" i="8" s="1"/>
  <c r="AJ716" i="8"/>
  <c r="AK716" i="8" s="1"/>
  <c r="AJ788" i="8"/>
  <c r="AK788" i="8" s="1"/>
  <c r="AJ566" i="8"/>
  <c r="AK566" i="8" s="1"/>
  <c r="AJ10" i="8"/>
  <c r="AK10" i="8" s="1"/>
  <c r="AJ82" i="8"/>
  <c r="AK82" i="8" s="1"/>
  <c r="AJ154" i="8"/>
  <c r="AJ226" i="8"/>
  <c r="AK226" i="8" s="1"/>
  <c r="AJ298" i="8"/>
  <c r="AK298" i="8" s="1"/>
  <c r="AJ370" i="8"/>
  <c r="AK370" i="8" s="1"/>
  <c r="AJ442" i="8"/>
  <c r="AK442" i="8" s="1"/>
  <c r="AJ514" i="8"/>
  <c r="AK514" i="8" s="1"/>
  <c r="AJ586" i="8"/>
  <c r="AK586" i="8" s="1"/>
  <c r="AJ658" i="8"/>
  <c r="AK658" i="8" s="1"/>
  <c r="AJ730" i="8"/>
  <c r="AK730" i="8" s="1"/>
  <c r="AJ802" i="8"/>
  <c r="AK802" i="8" s="1"/>
  <c r="AJ758" i="8"/>
  <c r="AK758" i="8" s="1"/>
  <c r="AJ366" i="8"/>
  <c r="AK366" i="8" s="1"/>
  <c r="AJ510" i="8"/>
  <c r="AK510" i="8" s="1"/>
  <c r="AJ654" i="8"/>
  <c r="AK654" i="8" s="1"/>
  <c r="AJ694" i="8"/>
  <c r="AK694" i="8" s="1"/>
  <c r="AJ36" i="8"/>
  <c r="AK36" i="8" s="1"/>
  <c r="AJ108" i="8"/>
  <c r="AK108" i="8" s="1"/>
  <c r="AJ180" i="8"/>
  <c r="AK180" i="8" s="1"/>
  <c r="AJ252" i="8"/>
  <c r="AK252" i="8" s="1"/>
  <c r="AJ324" i="8"/>
  <c r="AK324" i="8" s="1"/>
  <c r="AJ396" i="8"/>
  <c r="AK396" i="8" s="1"/>
  <c r="AJ468" i="8"/>
  <c r="AK468" i="8" s="1"/>
  <c r="AJ540" i="8"/>
  <c r="AK540" i="8" s="1"/>
  <c r="AJ612" i="8"/>
  <c r="AK612" i="8" s="1"/>
  <c r="AJ684" i="8"/>
  <c r="AK684" i="8" s="1"/>
  <c r="AJ756" i="8"/>
  <c r="AK756" i="8" s="1"/>
  <c r="AJ76" i="8"/>
  <c r="AJ148" i="8"/>
  <c r="AK148" i="8" s="1"/>
  <c r="AJ220" i="8"/>
  <c r="AK220" i="8" s="1"/>
  <c r="AJ292" i="8"/>
  <c r="AK292" i="8" s="1"/>
  <c r="AJ364" i="8"/>
  <c r="AK364" i="8" s="1"/>
  <c r="AJ436" i="8"/>
  <c r="AK436" i="8" s="1"/>
  <c r="AJ508" i="8"/>
  <c r="AK508" i="8" s="1"/>
  <c r="AJ580" i="8"/>
  <c r="AK580" i="8" s="1"/>
  <c r="AJ652" i="8"/>
  <c r="AK652" i="8" s="1"/>
  <c r="AJ724" i="8"/>
  <c r="AK724" i="8" s="1"/>
  <c r="AJ796" i="8"/>
  <c r="AJ54" i="8"/>
  <c r="AK54" i="8" s="1"/>
  <c r="AJ126" i="8"/>
  <c r="AK126" i="8" s="1"/>
  <c r="AJ198" i="8"/>
  <c r="AK198" i="8" s="1"/>
  <c r="AJ270" i="8"/>
  <c r="AK270" i="8" s="1"/>
  <c r="AJ342" i="8"/>
  <c r="AK342" i="8" s="1"/>
  <c r="AJ414" i="8"/>
  <c r="AK414" i="8" s="1"/>
  <c r="AJ486" i="8"/>
  <c r="AK486" i="8" s="1"/>
  <c r="AJ558" i="8"/>
  <c r="AK558" i="8" s="1"/>
  <c r="AJ630" i="8"/>
  <c r="AK630" i="8" s="1"/>
  <c r="AJ702" i="8"/>
  <c r="AK702" i="8" s="1"/>
  <c r="AJ774" i="8"/>
  <c r="AK774" i="8" s="1"/>
  <c r="AJ55" i="8"/>
  <c r="AK55" i="8" s="1"/>
  <c r="AJ127" i="8"/>
  <c r="AK127" i="8" s="1"/>
  <c r="AJ199" i="8"/>
  <c r="AK199" i="8" s="1"/>
  <c r="AJ271" i="8"/>
  <c r="AK271" i="8" s="1"/>
  <c r="AJ343" i="8"/>
  <c r="AK343" i="8" s="1"/>
  <c r="AJ415" i="8"/>
  <c r="AK415" i="8" s="1"/>
  <c r="AJ487" i="8"/>
  <c r="AK487" i="8" s="1"/>
  <c r="AJ559" i="8"/>
  <c r="AK559" i="8" s="1"/>
  <c r="AJ631" i="8"/>
  <c r="AK631" i="8" s="1"/>
  <c r="AJ703" i="8"/>
  <c r="AK703" i="8" s="1"/>
  <c r="AJ775" i="8"/>
  <c r="AK775" i="8" s="1"/>
  <c r="AJ69" i="8"/>
  <c r="AK69" i="8" s="1"/>
  <c r="AJ141" i="8"/>
  <c r="AK141" i="8" s="1"/>
  <c r="AJ213" i="8"/>
  <c r="AK213" i="8" s="1"/>
  <c r="AJ285" i="8"/>
  <c r="AK285" i="8" s="1"/>
  <c r="AJ357" i="8"/>
  <c r="AK357" i="8" s="1"/>
  <c r="AJ429" i="8"/>
  <c r="AK429" i="8" s="1"/>
  <c r="AJ501" i="8"/>
  <c r="AK501" i="8" s="1"/>
  <c r="AJ573" i="8"/>
  <c r="AK573" i="8" s="1"/>
  <c r="AJ645" i="8"/>
  <c r="AK645" i="8" s="1"/>
  <c r="AJ717" i="8"/>
  <c r="AK717" i="8" s="1"/>
  <c r="AJ789" i="8"/>
  <c r="AK789" i="8" s="1"/>
  <c r="AJ467" i="8"/>
  <c r="AK467" i="8" s="1"/>
  <c r="AJ635" i="8"/>
  <c r="AK635" i="8" s="1"/>
  <c r="AJ767" i="8"/>
  <c r="AK767" i="8" s="1"/>
  <c r="AJ551" i="8"/>
  <c r="AK551" i="8" s="1"/>
  <c r="AJ671" i="8"/>
  <c r="AK671" i="8" s="1"/>
  <c r="AJ118" i="8"/>
  <c r="AK118" i="8" s="1"/>
  <c r="AJ478" i="8"/>
  <c r="AK478" i="8" s="1"/>
  <c r="AJ554" i="8"/>
  <c r="AK554" i="8" s="1"/>
  <c r="AJ239" i="8"/>
  <c r="AK239" i="8" s="1"/>
  <c r="AJ241" i="8"/>
  <c r="AK241" i="8" s="1"/>
  <c r="AJ810" i="8"/>
  <c r="AK810" i="8" s="1"/>
  <c r="AJ105" i="8"/>
  <c r="AK105" i="8" s="1"/>
  <c r="AJ321" i="8"/>
  <c r="AK321" i="8" s="1"/>
  <c r="AJ465" i="8"/>
  <c r="AK465" i="8" s="1"/>
  <c r="AJ609" i="8"/>
  <c r="AK609" i="8" s="1"/>
  <c r="AJ753" i="8"/>
  <c r="AK753" i="8" s="1"/>
  <c r="AJ599" i="8"/>
  <c r="AK599" i="8" s="1"/>
  <c r="AJ62" i="8"/>
  <c r="AK62" i="8" s="1"/>
  <c r="AJ134" i="8"/>
  <c r="AK134" i="8" s="1"/>
  <c r="AJ206" i="8"/>
  <c r="AK206" i="8" s="1"/>
  <c r="AJ278" i="8"/>
  <c r="AK278" i="8" s="1"/>
  <c r="AJ350" i="8"/>
  <c r="AK350" i="8" s="1"/>
  <c r="AJ53" i="8"/>
  <c r="AK53" i="8" s="1"/>
  <c r="AJ125" i="8"/>
  <c r="AK125" i="8" s="1"/>
  <c r="AJ197" i="8"/>
  <c r="AK197" i="8" s="1"/>
  <c r="AJ269" i="8"/>
  <c r="AK269" i="8" s="1"/>
  <c r="AJ341" i="8"/>
  <c r="AK341" i="8" s="1"/>
  <c r="AJ413" i="8"/>
  <c r="AK413" i="8" s="1"/>
  <c r="AJ485" i="8"/>
  <c r="AK485" i="8" s="1"/>
  <c r="AJ557" i="8"/>
  <c r="AK557" i="8" s="1"/>
  <c r="AJ629" i="8"/>
  <c r="AK629" i="8" s="1"/>
  <c r="AJ701" i="8"/>
  <c r="AK701" i="8" s="1"/>
  <c r="AJ773" i="8"/>
  <c r="AK773" i="8" s="1"/>
  <c r="AJ8" i="8"/>
  <c r="AK8" i="8" s="1"/>
  <c r="AJ80" i="8"/>
  <c r="AK80" i="8" s="1"/>
  <c r="AJ152" i="8"/>
  <c r="AK152" i="8" s="1"/>
  <c r="AJ224" i="8"/>
  <c r="AK224" i="8" s="1"/>
  <c r="AJ296" i="8"/>
  <c r="AK296" i="8" s="1"/>
  <c r="AJ368" i="8"/>
  <c r="AK368" i="8" s="1"/>
  <c r="AJ440" i="8"/>
  <c r="AK440" i="8" s="1"/>
  <c r="AJ512" i="8"/>
  <c r="AK512" i="8" s="1"/>
  <c r="AJ584" i="8"/>
  <c r="AK584" i="8" s="1"/>
  <c r="AJ656" i="8"/>
  <c r="AK656" i="8" s="1"/>
  <c r="AJ728" i="8"/>
  <c r="AK728" i="8" s="1"/>
  <c r="AJ800" i="8"/>
  <c r="AK800" i="8" s="1"/>
  <c r="AJ626" i="8"/>
  <c r="AK626" i="8" s="1"/>
  <c r="AJ22" i="8"/>
  <c r="AK22" i="8" s="1"/>
  <c r="AJ94" i="8"/>
  <c r="AK94" i="8" s="1"/>
  <c r="AJ166" i="8"/>
  <c r="AK166" i="8" s="1"/>
  <c r="AJ238" i="8"/>
  <c r="AK238" i="8" s="1"/>
  <c r="AJ310" i="8"/>
  <c r="AK310" i="8" s="1"/>
  <c r="AJ382" i="8"/>
  <c r="AK382" i="8" s="1"/>
  <c r="AJ454" i="8"/>
  <c r="AK454" i="8" s="1"/>
  <c r="AJ526" i="8"/>
  <c r="AK526" i="8" s="1"/>
  <c r="AJ598" i="8"/>
  <c r="AK598" i="8" s="1"/>
  <c r="AJ670" i="8"/>
  <c r="AK670" i="8" s="1"/>
  <c r="AJ742" i="8"/>
  <c r="AK742" i="8" s="1"/>
  <c r="AJ814" i="8"/>
  <c r="AK814" i="8" s="1"/>
  <c r="AJ320" i="8"/>
  <c r="AK320" i="8" s="1"/>
  <c r="AJ608" i="8"/>
  <c r="AK608" i="8" s="1"/>
  <c r="AJ190" i="8"/>
  <c r="AJ406" i="8"/>
  <c r="AK406" i="8" s="1"/>
  <c r="AJ95" i="8"/>
  <c r="AK95" i="8" s="1"/>
  <c r="AJ311" i="8"/>
  <c r="AJ97" i="8"/>
  <c r="AK97" i="8" s="1"/>
  <c r="AJ457" i="8"/>
  <c r="AK457" i="8" s="1"/>
  <c r="AJ673" i="8"/>
  <c r="AK673" i="8" s="1"/>
  <c r="AJ234" i="8"/>
  <c r="AK234" i="8" s="1"/>
  <c r="AJ522" i="8"/>
  <c r="AK522" i="8" s="1"/>
  <c r="AJ494" i="8"/>
  <c r="AK494" i="8" s="1"/>
  <c r="AJ66" i="8"/>
  <c r="AK66" i="8" s="1"/>
  <c r="AJ138" i="8"/>
  <c r="AK138" i="8" s="1"/>
  <c r="AJ210" i="8"/>
  <c r="AK210" i="8" s="1"/>
  <c r="AJ282" i="8"/>
  <c r="AK282" i="8" s="1"/>
  <c r="AJ354" i="8"/>
  <c r="AK354" i="8" s="1"/>
  <c r="AJ426" i="8"/>
  <c r="AK426" i="8" s="1"/>
  <c r="AJ498" i="8"/>
  <c r="AK498" i="8" s="1"/>
  <c r="AJ570" i="8"/>
  <c r="AK570" i="8" s="1"/>
  <c r="AJ642" i="8"/>
  <c r="AK642" i="8" s="1"/>
  <c r="AJ714" i="8"/>
  <c r="AK714" i="8" s="1"/>
  <c r="AJ786" i="8"/>
  <c r="AK786" i="8" s="1"/>
  <c r="AJ67" i="8"/>
  <c r="AK67" i="8" s="1"/>
  <c r="AJ139" i="8"/>
  <c r="AK139" i="8" s="1"/>
  <c r="AJ211" i="8"/>
  <c r="AK211" i="8" s="1"/>
  <c r="AJ283" i="8"/>
  <c r="AK283" i="8" s="1"/>
  <c r="AJ355" i="8"/>
  <c r="AK355" i="8" s="1"/>
  <c r="AJ427" i="8"/>
  <c r="AK427" i="8" s="1"/>
  <c r="AJ499" i="8"/>
  <c r="AK499" i="8" s="1"/>
  <c r="AJ571" i="8"/>
  <c r="AK571" i="8" s="1"/>
  <c r="AJ643" i="8"/>
  <c r="AK643" i="8" s="1"/>
  <c r="AJ715" i="8"/>
  <c r="AK715" i="8" s="1"/>
  <c r="AJ787" i="8"/>
  <c r="AK787" i="8" s="1"/>
  <c r="AJ9" i="8"/>
  <c r="AK9" i="8" s="1"/>
  <c r="AJ81" i="8"/>
  <c r="AK81" i="8" s="1"/>
  <c r="AJ153" i="8"/>
  <c r="AK153" i="8" s="1"/>
  <c r="AJ225" i="8"/>
  <c r="AK225" i="8" s="1"/>
  <c r="AJ297" i="8"/>
  <c r="AK297" i="8" s="1"/>
  <c r="AJ369" i="8"/>
  <c r="AK369" i="8" s="1"/>
  <c r="AJ441" i="8"/>
  <c r="AK441" i="8" s="1"/>
  <c r="AJ513" i="8"/>
  <c r="AK513" i="8" s="1"/>
  <c r="AJ585" i="8"/>
  <c r="AK585" i="8" s="1"/>
  <c r="AJ657" i="8"/>
  <c r="AK657" i="8" s="1"/>
  <c r="AJ729" i="8"/>
  <c r="AK729" i="8" s="1"/>
  <c r="AJ801" i="8"/>
  <c r="AK801" i="8" s="1"/>
  <c r="AJ491" i="8"/>
  <c r="AK491" i="8" s="1"/>
  <c r="AJ659" i="8"/>
  <c r="AK659" i="8" s="1"/>
  <c r="AJ791" i="8"/>
  <c r="AK791" i="8" s="1"/>
  <c r="AJ563" i="8"/>
  <c r="AK563" i="8" s="1"/>
  <c r="AJ695" i="8"/>
  <c r="AK695" i="8" s="1"/>
  <c r="AJ438" i="8"/>
  <c r="AK438" i="8" s="1"/>
  <c r="AJ726" i="8"/>
  <c r="AK726" i="8" s="1"/>
  <c r="AJ104" i="8"/>
  <c r="AK104" i="8" s="1"/>
  <c r="AJ550" i="8"/>
  <c r="AK550" i="8" s="1"/>
  <c r="W6" i="8"/>
  <c r="AN6" i="8" s="1"/>
  <c r="AS6" i="8"/>
  <c r="AJ529" i="8"/>
  <c r="AK529" i="8" s="1"/>
  <c r="AJ177" i="8"/>
  <c r="AK177" i="8" s="1"/>
  <c r="AJ393" i="8"/>
  <c r="AK393" i="8" s="1"/>
  <c r="AJ537" i="8"/>
  <c r="AK537" i="8" s="1"/>
  <c r="AJ681" i="8"/>
  <c r="AK681" i="8" s="1"/>
  <c r="AJ638" i="8"/>
  <c r="AK638" i="8" s="1"/>
  <c r="AJ65" i="8"/>
  <c r="AK65" i="8" s="1"/>
  <c r="AJ137" i="8"/>
  <c r="AK137" i="8" s="1"/>
  <c r="AJ209" i="8"/>
  <c r="AK209" i="8" s="1"/>
  <c r="AJ281" i="8"/>
  <c r="AK281" i="8" s="1"/>
  <c r="AJ353" i="8"/>
  <c r="AK353" i="8" s="1"/>
  <c r="AJ425" i="8"/>
  <c r="AK425" i="8" s="1"/>
  <c r="AJ497" i="8"/>
  <c r="AK497" i="8" s="1"/>
  <c r="AJ569" i="8"/>
  <c r="AK569" i="8" s="1"/>
  <c r="AJ641" i="8"/>
  <c r="AK641" i="8" s="1"/>
  <c r="AJ713" i="8"/>
  <c r="AK713" i="8" s="1"/>
  <c r="AJ785" i="8"/>
  <c r="AK785" i="8" s="1"/>
  <c r="AJ650" i="8"/>
  <c r="AK650" i="8" s="1"/>
  <c r="AJ20" i="8"/>
  <c r="AK20" i="8" s="1"/>
  <c r="AJ92" i="8"/>
  <c r="AK92" i="8" s="1"/>
  <c r="AJ164" i="8"/>
  <c r="AK164" i="8" s="1"/>
  <c r="AJ236" i="8"/>
  <c r="AK236" i="8" s="1"/>
  <c r="AJ308" i="8"/>
  <c r="AK308" i="8" s="1"/>
  <c r="AJ380" i="8"/>
  <c r="AK380" i="8" s="1"/>
  <c r="AJ452" i="8"/>
  <c r="AK452" i="8" s="1"/>
  <c r="AJ524" i="8"/>
  <c r="AK524" i="8" s="1"/>
  <c r="AJ596" i="8"/>
  <c r="AK596" i="8" s="1"/>
  <c r="AJ668" i="8"/>
  <c r="AK668" i="8" s="1"/>
  <c r="AJ740" i="8"/>
  <c r="AK740" i="8" s="1"/>
  <c r="AJ812" i="8"/>
  <c r="AK812" i="8" s="1"/>
  <c r="AJ686" i="8"/>
  <c r="AK686" i="8" s="1"/>
  <c r="AJ34" i="8"/>
  <c r="AK34" i="8" s="1"/>
  <c r="AJ106" i="8"/>
  <c r="AK106" i="8" s="1"/>
  <c r="AJ178" i="8"/>
  <c r="AK178" i="8" s="1"/>
  <c r="AJ250" i="8"/>
  <c r="AK250" i="8" s="1"/>
  <c r="AJ322" i="8"/>
  <c r="AK322" i="8" s="1"/>
  <c r="AJ394" i="8"/>
  <c r="AK394" i="8" s="1"/>
  <c r="AJ466" i="8"/>
  <c r="AK466" i="8" s="1"/>
  <c r="AJ538" i="8"/>
  <c r="AK538" i="8" s="1"/>
  <c r="AJ610" i="8"/>
  <c r="AK610" i="8" s="1"/>
  <c r="AJ682" i="8"/>
  <c r="AK682" i="8" s="1"/>
  <c r="AJ754" i="8"/>
  <c r="AK754" i="8" s="1"/>
  <c r="AJ446" i="8"/>
  <c r="AK446" i="8" s="1"/>
  <c r="W220" i="8"/>
  <c r="X220" i="8" s="1"/>
  <c r="W91" i="8"/>
  <c r="W681" i="8"/>
  <c r="W238" i="8"/>
  <c r="W660" i="8"/>
  <c r="W804" i="8"/>
  <c r="AN804" i="8" s="1"/>
  <c r="W93" i="8"/>
  <c r="W743" i="8"/>
  <c r="X743" i="8" s="1"/>
  <c r="W421" i="8"/>
  <c r="AN421" i="8" s="1"/>
  <c r="W577" i="8"/>
  <c r="AN577" i="8" s="1"/>
  <c r="W733" i="8"/>
  <c r="X733" i="8" s="1"/>
  <c r="W53" i="8"/>
  <c r="W721" i="8"/>
  <c r="AN721" i="8" s="1"/>
  <c r="W358" i="8"/>
  <c r="W70" i="8"/>
  <c r="W323" i="8"/>
  <c r="W82" i="8"/>
  <c r="W237" i="8"/>
  <c r="X237" i="8" s="1"/>
  <c r="W450" i="8"/>
  <c r="X450" i="8" s="1"/>
  <c r="W416" i="8"/>
  <c r="X416" i="8" s="1"/>
  <c r="W105" i="8"/>
  <c r="X105" i="8" s="1"/>
  <c r="W458" i="8"/>
  <c r="X458" i="8" s="1"/>
  <c r="W758" i="8"/>
  <c r="X758" i="8" s="1"/>
  <c r="W459" i="8"/>
  <c r="X459" i="8" s="1"/>
  <c r="W215" i="8"/>
  <c r="X215" i="8" s="1"/>
  <c r="W134" i="8"/>
  <c r="X134" i="8" s="1"/>
  <c r="W657" i="8"/>
  <c r="W108" i="8"/>
  <c r="X108" i="8" s="1"/>
  <c r="W252" i="8"/>
  <c r="W97" i="8"/>
  <c r="W75" i="8"/>
  <c r="X75" i="8" s="1"/>
  <c r="W30" i="8"/>
  <c r="X30" i="8" s="1"/>
  <c r="W413" i="8"/>
  <c r="X413" i="8" s="1"/>
  <c r="W370" i="8"/>
  <c r="X370" i="8" s="1"/>
  <c r="W565" i="8"/>
  <c r="X565" i="8" s="1"/>
  <c r="W541" i="8"/>
  <c r="X541" i="8" s="1"/>
  <c r="W709" i="8"/>
  <c r="X709" i="8" s="1"/>
  <c r="W83" i="8"/>
  <c r="AN83" i="8" s="1"/>
  <c r="W120" i="8"/>
  <c r="X120" i="8" s="1"/>
  <c r="W264" i="8"/>
  <c r="X264" i="8" s="1"/>
  <c r="W109" i="8"/>
  <c r="W87" i="8"/>
  <c r="X87" i="8" s="1"/>
  <c r="W281" i="8"/>
  <c r="X281" i="8" s="1"/>
  <c r="W94" i="8"/>
  <c r="X94" i="8" s="1"/>
  <c r="W801" i="8"/>
  <c r="X801" i="8" s="1"/>
  <c r="W685" i="8"/>
  <c r="W241" i="8"/>
  <c r="W514" i="8"/>
  <c r="X514" i="8" s="1"/>
  <c r="O14" i="4"/>
  <c r="O13" i="4"/>
  <c r="W11" i="8"/>
  <c r="X11" i="8" s="1"/>
  <c r="W155" i="8"/>
  <c r="X155" i="8" s="1"/>
  <c r="W8" i="8"/>
  <c r="W351" i="8"/>
  <c r="AN351" i="8" s="1"/>
  <c r="W468" i="8"/>
  <c r="X468" i="8" s="1"/>
  <c r="W45" i="8"/>
  <c r="X45" i="8" s="1"/>
  <c r="W296" i="8"/>
  <c r="W355" i="8"/>
  <c r="X355" i="8" s="1"/>
  <c r="W133" i="8"/>
  <c r="X133" i="8" s="1"/>
  <c r="W422" i="8"/>
  <c r="X422" i="8" s="1"/>
  <c r="W734" i="8"/>
  <c r="X734" i="8" s="1"/>
  <c r="W643" i="8"/>
  <c r="W107" i="8"/>
  <c r="X107" i="8" s="1"/>
  <c r="W178" i="8"/>
  <c r="X178" i="8" s="1"/>
  <c r="W294" i="8"/>
  <c r="W28" i="8"/>
  <c r="AN28" i="8" s="1"/>
  <c r="W56" i="8"/>
  <c r="X56" i="8" s="1"/>
  <c r="W578" i="8"/>
  <c r="AN578" i="8" s="1"/>
  <c r="W343" i="8"/>
  <c r="X343" i="8" s="1"/>
  <c r="W188" i="8"/>
  <c r="X188" i="8" s="1"/>
  <c r="W395" i="8"/>
  <c r="X395" i="8" s="1"/>
  <c r="W278" i="8"/>
  <c r="X278" i="8" s="1"/>
  <c r="W103" i="8"/>
  <c r="X103" i="8" s="1"/>
  <c r="W13" i="8"/>
  <c r="X13" i="8" s="1"/>
  <c r="W166" i="8"/>
  <c r="X166" i="8" s="1"/>
  <c r="W164" i="8"/>
  <c r="X164" i="8" s="1"/>
  <c r="W176" i="8"/>
  <c r="W442" i="8"/>
  <c r="W22" i="8"/>
  <c r="X22" i="8" s="1"/>
  <c r="W815" i="8"/>
  <c r="X815" i="8" s="1"/>
  <c r="W289" i="8"/>
  <c r="X289" i="8" s="1"/>
  <c r="W307" i="8"/>
  <c r="X307" i="8" s="1"/>
  <c r="W21" i="8"/>
  <c r="X21" i="8" s="1"/>
  <c r="W418" i="8"/>
  <c r="X418" i="8" s="1"/>
  <c r="W710" i="8"/>
  <c r="X710" i="8" s="1"/>
  <c r="W131" i="8"/>
  <c r="X131" i="8" s="1"/>
  <c r="W803" i="8"/>
  <c r="X803" i="8" s="1"/>
  <c r="W308" i="8"/>
  <c r="X308" i="8" s="1"/>
  <c r="W32" i="8"/>
  <c r="W301" i="8"/>
  <c r="AN301" i="8" s="1"/>
  <c r="W332" i="8"/>
  <c r="X332" i="8" s="1"/>
  <c r="W573" i="8"/>
  <c r="X573" i="8" s="1"/>
  <c r="W142" i="8"/>
  <c r="X142" i="8" s="1"/>
  <c r="W585" i="8"/>
  <c r="W319" i="8"/>
  <c r="X319" i="8" s="1"/>
  <c r="W55" i="8"/>
  <c r="X55" i="8" s="1"/>
  <c r="W476" i="8"/>
  <c r="W42" i="8"/>
  <c r="X42" i="8" s="1"/>
  <c r="W368" i="8"/>
  <c r="X368" i="8" s="1"/>
  <c r="W475" i="8"/>
  <c r="X475" i="8" s="1"/>
  <c r="W219" i="8"/>
  <c r="W200" i="8"/>
  <c r="X200" i="8" s="1"/>
  <c r="W695" i="8"/>
  <c r="X695" i="8" s="1"/>
  <c r="W463" i="8"/>
  <c r="X463" i="8" s="1"/>
  <c r="W320" i="8"/>
  <c r="X320" i="8" s="1"/>
  <c r="W9" i="8"/>
  <c r="X9" i="8" s="1"/>
  <c r="W631" i="8"/>
  <c r="X631" i="8" s="1"/>
  <c r="W286" i="8"/>
  <c r="X286" i="8" s="1"/>
  <c r="W609" i="8"/>
  <c r="X609" i="8" s="1"/>
  <c r="U10" i="3"/>
  <c r="V10" i="3" s="1"/>
  <c r="U7" i="3"/>
  <c r="V7" i="3" s="1"/>
  <c r="U8" i="3"/>
  <c r="V8" i="3" s="1"/>
  <c r="U9" i="3"/>
  <c r="V9" i="3" s="1"/>
  <c r="W340" i="8"/>
  <c r="X340" i="8" s="1"/>
  <c r="W12" i="8"/>
  <c r="AN12" i="8" s="1"/>
  <c r="W123" i="8"/>
  <c r="W24" i="8"/>
  <c r="X24" i="8" s="1"/>
  <c r="W146" i="8"/>
  <c r="X146" i="8" s="1"/>
  <c r="W88" i="8"/>
  <c r="X88" i="8" s="1"/>
  <c r="W691" i="8"/>
  <c r="W268" i="8"/>
  <c r="X268" i="8" s="1"/>
  <c r="W493" i="8"/>
  <c r="X493" i="8" s="1"/>
  <c r="W500" i="8"/>
  <c r="X500" i="8" s="1"/>
  <c r="W337" i="8"/>
  <c r="X337" i="8" s="1"/>
  <c r="W580" i="8"/>
  <c r="X580" i="8" s="1"/>
  <c r="W669" i="8"/>
  <c r="W206" i="8"/>
  <c r="X206" i="8" s="1"/>
  <c r="W293" i="8"/>
  <c r="X293" i="8" s="1"/>
  <c r="W658" i="8"/>
  <c r="W396" i="8"/>
  <c r="X396" i="8" s="1"/>
  <c r="W700" i="8"/>
  <c r="AN700" i="8" s="1"/>
  <c r="W455" i="8"/>
  <c r="X455" i="8" s="1"/>
  <c r="W457" i="8"/>
  <c r="X457" i="8" s="1"/>
  <c r="W408" i="8"/>
  <c r="X408" i="8" s="1"/>
  <c r="W810" i="8"/>
  <c r="X810" i="8" s="1"/>
  <c r="W568" i="8"/>
  <c r="X568" i="8" s="1"/>
  <c r="W19" i="8"/>
  <c r="X19" i="8" s="1"/>
  <c r="W116" i="8"/>
  <c r="X116" i="8" s="1"/>
  <c r="W666" i="8"/>
  <c r="X666" i="8" s="1"/>
  <c r="W444" i="8"/>
  <c r="AN444" i="8" s="1"/>
  <c r="W199" i="8"/>
  <c r="X199" i="8" s="1"/>
  <c r="W793" i="8"/>
  <c r="AN793" i="8" s="1"/>
  <c r="W674" i="8"/>
  <c r="X674" i="8" s="1"/>
  <c r="W604" i="8"/>
  <c r="X604" i="8" s="1"/>
  <c r="W748" i="8"/>
  <c r="X748" i="8" s="1"/>
  <c r="W698" i="8"/>
  <c r="X698" i="8" s="1"/>
  <c r="W330" i="8"/>
  <c r="X330" i="8" s="1"/>
  <c r="W481" i="8"/>
  <c r="X481" i="8" s="1"/>
  <c r="W81" i="8"/>
  <c r="W494" i="8"/>
  <c r="X494" i="8" s="1"/>
  <c r="W712" i="8"/>
  <c r="X712" i="8" s="1"/>
  <c r="W349" i="8"/>
  <c r="AN349" i="8" s="1"/>
  <c r="W474" i="8"/>
  <c r="W530" i="8"/>
  <c r="X530" i="8" s="1"/>
  <c r="W456" i="8"/>
  <c r="W147" i="8"/>
  <c r="X147" i="8" s="1"/>
  <c r="W616" i="8"/>
  <c r="X616" i="8" s="1"/>
  <c r="W760" i="8"/>
  <c r="X760" i="8" s="1"/>
  <c r="W817" i="8"/>
  <c r="X817" i="8" s="1"/>
  <c r="W537" i="8"/>
  <c r="X537" i="8" s="1"/>
  <c r="W315" i="8"/>
  <c r="X315" i="8" s="1"/>
  <c r="W532" i="8"/>
  <c r="X532" i="8" s="1"/>
  <c r="W528" i="8"/>
  <c r="X528" i="8" s="1"/>
  <c r="W706" i="8"/>
  <c r="X706" i="8" s="1"/>
  <c r="W7" i="8"/>
  <c r="AN7" i="8" s="1"/>
  <c r="W527" i="8"/>
  <c r="W171" i="8"/>
  <c r="X171" i="8" s="1"/>
  <c r="W420" i="8"/>
  <c r="AN420" i="8" s="1"/>
  <c r="W608" i="8"/>
  <c r="X608" i="8" s="1"/>
  <c r="W31" i="8"/>
  <c r="W625" i="8"/>
  <c r="AN625" i="8" s="1"/>
  <c r="W592" i="8"/>
  <c r="AN592" i="8" s="1"/>
  <c r="W242" i="8"/>
  <c r="AN242" i="8" s="1"/>
  <c r="W180" i="8"/>
  <c r="X180" i="8" s="1"/>
  <c r="W324" i="8"/>
  <c r="X324" i="8" s="1"/>
  <c r="W284" i="8"/>
  <c r="X284" i="8" s="1"/>
  <c r="W388" i="8"/>
  <c r="X388" i="8" s="1"/>
  <c r="W742" i="8"/>
  <c r="X742" i="8" s="1"/>
  <c r="W244" i="8"/>
  <c r="X244" i="8" s="1"/>
  <c r="W437" i="8"/>
  <c r="X437" i="8" s="1"/>
  <c r="W482" i="8"/>
  <c r="X482" i="8" s="1"/>
  <c r="W464" i="8"/>
  <c r="X464" i="8" s="1"/>
  <c r="W635" i="8"/>
  <c r="X635" i="8" s="1"/>
  <c r="W153" i="8"/>
  <c r="X153" i="8" s="1"/>
  <c r="W322" i="8"/>
  <c r="X322" i="8" s="1"/>
  <c r="W696" i="8"/>
  <c r="X696" i="8" s="1"/>
  <c r="W724" i="8"/>
  <c r="X724" i="8" s="1"/>
  <c r="W599" i="8"/>
  <c r="X599" i="8" s="1"/>
  <c r="W234" i="8"/>
  <c r="X234" i="8" s="1"/>
  <c r="W246" i="8"/>
  <c r="X246" i="8" s="1"/>
  <c r="W333" i="8"/>
  <c r="X333" i="8" s="1"/>
  <c r="W149" i="8"/>
  <c r="AN149" i="8" s="1"/>
  <c r="W267" i="8"/>
  <c r="X267" i="8" s="1"/>
  <c r="W556" i="8"/>
  <c r="X556" i="8" s="1"/>
  <c r="W129" i="8"/>
  <c r="X129" i="8" s="1"/>
  <c r="W790" i="8"/>
  <c r="X790" i="8" s="1"/>
  <c r="W406" i="8"/>
  <c r="X406" i="8" s="1"/>
  <c r="W432" i="8"/>
  <c r="AN432" i="8" s="1"/>
  <c r="W736" i="8"/>
  <c r="X736" i="8" s="1"/>
  <c r="W477" i="8"/>
  <c r="X477" i="8" s="1"/>
  <c r="W562" i="8"/>
  <c r="X562" i="8" s="1"/>
  <c r="W36" i="8"/>
  <c r="W158" i="8"/>
  <c r="X158" i="8" s="1"/>
  <c r="W100" i="8"/>
  <c r="X100" i="8" s="1"/>
  <c r="W14" i="8"/>
  <c r="X14" i="8" s="1"/>
  <c r="W554" i="8"/>
  <c r="X554" i="8" s="1"/>
  <c r="W449" i="8"/>
  <c r="X449" i="8" s="1"/>
  <c r="W755" i="8"/>
  <c r="W776" i="8"/>
  <c r="W543" i="8"/>
  <c r="X543" i="8" s="1"/>
  <c r="W473" i="8"/>
  <c r="X473" i="8" s="1"/>
  <c r="W788" i="8"/>
  <c r="W317" i="8"/>
  <c r="W467" i="8"/>
  <c r="W37" i="8"/>
  <c r="X37" i="8" s="1"/>
  <c r="W638" i="8"/>
  <c r="X638" i="8" s="1"/>
  <c r="W66" i="8"/>
  <c r="W461" i="8"/>
  <c r="X461" i="8" s="1"/>
  <c r="W250" i="8"/>
  <c r="X250" i="8" s="1"/>
  <c r="W671" i="8"/>
  <c r="X671" i="8" s="1"/>
  <c r="W525" i="8"/>
  <c r="W54" i="8"/>
  <c r="W104" i="8"/>
  <c r="X104" i="8" s="1"/>
  <c r="W794" i="8"/>
  <c r="AN794" i="8" s="1"/>
  <c r="W699" i="8"/>
  <c r="X699" i="8" s="1"/>
  <c r="W649" i="8"/>
  <c r="X649" i="8" s="1"/>
  <c r="W448" i="8"/>
  <c r="X448" i="8" s="1"/>
  <c r="W378" i="8"/>
  <c r="X378" i="8" s="1"/>
  <c r="W509" i="8"/>
  <c r="W797" i="8"/>
  <c r="X797" i="8" s="1"/>
  <c r="W403" i="8"/>
  <c r="X403" i="8" s="1"/>
  <c r="W329" i="8"/>
  <c r="X329" i="8" s="1"/>
  <c r="W366" i="8"/>
  <c r="X366" i="8" s="1"/>
  <c r="W295" i="8"/>
  <c r="X295" i="8" s="1"/>
  <c r="W369" i="8"/>
  <c r="X369" i="8" s="1"/>
  <c r="W272" i="8"/>
  <c r="X272" i="8" s="1"/>
  <c r="W362" i="8"/>
  <c r="AN362" i="8" s="1"/>
  <c r="W159" i="8"/>
  <c r="AN159" i="8" s="1"/>
  <c r="W534" i="8"/>
  <c r="W672" i="8"/>
  <c r="X672" i="8" s="1"/>
  <c r="W601" i="8"/>
  <c r="X601" i="8" s="1"/>
  <c r="W271" i="8"/>
  <c r="X271" i="8" s="1"/>
  <c r="W610" i="8"/>
  <c r="X610" i="8" s="1"/>
  <c r="W181" i="8"/>
  <c r="X181" i="8" s="1"/>
  <c r="W745" i="8"/>
  <c r="X745" i="8" s="1"/>
  <c r="W127" i="8"/>
  <c r="X127" i="8" s="1"/>
  <c r="W531" i="8"/>
  <c r="AN531" i="8" s="1"/>
  <c r="W675" i="8"/>
  <c r="X675" i="8" s="1"/>
  <c r="W112" i="8"/>
  <c r="X112" i="8" s="1"/>
  <c r="W189" i="8"/>
  <c r="X189" i="8" s="1"/>
  <c r="W210" i="8"/>
  <c r="X210" i="8" s="1"/>
  <c r="W412" i="8"/>
  <c r="X412" i="8" s="1"/>
  <c r="W522" i="8"/>
  <c r="X522" i="8" s="1"/>
  <c r="W390" i="8"/>
  <c r="X390" i="8" s="1"/>
  <c r="W236" i="8"/>
  <c r="W711" i="8"/>
  <c r="AN711" i="8" s="1"/>
  <c r="W151" i="8"/>
  <c r="X151" i="8" s="1"/>
  <c r="W769" i="8"/>
  <c r="X769" i="8" s="1"/>
  <c r="W460" i="8"/>
  <c r="X460" i="8" s="1"/>
  <c r="W521" i="8"/>
  <c r="X521" i="8" s="1"/>
  <c r="W665" i="8"/>
  <c r="X665" i="8" s="1"/>
  <c r="W809" i="8"/>
  <c r="X809" i="8" s="1"/>
  <c r="W427" i="8"/>
  <c r="X427" i="8" s="1"/>
  <c r="W229" i="8"/>
  <c r="X229" i="8" s="1"/>
  <c r="W172" i="8"/>
  <c r="AN172" i="8" s="1"/>
  <c r="W647" i="8"/>
  <c r="X647" i="8" s="1"/>
  <c r="W598" i="8"/>
  <c r="X598" i="8" s="1"/>
  <c r="W485" i="8"/>
  <c r="W260" i="8"/>
  <c r="X260" i="8" s="1"/>
  <c r="W551" i="8"/>
  <c r="X551" i="8" s="1"/>
  <c r="W225" i="8"/>
  <c r="X225" i="8" s="1"/>
  <c r="W491" i="8"/>
  <c r="W354" i="8"/>
  <c r="X354" i="8" s="1"/>
  <c r="W163" i="8"/>
  <c r="X163" i="8" s="1"/>
  <c r="W687" i="8"/>
  <c r="W497" i="8"/>
  <c r="X497" i="8" s="1"/>
  <c r="W641" i="8"/>
  <c r="W785" i="8"/>
  <c r="X785" i="8" s="1"/>
  <c r="W816" i="8"/>
  <c r="W136" i="8"/>
  <c r="W310" i="8"/>
  <c r="X310" i="8" s="1"/>
  <c r="W430" i="8"/>
  <c r="X430" i="8" s="1"/>
  <c r="W279" i="8"/>
  <c r="X279" i="8" s="1"/>
  <c r="W15" i="8"/>
  <c r="X15" i="8" s="1"/>
  <c r="W338" i="8"/>
  <c r="W555" i="8"/>
  <c r="W212" i="8"/>
  <c r="X212" i="8" s="1"/>
  <c r="W653" i="8"/>
  <c r="X653" i="8" s="1"/>
  <c r="W774" i="8"/>
  <c r="X774" i="8" s="1"/>
  <c r="W148" i="8"/>
  <c r="W382" i="8"/>
  <c r="X382" i="8" s="1"/>
  <c r="W479" i="8"/>
  <c r="W57" i="8"/>
  <c r="X57" i="8" s="1"/>
  <c r="W283" i="8"/>
  <c r="X283" i="8" s="1"/>
  <c r="W567" i="8"/>
  <c r="AN567" i="8" s="1"/>
  <c r="W161" i="8"/>
  <c r="X161" i="8" s="1"/>
  <c r="W798" i="8"/>
  <c r="X798" i="8" s="1"/>
  <c r="W353" i="8"/>
  <c r="X353" i="8" s="1"/>
  <c r="W402" i="8"/>
  <c r="W226" i="8"/>
  <c r="X226" i="8" s="1"/>
  <c r="W334" i="8"/>
  <c r="W350" i="8"/>
  <c r="X350" i="8" s="1"/>
  <c r="W192" i="8"/>
  <c r="X192" i="8" s="1"/>
  <c r="W336" i="8"/>
  <c r="X336" i="8" s="1"/>
  <c r="W325" i="8"/>
  <c r="X325" i="8" s="1"/>
  <c r="W379" i="8"/>
  <c r="X379" i="8" s="1"/>
  <c r="W356" i="8"/>
  <c r="X356" i="8" s="1"/>
  <c r="W117" i="8"/>
  <c r="X117" i="8" s="1"/>
  <c r="W374" i="8"/>
  <c r="X374" i="8" s="1"/>
  <c r="W141" i="8"/>
  <c r="X141" i="8" s="1"/>
  <c r="W183" i="8"/>
  <c r="W399" i="8"/>
  <c r="W579" i="8"/>
  <c r="X579" i="8" s="1"/>
  <c r="W723" i="8"/>
  <c r="AN723" i="8" s="1"/>
  <c r="W197" i="8"/>
  <c r="X197" i="8" s="1"/>
  <c r="W533" i="8"/>
  <c r="W677" i="8"/>
  <c r="W576" i="8"/>
  <c r="AN576" i="8" s="1"/>
  <c r="W535" i="8"/>
  <c r="W184" i="8"/>
  <c r="AN184" i="8" s="1"/>
  <c r="W400" i="8"/>
  <c r="X400" i="8" s="1"/>
  <c r="W365" i="8"/>
  <c r="X365" i="8" s="1"/>
  <c r="W731" i="8"/>
  <c r="X731" i="8" s="1"/>
  <c r="W670" i="8"/>
  <c r="W64" i="8"/>
  <c r="X64" i="8" s="1"/>
  <c r="W431" i="8"/>
  <c r="X431" i="8" s="1"/>
  <c r="W659" i="8"/>
  <c r="W381" i="8"/>
  <c r="X381" i="8" s="1"/>
  <c r="W386" i="8"/>
  <c r="AN386" i="8" s="1"/>
  <c r="W387" i="8"/>
  <c r="AN387" i="8" s="1"/>
  <c r="W564" i="8"/>
  <c r="X564" i="8" s="1"/>
  <c r="W805" i="8"/>
  <c r="X805" i="8" s="1"/>
  <c r="W383" i="8"/>
  <c r="X383" i="8" s="1"/>
  <c r="W60" i="8"/>
  <c r="AN60" i="8" s="1"/>
  <c r="W25" i="8"/>
  <c r="X25" i="8" s="1"/>
  <c r="W26" i="8"/>
  <c r="W194" i="8"/>
  <c r="X194" i="8" s="1"/>
  <c r="W39" i="8"/>
  <c r="W435" i="8"/>
  <c r="X435" i="8" s="1"/>
  <c r="W571" i="8"/>
  <c r="X571" i="8" s="1"/>
  <c r="W17" i="8"/>
  <c r="AN17" i="8" s="1"/>
  <c r="W557" i="8"/>
  <c r="X557" i="8" s="1"/>
  <c r="W701" i="8"/>
  <c r="W626" i="8"/>
  <c r="W436" i="8"/>
  <c r="W185" i="8"/>
  <c r="W394" i="8"/>
  <c r="X394" i="8" s="1"/>
  <c r="W587" i="8"/>
  <c r="X587" i="8" s="1"/>
  <c r="W574" i="8"/>
  <c r="X574" i="8" s="1"/>
  <c r="W313" i="8"/>
  <c r="X313" i="8" s="1"/>
  <c r="W261" i="8"/>
  <c r="X261" i="8" s="1"/>
  <c r="W405" i="8"/>
  <c r="X405" i="8" s="1"/>
  <c r="W597" i="8"/>
  <c r="X597" i="8" s="1"/>
  <c r="W623" i="8"/>
  <c r="W469" i="8"/>
  <c r="W540" i="8"/>
  <c r="W732" i="8"/>
  <c r="AN732" i="8" s="1"/>
  <c r="W398" i="8"/>
  <c r="X398" i="8" s="1"/>
  <c r="W415" i="8"/>
  <c r="X415" i="8" s="1"/>
  <c r="W27" i="8"/>
  <c r="X27" i="8" s="1"/>
  <c r="W591" i="8"/>
  <c r="X591" i="8" s="1"/>
  <c r="W654" i="8"/>
  <c r="X654" i="8" s="1"/>
  <c r="W536" i="8"/>
  <c r="X536" i="8" s="1"/>
  <c r="W689" i="8"/>
  <c r="X689" i="8" s="1"/>
  <c r="W583" i="8"/>
  <c r="AN583" i="8" s="1"/>
  <c r="W208" i="8"/>
  <c r="X208" i="8" s="1"/>
  <c r="W424" i="8"/>
  <c r="X424" i="8" s="1"/>
  <c r="W173" i="8"/>
  <c r="W486" i="8"/>
  <c r="X486" i="8" s="1"/>
  <c r="W59" i="8"/>
  <c r="W503" i="8"/>
  <c r="X503" i="8" s="1"/>
  <c r="W478" i="8"/>
  <c r="W719" i="8"/>
  <c r="X719" i="8" s="1"/>
  <c r="W249" i="8"/>
  <c r="W393" i="8"/>
  <c r="W611" i="8"/>
  <c r="W423" i="8"/>
  <c r="X423" i="8" s="1"/>
  <c r="W275" i="8"/>
  <c r="X275" i="8" s="1"/>
  <c r="W684" i="8"/>
  <c r="W96" i="8"/>
  <c r="W686" i="8"/>
  <c r="X686" i="8" s="1"/>
  <c r="W802" i="8"/>
  <c r="W767" i="8"/>
  <c r="W661" i="8"/>
  <c r="AN661" i="8" s="1"/>
  <c r="W781" i="8"/>
  <c r="X781" i="8" s="1"/>
  <c r="W48" i="8"/>
  <c r="X48" i="8" s="1"/>
  <c r="W204" i="8"/>
  <c r="X204" i="8" s="1"/>
  <c r="W348" i="8"/>
  <c r="X348" i="8" s="1"/>
  <c r="W361" i="8"/>
  <c r="X361" i="8" s="1"/>
  <c r="W642" i="8"/>
  <c r="X642" i="8" s="1"/>
  <c r="W547" i="8"/>
  <c r="X547" i="8" s="1"/>
  <c r="W428" i="8"/>
  <c r="W182" i="8"/>
  <c r="X182" i="8" s="1"/>
  <c r="W546" i="8"/>
  <c r="X546" i="8" s="1"/>
  <c r="W392" i="8"/>
  <c r="W195" i="8"/>
  <c r="W411" i="8"/>
  <c r="X411" i="8" s="1"/>
  <c r="W735" i="8"/>
  <c r="X735" i="8" s="1"/>
  <c r="W498" i="8"/>
  <c r="X498" i="8" s="1"/>
  <c r="W128" i="8"/>
  <c r="X128" i="8" s="1"/>
  <c r="W506" i="8"/>
  <c r="X506" i="8" s="1"/>
  <c r="W124" i="8"/>
  <c r="X124" i="8" s="1"/>
  <c r="W545" i="8"/>
  <c r="X545" i="8" s="1"/>
  <c r="W720" i="8"/>
  <c r="X720" i="8" s="1"/>
  <c r="W344" i="8"/>
  <c r="W622" i="8"/>
  <c r="X622" i="8" s="1"/>
  <c r="W360" i="8"/>
  <c r="X360" i="8" s="1"/>
  <c r="W512" i="8"/>
  <c r="X512" i="8" s="1"/>
  <c r="W560" i="8"/>
  <c r="X560" i="8" s="1"/>
  <c r="W391" i="8"/>
  <c r="X391" i="8" s="1"/>
  <c r="W650" i="8"/>
  <c r="W160" i="8"/>
  <c r="X160" i="8" s="1"/>
  <c r="W198" i="8"/>
  <c r="X198" i="8" s="1"/>
  <c r="W49" i="8"/>
  <c r="X49" i="8" s="1"/>
  <c r="W584" i="8"/>
  <c r="X584" i="8" s="1"/>
  <c r="W38" i="8"/>
  <c r="X38" i="8" s="1"/>
  <c r="W218" i="8"/>
  <c r="X218" i="8" s="1"/>
  <c r="W678" i="8"/>
  <c r="X678" i="8" s="1"/>
  <c r="W559" i="8"/>
  <c r="W51" i="8"/>
  <c r="X51" i="8" s="1"/>
  <c r="W447" i="8"/>
  <c r="AN447" i="8" s="1"/>
  <c r="W630" i="8"/>
  <c r="X630" i="8" s="1"/>
  <c r="W770" i="8"/>
  <c r="X770" i="8" s="1"/>
  <c r="W786" i="8"/>
  <c r="X786" i="8" s="1"/>
  <c r="W656" i="8"/>
  <c r="X656" i="8" s="1"/>
  <c r="W29" i="8"/>
  <c r="W305" i="8"/>
  <c r="X305" i="8" s="1"/>
  <c r="W679" i="8"/>
  <c r="W209" i="8"/>
  <c r="X209" i="8" s="1"/>
  <c r="W114" i="8"/>
  <c r="X114" i="8" s="1"/>
  <c r="W683" i="8"/>
  <c r="X683" i="8" s="1"/>
  <c r="W71" i="8"/>
  <c r="X71" i="8" s="1"/>
  <c r="W782" i="8"/>
  <c r="X782" i="8" s="1"/>
  <c r="W637" i="8"/>
  <c r="X637" i="8" s="1"/>
  <c r="W240" i="8"/>
  <c r="W384" i="8"/>
  <c r="X384" i="8" s="1"/>
  <c r="W85" i="8"/>
  <c r="X85" i="8" s="1"/>
  <c r="W552" i="8"/>
  <c r="AN552" i="8" s="1"/>
  <c r="W50" i="8"/>
  <c r="X50" i="8" s="1"/>
  <c r="W230" i="8"/>
  <c r="W704" i="8"/>
  <c r="X704" i="8" s="1"/>
  <c r="W63" i="8"/>
  <c r="X63" i="8" s="1"/>
  <c r="W255" i="8"/>
  <c r="X255" i="8" s="1"/>
  <c r="W690" i="8"/>
  <c r="X690" i="8" s="1"/>
  <c r="W380" i="8"/>
  <c r="X380" i="8" s="1"/>
  <c r="W232" i="8"/>
  <c r="X232" i="8" s="1"/>
  <c r="W544" i="8"/>
  <c r="X544" i="8" s="1"/>
  <c r="W472" i="8"/>
  <c r="X472" i="8" s="1"/>
  <c r="W703" i="8"/>
  <c r="W341" i="8"/>
  <c r="X341" i="8" s="1"/>
  <c r="W462" i="8"/>
  <c r="X462" i="8" s="1"/>
  <c r="W256" i="8"/>
  <c r="AN256" i="8" s="1"/>
  <c r="W221" i="8"/>
  <c r="W150" i="8"/>
  <c r="X150" i="8" s="1"/>
  <c r="W359" i="8"/>
  <c r="X359" i="8" s="1"/>
  <c r="W550" i="8"/>
  <c r="X550" i="8" s="1"/>
  <c r="W90" i="8"/>
  <c r="X90" i="8" s="1"/>
  <c r="W440" i="8"/>
  <c r="X440" i="8" s="1"/>
  <c r="W682" i="8"/>
  <c r="X682" i="8" s="1"/>
  <c r="W285" i="8"/>
  <c r="X285" i="8" s="1"/>
  <c r="W429" i="8"/>
  <c r="X429" i="8" s="1"/>
  <c r="W518" i="8"/>
  <c r="X518" i="8" s="1"/>
  <c r="W806" i="8"/>
  <c r="X806" i="8" s="1"/>
  <c r="W708" i="8"/>
  <c r="X708" i="8" s="1"/>
  <c r="W586" i="8"/>
  <c r="X586" i="8" s="1"/>
  <c r="W633" i="8"/>
  <c r="W777" i="8"/>
  <c r="X777" i="8" s="1"/>
  <c r="W291" i="8"/>
  <c r="X291" i="8" s="1"/>
  <c r="W179" i="8"/>
  <c r="X179" i="8" s="1"/>
  <c r="W99" i="8"/>
  <c r="X99" i="8" s="1"/>
  <c r="W202" i="8"/>
  <c r="W299" i="8"/>
  <c r="X299" i="8" s="1"/>
  <c r="W186" i="8"/>
  <c r="X186" i="8" s="1"/>
  <c r="W655" i="8"/>
  <c r="AN655" i="8" s="1"/>
  <c r="W144" i="8"/>
  <c r="X144" i="8" s="1"/>
  <c r="W288" i="8"/>
  <c r="X288" i="8" s="1"/>
  <c r="W111" i="8"/>
  <c r="X111" i="8" s="1"/>
  <c r="W789" i="8"/>
  <c r="X789" i="8" s="1"/>
  <c r="W243" i="8"/>
  <c r="X243" i="8" s="1"/>
  <c r="W205" i="8"/>
  <c r="X205" i="8" s="1"/>
  <c r="W799" i="8"/>
  <c r="AN799" i="8" s="1"/>
  <c r="W47" i="8"/>
  <c r="X47" i="8" s="1"/>
  <c r="W156" i="8"/>
  <c r="X156" i="8" s="1"/>
  <c r="W300" i="8"/>
  <c r="X300" i="8" s="1"/>
  <c r="W217" i="8"/>
  <c r="X217" i="8" s="1"/>
  <c r="W80" i="8"/>
  <c r="X80" i="8" s="1"/>
  <c r="W110" i="8"/>
  <c r="X110" i="8" s="1"/>
  <c r="W138" i="8"/>
  <c r="X138" i="8" s="1"/>
  <c r="W52" i="8"/>
  <c r="AN52" i="8" s="1"/>
  <c r="W318" i="8"/>
  <c r="X318" i="8" s="1"/>
  <c r="W175" i="8"/>
  <c r="X175" i="8" s="1"/>
  <c r="W140" i="8"/>
  <c r="X140" i="8" s="1"/>
  <c r="W101" i="8"/>
  <c r="X101" i="8" s="1"/>
  <c r="W352" i="8"/>
  <c r="W452" i="8"/>
  <c r="X452" i="8" s="1"/>
  <c r="W106" i="8"/>
  <c r="X106" i="8" s="1"/>
  <c r="W119" i="8"/>
  <c r="X119" i="8" s="1"/>
  <c r="W214" i="8"/>
  <c r="X214" i="8" s="1"/>
  <c r="W201" i="8"/>
  <c r="X201" i="8" s="1"/>
  <c r="W345" i="8"/>
  <c r="X345" i="8" s="1"/>
  <c r="W489" i="8"/>
  <c r="X489" i="8" s="1"/>
  <c r="W502" i="8"/>
  <c r="X502" i="8" s="1"/>
  <c r="W371" i="8"/>
  <c r="X371" i="8" s="1"/>
  <c r="W634" i="8"/>
  <c r="X634" i="8" s="1"/>
  <c r="W92" i="8"/>
  <c r="W778" i="8"/>
  <c r="X778" i="8" s="1"/>
  <c r="W347" i="8"/>
  <c r="X347" i="8" s="1"/>
  <c r="W61" i="8"/>
  <c r="X61" i="8" s="1"/>
  <c r="W385" i="8"/>
  <c r="W203" i="8"/>
  <c r="X203" i="8" s="1"/>
  <c r="W125" i="8"/>
  <c r="X125" i="8" s="1"/>
  <c r="W68" i="8"/>
  <c r="X68" i="8" s="1"/>
  <c r="W73" i="8"/>
  <c r="X73" i="8" s="1"/>
  <c r="W364" i="8"/>
  <c r="W113" i="8"/>
  <c r="X113" i="8" s="1"/>
  <c r="W563" i="8"/>
  <c r="W490" i="8"/>
  <c r="W277" i="8"/>
  <c r="X277" i="8" s="1"/>
  <c r="W251" i="8"/>
  <c r="X251" i="8" s="1"/>
  <c r="W224" i="8"/>
  <c r="W274" i="8"/>
  <c r="X274" i="8" s="1"/>
  <c r="W213" i="8"/>
  <c r="X213" i="8" s="1"/>
  <c r="W357" i="8"/>
  <c r="X357" i="8" s="1"/>
  <c r="W501" i="8"/>
  <c r="X501" i="8" s="1"/>
  <c r="W718" i="8"/>
  <c r="X718" i="8" s="1"/>
  <c r="W443" i="8"/>
  <c r="X443" i="8" s="1"/>
  <c r="W662" i="8"/>
  <c r="X662" i="8" s="1"/>
  <c r="W754" i="8"/>
  <c r="X754" i="8" s="1"/>
  <c r="W419" i="8"/>
  <c r="X419" i="8" s="1"/>
  <c r="W239" i="8"/>
  <c r="X239" i="8" s="1"/>
  <c r="W779" i="8"/>
  <c r="X779" i="8" s="1"/>
  <c r="W613" i="8"/>
  <c r="X613" i="8" s="1"/>
  <c r="W757" i="8"/>
  <c r="X757" i="8" s="1"/>
  <c r="W43" i="8"/>
  <c r="X43" i="8" s="1"/>
  <c r="W645" i="8"/>
  <c r="X645" i="8" s="1"/>
  <c r="W67" i="8"/>
  <c r="X67" i="8" s="1"/>
  <c r="W35" i="8"/>
  <c r="X35" i="8" s="1"/>
  <c r="W72" i="8"/>
  <c r="X72" i="8" s="1"/>
  <c r="W667" i="8"/>
  <c r="X667" i="8" s="1"/>
  <c r="W515" i="8"/>
  <c r="X515" i="8" s="1"/>
  <c r="W538" i="8"/>
  <c r="X538" i="8" s="1"/>
  <c r="W439" i="8"/>
  <c r="X439" i="8" s="1"/>
  <c r="W466" i="8"/>
  <c r="X466" i="8" s="1"/>
  <c r="W404" i="8"/>
  <c r="W694" i="8"/>
  <c r="W193" i="8"/>
  <c r="X193" i="8" s="1"/>
  <c r="W273" i="8"/>
  <c r="X273" i="8" s="1"/>
  <c r="W417" i="8"/>
  <c r="X417" i="8" s="1"/>
  <c r="W621" i="8"/>
  <c r="X621" i="8" s="1"/>
  <c r="W561" i="8"/>
  <c r="W612" i="8"/>
  <c r="W729" i="8"/>
  <c r="X729" i="8" s="1"/>
  <c r="W162" i="8"/>
  <c r="X162" i="8" s="1"/>
  <c r="W216" i="8"/>
  <c r="X216" i="8" s="1"/>
  <c r="W228" i="8"/>
  <c r="X228" i="8" s="1"/>
  <c r="W84" i="8"/>
  <c r="X84" i="8" s="1"/>
  <c r="W523" i="8"/>
  <c r="W69" i="8"/>
  <c r="X69" i="8" s="1"/>
  <c r="W575" i="8"/>
  <c r="W58" i="8"/>
  <c r="X58" i="8" s="1"/>
  <c r="W513" i="8"/>
  <c r="X513" i="8" s="1"/>
  <c r="W780" i="8"/>
  <c r="AN780" i="8" s="1"/>
  <c r="W342" i="8"/>
  <c r="X342" i="8" s="1"/>
  <c r="W78" i="8"/>
  <c r="X78" i="8" s="1"/>
  <c r="W248" i="8"/>
  <c r="X248" i="8" s="1"/>
  <c r="W298" i="8"/>
  <c r="W549" i="8"/>
  <c r="X549" i="8" s="1"/>
  <c r="W539" i="8"/>
  <c r="W167" i="8"/>
  <c r="X167" i="8" s="1"/>
  <c r="W41" i="8"/>
  <c r="X41" i="8" s="1"/>
  <c r="W139" i="8"/>
  <c r="X139" i="8" s="1"/>
  <c r="W715" i="8"/>
  <c r="X715" i="8" s="1"/>
  <c r="W23" i="8"/>
  <c r="X23" i="8" s="1"/>
  <c r="W487" i="8"/>
  <c r="X487" i="8" s="1"/>
  <c r="W693" i="8"/>
  <c r="X693" i="8" s="1"/>
  <c r="W143" i="8"/>
  <c r="X143" i="8" s="1"/>
  <c r="W102" i="8"/>
  <c r="W222" i="8"/>
  <c r="W811" i="8"/>
  <c r="X811" i="8" s="1"/>
  <c r="W44" i="8"/>
  <c r="W95" i="8"/>
  <c r="X95" i="8" s="1"/>
  <c r="W165" i="8"/>
  <c r="X165" i="8" s="1"/>
  <c r="W309" i="8"/>
  <c r="X309" i="8" s="1"/>
  <c r="W453" i="8"/>
  <c r="X453" i="8" s="1"/>
  <c r="W741" i="8"/>
  <c r="X741" i="8" s="1"/>
  <c r="W170" i="8"/>
  <c r="X170" i="8" s="1"/>
  <c r="W753" i="8"/>
  <c r="X753" i="8" s="1"/>
  <c r="W730" i="8"/>
  <c r="X730" i="8" s="1"/>
  <c r="W132" i="8"/>
  <c r="X132" i="8" s="1"/>
  <c r="W276" i="8"/>
  <c r="X276" i="8" s="1"/>
  <c r="W16" i="8"/>
  <c r="X16" i="8" s="1"/>
  <c r="W265" i="8"/>
  <c r="X265" i="8" s="1"/>
  <c r="W191" i="8"/>
  <c r="X191" i="8" s="1"/>
  <c r="W177" i="8"/>
  <c r="X177" i="8" s="1"/>
  <c r="W321" i="8"/>
  <c r="X321" i="8" s="1"/>
  <c r="W465" i="8"/>
  <c r="X465" i="8" s="1"/>
  <c r="W263" i="8"/>
  <c r="X263" i="8" s="1"/>
  <c r="W169" i="8"/>
  <c r="X169" i="8" s="1"/>
  <c r="X8" i="8"/>
  <c r="X233" i="8"/>
  <c r="X389" i="8"/>
  <c r="X484" i="8"/>
  <c r="AN484" i="8"/>
  <c r="X636" i="8"/>
  <c r="AN636" i="8"/>
  <c r="X397" i="8"/>
  <c r="X702" i="8"/>
  <c r="X607" i="8"/>
  <c r="X410" i="8"/>
  <c r="X606" i="8"/>
  <c r="X219" i="8"/>
  <c r="AN219" i="8"/>
  <c r="X603" i="8"/>
  <c r="AN603" i="8"/>
  <c r="X747" i="8"/>
  <c r="AN747" i="8"/>
  <c r="X558" i="8"/>
  <c r="X520" i="8"/>
  <c r="AN520" i="8"/>
  <c r="X664" i="8"/>
  <c r="AN664" i="8"/>
  <c r="X714" i="8"/>
  <c r="X596" i="8"/>
  <c r="X269" i="8"/>
  <c r="X401" i="8"/>
  <c r="X766" i="8"/>
  <c r="AN458" i="8"/>
  <c r="X791" i="8"/>
  <c r="X705" i="8"/>
  <c r="X196" i="8"/>
  <c r="AN196" i="8"/>
  <c r="X619" i="8"/>
  <c r="X627" i="8"/>
  <c r="X688" i="8"/>
  <c r="AN688" i="8"/>
  <c r="X471" i="8"/>
  <c r="X581" i="8"/>
  <c r="AN581" i="8"/>
  <c r="X725" i="8"/>
  <c r="AN725" i="8"/>
  <c r="X572" i="8"/>
  <c r="X575" i="8"/>
  <c r="X713" i="8"/>
  <c r="X483" i="8"/>
  <c r="X771" i="8"/>
  <c r="X33" i="8"/>
  <c r="X728" i="8"/>
  <c r="X252" i="8"/>
  <c r="X97" i="8"/>
  <c r="X624" i="8"/>
  <c r="X787" i="8"/>
  <c r="X716" i="8"/>
  <c r="X254" i="8"/>
  <c r="X764" i="8"/>
  <c r="X495" i="8"/>
  <c r="AN495" i="8"/>
  <c r="X639" i="8"/>
  <c r="AN639" i="8"/>
  <c r="X783" i="8"/>
  <c r="AN783" i="8"/>
  <c r="X738" i="8"/>
  <c r="X595" i="8"/>
  <c r="AN595" i="8"/>
  <c r="X600" i="8"/>
  <c r="X812" i="8"/>
  <c r="X53" i="8"/>
  <c r="X377" i="8"/>
  <c r="X593" i="8"/>
  <c r="AN593" i="8"/>
  <c r="X737" i="8"/>
  <c r="AN737" i="8"/>
  <c r="X510" i="8"/>
  <c r="X187" i="8"/>
  <c r="X751" i="8"/>
  <c r="X620" i="8"/>
  <c r="X280" i="8"/>
  <c r="X245" i="8"/>
  <c r="X130" i="8"/>
  <c r="X499" i="8"/>
  <c r="X646" i="8"/>
  <c r="X18" i="8"/>
  <c r="X488" i="8"/>
  <c r="X297" i="8"/>
  <c r="X441" i="8"/>
  <c r="X542" i="8"/>
  <c r="AN542" i="8"/>
  <c r="X657" i="8"/>
  <c r="X517" i="8"/>
  <c r="AN517" i="8"/>
  <c r="X589" i="8"/>
  <c r="AN589" i="8"/>
  <c r="X492" i="8"/>
  <c r="AN492" i="8"/>
  <c r="X652" i="8"/>
  <c r="X759" i="8"/>
  <c r="X91" i="8"/>
  <c r="X425" i="8"/>
  <c r="X470" i="8"/>
  <c r="AN470" i="8"/>
  <c r="X739" i="8"/>
  <c r="AN739" i="8"/>
  <c r="X109" i="8"/>
  <c r="X744" i="8"/>
  <c r="X505" i="8"/>
  <c r="AN505" i="8"/>
  <c r="X74" i="8"/>
  <c r="AN74" i="8"/>
  <c r="X266" i="8"/>
  <c r="X763" i="8"/>
  <c r="X157" i="8"/>
  <c r="AN157" i="8"/>
  <c r="X507" i="8"/>
  <c r="AN507" i="8"/>
  <c r="X651" i="8"/>
  <c r="AN651" i="8"/>
  <c r="X795" i="8"/>
  <c r="AN795" i="8"/>
  <c r="X548" i="8"/>
  <c r="X20" i="8"/>
  <c r="X65" i="8"/>
  <c r="X605" i="8"/>
  <c r="X749" i="8"/>
  <c r="X570" i="8"/>
  <c r="X211" i="8"/>
  <c r="X529" i="8"/>
  <c r="X668" i="8"/>
  <c r="X451" i="8"/>
  <c r="AN451" i="8"/>
  <c r="X292" i="8"/>
  <c r="X707" i="8"/>
  <c r="X257" i="8"/>
  <c r="X118" i="8"/>
  <c r="X190" i="8"/>
  <c r="X566" i="8"/>
  <c r="X433" i="8"/>
  <c r="AN433" i="8"/>
  <c r="X632" i="8"/>
  <c r="X746" i="8"/>
  <c r="AN746" i="8"/>
  <c r="X681" i="8"/>
  <c r="X145" i="8"/>
  <c r="AN145" i="8"/>
  <c r="X86" i="8"/>
  <c r="X290" i="8"/>
  <c r="AN290" i="8"/>
  <c r="X768" i="8"/>
  <c r="X553" i="8"/>
  <c r="AN553" i="8"/>
  <c r="X303" i="8"/>
  <c r="AN303" i="8"/>
  <c r="X519" i="8"/>
  <c r="AN519" i="8"/>
  <c r="X663" i="8"/>
  <c r="AN663" i="8"/>
  <c r="X807" i="8"/>
  <c r="AN807" i="8"/>
  <c r="X504" i="8"/>
  <c r="AN504" i="8"/>
  <c r="X727" i="8"/>
  <c r="AN727" i="8"/>
  <c r="X174" i="8"/>
  <c r="X697" i="8"/>
  <c r="AN697" i="8"/>
  <c r="X617" i="8"/>
  <c r="X761" i="8"/>
  <c r="X618" i="8"/>
  <c r="X692" i="8"/>
  <c r="X40" i="8"/>
  <c r="AN40" i="8"/>
  <c r="X316" i="8"/>
  <c r="AN316" i="8"/>
  <c r="X258" i="8"/>
  <c r="X262" i="8"/>
  <c r="X669" i="8"/>
  <c r="X765" i="8"/>
  <c r="X590" i="8"/>
  <c r="AN590" i="8"/>
  <c r="X588" i="8"/>
  <c r="AN588" i="8"/>
  <c r="X508" i="8"/>
  <c r="X372" i="8"/>
  <c r="X434" i="8"/>
  <c r="X615" i="8"/>
  <c r="X569" i="8"/>
  <c r="X302" i="8"/>
  <c r="AN302" i="8"/>
  <c r="X327" i="8"/>
  <c r="X680" i="8"/>
  <c r="X376" i="8"/>
  <c r="AN376" i="8"/>
  <c r="X115" i="8"/>
  <c r="X578" i="8"/>
  <c r="X89" i="8"/>
  <c r="X629" i="8"/>
  <c r="X773" i="8"/>
  <c r="X331" i="8"/>
  <c r="X721" i="8"/>
  <c r="X752" i="8"/>
  <c r="X328" i="8"/>
  <c r="AN328" i="8"/>
  <c r="X241" i="8"/>
  <c r="X407" i="8"/>
  <c r="X294" i="8"/>
  <c r="X358" i="8"/>
  <c r="X70" i="8"/>
  <c r="X152" i="8"/>
  <c r="X154" i="8"/>
  <c r="X287" i="8"/>
  <c r="AN287" i="8"/>
  <c r="X454" i="8"/>
  <c r="X323" i="8"/>
  <c r="X614" i="8"/>
  <c r="X34" i="8"/>
  <c r="X756" i="8"/>
  <c r="X796" i="8"/>
  <c r="X231" i="8"/>
  <c r="AN231" i="8"/>
  <c r="X750" i="8"/>
  <c r="X726" i="8"/>
  <c r="X813" i="8"/>
  <c r="X511" i="8"/>
  <c r="AN511" i="8"/>
  <c r="X524" i="8"/>
  <c r="X644" i="8"/>
  <c r="AN120" i="8"/>
  <c r="X373" i="8"/>
  <c r="AN373" i="8"/>
  <c r="X648" i="8"/>
  <c r="AN648" i="8"/>
  <c r="X326" i="8"/>
  <c r="AN326" i="8"/>
  <c r="X740" i="8"/>
  <c r="X168" i="8"/>
  <c r="X312" i="8"/>
  <c r="X253" i="8"/>
  <c r="X426" i="8"/>
  <c r="X259" i="8"/>
  <c r="X722" i="8"/>
  <c r="X270" i="8"/>
  <c r="X223" i="8"/>
  <c r="AN223" i="8"/>
  <c r="X363" i="8"/>
  <c r="AN363" i="8"/>
  <c r="X282" i="8"/>
  <c r="X79" i="8"/>
  <c r="AN79" i="8"/>
  <c r="X800" i="8"/>
  <c r="X76" i="8"/>
  <c r="X314" i="8"/>
  <c r="AN314" i="8"/>
  <c r="X762" i="8"/>
  <c r="X29" i="8"/>
  <c r="X10" i="8"/>
  <c r="X98" i="8"/>
  <c r="X375" i="8"/>
  <c r="AN375" i="8"/>
  <c r="AN769" i="8"/>
  <c r="X121" i="8"/>
  <c r="AN121" i="8"/>
  <c r="X628" i="8"/>
  <c r="AN628" i="8"/>
  <c r="X772" i="8"/>
  <c r="AN772" i="8"/>
  <c r="X176" i="8"/>
  <c r="X137" i="8"/>
  <c r="X442" i="8"/>
  <c r="X335" i="8"/>
  <c r="AN335" i="8"/>
  <c r="X311" i="8"/>
  <c r="X676" i="8"/>
  <c r="AN676" i="8"/>
  <c r="X306" i="8"/>
  <c r="X238" i="8"/>
  <c r="X660" i="8"/>
  <c r="AN660" i="8"/>
  <c r="X445" i="8"/>
  <c r="AN445" i="8"/>
  <c r="X126" i="8"/>
  <c r="X673" i="8"/>
  <c r="X602" i="8"/>
  <c r="AN602" i="8"/>
  <c r="X339" i="8"/>
  <c r="X792" i="8"/>
  <c r="AN792" i="8"/>
  <c r="X480" i="8"/>
  <c r="X582" i="8"/>
  <c r="X414" i="8"/>
  <c r="X235" i="8"/>
  <c r="X32" i="8"/>
  <c r="X640" i="8"/>
  <c r="X784" i="8"/>
  <c r="X594" i="8"/>
  <c r="X367" i="8"/>
  <c r="AN367" i="8"/>
  <c r="X576" i="8"/>
  <c r="X409" i="8"/>
  <c r="AN409" i="8"/>
  <c r="X526" i="8"/>
  <c r="X82" i="8"/>
  <c r="X814" i="8"/>
  <c r="X516" i="8"/>
  <c r="AN516" i="8"/>
  <c r="O12" i="4"/>
  <c r="O15" i="4"/>
  <c r="N9" i="4"/>
  <c r="O10" i="4" s="1"/>
  <c r="AK32" i="8" l="1"/>
  <c r="AN32" i="8"/>
  <c r="AN669" i="8"/>
  <c r="AN755" i="8"/>
  <c r="AN54" i="8"/>
  <c r="AN509" i="8"/>
  <c r="AN485" i="8"/>
  <c r="AN479" i="8"/>
  <c r="AN626" i="8"/>
  <c r="AN436" i="8"/>
  <c r="AN59" i="8"/>
  <c r="AN249" i="8"/>
  <c r="AN96" i="8"/>
  <c r="AN802" i="8"/>
  <c r="AN230" i="8"/>
  <c r="AN221" i="8"/>
  <c r="AN202" i="8"/>
  <c r="AN92" i="8"/>
  <c r="AN404" i="8"/>
  <c r="AN561" i="8"/>
  <c r="AN575" i="8"/>
  <c r="AK377" i="8"/>
  <c r="AN377" i="8"/>
  <c r="AK434" i="8"/>
  <c r="AN434" i="8"/>
  <c r="AK91" i="8"/>
  <c r="AN91" i="8"/>
  <c r="AK86" i="8"/>
  <c r="AN86" i="8"/>
  <c r="AK480" i="8"/>
  <c r="AN480" i="8"/>
  <c r="AK624" i="8"/>
  <c r="AN624" i="8"/>
  <c r="AK768" i="8"/>
  <c r="AN768" i="8"/>
  <c r="AK813" i="8"/>
  <c r="AN813" i="8"/>
  <c r="AK176" i="8"/>
  <c r="AN176" i="8"/>
  <c r="AK606" i="8"/>
  <c r="AN606" i="8"/>
  <c r="AK750" i="8"/>
  <c r="AN750" i="8"/>
  <c r="AK607" i="8"/>
  <c r="AN607" i="8"/>
  <c r="AK765" i="8"/>
  <c r="AN765" i="8"/>
  <c r="AK759" i="8"/>
  <c r="AN759" i="8"/>
  <c r="AK245" i="8"/>
  <c r="AN245" i="8"/>
  <c r="AK692" i="8"/>
  <c r="AN692" i="8"/>
  <c r="AK618" i="8"/>
  <c r="AN618" i="8"/>
  <c r="AK763" i="8"/>
  <c r="AN763" i="8"/>
  <c r="AK154" i="8"/>
  <c r="AN154" i="8"/>
  <c r="AK76" i="8"/>
  <c r="AN76" i="8"/>
  <c r="AK796" i="8"/>
  <c r="AN796" i="8"/>
  <c r="AK190" i="8"/>
  <c r="AN190" i="8"/>
  <c r="AK311" i="8"/>
  <c r="AN311" i="8"/>
  <c r="AN77" i="8"/>
  <c r="AN293" i="8"/>
  <c r="AN564" i="8"/>
  <c r="AN543" i="8"/>
  <c r="X28" i="8"/>
  <c r="X304" i="8"/>
  <c r="AN295" i="8"/>
  <c r="AN207" i="8"/>
  <c r="AN289" i="8"/>
  <c r="X655" i="8"/>
  <c r="X301" i="8"/>
  <c r="X351" i="8"/>
  <c r="AN460" i="8"/>
  <c r="X12" i="8"/>
  <c r="X135" i="8"/>
  <c r="AN532" i="8"/>
  <c r="AN279" i="8"/>
  <c r="AN743" i="8"/>
  <c r="W10" i="3"/>
  <c r="AN252" i="8"/>
  <c r="AN254" i="8"/>
  <c r="AN642" i="8"/>
  <c r="AN605" i="8"/>
  <c r="AN26" i="8"/>
  <c r="AN773" i="8"/>
  <c r="AN364" i="8"/>
  <c r="AN764" i="8"/>
  <c r="AN614" i="8"/>
  <c r="AN18" i="8"/>
  <c r="AN623" i="8"/>
  <c r="AN82" i="8"/>
  <c r="AN70" i="8"/>
  <c r="AN98" i="8"/>
  <c r="AN800" i="8"/>
  <c r="AN259" i="8"/>
  <c r="AN407" i="8"/>
  <c r="AN89" i="8"/>
  <c r="AN523" i="8"/>
  <c r="AN703" i="8"/>
  <c r="AN525" i="8"/>
  <c r="AN776" i="8"/>
  <c r="AN297" i="8"/>
  <c r="AN707" i="8"/>
  <c r="AN539" i="8"/>
  <c r="AN702" i="8"/>
  <c r="AN812" i="8"/>
  <c r="AN93" i="8"/>
  <c r="AN468" i="8"/>
  <c r="AN646" i="8"/>
  <c r="AN44" i="8"/>
  <c r="AN116" i="8"/>
  <c r="AN414" i="8"/>
  <c r="AN10" i="8"/>
  <c r="AN644" i="8"/>
  <c r="AN761" i="8"/>
  <c r="AN619" i="8"/>
  <c r="AN237" i="8"/>
  <c r="AN312" i="8"/>
  <c r="AN508" i="8"/>
  <c r="AN566" i="8"/>
  <c r="AN130" i="8"/>
  <c r="AN233" i="8"/>
  <c r="AN476" i="8"/>
  <c r="AN488" i="8"/>
  <c r="AN298" i="8"/>
  <c r="AN585" i="8"/>
  <c r="AN784" i="8"/>
  <c r="AN34" i="8"/>
  <c r="AN426" i="8"/>
  <c r="AN528" i="8"/>
  <c r="AN767" i="8"/>
  <c r="AN183" i="8"/>
  <c r="AN456" i="8"/>
  <c r="AN640" i="8"/>
  <c r="AN327" i="8"/>
  <c r="AN570" i="8"/>
  <c r="AN766" i="8"/>
  <c r="AN36" i="8"/>
  <c r="AN527" i="8"/>
  <c r="AN118" i="8"/>
  <c r="AN499" i="8"/>
  <c r="AN771" i="8"/>
  <c r="AN338" i="8"/>
  <c r="AN317" i="8"/>
  <c r="AN474" i="8"/>
  <c r="AN296" i="8"/>
  <c r="AN389" i="8"/>
  <c r="AN582" i="8"/>
  <c r="AN392" i="8"/>
  <c r="AN534" i="8"/>
  <c r="AN358" i="8"/>
  <c r="AN397" i="8"/>
  <c r="AN526" i="8"/>
  <c r="AN652" i="8"/>
  <c r="AN62" i="8"/>
  <c r="AN428" i="8"/>
  <c r="AN173" i="8"/>
  <c r="AN540" i="8"/>
  <c r="AN284" i="8"/>
  <c r="AN148" i="8"/>
  <c r="AN126" i="8"/>
  <c r="AN726" i="8"/>
  <c r="AN680" i="8"/>
  <c r="AN691" i="8"/>
  <c r="AN438" i="8"/>
  <c r="AN633" i="8"/>
  <c r="AN185" i="8"/>
  <c r="AN467" i="8"/>
  <c r="AN253" i="8"/>
  <c r="AN496" i="8"/>
  <c r="AN762" i="8"/>
  <c r="AN454" i="8"/>
  <c r="AN441" i="8"/>
  <c r="AN684" i="8"/>
  <c r="AN469" i="8"/>
  <c r="AN535" i="8"/>
  <c r="AN97" i="8"/>
  <c r="AN694" i="8"/>
  <c r="X623" i="8"/>
  <c r="AN213" i="8"/>
  <c r="AN49" i="8"/>
  <c r="AN709" i="8"/>
  <c r="AN227" i="8"/>
  <c r="AN808" i="8"/>
  <c r="AN215" i="8"/>
  <c r="X317" i="8"/>
  <c r="AN643" i="8"/>
  <c r="AN339" i="8"/>
  <c r="AN56" i="8"/>
  <c r="AN569" i="8"/>
  <c r="AN220" i="8"/>
  <c r="AN401" i="8"/>
  <c r="AN152" i="8"/>
  <c r="AN266" i="8"/>
  <c r="AN425" i="8"/>
  <c r="AN8" i="8"/>
  <c r="AN563" i="8"/>
  <c r="AN478" i="8"/>
  <c r="AN399" i="8"/>
  <c r="AN402" i="8"/>
  <c r="AN270" i="8"/>
  <c r="AN524" i="8"/>
  <c r="AN740" i="8"/>
  <c r="AN728" i="8"/>
  <c r="X6" i="8"/>
  <c r="AN558" i="8"/>
  <c r="AN442" i="8"/>
  <c r="AN168" i="8"/>
  <c r="AN115" i="8"/>
  <c r="AN292" i="8"/>
  <c r="AN705" i="8"/>
  <c r="AN533" i="8"/>
  <c r="AN122" i="8"/>
  <c r="AN446" i="8"/>
  <c r="AN596" i="8"/>
  <c r="AN240" i="8"/>
  <c r="AN620" i="8"/>
  <c r="AN695" i="8"/>
  <c r="AN471" i="8"/>
  <c r="AN791" i="8"/>
  <c r="AN749" i="8"/>
  <c r="AN385" i="8"/>
  <c r="AN323" i="8"/>
  <c r="AN65" i="8"/>
  <c r="AN714" i="8"/>
  <c r="AN641" i="8"/>
  <c r="AN713" i="8"/>
  <c r="AN670" i="8"/>
  <c r="AN559" i="8"/>
  <c r="AN241" i="8"/>
  <c r="AN668" i="8"/>
  <c r="AN282" i="8"/>
  <c r="AN20" i="8"/>
  <c r="AN187" i="8"/>
  <c r="AN612" i="8"/>
  <c r="AN687" i="8"/>
  <c r="AN814" i="8"/>
  <c r="AN629" i="8"/>
  <c r="AN632" i="8"/>
  <c r="AN529" i="8"/>
  <c r="AN717" i="8"/>
  <c r="AN627" i="8"/>
  <c r="AN555" i="8"/>
  <c r="AN685" i="8"/>
  <c r="AN572" i="8"/>
  <c r="AN346" i="8"/>
  <c r="AN247" i="8"/>
  <c r="AN548" i="8"/>
  <c r="AN738" i="8"/>
  <c r="AN33" i="8"/>
  <c r="AN410" i="8"/>
  <c r="AN701" i="8"/>
  <c r="AN332" i="8"/>
  <c r="AN109" i="8"/>
  <c r="AN180" i="8"/>
  <c r="AN369" i="8"/>
  <c r="X531" i="8"/>
  <c r="AN665" i="8"/>
  <c r="X54" i="8"/>
  <c r="AN127" i="8"/>
  <c r="AN75" i="8"/>
  <c r="AN557" i="8"/>
  <c r="X387" i="8"/>
  <c r="X804" i="8"/>
  <c r="AN206" i="8"/>
  <c r="AN617" i="8"/>
  <c r="X469" i="8"/>
  <c r="AN352" i="8"/>
  <c r="X467" i="8"/>
  <c r="X432" i="8"/>
  <c r="AN744" i="8"/>
  <c r="AN280" i="8"/>
  <c r="AN704" i="8"/>
  <c r="X93" i="8"/>
  <c r="AN195" i="8"/>
  <c r="AN53" i="8"/>
  <c r="AN658" i="8"/>
  <c r="AN594" i="8"/>
  <c r="AN353" i="8"/>
  <c r="AN29" i="8"/>
  <c r="AN473" i="8"/>
  <c r="AN752" i="8"/>
  <c r="AN615" i="8"/>
  <c r="AN733" i="8"/>
  <c r="AN174" i="8"/>
  <c r="AN494" i="8"/>
  <c r="AN751" i="8"/>
  <c r="X59" i="8"/>
  <c r="AN679" i="8"/>
  <c r="AN491" i="8"/>
  <c r="AN272" i="8"/>
  <c r="AN788" i="8"/>
  <c r="AN123" i="8"/>
  <c r="AN22" i="8"/>
  <c r="X456" i="8"/>
  <c r="AN340" i="8"/>
  <c r="AN257" i="8"/>
  <c r="AN211" i="8"/>
  <c r="X577" i="8"/>
  <c r="AN775" i="8"/>
  <c r="AN806" i="8"/>
  <c r="X585" i="8"/>
  <c r="AN677" i="8"/>
  <c r="AN81" i="8"/>
  <c r="W9" i="3"/>
  <c r="AN9" i="8"/>
  <c r="AN424" i="8"/>
  <c r="AN331" i="8"/>
  <c r="X552" i="8"/>
  <c r="AN258" i="8"/>
  <c r="AN696" i="8"/>
  <c r="AN46" i="8"/>
  <c r="AN510" i="8"/>
  <c r="AN787" i="8"/>
  <c r="AN518" i="8"/>
  <c r="AN224" i="8"/>
  <c r="AN611" i="8"/>
  <c r="AN136" i="8"/>
  <c r="W8" i="3"/>
  <c r="AN344" i="8"/>
  <c r="AN724" i="8"/>
  <c r="AN262" i="8"/>
  <c r="X421" i="8"/>
  <c r="AN294" i="8"/>
  <c r="AN650" i="8"/>
  <c r="AN393" i="8"/>
  <c r="AN659" i="8"/>
  <c r="AN816" i="8"/>
  <c r="AN236" i="8"/>
  <c r="AN137" i="8"/>
  <c r="AN716" i="8"/>
  <c r="AN341" i="8"/>
  <c r="AN450" i="8"/>
  <c r="AN600" i="8"/>
  <c r="AN551" i="8"/>
  <c r="AN681" i="8"/>
  <c r="AN712" i="8"/>
  <c r="AN222" i="8"/>
  <c r="AN39" i="8"/>
  <c r="AN31" i="8"/>
  <c r="AN545" i="8"/>
  <c r="AN486" i="8"/>
  <c r="AN238" i="8"/>
  <c r="AN209" i="8"/>
  <c r="X338" i="8"/>
  <c r="AN124" i="8"/>
  <c r="AN214" i="8"/>
  <c r="AN756" i="8"/>
  <c r="AN736" i="8"/>
  <c r="AN565" i="8"/>
  <c r="AN379" i="8"/>
  <c r="AN673" i="8"/>
  <c r="AN306" i="8"/>
  <c r="AN283" i="8"/>
  <c r="AN430" i="8"/>
  <c r="AN208" i="8"/>
  <c r="AN281" i="8"/>
  <c r="AN87" i="8"/>
  <c r="AN657" i="8"/>
  <c r="AN483" i="8"/>
  <c r="AN275" i="8"/>
  <c r="X535" i="8"/>
  <c r="AN182" i="8"/>
  <c r="AN722" i="8"/>
  <c r="AN562" i="8"/>
  <c r="AN273" i="8"/>
  <c r="AN269" i="8"/>
  <c r="AN200" i="8"/>
  <c r="AN102" i="8"/>
  <c r="AN490" i="8"/>
  <c r="AN334" i="8"/>
  <c r="AN66" i="8"/>
  <c r="X802" i="8"/>
  <c r="X691" i="8"/>
  <c r="AN383" i="8"/>
  <c r="AN307" i="8"/>
  <c r="X633" i="8"/>
  <c r="AN355" i="8"/>
  <c r="AN388" i="8"/>
  <c r="AN45" i="8"/>
  <c r="X658" i="8"/>
  <c r="AN246" i="8"/>
  <c r="AN234" i="8"/>
  <c r="X685" i="8"/>
  <c r="X561" i="8"/>
  <c r="X344" i="8"/>
  <c r="AN370" i="8"/>
  <c r="AN218" i="8"/>
  <c r="AN142" i="8"/>
  <c r="X159" i="8"/>
  <c r="AN343" i="8"/>
  <c r="X474" i="8"/>
  <c r="AN94" i="8"/>
  <c r="AN443" i="8"/>
  <c r="AN188" i="8"/>
  <c r="AN413" i="8"/>
  <c r="AN573" i="8"/>
  <c r="AN72" i="8"/>
  <c r="AN463" i="8"/>
  <c r="AN801" i="8"/>
  <c r="X7" i="8"/>
  <c r="AN437" i="8"/>
  <c r="AN105" i="8"/>
  <c r="AN416" i="8"/>
  <c r="AN815" i="8"/>
  <c r="AN798" i="8"/>
  <c r="X362" i="8"/>
  <c r="AN24" i="8"/>
  <c r="AN354" i="8"/>
  <c r="AN112" i="8"/>
  <c r="AN541" i="8"/>
  <c r="AN30" i="8"/>
  <c r="AN586" i="8"/>
  <c r="X732" i="8"/>
  <c r="X436" i="8"/>
  <c r="AN396" i="8"/>
  <c r="X555" i="8"/>
  <c r="X296" i="8"/>
  <c r="AN374" i="8"/>
  <c r="AN146" i="8"/>
  <c r="AN320" i="8"/>
  <c r="X523" i="8"/>
  <c r="X221" i="8"/>
  <c r="X60" i="8"/>
  <c r="AN163" i="8"/>
  <c r="AN809" i="8"/>
  <c r="X123" i="8"/>
  <c r="AN178" i="8"/>
  <c r="X83" i="8"/>
  <c r="AN514" i="8"/>
  <c r="AN134" i="8"/>
  <c r="AN734" i="8"/>
  <c r="AN382" i="8"/>
  <c r="X240" i="8"/>
  <c r="AN459" i="8"/>
  <c r="AN381" i="8"/>
  <c r="AN107" i="8"/>
  <c r="AN155" i="8"/>
  <c r="AN108" i="8"/>
  <c r="AN422" i="8"/>
  <c r="AN11" i="8"/>
  <c r="AN264" i="8"/>
  <c r="AN758" i="8"/>
  <c r="X149" i="8"/>
  <c r="X767" i="8"/>
  <c r="X559" i="8"/>
  <c r="AN635" i="8"/>
  <c r="O9" i="4"/>
  <c r="AN609" i="8"/>
  <c r="AN88" i="8"/>
  <c r="X420" i="8"/>
  <c r="X643" i="8"/>
  <c r="AN133" i="8"/>
  <c r="X195" i="8"/>
  <c r="AN55" i="8"/>
  <c r="X476" i="8"/>
  <c r="AN418" i="8"/>
  <c r="AN131" i="8"/>
  <c r="AN21" i="8"/>
  <c r="X490" i="8"/>
  <c r="AN42" i="8"/>
  <c r="AN674" i="8"/>
  <c r="AN319" i="8"/>
  <c r="AN631" i="8"/>
  <c r="AN229" i="8"/>
  <c r="AN395" i="8"/>
  <c r="AN455" i="8"/>
  <c r="AN719" i="8"/>
  <c r="AN682" i="8"/>
  <c r="AN536" i="8"/>
  <c r="X447" i="8"/>
  <c r="AN760" i="8"/>
  <c r="AN61" i="8"/>
  <c r="AN464" i="8"/>
  <c r="AN267" i="8"/>
  <c r="AN14" i="8"/>
  <c r="AN475" i="8"/>
  <c r="X485" i="8"/>
  <c r="AN598" i="8"/>
  <c r="AN710" i="8"/>
  <c r="X66" i="8"/>
  <c r="X641" i="8"/>
  <c r="AN730" i="8"/>
  <c r="AN544" i="8"/>
  <c r="X625" i="8"/>
  <c r="AN271" i="8"/>
  <c r="AN268" i="8"/>
  <c r="AN634" i="8"/>
  <c r="AN308" i="8"/>
  <c r="AN616" i="8"/>
  <c r="AN164" i="8"/>
  <c r="AN103" i="8"/>
  <c r="AN140" i="8"/>
  <c r="AN610" i="8"/>
  <c r="AN457" i="8"/>
  <c r="X816" i="8"/>
  <c r="AN782" i="8"/>
  <c r="AN147" i="8"/>
  <c r="X136" i="8"/>
  <c r="AN16" i="8"/>
  <c r="X44" i="8"/>
  <c r="AN336" i="8"/>
  <c r="AN790" i="8"/>
  <c r="AN143" i="8"/>
  <c r="AN84" i="8"/>
  <c r="AN100" i="8"/>
  <c r="AN13" i="8"/>
  <c r="X479" i="8"/>
  <c r="AN748" i="8"/>
  <c r="AN330" i="8"/>
  <c r="AN604" i="8"/>
  <c r="AN803" i="8"/>
  <c r="AN166" i="8"/>
  <c r="AN278" i="8"/>
  <c r="AN608" i="8"/>
  <c r="AN286" i="8"/>
  <c r="AN368" i="8"/>
  <c r="AN153" i="8"/>
  <c r="AN192" i="8"/>
  <c r="X334" i="8"/>
  <c r="AN194" i="8"/>
  <c r="X393" i="8"/>
  <c r="X428" i="8"/>
  <c r="X36" i="8"/>
  <c r="X173" i="8"/>
  <c r="X491" i="8"/>
  <c r="AN789" i="8"/>
  <c r="AN265" i="8"/>
  <c r="X527" i="8"/>
  <c r="X81" i="8"/>
  <c r="AN255" i="8"/>
  <c r="X701" i="8"/>
  <c r="AN502" i="8"/>
  <c r="AN161" i="8"/>
  <c r="X612" i="8"/>
  <c r="AN599" i="8"/>
  <c r="AN141" i="8"/>
  <c r="AN356" i="8"/>
  <c r="AN244" i="8"/>
  <c r="AN662" i="8"/>
  <c r="AN649" i="8"/>
  <c r="AN104" i="8"/>
  <c r="AN547" i="8"/>
  <c r="AN365" i="8"/>
  <c r="AN683" i="8"/>
  <c r="AN742" i="8"/>
  <c r="AN324" i="8"/>
  <c r="AN530" i="8"/>
  <c r="X364" i="8"/>
  <c r="AN144" i="8"/>
  <c r="AN305" i="8"/>
  <c r="AN477" i="8"/>
  <c r="AN50" i="8"/>
  <c r="X788" i="8"/>
  <c r="AN117" i="8"/>
  <c r="X444" i="8"/>
  <c r="X230" i="8"/>
  <c r="AN315" i="8"/>
  <c r="X794" i="8"/>
  <c r="X385" i="8"/>
  <c r="X793" i="8"/>
  <c r="AN189" i="8"/>
  <c r="X540" i="8"/>
  <c r="AN25" i="8"/>
  <c r="X184" i="8"/>
  <c r="X525" i="8"/>
  <c r="X567" i="8"/>
  <c r="X202" i="8"/>
  <c r="AN678" i="8"/>
  <c r="X679" i="8"/>
  <c r="X626" i="8"/>
  <c r="AN167" i="8"/>
  <c r="AN225" i="8"/>
  <c r="AN318" i="8"/>
  <c r="X349" i="8"/>
  <c r="X256" i="8"/>
  <c r="X684" i="8"/>
  <c r="AN462" i="8"/>
  <c r="AN329" i="8"/>
  <c r="AN19" i="8"/>
  <c r="AN671" i="8"/>
  <c r="AN656" i="8"/>
  <c r="AN347" i="8"/>
  <c r="AN811" i="8"/>
  <c r="AN228" i="8"/>
  <c r="X224" i="8"/>
  <c r="AN156" i="8"/>
  <c r="X755" i="8"/>
  <c r="AN466" i="8"/>
  <c r="AN597" i="8"/>
  <c r="AN160" i="8"/>
  <c r="AN435" i="8"/>
  <c r="X611" i="8"/>
  <c r="X539" i="8"/>
  <c r="X659" i="8"/>
  <c r="X677" i="8"/>
  <c r="AN251" i="8"/>
  <c r="AN403" i="8"/>
  <c r="X687" i="8"/>
  <c r="X404" i="8"/>
  <c r="X92" i="8"/>
  <c r="AN498" i="8"/>
  <c r="X592" i="8"/>
  <c r="AN191" i="8"/>
  <c r="X31" i="8"/>
  <c r="AN337" i="8"/>
  <c r="AN554" i="8"/>
  <c r="AN322" i="8"/>
  <c r="AN186" i="8"/>
  <c r="AN129" i="8"/>
  <c r="X96" i="8"/>
  <c r="AN57" i="8"/>
  <c r="AN274" i="8"/>
  <c r="X583" i="8"/>
  <c r="X17" i="8"/>
  <c r="AN217" i="8"/>
  <c r="AN408" i="8"/>
  <c r="AN361" i="8"/>
  <c r="AN757" i="8"/>
  <c r="AN506" i="8"/>
  <c r="AN310" i="8"/>
  <c r="AN810" i="8"/>
  <c r="AN405" i="8"/>
  <c r="AN571" i="8"/>
  <c r="X533" i="8"/>
  <c r="AN260" i="8"/>
  <c r="X534" i="8"/>
  <c r="AN151" i="8"/>
  <c r="X236" i="8"/>
  <c r="AN181" i="8"/>
  <c r="AN537" i="8"/>
  <c r="X509" i="8"/>
  <c r="X694" i="8"/>
  <c r="AN204" i="8"/>
  <c r="AN348" i="8"/>
  <c r="AN95" i="8"/>
  <c r="X102" i="8"/>
  <c r="AN556" i="8"/>
  <c r="X703" i="8"/>
  <c r="AN689" i="8"/>
  <c r="AN198" i="8"/>
  <c r="X650" i="8"/>
  <c r="AN406" i="8"/>
  <c r="X386" i="8"/>
  <c r="X776" i="8"/>
  <c r="AN197" i="8"/>
  <c r="AN325" i="8"/>
  <c r="AN698" i="8"/>
  <c r="AN770" i="8"/>
  <c r="AN613" i="8"/>
  <c r="AN817" i="8"/>
  <c r="AN119" i="8"/>
  <c r="AN449" i="8"/>
  <c r="AN493" i="8"/>
  <c r="AN384" i="8"/>
  <c r="AN429" i="8"/>
  <c r="AN472" i="8"/>
  <c r="AN261" i="8"/>
  <c r="AN128" i="8"/>
  <c r="AN299" i="8"/>
  <c r="AN580" i="8"/>
  <c r="AN500" i="8"/>
  <c r="AN423" i="8"/>
  <c r="AN549" i="8"/>
  <c r="AN158" i="8"/>
  <c r="AN675" i="8"/>
  <c r="AN38" i="8"/>
  <c r="AN521" i="8"/>
  <c r="X711" i="8"/>
  <c r="AN210" i="8"/>
  <c r="AN212" i="8"/>
  <c r="AN300" i="8"/>
  <c r="AN106" i="8"/>
  <c r="AN452" i="8"/>
  <c r="AN745" i="8"/>
  <c r="X242" i="8"/>
  <c r="AN250" i="8"/>
  <c r="AN179" i="8"/>
  <c r="AN568" i="8"/>
  <c r="AN786" i="8"/>
  <c r="AN482" i="8"/>
  <c r="AN481" i="8"/>
  <c r="AN285" i="8"/>
  <c r="AN85" i="8"/>
  <c r="X222" i="8"/>
  <c r="AN805" i="8"/>
  <c r="X298" i="8"/>
  <c r="X723" i="8"/>
  <c r="AN779" i="8"/>
  <c r="AN366" i="8"/>
  <c r="AN64" i="8"/>
  <c r="AN579" i="8"/>
  <c r="X172" i="8"/>
  <c r="AN360" i="8"/>
  <c r="AN342" i="8"/>
  <c r="AN171" i="8"/>
  <c r="AN150" i="8"/>
  <c r="X700" i="8"/>
  <c r="X780" i="8"/>
  <c r="X249" i="8"/>
  <c r="AN114" i="8"/>
  <c r="AN720" i="8"/>
  <c r="AN37" i="8"/>
  <c r="AN546" i="8"/>
  <c r="AN398" i="8"/>
  <c r="AN400" i="8"/>
  <c r="X392" i="8"/>
  <c r="AN686" i="8"/>
  <c r="AN448" i="8"/>
  <c r="AN699" i="8"/>
  <c r="AN15" i="8"/>
  <c r="X402" i="8"/>
  <c r="AN199" i="8"/>
  <c r="AN489" i="8"/>
  <c r="AN333" i="8"/>
  <c r="AN666" i="8"/>
  <c r="AN706" i="8"/>
  <c r="AN63" i="8"/>
  <c r="AN584" i="8"/>
  <c r="AN708" i="8"/>
  <c r="X185" i="8"/>
  <c r="AN170" i="8"/>
  <c r="AN110" i="8"/>
  <c r="AN67" i="8"/>
  <c r="AN647" i="8"/>
  <c r="AN439" i="8"/>
  <c r="X148" i="8"/>
  <c r="AN78" i="8"/>
  <c r="AN391" i="8"/>
  <c r="X563" i="8"/>
  <c r="X352" i="8"/>
  <c r="AN461" i="8"/>
  <c r="AN672" i="8"/>
  <c r="AN440" i="8"/>
  <c r="AN574" i="8"/>
  <c r="X39" i="8"/>
  <c r="X26" i="8"/>
  <c r="X478" i="8"/>
  <c r="AN276" i="8"/>
  <c r="AN591" i="8"/>
  <c r="AN630" i="8"/>
  <c r="AN175" i="8"/>
  <c r="AN226" i="8"/>
  <c r="AN427" i="8"/>
  <c r="AN411" i="8"/>
  <c r="AN239" i="8"/>
  <c r="AN774" i="8"/>
  <c r="AN101" i="8"/>
  <c r="AN638" i="8"/>
  <c r="AN560" i="8"/>
  <c r="AN512" i="8"/>
  <c r="AN216" i="8"/>
  <c r="AN132" i="8"/>
  <c r="AN601" i="8"/>
  <c r="X183" i="8"/>
  <c r="X661" i="8"/>
  <c r="AN637" i="8"/>
  <c r="AN667" i="8"/>
  <c r="AN205" i="8"/>
  <c r="AN243" i="8"/>
  <c r="AN47" i="8"/>
  <c r="AN99" i="8"/>
  <c r="AN753" i="8"/>
  <c r="AN693" i="8"/>
  <c r="AN90" i="8"/>
  <c r="AN232" i="8"/>
  <c r="AN622" i="8"/>
  <c r="X799" i="8"/>
  <c r="X670" i="8"/>
  <c r="X399" i="8"/>
  <c r="AN731" i="8"/>
  <c r="AN412" i="8"/>
  <c r="AN654" i="8"/>
  <c r="AN350" i="8"/>
  <c r="AN390" i="8"/>
  <c r="AN522" i="8"/>
  <c r="AN419" i="8"/>
  <c r="AN797" i="8"/>
  <c r="AN378" i="8"/>
  <c r="AN503" i="8"/>
  <c r="AN781" i="8"/>
  <c r="AN27" i="8"/>
  <c r="AN291" i="8"/>
  <c r="AN735" i="8"/>
  <c r="AN550" i="8"/>
  <c r="AN380" i="8"/>
  <c r="AN587" i="8"/>
  <c r="AN313" i="8"/>
  <c r="AN431" i="8"/>
  <c r="AN248" i="8"/>
  <c r="AN497" i="8"/>
  <c r="AN51" i="8"/>
  <c r="AN48" i="8"/>
  <c r="AN754" i="8"/>
  <c r="AN277" i="8"/>
  <c r="AN113" i="8"/>
  <c r="AN653" i="8"/>
  <c r="AN778" i="8"/>
  <c r="AN371" i="8"/>
  <c r="AN785" i="8"/>
  <c r="AN538" i="8"/>
  <c r="AN515" i="8"/>
  <c r="AN777" i="8"/>
  <c r="AN415" i="8"/>
  <c r="AN359" i="8"/>
  <c r="AN690" i="8"/>
  <c r="AN71" i="8"/>
  <c r="AN729" i="8"/>
  <c r="AN394" i="8"/>
  <c r="AN162" i="8"/>
  <c r="AN43" i="8"/>
  <c r="X52" i="8"/>
  <c r="AN621" i="8"/>
  <c r="AN138" i="8"/>
  <c r="AN718" i="8"/>
  <c r="AN201" i="8"/>
  <c r="AN58" i="8"/>
  <c r="AN69" i="8"/>
  <c r="AN41" i="8"/>
  <c r="AN35" i="8"/>
  <c r="AN645" i="8"/>
  <c r="AN288" i="8"/>
  <c r="AN73" i="8"/>
  <c r="AN345" i="8"/>
  <c r="AN165" i="8"/>
  <c r="AN513" i="8"/>
  <c r="AN417" i="8"/>
  <c r="AN501" i="8"/>
  <c r="AN68" i="8"/>
  <c r="AN125" i="8"/>
  <c r="AN80" i="8"/>
  <c r="AN357" i="8"/>
  <c r="AN111" i="8"/>
  <c r="AN177" i="8"/>
  <c r="AN193" i="8"/>
  <c r="AN203" i="8"/>
  <c r="AN169" i="8"/>
  <c r="AN465" i="8"/>
  <c r="AN23" i="8"/>
  <c r="AN321" i="8"/>
  <c r="AN741" i="8"/>
  <c r="AN715" i="8"/>
  <c r="AN453" i="8"/>
  <c r="AN487" i="8"/>
  <c r="AN139" i="8"/>
  <c r="AN263" i="8"/>
  <c r="AN309" i="8"/>
  <c r="AQ6" i="8" l="1"/>
  <c r="AQ7" i="8"/>
  <c r="E8" i="2" l="1"/>
  <c r="E9" i="2" s="1"/>
  <c r="E10" i="2" s="1"/>
  <c r="E11" i="2" s="1"/>
  <c r="E12" i="2" s="1"/>
  <c r="E13" i="2" s="1"/>
  <c r="E14" i="2" s="1"/>
  <c r="E15" i="2" s="1"/>
  <c r="E16" i="2" s="1"/>
  <c r="E17" i="2" s="1"/>
  <c r="E18" i="2" s="1"/>
  <c r="E19" i="2" s="1"/>
  <c r="E20" i="2" s="1"/>
  <c r="E21" i="2" s="1"/>
  <c r="E22" i="2" s="1"/>
  <c r="E23" i="2" s="1"/>
  <c r="E24" i="2" s="1"/>
  <c r="E25" i="2" s="1"/>
  <c r="E26" i="2" s="1"/>
  <c r="E27" i="2" s="1"/>
  <c r="E28" i="2" s="1"/>
  <c r="E29" i="2" s="1"/>
  <c r="E30" i="2" s="1"/>
  <c r="E31" i="2" s="1"/>
  <c r="E32" i="2" s="1"/>
  <c r="E33" i="2" s="1"/>
  <c r="E34" i="2" s="1"/>
  <c r="E35" i="2" s="1"/>
  <c r="E36" i="2" s="1"/>
  <c r="E37" i="2" s="1"/>
  <c r="E38" i="2" s="1"/>
  <c r="E39" i="2" s="1"/>
  <c r="E40" i="2" s="1"/>
  <c r="E41" i="2" s="1"/>
  <c r="E42" i="2" s="1"/>
  <c r="E43" i="2" s="1"/>
  <c r="E44" i="2" s="1"/>
  <c r="E45" i="2" s="1"/>
  <c r="E46" i="2" s="1"/>
  <c r="E47" i="2" s="1"/>
  <c r="E48" i="2" s="1"/>
  <c r="E49" i="2" s="1"/>
  <c r="E50" i="2" s="1"/>
  <c r="E51" i="2" s="1"/>
  <c r="E52" i="2" s="1"/>
  <c r="E53" i="2" s="1"/>
  <c r="E54" i="2" s="1"/>
  <c r="E55" i="2" s="1"/>
  <c r="E56" i="2" s="1"/>
  <c r="E57" i="2" s="1"/>
  <c r="E58" i="2" s="1"/>
  <c r="E59" i="2" s="1"/>
  <c r="E60" i="2" s="1"/>
  <c r="E61" i="2" s="1"/>
  <c r="E62" i="2" s="1"/>
  <c r="E63" i="2" s="1"/>
  <c r="E64" i="2" s="1"/>
  <c r="E65" i="2" s="1"/>
  <c r="E66" i="2" s="1"/>
  <c r="E67" i="2" s="1"/>
  <c r="E68" i="2" s="1"/>
  <c r="E69" i="2" s="1"/>
  <c r="E70" i="2" s="1"/>
  <c r="E71" i="2" s="1"/>
  <c r="E72" i="2" s="1"/>
  <c r="E73" i="2" s="1"/>
  <c r="E74" i="2" s="1"/>
  <c r="E75" i="2" s="1"/>
  <c r="E76" i="2" s="1"/>
  <c r="E77" i="2" s="1"/>
  <c r="E78" i="2" s="1"/>
  <c r="E79" i="2" s="1"/>
  <c r="E80" i="2" s="1"/>
  <c r="E81" i="2" s="1"/>
  <c r="E82" i="2" s="1"/>
  <c r="E83" i="2" s="1"/>
  <c r="E84" i="2" s="1"/>
  <c r="E85" i="2" s="1"/>
  <c r="E86" i="2" s="1"/>
  <c r="E87" i="2" s="1"/>
  <c r="E88" i="2" s="1"/>
  <c r="E89" i="2" s="1"/>
  <c r="E90" i="2" s="1"/>
  <c r="E91" i="2" s="1"/>
  <c r="E92" i="2" s="1"/>
  <c r="E93" i="2" s="1"/>
  <c r="E94" i="2" s="1"/>
  <c r="E95" i="2" s="1"/>
  <c r="E96" i="2" s="1"/>
  <c r="E97" i="2" s="1"/>
  <c r="E98" i="2" s="1"/>
  <c r="E99" i="2" s="1"/>
  <c r="E100" i="2" s="1"/>
  <c r="E101" i="2" s="1"/>
  <c r="E102" i="2" s="1"/>
  <c r="E103" i="2" s="1"/>
  <c r="E104" i="2" s="1"/>
  <c r="E105" i="2" s="1"/>
  <c r="E106" i="2" s="1"/>
  <c r="E107" i="2" s="1"/>
  <c r="E108" i="2" s="1"/>
  <c r="E109" i="2" s="1"/>
  <c r="E110" i="2" s="1"/>
  <c r="E111" i="2" s="1"/>
  <c r="E112" i="2" s="1"/>
  <c r="E113" i="2" s="1"/>
  <c r="E114" i="2" s="1"/>
  <c r="E115" i="2" s="1"/>
  <c r="E116" i="2" s="1"/>
  <c r="E117" i="2" s="1"/>
  <c r="E118" i="2" s="1"/>
  <c r="E119" i="2" s="1"/>
  <c r="E120" i="2" s="1"/>
  <c r="E121" i="2" s="1"/>
  <c r="E122" i="2" s="1"/>
  <c r="E123" i="2" s="1"/>
  <c r="E124" i="2" s="1"/>
  <c r="E125" i="2" s="1"/>
  <c r="E126" i="2" s="1"/>
  <c r="E127" i="2" s="1"/>
  <c r="E128" i="2" s="1"/>
  <c r="E129" i="2" s="1"/>
  <c r="E130" i="2" s="1"/>
  <c r="E131" i="2" s="1"/>
  <c r="E132" i="2" s="1"/>
  <c r="E133" i="2" s="1"/>
  <c r="E134" i="2" s="1"/>
  <c r="E135" i="2" s="1"/>
  <c r="E136" i="2" s="1"/>
  <c r="E137" i="2" s="1"/>
  <c r="E138" i="2" s="1"/>
  <c r="E139" i="2" s="1"/>
  <c r="E140" i="2" s="1"/>
  <c r="E141" i="2" s="1"/>
  <c r="E142" i="2" s="1"/>
  <c r="E143" i="2" s="1"/>
  <c r="E144" i="2" s="1"/>
  <c r="E145" i="2" s="1"/>
  <c r="E146" i="2" s="1"/>
  <c r="E147" i="2" s="1"/>
  <c r="E148" i="2" s="1"/>
  <c r="E149" i="2" s="1"/>
  <c r="E150" i="2" s="1"/>
  <c r="E151" i="2" s="1"/>
  <c r="E152" i="2" s="1"/>
  <c r="E153" i="2" s="1"/>
  <c r="E154" i="2" s="1"/>
  <c r="E155" i="2" s="1"/>
  <c r="E156" i="2" s="1"/>
  <c r="E157" i="2" s="1"/>
  <c r="E158" i="2" s="1"/>
  <c r="E159" i="2" s="1"/>
  <c r="E160" i="2" s="1"/>
  <c r="E161" i="2" s="1"/>
  <c r="E162" i="2" s="1"/>
  <c r="E163" i="2" s="1"/>
  <c r="E164" i="2" s="1"/>
  <c r="E165" i="2" s="1"/>
  <c r="E166" i="2" s="1"/>
  <c r="E167" i="2" s="1"/>
  <c r="E168" i="2" s="1"/>
  <c r="E169" i="2" s="1"/>
  <c r="E170" i="2" s="1"/>
  <c r="E171" i="2" s="1"/>
  <c r="E172" i="2" s="1"/>
  <c r="E173" i="2" s="1"/>
  <c r="E174" i="2" s="1"/>
  <c r="E175" i="2" s="1"/>
  <c r="E176" i="2" s="1"/>
  <c r="E177" i="2" s="1"/>
  <c r="E178" i="2" s="1"/>
  <c r="E179" i="2" s="1"/>
  <c r="E180" i="2" s="1"/>
  <c r="E181" i="2" s="1"/>
  <c r="E182" i="2" s="1"/>
  <c r="E183" i="2" s="1"/>
  <c r="E184" i="2" s="1"/>
  <c r="E185" i="2" s="1"/>
  <c r="E186" i="2" s="1"/>
  <c r="E187" i="2" s="1"/>
  <c r="E188" i="2" s="1"/>
  <c r="E189" i="2" s="1"/>
  <c r="E190" i="2" s="1"/>
  <c r="E191" i="2" s="1"/>
  <c r="E192" i="2" s="1"/>
  <c r="E193" i="2" s="1"/>
  <c r="E194" i="2" s="1"/>
  <c r="E195" i="2" s="1"/>
  <c r="E196" i="2" s="1"/>
  <c r="E197" i="2" s="1"/>
  <c r="E198" i="2" s="1"/>
  <c r="E199" i="2" s="1"/>
  <c r="E200" i="2" s="1"/>
  <c r="E201" i="2" s="1"/>
  <c r="E202" i="2" s="1"/>
  <c r="E203" i="2" s="1"/>
  <c r="E204" i="2" s="1"/>
  <c r="E205" i="2" s="1"/>
  <c r="E206" i="2" s="1"/>
  <c r="E207" i="2" s="1"/>
  <c r="E208" i="2" s="1"/>
  <c r="E209" i="2" s="1"/>
  <c r="E210" i="2" s="1"/>
  <c r="E211" i="2" s="1"/>
  <c r="E212" i="2" s="1"/>
  <c r="E213" i="2" s="1"/>
  <c r="E214" i="2" s="1"/>
  <c r="E215" i="2" s="1"/>
  <c r="E216" i="2" s="1"/>
  <c r="E217" i="2" s="1"/>
  <c r="E218" i="2" s="1"/>
  <c r="E219" i="2" s="1"/>
  <c r="E220" i="2" s="1"/>
  <c r="E221" i="2" s="1"/>
  <c r="E222" i="2" s="1"/>
  <c r="E223" i="2" s="1"/>
  <c r="E224" i="2" s="1"/>
  <c r="E225" i="2" s="1"/>
  <c r="E226" i="2" s="1"/>
  <c r="E227" i="2" s="1"/>
  <c r="E228" i="2" s="1"/>
  <c r="E229" i="2" s="1"/>
  <c r="E230" i="2" s="1"/>
  <c r="E231" i="2" s="1"/>
  <c r="E232" i="2" s="1"/>
  <c r="E233" i="2" s="1"/>
  <c r="E234" i="2" s="1"/>
  <c r="E235" i="2" s="1"/>
  <c r="E236" i="2" s="1"/>
  <c r="E237" i="2" s="1"/>
  <c r="E238" i="2" s="1"/>
  <c r="E239" i="2" s="1"/>
  <c r="E240" i="2" s="1"/>
  <c r="E241" i="2" s="1"/>
  <c r="E242" i="2" s="1"/>
  <c r="E243" i="2" s="1"/>
  <c r="E244" i="2" s="1"/>
  <c r="E245" i="2" s="1"/>
  <c r="E246" i="2" s="1"/>
  <c r="E247" i="2" s="1"/>
  <c r="E248" i="2" s="1"/>
  <c r="E249" i="2" s="1"/>
  <c r="E250" i="2" s="1"/>
  <c r="E251" i="2" s="1"/>
  <c r="E252" i="2" s="1"/>
  <c r="E253" i="2" s="1"/>
  <c r="E254" i="2" s="1"/>
  <c r="E255" i="2" s="1"/>
  <c r="E256" i="2" s="1"/>
  <c r="E257" i="2" s="1"/>
  <c r="E258" i="2" s="1"/>
  <c r="E259" i="2" s="1"/>
  <c r="E260" i="2" s="1"/>
  <c r="E261" i="2" s="1"/>
  <c r="E262" i="2" s="1"/>
  <c r="E263" i="2" s="1"/>
  <c r="E264" i="2" s="1"/>
  <c r="E265" i="2" s="1"/>
  <c r="E266" i="2" s="1"/>
  <c r="E267" i="2" s="1"/>
  <c r="E268" i="2" s="1"/>
  <c r="E269" i="2" s="1"/>
  <c r="E270" i="2" s="1"/>
  <c r="E271" i="2" s="1"/>
  <c r="E272" i="2" s="1"/>
  <c r="E273" i="2" s="1"/>
  <c r="E274" i="2" s="1"/>
  <c r="E275" i="2" s="1"/>
  <c r="E276" i="2" s="1"/>
  <c r="E277" i="2" s="1"/>
  <c r="E278" i="2" s="1"/>
  <c r="E279" i="2" s="1"/>
  <c r="E280" i="2" s="1"/>
  <c r="E281" i="2" s="1"/>
  <c r="E282" i="2" s="1"/>
  <c r="E283" i="2" s="1"/>
  <c r="E284" i="2" s="1"/>
  <c r="E285" i="2" s="1"/>
  <c r="E286" i="2" s="1"/>
  <c r="E287" i="2" s="1"/>
  <c r="E288" i="2" s="1"/>
  <c r="E289" i="2" s="1"/>
  <c r="E290" i="2" s="1"/>
  <c r="E291" i="2" s="1"/>
  <c r="E292" i="2" s="1"/>
  <c r="E293" i="2" s="1"/>
  <c r="E294" i="2" s="1"/>
  <c r="E295" i="2" s="1"/>
  <c r="E296" i="2" s="1"/>
  <c r="E297" i="2" s="1"/>
  <c r="E298" i="2" s="1"/>
  <c r="E299" i="2" s="1"/>
  <c r="E300" i="2" s="1"/>
  <c r="E301" i="2" s="1"/>
  <c r="E302" i="2" s="1"/>
  <c r="E303" i="2" s="1"/>
  <c r="E304" i="2" s="1"/>
  <c r="E305" i="2" s="1"/>
  <c r="E306" i="2" s="1"/>
  <c r="E307" i="2" s="1"/>
  <c r="E308" i="2" s="1"/>
  <c r="E309" i="2" s="1"/>
  <c r="E310" i="2" s="1"/>
  <c r="E311" i="2" s="1"/>
  <c r="E312" i="2" s="1"/>
  <c r="E313" i="2" s="1"/>
  <c r="E314" i="2" s="1"/>
  <c r="E315" i="2" s="1"/>
  <c r="E316" i="2" s="1"/>
  <c r="E317" i="2" s="1"/>
  <c r="E318" i="2" s="1"/>
  <c r="E319" i="2" s="1"/>
  <c r="E320" i="2" s="1"/>
  <c r="E321" i="2" s="1"/>
  <c r="E322" i="2" s="1"/>
  <c r="E323" i="2" s="1"/>
  <c r="E324" i="2" s="1"/>
  <c r="E325" i="2" s="1"/>
  <c r="E326" i="2" s="1"/>
  <c r="E327" i="2" s="1"/>
  <c r="E328" i="2" s="1"/>
  <c r="E329" i="2" s="1"/>
  <c r="E330" i="2" s="1"/>
  <c r="E331" i="2" s="1"/>
  <c r="E332" i="2" s="1"/>
  <c r="E333" i="2" s="1"/>
  <c r="E334" i="2" s="1"/>
  <c r="E335" i="2" s="1"/>
  <c r="E336" i="2" s="1"/>
  <c r="E337" i="2" s="1"/>
  <c r="E338" i="2" s="1"/>
  <c r="E339" i="2" s="1"/>
  <c r="E340" i="2" s="1"/>
  <c r="E341" i="2" s="1"/>
  <c r="E342" i="2" s="1"/>
  <c r="E343" i="2" s="1"/>
  <c r="E344" i="2" s="1"/>
  <c r="E345" i="2" s="1"/>
  <c r="E346" i="2" s="1"/>
  <c r="E347" i="2" s="1"/>
  <c r="E348" i="2" s="1"/>
  <c r="E349" i="2" s="1"/>
  <c r="E350" i="2" s="1"/>
  <c r="E351" i="2" s="1"/>
  <c r="E352" i="2" s="1"/>
  <c r="E353" i="2" s="1"/>
  <c r="E354" i="2" s="1"/>
  <c r="E355" i="2" s="1"/>
  <c r="E356" i="2" s="1"/>
  <c r="E357" i="2" s="1"/>
  <c r="E358" i="2" s="1"/>
  <c r="E359" i="2" s="1"/>
  <c r="E360" i="2" s="1"/>
  <c r="E361" i="2" s="1"/>
  <c r="E362" i="2" s="1"/>
  <c r="E363" i="2" s="1"/>
  <c r="E364" i="2" s="1"/>
  <c r="E365" i="2" s="1"/>
  <c r="E366" i="2" s="1"/>
  <c r="E367" i="2" s="1"/>
  <c r="E368" i="2" s="1"/>
  <c r="E369" i="2" s="1"/>
  <c r="E370" i="2" s="1"/>
  <c r="E371" i="2" s="1"/>
  <c r="E372" i="2" s="1"/>
  <c r="E373" i="2" s="1"/>
  <c r="E374" i="2" s="1"/>
  <c r="E375" i="2" s="1"/>
  <c r="E376" i="2" s="1"/>
  <c r="E377" i="2" s="1"/>
  <c r="E378" i="2" s="1"/>
  <c r="E379" i="2" s="1"/>
  <c r="E380" i="2" s="1"/>
  <c r="E381" i="2" s="1"/>
  <c r="E382" i="2" s="1"/>
  <c r="E383" i="2" s="1"/>
  <c r="E384" i="2" s="1"/>
  <c r="E385" i="2" s="1"/>
  <c r="E386" i="2" s="1"/>
  <c r="E387" i="2" s="1"/>
  <c r="E388" i="2" s="1"/>
  <c r="E389" i="2" s="1"/>
  <c r="E390" i="2" s="1"/>
  <c r="E391" i="2" s="1"/>
  <c r="E392" i="2" s="1"/>
  <c r="E393" i="2" s="1"/>
  <c r="E394" i="2" s="1"/>
  <c r="E395" i="2" s="1"/>
  <c r="E396" i="2" s="1"/>
  <c r="E397" i="2" s="1"/>
  <c r="E398" i="2" s="1"/>
  <c r="E399" i="2" s="1"/>
  <c r="E400" i="2" s="1"/>
  <c r="E401" i="2" s="1"/>
  <c r="E402" i="2" s="1"/>
  <c r="E403" i="2" s="1"/>
  <c r="E404" i="2" s="1"/>
  <c r="E405" i="2" s="1"/>
  <c r="E406" i="2" s="1"/>
  <c r="E407" i="2" s="1"/>
  <c r="E408" i="2" s="1"/>
  <c r="E409" i="2" s="1"/>
  <c r="E410" i="2" s="1"/>
  <c r="E411" i="2" s="1"/>
  <c r="E412" i="2" s="1"/>
  <c r="E413" i="2" s="1"/>
  <c r="E414" i="2" s="1"/>
  <c r="E415" i="2" s="1"/>
  <c r="E416" i="2" s="1"/>
  <c r="E417" i="2" s="1"/>
  <c r="E418" i="2" s="1"/>
  <c r="E419" i="2" s="1"/>
  <c r="E420" i="2" s="1"/>
  <c r="E421" i="2" s="1"/>
  <c r="E422" i="2" s="1"/>
  <c r="E423" i="2" s="1"/>
  <c r="E424" i="2" s="1"/>
  <c r="E425" i="2" s="1"/>
  <c r="E426" i="2" s="1"/>
  <c r="E427" i="2" s="1"/>
  <c r="E428" i="2" s="1"/>
  <c r="E429" i="2" s="1"/>
  <c r="E430" i="2" s="1"/>
  <c r="E431" i="2" s="1"/>
  <c r="E432" i="2" s="1"/>
  <c r="E433" i="2" s="1"/>
  <c r="E434" i="2" s="1"/>
  <c r="E435" i="2" s="1"/>
  <c r="E436" i="2" s="1"/>
  <c r="E437" i="2" s="1"/>
  <c r="E438" i="2" s="1"/>
  <c r="E439" i="2" s="1"/>
  <c r="E440" i="2" s="1"/>
  <c r="E441" i="2" s="1"/>
  <c r="E442" i="2" s="1"/>
  <c r="E443" i="2" s="1"/>
  <c r="E444" i="2" s="1"/>
  <c r="E445" i="2" s="1"/>
  <c r="E446" i="2" s="1"/>
  <c r="E447" i="2" s="1"/>
  <c r="E448" i="2" s="1"/>
  <c r="E449" i="2" s="1"/>
  <c r="E450" i="2" s="1"/>
  <c r="E451" i="2" s="1"/>
  <c r="E452" i="2" s="1"/>
  <c r="E453" i="2" s="1"/>
  <c r="E454" i="2" s="1"/>
  <c r="E455" i="2" s="1"/>
  <c r="E456" i="2" s="1"/>
  <c r="E457" i="2" s="1"/>
  <c r="E458" i="2" s="1"/>
  <c r="E459" i="2" s="1"/>
  <c r="E460" i="2" s="1"/>
  <c r="E461" i="2" s="1"/>
  <c r="E462" i="2" s="1"/>
  <c r="E463" i="2" s="1"/>
  <c r="E464" i="2" s="1"/>
  <c r="E465" i="2" s="1"/>
  <c r="E466" i="2" s="1"/>
  <c r="E467" i="2" s="1"/>
  <c r="E468" i="2" s="1"/>
  <c r="E469" i="2" s="1"/>
  <c r="E470" i="2" s="1"/>
  <c r="E471" i="2" s="1"/>
  <c r="E472" i="2" s="1"/>
  <c r="E473" i="2" s="1"/>
  <c r="E474" i="2" s="1"/>
  <c r="E475" i="2" s="1"/>
  <c r="E476" i="2" s="1"/>
  <c r="E477" i="2" s="1"/>
  <c r="E478" i="2" s="1"/>
  <c r="E479" i="2" s="1"/>
  <c r="E480" i="2" s="1"/>
  <c r="E481" i="2" s="1"/>
  <c r="E482" i="2" s="1"/>
  <c r="E483" i="2" s="1"/>
  <c r="E484" i="2" s="1"/>
  <c r="E485" i="2" s="1"/>
  <c r="E486" i="2" s="1"/>
  <c r="E487" i="2" s="1"/>
  <c r="E488" i="2" s="1"/>
  <c r="E489" i="2" s="1"/>
  <c r="E490" i="2" s="1"/>
  <c r="E491" i="2" s="1"/>
  <c r="E492" i="2" s="1"/>
  <c r="E493" i="2" s="1"/>
  <c r="E494" i="2" s="1"/>
  <c r="E495" i="2" s="1"/>
  <c r="E496" i="2" s="1"/>
  <c r="E497" i="2" s="1"/>
  <c r="E498" i="2" s="1"/>
  <c r="E499" i="2" s="1"/>
  <c r="E500" i="2" s="1"/>
  <c r="E501" i="2" s="1"/>
  <c r="E502" i="2" s="1"/>
  <c r="E503" i="2" s="1"/>
  <c r="E504" i="2" s="1"/>
  <c r="E505" i="2" s="1"/>
  <c r="E506" i="2" s="1"/>
  <c r="E507" i="2" s="1"/>
  <c r="E508" i="2" s="1"/>
  <c r="E509" i="2" s="1"/>
  <c r="E510" i="2" s="1"/>
  <c r="E511" i="2" s="1"/>
  <c r="E512" i="2" s="1"/>
  <c r="E513" i="2" s="1"/>
  <c r="E514" i="2" s="1"/>
  <c r="E515" i="2" s="1"/>
  <c r="E516" i="2" s="1"/>
  <c r="E517" i="2" s="1"/>
  <c r="E518" i="2" s="1"/>
  <c r="E519" i="2" s="1"/>
  <c r="E520" i="2" s="1"/>
  <c r="E521" i="2" s="1"/>
  <c r="E522" i="2" s="1"/>
  <c r="E523" i="2" s="1"/>
  <c r="E524" i="2" s="1"/>
  <c r="E525" i="2" s="1"/>
  <c r="E526" i="2" s="1"/>
  <c r="E527" i="2" s="1"/>
  <c r="E528" i="2" s="1"/>
  <c r="E529" i="2" s="1"/>
  <c r="E530" i="2" s="1"/>
  <c r="E531" i="2" s="1"/>
  <c r="E532" i="2" s="1"/>
  <c r="E533" i="2" s="1"/>
  <c r="E534" i="2" s="1"/>
  <c r="E535" i="2" s="1"/>
  <c r="E536" i="2" s="1"/>
  <c r="E537" i="2" s="1"/>
  <c r="E538" i="2" s="1"/>
  <c r="E539" i="2" s="1"/>
  <c r="E540" i="2" s="1"/>
  <c r="E541" i="2" s="1"/>
  <c r="E542" i="2" s="1"/>
  <c r="E543" i="2" s="1"/>
  <c r="E544" i="2" s="1"/>
  <c r="E545" i="2" s="1"/>
  <c r="E546" i="2" s="1"/>
  <c r="E547" i="2" s="1"/>
  <c r="E548" i="2" s="1"/>
  <c r="E549" i="2" s="1"/>
  <c r="E550" i="2" s="1"/>
  <c r="E551" i="2" s="1"/>
  <c r="E552" i="2" s="1"/>
  <c r="E553" i="2" s="1"/>
  <c r="E554" i="2" s="1"/>
  <c r="E555" i="2" s="1"/>
  <c r="E556" i="2" s="1"/>
  <c r="E557" i="2" s="1"/>
  <c r="E558" i="2" s="1"/>
  <c r="E559" i="2" s="1"/>
  <c r="E560" i="2" s="1"/>
  <c r="E561" i="2" s="1"/>
  <c r="E562" i="2" s="1"/>
  <c r="E563" i="2" s="1"/>
  <c r="E564" i="2" s="1"/>
  <c r="E565" i="2" s="1"/>
  <c r="E566" i="2" s="1"/>
  <c r="E567" i="2" s="1"/>
  <c r="E568" i="2" s="1"/>
  <c r="E569" i="2" s="1"/>
  <c r="E570" i="2" s="1"/>
  <c r="E571" i="2" s="1"/>
  <c r="E572" i="2" s="1"/>
  <c r="E573" i="2" s="1"/>
  <c r="E574" i="2" s="1"/>
  <c r="E575" i="2" s="1"/>
  <c r="E576" i="2" s="1"/>
  <c r="E577" i="2" s="1"/>
  <c r="E578" i="2" s="1"/>
  <c r="E579" i="2" s="1"/>
  <c r="E580" i="2" s="1"/>
  <c r="E581" i="2" s="1"/>
  <c r="E582" i="2" s="1"/>
  <c r="E583" i="2" s="1"/>
  <c r="E584" i="2" s="1"/>
  <c r="E585" i="2" s="1"/>
  <c r="E586" i="2" s="1"/>
  <c r="E587" i="2" s="1"/>
  <c r="E588" i="2" s="1"/>
  <c r="E589" i="2" s="1"/>
  <c r="E590" i="2" s="1"/>
  <c r="E591" i="2" s="1"/>
  <c r="E592" i="2" s="1"/>
  <c r="E593" i="2" s="1"/>
  <c r="E594" i="2" s="1"/>
  <c r="E595" i="2" s="1"/>
  <c r="E596" i="2" s="1"/>
  <c r="E597" i="2" s="1"/>
  <c r="E598" i="2" s="1"/>
  <c r="E599" i="2" s="1"/>
  <c r="E600" i="2" s="1"/>
  <c r="E601" i="2" s="1"/>
  <c r="E602" i="2" s="1"/>
  <c r="E603" i="2" s="1"/>
  <c r="E604" i="2" s="1"/>
  <c r="E605" i="2" s="1"/>
  <c r="E606" i="2" s="1"/>
  <c r="E607" i="2" s="1"/>
  <c r="E608" i="2" s="1"/>
  <c r="E609" i="2" s="1"/>
  <c r="E610" i="2" s="1"/>
  <c r="E611" i="2" s="1"/>
  <c r="E612" i="2" s="1"/>
  <c r="E613" i="2" s="1"/>
  <c r="E614" i="2" s="1"/>
  <c r="E615" i="2" s="1"/>
  <c r="E616" i="2" s="1"/>
  <c r="E617" i="2" s="1"/>
  <c r="E618" i="2" s="1"/>
  <c r="E619" i="2" s="1"/>
  <c r="E620" i="2" s="1"/>
  <c r="E621" i="2" s="1"/>
  <c r="E622" i="2" s="1"/>
  <c r="E623" i="2" s="1"/>
  <c r="E624" i="2" s="1"/>
  <c r="E625" i="2" s="1"/>
  <c r="E626" i="2" s="1"/>
  <c r="E627" i="2" s="1"/>
  <c r="E628" i="2" s="1"/>
  <c r="E629" i="2" s="1"/>
  <c r="E630" i="2" s="1"/>
  <c r="E631" i="2" s="1"/>
  <c r="E632" i="2" s="1"/>
  <c r="E633" i="2" s="1"/>
  <c r="E634" i="2" s="1"/>
  <c r="E635" i="2" s="1"/>
  <c r="E636" i="2" s="1"/>
  <c r="E637" i="2" s="1"/>
  <c r="E638" i="2" s="1"/>
  <c r="E639" i="2" s="1"/>
  <c r="E640" i="2" s="1"/>
  <c r="E641" i="2" s="1"/>
  <c r="E642" i="2" s="1"/>
  <c r="E643" i="2" s="1"/>
  <c r="E644" i="2" s="1"/>
  <c r="E645" i="2" s="1"/>
  <c r="E646" i="2" s="1"/>
  <c r="E647" i="2" s="1"/>
  <c r="E648" i="2" s="1"/>
  <c r="E649" i="2" s="1"/>
  <c r="E650" i="2" s="1"/>
  <c r="E651" i="2" s="1"/>
  <c r="E652" i="2" s="1"/>
  <c r="E653" i="2" s="1"/>
  <c r="E654" i="2" s="1"/>
  <c r="E655" i="2" s="1"/>
  <c r="E656" i="2" s="1"/>
  <c r="E657" i="2" s="1"/>
  <c r="E658" i="2" s="1"/>
  <c r="E659" i="2" s="1"/>
  <c r="E660" i="2" s="1"/>
  <c r="E661" i="2" s="1"/>
  <c r="E662" i="2" s="1"/>
  <c r="E663" i="2" s="1"/>
  <c r="E664" i="2" s="1"/>
  <c r="E665" i="2" s="1"/>
  <c r="E666" i="2" s="1"/>
  <c r="E667" i="2" s="1"/>
  <c r="E668" i="2" s="1"/>
  <c r="E669" i="2" s="1"/>
  <c r="E670" i="2" s="1"/>
  <c r="E671" i="2" s="1"/>
  <c r="E672" i="2" s="1"/>
  <c r="E673" i="2" s="1"/>
  <c r="E674" i="2" s="1"/>
  <c r="E675" i="2" s="1"/>
  <c r="E676" i="2" s="1"/>
  <c r="E677" i="2" s="1"/>
  <c r="E678" i="2" s="1"/>
  <c r="E679" i="2" s="1"/>
  <c r="E680" i="2" s="1"/>
  <c r="E681" i="2" s="1"/>
  <c r="E682" i="2" s="1"/>
  <c r="E683" i="2" s="1"/>
  <c r="E684" i="2" s="1"/>
  <c r="E685" i="2" s="1"/>
  <c r="E686" i="2" s="1"/>
  <c r="E687" i="2" s="1"/>
  <c r="E688" i="2" s="1"/>
  <c r="E689" i="2" s="1"/>
  <c r="E690" i="2" s="1"/>
  <c r="E691" i="2" s="1"/>
  <c r="E692" i="2" s="1"/>
  <c r="E693" i="2" s="1"/>
  <c r="E694" i="2" s="1"/>
  <c r="E695" i="2" s="1"/>
  <c r="E696" i="2" s="1"/>
  <c r="E697" i="2" s="1"/>
  <c r="E698" i="2" s="1"/>
  <c r="E699" i="2" s="1"/>
  <c r="E700" i="2" s="1"/>
  <c r="E701" i="2" s="1"/>
  <c r="E702" i="2" s="1"/>
  <c r="E703" i="2" s="1"/>
  <c r="E704" i="2" s="1"/>
  <c r="E705" i="2" s="1"/>
  <c r="E706" i="2" s="1"/>
  <c r="E707" i="2" s="1"/>
  <c r="E708" i="2" s="1"/>
  <c r="E709" i="2" s="1"/>
  <c r="E710" i="2" s="1"/>
  <c r="E711" i="2" s="1"/>
  <c r="E712" i="2" s="1"/>
  <c r="E713" i="2" s="1"/>
  <c r="E714" i="2" s="1"/>
  <c r="E715" i="2" s="1"/>
  <c r="E716" i="2" s="1"/>
  <c r="E717" i="2" s="1"/>
  <c r="E718" i="2" s="1"/>
  <c r="E719" i="2" s="1"/>
  <c r="E720" i="2" s="1"/>
  <c r="E721" i="2" s="1"/>
  <c r="E722" i="2" s="1"/>
  <c r="E723" i="2" s="1"/>
  <c r="E724" i="2" s="1"/>
  <c r="E725" i="2" s="1"/>
  <c r="E726" i="2" s="1"/>
  <c r="E727" i="2" s="1"/>
  <c r="E728" i="2" s="1"/>
  <c r="E729" i="2" s="1"/>
  <c r="E730" i="2" s="1"/>
  <c r="E731" i="2" s="1"/>
  <c r="E732" i="2" s="1"/>
  <c r="E733" i="2" s="1"/>
  <c r="E734" i="2" s="1"/>
  <c r="E735" i="2" s="1"/>
  <c r="E736" i="2" s="1"/>
  <c r="E737" i="2" s="1"/>
  <c r="E738" i="2" s="1"/>
  <c r="E739" i="2" s="1"/>
  <c r="E740" i="2" s="1"/>
  <c r="E741" i="2" s="1"/>
  <c r="E742" i="2" s="1"/>
  <c r="E743" i="2" s="1"/>
  <c r="E744" i="2" s="1"/>
  <c r="E745" i="2" s="1"/>
  <c r="E746" i="2" s="1"/>
  <c r="E747" i="2" s="1"/>
  <c r="E748" i="2" s="1"/>
  <c r="E749" i="2" s="1"/>
  <c r="E750" i="2" s="1"/>
  <c r="E751" i="2" s="1"/>
  <c r="E752" i="2" s="1"/>
  <c r="E753" i="2" s="1"/>
  <c r="E754" i="2" s="1"/>
  <c r="E755" i="2" s="1"/>
  <c r="E756" i="2" s="1"/>
  <c r="E757" i="2" s="1"/>
  <c r="E758" i="2" s="1"/>
  <c r="E759" i="2" s="1"/>
  <c r="E760" i="2" s="1"/>
  <c r="E761" i="2" s="1"/>
  <c r="E762" i="2" s="1"/>
  <c r="E763" i="2" s="1"/>
  <c r="E764" i="2" s="1"/>
  <c r="E765" i="2" s="1"/>
  <c r="E766" i="2" s="1"/>
  <c r="E767" i="2" s="1"/>
  <c r="E768" i="2" s="1"/>
  <c r="E769" i="2" s="1"/>
  <c r="E770" i="2" s="1"/>
  <c r="E771" i="2" s="1"/>
  <c r="E772" i="2" s="1"/>
  <c r="E773" i="2" s="1"/>
  <c r="E774" i="2" s="1"/>
  <c r="E775" i="2" s="1"/>
  <c r="E776" i="2" s="1"/>
  <c r="E777" i="2" s="1"/>
  <c r="E778" i="2" s="1"/>
  <c r="E779" i="2" s="1"/>
  <c r="E780" i="2" s="1"/>
  <c r="E781" i="2" s="1"/>
  <c r="E782" i="2" s="1"/>
  <c r="E783" i="2" s="1"/>
  <c r="E784" i="2" s="1"/>
  <c r="E785" i="2" s="1"/>
  <c r="E786" i="2" s="1"/>
  <c r="E787" i="2" s="1"/>
  <c r="E788" i="2" s="1"/>
  <c r="E789" i="2" s="1"/>
  <c r="E790" i="2" s="1"/>
  <c r="E791" i="2" s="1"/>
  <c r="E792" i="2" s="1"/>
  <c r="E793" i="2" s="1"/>
  <c r="E794" i="2" s="1"/>
  <c r="E795" i="2" s="1"/>
  <c r="E796" i="2" s="1"/>
  <c r="E797" i="2" s="1"/>
  <c r="E798" i="2" s="1"/>
  <c r="E799" i="2" s="1"/>
  <c r="E800" i="2" s="1"/>
  <c r="E801" i="2" s="1"/>
  <c r="E802" i="2" s="1"/>
  <c r="E803" i="2" s="1"/>
  <c r="E804" i="2" s="1"/>
  <c r="E805" i="2" s="1"/>
  <c r="E806" i="2" s="1"/>
  <c r="E807" i="2" s="1"/>
  <c r="E808" i="2" s="1"/>
  <c r="E809" i="2" s="1"/>
  <c r="E810" i="2" s="1"/>
  <c r="E811" i="2" s="1"/>
  <c r="E812" i="2" s="1"/>
  <c r="E813" i="2" s="1"/>
  <c r="E814" i="2" s="1"/>
  <c r="E815" i="2" s="1"/>
  <c r="E816" i="2" s="1"/>
  <c r="E817" i="2" s="1"/>
</calcChain>
</file>

<file path=xl/sharedStrings.xml><?xml version="1.0" encoding="utf-8"?>
<sst xmlns="http://schemas.openxmlformats.org/spreadsheetml/2006/main" count="34916" uniqueCount="3125">
  <si>
    <t>Transaction ID</t>
  </si>
  <si>
    <t>Date</t>
  </si>
  <si>
    <t>Product ID</t>
  </si>
  <si>
    <t>Product Name</t>
  </si>
  <si>
    <t>Product Category</t>
  </si>
  <si>
    <t>Quantity</t>
  </si>
  <si>
    <t>PPU</t>
  </si>
  <si>
    <t>Amount</t>
  </si>
  <si>
    <t>Yangon</t>
  </si>
  <si>
    <t>T000001</t>
  </si>
  <si>
    <t>PROD-008</t>
  </si>
  <si>
    <t>Executive Ballpoint Pen Box</t>
  </si>
  <si>
    <t>Office Supplies</t>
  </si>
  <si>
    <t>T000002</t>
  </si>
  <si>
    <t>PROD-002</t>
  </si>
  <si>
    <t>Wireless Mechanical Keyboard</t>
  </si>
  <si>
    <t>Electronics</t>
  </si>
  <si>
    <t>T000003</t>
  </si>
  <si>
    <t>PROD-004</t>
  </si>
  <si>
    <t>Standing Desk Converter</t>
  </si>
  <si>
    <t>Furniture</t>
  </si>
  <si>
    <t>T000004</t>
  </si>
  <si>
    <t>PROD-006</t>
  </si>
  <si>
    <t>A4 Printer Paper (500 Sheets)</t>
  </si>
  <si>
    <t>T000308</t>
  </si>
  <si>
    <t>T000614</t>
  </si>
  <si>
    <t>T000615</t>
  </si>
  <si>
    <t>T000912</t>
  </si>
  <si>
    <t>PROD-001</t>
  </si>
  <si>
    <t>Ergonomic Mesh Chair</t>
  </si>
  <si>
    <t>T001206</t>
  </si>
  <si>
    <t>PROD-009</t>
  </si>
  <si>
    <t>Adjustable Monitor Arm</t>
  </si>
  <si>
    <t>T001521</t>
  </si>
  <si>
    <t>T001854</t>
  </si>
  <si>
    <t>T001855</t>
  </si>
  <si>
    <t>T001856</t>
  </si>
  <si>
    <t>T001857</t>
  </si>
  <si>
    <t>PROD-010</t>
  </si>
  <si>
    <t>Webcam 1080p HD</t>
  </si>
  <si>
    <t>PROD-005</t>
  </si>
  <si>
    <t>Noise-Cancelling Headphones</t>
  </si>
  <si>
    <t>PROD-003</t>
  </si>
  <si>
    <t>27-inch 4K Monitor</t>
  </si>
  <si>
    <t>PROD-007</t>
  </si>
  <si>
    <t>USB-C Docking Station</t>
  </si>
  <si>
    <t>Customer-002</t>
  </si>
  <si>
    <t>Bago</t>
  </si>
  <si>
    <t>T000005</t>
  </si>
  <si>
    <t>T000006</t>
  </si>
  <si>
    <t>T000616</t>
  </si>
  <si>
    <t>T000617</t>
  </si>
  <si>
    <t>T000913</t>
  </si>
  <si>
    <t>T001207</t>
  </si>
  <si>
    <t>T001208</t>
  </si>
  <si>
    <t>T001522</t>
  </si>
  <si>
    <t>T001523</t>
  </si>
  <si>
    <t>T001524</t>
  </si>
  <si>
    <t>T001525</t>
  </si>
  <si>
    <t>T001858</t>
  </si>
  <si>
    <t>Naypyitaw</t>
  </si>
  <si>
    <t>T000007</t>
  </si>
  <si>
    <t>T000309</t>
  </si>
  <si>
    <t>T000914</t>
  </si>
  <si>
    <t>T000915</t>
  </si>
  <si>
    <t>T000916</t>
  </si>
  <si>
    <t>T001526</t>
  </si>
  <si>
    <t>T001859</t>
  </si>
  <si>
    <t>Customer-004</t>
  </si>
  <si>
    <t>Taunggyi</t>
  </si>
  <si>
    <t>T000008</t>
  </si>
  <si>
    <t>T000009</t>
  </si>
  <si>
    <t>T000618</t>
  </si>
  <si>
    <t>T000917</t>
  </si>
  <si>
    <t>T001209</t>
  </si>
  <si>
    <t>T001527</t>
  </si>
  <si>
    <t>T001528</t>
  </si>
  <si>
    <t>T001860</t>
  </si>
  <si>
    <t>Customer-005</t>
  </si>
  <si>
    <t>T000310</t>
  </si>
  <si>
    <t>T000311</t>
  </si>
  <si>
    <t>T000312</t>
  </si>
  <si>
    <t>T000313</t>
  </si>
  <si>
    <t>T000619</t>
  </si>
  <si>
    <t>T000918</t>
  </si>
  <si>
    <t>T001210</t>
  </si>
  <si>
    <t>T001529</t>
  </si>
  <si>
    <t>T001861</t>
  </si>
  <si>
    <t>T001862</t>
  </si>
  <si>
    <t>Customer-006</t>
  </si>
  <si>
    <t>T000010</t>
  </si>
  <si>
    <t>T000011</t>
  </si>
  <si>
    <t>T000314</t>
  </si>
  <si>
    <t>T000620</t>
  </si>
  <si>
    <t>T000621</t>
  </si>
  <si>
    <t>T000622</t>
  </si>
  <si>
    <t>T000623</t>
  </si>
  <si>
    <t>T000919</t>
  </si>
  <si>
    <t>T001530</t>
  </si>
  <si>
    <t>T001863</t>
  </si>
  <si>
    <t>Customer-007</t>
  </si>
  <si>
    <t>T000012</t>
  </si>
  <si>
    <t>T000013</t>
  </si>
  <si>
    <t>T000014</t>
  </si>
  <si>
    <t>T000015</t>
  </si>
  <si>
    <t>T000315</t>
  </si>
  <si>
    <t>T000316</t>
  </si>
  <si>
    <t>T000317</t>
  </si>
  <si>
    <t>T000318</t>
  </si>
  <si>
    <t>T000624</t>
  </si>
  <si>
    <t>T000920</t>
  </si>
  <si>
    <t>T000921</t>
  </si>
  <si>
    <t>T000922</t>
  </si>
  <si>
    <t>T001864</t>
  </si>
  <si>
    <t>T001865</t>
  </si>
  <si>
    <t>T001866</t>
  </si>
  <si>
    <t>T001867</t>
  </si>
  <si>
    <t>Customer-008</t>
  </si>
  <si>
    <t>T000016</t>
  </si>
  <si>
    <t>T000017</t>
  </si>
  <si>
    <t>T000319</t>
  </si>
  <si>
    <t>T000625</t>
  </si>
  <si>
    <t>T000923</t>
  </si>
  <si>
    <t>T001211</t>
  </si>
  <si>
    <t>T001212</t>
  </si>
  <si>
    <t>T001868</t>
  </si>
  <si>
    <t>Customer-009</t>
  </si>
  <si>
    <t>Mandalay</t>
  </si>
  <si>
    <t>T000018</t>
  </si>
  <si>
    <t>T000320</t>
  </si>
  <si>
    <t>T000321</t>
  </si>
  <si>
    <t>T000322</t>
  </si>
  <si>
    <t>T000626</t>
  </si>
  <si>
    <t>T000924</t>
  </si>
  <si>
    <t>T001213</t>
  </si>
  <si>
    <t>T001214</t>
  </si>
  <si>
    <t>T001531</t>
  </si>
  <si>
    <t>T000019</t>
  </si>
  <si>
    <t>T000925</t>
  </si>
  <si>
    <t>T001215</t>
  </si>
  <si>
    <t>T001216</t>
  </si>
  <si>
    <t>T001532</t>
  </si>
  <si>
    <t>T001533</t>
  </si>
  <si>
    <t>T001869</t>
  </si>
  <si>
    <t>T001870</t>
  </si>
  <si>
    <t>T001871</t>
  </si>
  <si>
    <t>T000020</t>
  </si>
  <si>
    <t>T000323</t>
  </si>
  <si>
    <t>T000324</t>
  </si>
  <si>
    <t>T000627</t>
  </si>
  <si>
    <t>T000926</t>
  </si>
  <si>
    <t>T000927</t>
  </si>
  <si>
    <t>Customer-012</t>
  </si>
  <si>
    <t>T000021</t>
  </si>
  <si>
    <t>T000325</t>
  </si>
  <si>
    <t>T000326</t>
  </si>
  <si>
    <t>T000628</t>
  </si>
  <si>
    <t>T000928</t>
  </si>
  <si>
    <t>T000929</t>
  </si>
  <si>
    <t>T000930</t>
  </si>
  <si>
    <t>T001217</t>
  </si>
  <si>
    <t>T001534</t>
  </si>
  <si>
    <t>T001535</t>
  </si>
  <si>
    <t>T001536</t>
  </si>
  <si>
    <t>Customer-013</t>
  </si>
  <si>
    <t>T000022</t>
  </si>
  <si>
    <t>T000023</t>
  </si>
  <si>
    <t>T000327</t>
  </si>
  <si>
    <t>T000328</t>
  </si>
  <si>
    <t>T000629</t>
  </si>
  <si>
    <t>T000931</t>
  </si>
  <si>
    <t>T000932</t>
  </si>
  <si>
    <t>T000933</t>
  </si>
  <si>
    <t>T001218</t>
  </si>
  <si>
    <t>T001219</t>
  </si>
  <si>
    <t>T001220</t>
  </si>
  <si>
    <t>T001221</t>
  </si>
  <si>
    <t>T001222</t>
  </si>
  <si>
    <t>T001537</t>
  </si>
  <si>
    <t>T001538</t>
  </si>
  <si>
    <t>T001872</t>
  </si>
  <si>
    <t>T001873</t>
  </si>
  <si>
    <t>T001874</t>
  </si>
  <si>
    <t>T001875</t>
  </si>
  <si>
    <t>Customer-014</t>
  </si>
  <si>
    <t>T000024</t>
  </si>
  <si>
    <t>T000025</t>
  </si>
  <si>
    <t>T000329</t>
  </si>
  <si>
    <t>T000330</t>
  </si>
  <si>
    <t>T000331</t>
  </si>
  <si>
    <t>T000630</t>
  </si>
  <si>
    <t>T000631</t>
  </si>
  <si>
    <t>T000632</t>
  </si>
  <si>
    <t>T000633</t>
  </si>
  <si>
    <t>T000634</t>
  </si>
  <si>
    <t>T000934</t>
  </si>
  <si>
    <t>T000935</t>
  </si>
  <si>
    <t>T000936</t>
  </si>
  <si>
    <t>T000937</t>
  </si>
  <si>
    <t>T001223</t>
  </si>
  <si>
    <t>T001539</t>
  </si>
  <si>
    <t>T001540</t>
  </si>
  <si>
    <t>T001541</t>
  </si>
  <si>
    <t>T001876</t>
  </si>
  <si>
    <t>Customer-015</t>
  </si>
  <si>
    <t>T000635</t>
  </si>
  <si>
    <t>T000636</t>
  </si>
  <si>
    <t>T000938</t>
  </si>
  <si>
    <t>T000939</t>
  </si>
  <si>
    <t>T001224</t>
  </si>
  <si>
    <t>T001225</t>
  </si>
  <si>
    <t>T001226</t>
  </si>
  <si>
    <t>T001542</t>
  </si>
  <si>
    <t>T001877</t>
  </si>
  <si>
    <t>T001878</t>
  </si>
  <si>
    <t>T001879</t>
  </si>
  <si>
    <t>Customer-016</t>
  </si>
  <si>
    <t>T000026</t>
  </si>
  <si>
    <t>T000027</t>
  </si>
  <si>
    <t>T000028</t>
  </si>
  <si>
    <t>T000332</t>
  </si>
  <si>
    <t>T000333</t>
  </si>
  <si>
    <t>T000637</t>
  </si>
  <si>
    <t>T000940</t>
  </si>
  <si>
    <t>T001227</t>
  </si>
  <si>
    <t>T001228</t>
  </si>
  <si>
    <t>T001229</t>
  </si>
  <si>
    <t>T001543</t>
  </si>
  <si>
    <t>T001880</t>
  </si>
  <si>
    <t>Customer-017</t>
  </si>
  <si>
    <t>T000334</t>
  </si>
  <si>
    <t>T000335</t>
  </si>
  <si>
    <t>T000941</t>
  </si>
  <si>
    <t>T001230</t>
  </si>
  <si>
    <t>T001231</t>
  </si>
  <si>
    <t>T001544</t>
  </si>
  <si>
    <t>T001545</t>
  </si>
  <si>
    <t>T001881</t>
  </si>
  <si>
    <t>T000029</t>
  </si>
  <si>
    <t>T000030</t>
  </si>
  <si>
    <t>T000031</t>
  </si>
  <si>
    <t>T000032</t>
  </si>
  <si>
    <t>T000336</t>
  </si>
  <si>
    <t>T000337</t>
  </si>
  <si>
    <t>T000338</t>
  </si>
  <si>
    <t>T000339</t>
  </si>
  <si>
    <t>T000942</t>
  </si>
  <si>
    <t>T000943</t>
  </si>
  <si>
    <t>T000944</t>
  </si>
  <si>
    <t>T001232</t>
  </si>
  <si>
    <t>T001233</t>
  </si>
  <si>
    <t>T001546</t>
  </si>
  <si>
    <t>T001547</t>
  </si>
  <si>
    <t>T001548</t>
  </si>
  <si>
    <t>T001549</t>
  </si>
  <si>
    <t>T001882</t>
  </si>
  <si>
    <t>T001883</t>
  </si>
  <si>
    <t>T001884</t>
  </si>
  <si>
    <t>Customer-019</t>
  </si>
  <si>
    <t>T000033</t>
  </si>
  <si>
    <t>T000340</t>
  </si>
  <si>
    <t>T000341</t>
  </si>
  <si>
    <t>T000342</t>
  </si>
  <si>
    <t>T000638</t>
  </si>
  <si>
    <t>T000639</t>
  </si>
  <si>
    <t>T000640</t>
  </si>
  <si>
    <t>T000945</t>
  </si>
  <si>
    <t>T000946</t>
  </si>
  <si>
    <t>T000947</t>
  </si>
  <si>
    <t>T001234</t>
  </si>
  <si>
    <t>T001550</t>
  </si>
  <si>
    <t>T001551</t>
  </si>
  <si>
    <t>T001885</t>
  </si>
  <si>
    <t>T001886</t>
  </si>
  <si>
    <t>Customer-020</t>
  </si>
  <si>
    <t>T000343</t>
  </si>
  <si>
    <t>T000344</t>
  </si>
  <si>
    <t>T000345</t>
  </si>
  <si>
    <t>T000346</t>
  </si>
  <si>
    <t>T000641</t>
  </si>
  <si>
    <t>T000642</t>
  </si>
  <si>
    <t>T001235</t>
  </si>
  <si>
    <t>T001236</t>
  </si>
  <si>
    <t>T001552</t>
  </si>
  <si>
    <t>T001553</t>
  </si>
  <si>
    <t>T001554</t>
  </si>
  <si>
    <t>T001887</t>
  </si>
  <si>
    <t>Customer-021</t>
  </si>
  <si>
    <t>T000034</t>
  </si>
  <si>
    <t>T000035</t>
  </si>
  <si>
    <t>T000347</t>
  </si>
  <si>
    <t>T000348</t>
  </si>
  <si>
    <t>T000948</t>
  </si>
  <si>
    <t>T001237</t>
  </si>
  <si>
    <t>T001555</t>
  </si>
  <si>
    <t>T001556</t>
  </si>
  <si>
    <t>T000036</t>
  </si>
  <si>
    <t>T000037</t>
  </si>
  <si>
    <t>T000349</t>
  </si>
  <si>
    <t>T000350</t>
  </si>
  <si>
    <t>T000643</t>
  </si>
  <si>
    <t>T000644</t>
  </si>
  <si>
    <t>T000645</t>
  </si>
  <si>
    <t>T001238</t>
  </si>
  <si>
    <t>T001557</t>
  </si>
  <si>
    <t>T001558</t>
  </si>
  <si>
    <t>T001888</t>
  </si>
  <si>
    <t>Customer-023</t>
  </si>
  <si>
    <t>T000038</t>
  </si>
  <si>
    <t>T000039</t>
  </si>
  <si>
    <t>T000040</t>
  </si>
  <si>
    <t>T000351</t>
  </si>
  <si>
    <t>T000646</t>
  </si>
  <si>
    <t>T000949</t>
  </si>
  <si>
    <t>T000950</t>
  </si>
  <si>
    <t>T000951</t>
  </si>
  <si>
    <t>T001239</t>
  </si>
  <si>
    <t>T001240</t>
  </si>
  <si>
    <t>T001241</t>
  </si>
  <si>
    <t>T001242</t>
  </si>
  <si>
    <t>T001559</t>
  </si>
  <si>
    <t>T001560</t>
  </si>
  <si>
    <t>T001561</t>
  </si>
  <si>
    <t>T001889</t>
  </si>
  <si>
    <t>T001890</t>
  </si>
  <si>
    <t>Customer-024</t>
  </si>
  <si>
    <t>T000041</t>
  </si>
  <si>
    <t>T000042</t>
  </si>
  <si>
    <t>T000647</t>
  </si>
  <si>
    <t>T000952</t>
  </si>
  <si>
    <t>T000953</t>
  </si>
  <si>
    <t>T000954</t>
  </si>
  <si>
    <t>T000955</t>
  </si>
  <si>
    <t>T001243</t>
  </si>
  <si>
    <t>T001562</t>
  </si>
  <si>
    <t>T001563</t>
  </si>
  <si>
    <t>T001891</t>
  </si>
  <si>
    <t>T001892</t>
  </si>
  <si>
    <t>T001893</t>
  </si>
  <si>
    <t>Customer-025</t>
  </si>
  <si>
    <t>T000043</t>
  </si>
  <si>
    <t>T000044</t>
  </si>
  <si>
    <t>T000352</t>
  </si>
  <si>
    <t>T000353</t>
  </si>
  <si>
    <t>T000648</t>
  </si>
  <si>
    <t>T000649</t>
  </si>
  <si>
    <t>T000956</t>
  </si>
  <si>
    <t>T000957</t>
  </si>
  <si>
    <t>T000958</t>
  </si>
  <si>
    <t>T001244</t>
  </si>
  <si>
    <t>T001245</t>
  </si>
  <si>
    <t>T001564</t>
  </si>
  <si>
    <t>T001565</t>
  </si>
  <si>
    <t>T001566</t>
  </si>
  <si>
    <t>T001894</t>
  </si>
  <si>
    <t>T001895</t>
  </si>
  <si>
    <t>T001896</t>
  </si>
  <si>
    <t>T001897</t>
  </si>
  <si>
    <t>T001898</t>
  </si>
  <si>
    <t>Customer-026</t>
  </si>
  <si>
    <t>T000045</t>
  </si>
  <si>
    <t>T000046</t>
  </si>
  <si>
    <t>T000047</t>
  </si>
  <si>
    <t>T000354</t>
  </si>
  <si>
    <t>T000650</t>
  </si>
  <si>
    <t>T000651</t>
  </si>
  <si>
    <t>T000652</t>
  </si>
  <si>
    <t>T000959</t>
  </si>
  <si>
    <t>T000960</t>
  </si>
  <si>
    <t>T000961</t>
  </si>
  <si>
    <t>T000962</t>
  </si>
  <si>
    <t>T000963</t>
  </si>
  <si>
    <t>T000964</t>
  </si>
  <si>
    <t>T001246</t>
  </si>
  <si>
    <t>T001247</t>
  </si>
  <si>
    <t>T001567</t>
  </si>
  <si>
    <t>T001899</t>
  </si>
  <si>
    <t>T001900</t>
  </si>
  <si>
    <t>T001901</t>
  </si>
  <si>
    <t>Customer-027</t>
  </si>
  <si>
    <t>T000048</t>
  </si>
  <si>
    <t>T000049</t>
  </si>
  <si>
    <t>T000050</t>
  </si>
  <si>
    <t>T000355</t>
  </si>
  <si>
    <t>T000356</t>
  </si>
  <si>
    <t>T000357</t>
  </si>
  <si>
    <t>T000358</t>
  </si>
  <si>
    <t>T000653</t>
  </si>
  <si>
    <t>T000654</t>
  </si>
  <si>
    <t>T000965</t>
  </si>
  <si>
    <t>T000966</t>
  </si>
  <si>
    <t>T001248</t>
  </si>
  <si>
    <t>T001249</t>
  </si>
  <si>
    <t>T001568</t>
  </si>
  <si>
    <t>T001569</t>
  </si>
  <si>
    <t>T001570</t>
  </si>
  <si>
    <t>T001902</t>
  </si>
  <si>
    <t>T001903</t>
  </si>
  <si>
    <t>T001904</t>
  </si>
  <si>
    <t>T001905</t>
  </si>
  <si>
    <t>T001906</t>
  </si>
  <si>
    <t>T001907</t>
  </si>
  <si>
    <t>Customer-028</t>
  </si>
  <si>
    <t>T000051</t>
  </si>
  <si>
    <t>T000052</t>
  </si>
  <si>
    <t>T000655</t>
  </si>
  <si>
    <t>T000967</t>
  </si>
  <si>
    <t>T000968</t>
  </si>
  <si>
    <t>T000969</t>
  </si>
  <si>
    <t>T001250</t>
  </si>
  <si>
    <t>T001251</t>
  </si>
  <si>
    <t>T001252</t>
  </si>
  <si>
    <t>T001571</t>
  </si>
  <si>
    <t>T001572</t>
  </si>
  <si>
    <t>T001573</t>
  </si>
  <si>
    <t>T001574</t>
  </si>
  <si>
    <t>T001908</t>
  </si>
  <si>
    <t>T001909</t>
  </si>
  <si>
    <t>Customer-029</t>
  </si>
  <si>
    <t>T000053</t>
  </si>
  <si>
    <t>T000054</t>
  </si>
  <si>
    <t>T000055</t>
  </si>
  <si>
    <t>T000359</t>
  </si>
  <si>
    <t>T000656</t>
  </si>
  <si>
    <t>T000657</t>
  </si>
  <si>
    <t>T000658</t>
  </si>
  <si>
    <t>T000659</t>
  </si>
  <si>
    <t>T000970</t>
  </si>
  <si>
    <t>T000971</t>
  </si>
  <si>
    <t>T001253</t>
  </si>
  <si>
    <t>T001575</t>
  </si>
  <si>
    <t>T001576</t>
  </si>
  <si>
    <t>T001910</t>
  </si>
  <si>
    <t>T001911</t>
  </si>
  <si>
    <t>T001912</t>
  </si>
  <si>
    <t>T000056</t>
  </si>
  <si>
    <t>T000660</t>
  </si>
  <si>
    <t>T000972</t>
  </si>
  <si>
    <t>T000973</t>
  </si>
  <si>
    <t>T001254</t>
  </si>
  <si>
    <t>T001577</t>
  </si>
  <si>
    <t>T001913</t>
  </si>
  <si>
    <t>Customer-031</t>
  </si>
  <si>
    <t>T000057</t>
  </si>
  <si>
    <t>T000058</t>
  </si>
  <si>
    <t>T000360</t>
  </si>
  <si>
    <t>T000361</t>
  </si>
  <si>
    <t>T000661</t>
  </si>
  <si>
    <t>T000662</t>
  </si>
  <si>
    <t>T000663</t>
  </si>
  <si>
    <t>T000974</t>
  </si>
  <si>
    <t>T000975</t>
  </si>
  <si>
    <t>T001255</t>
  </si>
  <si>
    <t>T001256</t>
  </si>
  <si>
    <t>T001257</t>
  </si>
  <si>
    <t>T001258</t>
  </si>
  <si>
    <t>T001578</t>
  </si>
  <si>
    <t>T001579</t>
  </si>
  <si>
    <t>T001580</t>
  </si>
  <si>
    <t>T001914</t>
  </si>
  <si>
    <t>T001915</t>
  </si>
  <si>
    <t>Customer-032</t>
  </si>
  <si>
    <t>T000059</t>
  </si>
  <si>
    <t>T000060</t>
  </si>
  <si>
    <t>T000061</t>
  </si>
  <si>
    <t>T000362</t>
  </si>
  <si>
    <t>T000363</t>
  </si>
  <si>
    <t>T000364</t>
  </si>
  <si>
    <t>T000365</t>
  </si>
  <si>
    <t>T000664</t>
  </si>
  <si>
    <t>T000665</t>
  </si>
  <si>
    <t>T000666</t>
  </si>
  <si>
    <t>T000976</t>
  </si>
  <si>
    <t>T000977</t>
  </si>
  <si>
    <t>T000978</t>
  </si>
  <si>
    <t>T000979</t>
  </si>
  <si>
    <t>T001259</t>
  </si>
  <si>
    <t>T001260</t>
  </si>
  <si>
    <t>T001581</t>
  </si>
  <si>
    <t>T001582</t>
  </si>
  <si>
    <t>T001916</t>
  </si>
  <si>
    <t>T001917</t>
  </si>
  <si>
    <t>T001918</t>
  </si>
  <si>
    <t>T001919</t>
  </si>
  <si>
    <t>T001920</t>
  </si>
  <si>
    <t>Customer-033</t>
  </si>
  <si>
    <t>T000062</t>
  </si>
  <si>
    <t>T000063</t>
  </si>
  <si>
    <t>T000366</t>
  </si>
  <si>
    <t>T000367</t>
  </si>
  <si>
    <t>T000667</t>
  </si>
  <si>
    <t>T000668</t>
  </si>
  <si>
    <t>T000669</t>
  </si>
  <si>
    <t>T000670</t>
  </si>
  <si>
    <t>T000671</t>
  </si>
  <si>
    <t>T000980</t>
  </si>
  <si>
    <t>T000981</t>
  </si>
  <si>
    <t>T001261</t>
  </si>
  <si>
    <t>T001262</t>
  </si>
  <si>
    <t>T001263</t>
  </si>
  <si>
    <t>T001264</t>
  </si>
  <si>
    <t>T001265</t>
  </si>
  <si>
    <t>T001266</t>
  </si>
  <si>
    <t>T001583</t>
  </si>
  <si>
    <t>T001584</t>
  </si>
  <si>
    <t>T001585</t>
  </si>
  <si>
    <t>T001921</t>
  </si>
  <si>
    <t>T001922</t>
  </si>
  <si>
    <t>T001923</t>
  </si>
  <si>
    <t>T001924</t>
  </si>
  <si>
    <t>T001925</t>
  </si>
  <si>
    <t>T001926</t>
  </si>
  <si>
    <t>T000064</t>
  </si>
  <si>
    <t>T000368</t>
  </si>
  <si>
    <t>T000369</t>
  </si>
  <si>
    <t>T000672</t>
  </si>
  <si>
    <t>T000982</t>
  </si>
  <si>
    <t>T000983</t>
  </si>
  <si>
    <t>T000984</t>
  </si>
  <si>
    <t>T000985</t>
  </si>
  <si>
    <t>T001267</t>
  </si>
  <si>
    <t>T001268</t>
  </si>
  <si>
    <t>T001586</t>
  </si>
  <si>
    <t>T001587</t>
  </si>
  <si>
    <t>T001588</t>
  </si>
  <si>
    <t>T001927</t>
  </si>
  <si>
    <t>T001928</t>
  </si>
  <si>
    <t>T001929</t>
  </si>
  <si>
    <t>T001930</t>
  </si>
  <si>
    <t>T001931</t>
  </si>
  <si>
    <t>T001932</t>
  </si>
  <si>
    <t>T001933</t>
  </si>
  <si>
    <t>T001934</t>
  </si>
  <si>
    <t>Customer-035</t>
  </si>
  <si>
    <t>T000065</t>
  </si>
  <si>
    <t>T000066</t>
  </si>
  <si>
    <t>T000067</t>
  </si>
  <si>
    <t>T000370</t>
  </si>
  <si>
    <t>T000371</t>
  </si>
  <si>
    <t>T000372</t>
  </si>
  <si>
    <t>T000373</t>
  </si>
  <si>
    <t>T000673</t>
  </si>
  <si>
    <t>T000674</t>
  </si>
  <si>
    <t>T000675</t>
  </si>
  <si>
    <t>T000986</t>
  </si>
  <si>
    <t>T001269</t>
  </si>
  <si>
    <t>T001270</t>
  </si>
  <si>
    <t>T001271</t>
  </si>
  <si>
    <t>T001272</t>
  </si>
  <si>
    <t>T001589</t>
  </si>
  <si>
    <t>T001590</t>
  </si>
  <si>
    <t>T001591</t>
  </si>
  <si>
    <t>T001592</t>
  </si>
  <si>
    <t>T001593</t>
  </si>
  <si>
    <t>T001935</t>
  </si>
  <si>
    <t>T001936</t>
  </si>
  <si>
    <t>T001937</t>
  </si>
  <si>
    <t>T000068</t>
  </si>
  <si>
    <t>T000069</t>
  </si>
  <si>
    <t>T000070</t>
  </si>
  <si>
    <t>T000071</t>
  </si>
  <si>
    <t>T000374</t>
  </si>
  <si>
    <t>T000375</t>
  </si>
  <si>
    <t>T000676</t>
  </si>
  <si>
    <t>T000677</t>
  </si>
  <si>
    <t>T000678</t>
  </si>
  <si>
    <t>T000679</t>
  </si>
  <si>
    <t>T000987</t>
  </si>
  <si>
    <t>T000988</t>
  </si>
  <si>
    <t>T001273</t>
  </si>
  <si>
    <t>T001594</t>
  </si>
  <si>
    <t>T001938</t>
  </si>
  <si>
    <t>T001939</t>
  </si>
  <si>
    <t>Customer-037</t>
  </si>
  <si>
    <t>T000072</t>
  </si>
  <si>
    <t>T000073</t>
  </si>
  <si>
    <t>T000074</t>
  </si>
  <si>
    <t>T000075</t>
  </si>
  <si>
    <t>T000376</t>
  </si>
  <si>
    <t>T000377</t>
  </si>
  <si>
    <t>T000680</t>
  </si>
  <si>
    <t>T000681</t>
  </si>
  <si>
    <t>T000989</t>
  </si>
  <si>
    <t>T000990</t>
  </si>
  <si>
    <t>T000991</t>
  </si>
  <si>
    <t>T001274</t>
  </si>
  <si>
    <t>T001275</t>
  </si>
  <si>
    <t>T001595</t>
  </si>
  <si>
    <t>T001596</t>
  </si>
  <si>
    <t>T001597</t>
  </si>
  <si>
    <t>T001598</t>
  </si>
  <si>
    <t>T001599</t>
  </si>
  <si>
    <t>T001600</t>
  </si>
  <si>
    <t>T001601</t>
  </si>
  <si>
    <t>T001602</t>
  </si>
  <si>
    <t>T001940</t>
  </si>
  <si>
    <t>Customer-038</t>
  </si>
  <si>
    <t>T000076</t>
  </si>
  <si>
    <t>T000378</t>
  </si>
  <si>
    <t>T000379</t>
  </si>
  <si>
    <t>T000682</t>
  </si>
  <si>
    <t>T000683</t>
  </si>
  <si>
    <t>T000992</t>
  </si>
  <si>
    <t>T000993</t>
  </si>
  <si>
    <t>T000994</t>
  </si>
  <si>
    <t>T001276</t>
  </si>
  <si>
    <t>T001277</t>
  </si>
  <si>
    <t>T001603</t>
  </si>
  <si>
    <t>T001941</t>
  </si>
  <si>
    <t>T001942</t>
  </si>
  <si>
    <t>T001943</t>
  </si>
  <si>
    <t>T001944</t>
  </si>
  <si>
    <t>T001945</t>
  </si>
  <si>
    <t>T001946</t>
  </si>
  <si>
    <t>T001947</t>
  </si>
  <si>
    <t>T000077</t>
  </si>
  <si>
    <t>T000078</t>
  </si>
  <si>
    <t>T000380</t>
  </si>
  <si>
    <t>T000381</t>
  </si>
  <si>
    <t>T000382</t>
  </si>
  <si>
    <t>T000383</t>
  </si>
  <si>
    <t>T000384</t>
  </si>
  <si>
    <t>T000385</t>
  </si>
  <si>
    <t>T000684</t>
  </si>
  <si>
    <t>T000685</t>
  </si>
  <si>
    <t>T000686</t>
  </si>
  <si>
    <t>T000687</t>
  </si>
  <si>
    <t>T000688</t>
  </si>
  <si>
    <t>T000995</t>
  </si>
  <si>
    <t>T000996</t>
  </si>
  <si>
    <t>T001278</t>
  </si>
  <si>
    <t>T001604</t>
  </si>
  <si>
    <t>T001605</t>
  </si>
  <si>
    <t>T001606</t>
  </si>
  <si>
    <t>T001607</t>
  </si>
  <si>
    <t>T001608</t>
  </si>
  <si>
    <t>T001609</t>
  </si>
  <si>
    <t>T001948</t>
  </si>
  <si>
    <t>T001949</t>
  </si>
  <si>
    <t>T001950</t>
  </si>
  <si>
    <t>T001951</t>
  </si>
  <si>
    <t>T001952</t>
  </si>
  <si>
    <t>Customer-040</t>
  </si>
  <si>
    <t>T000079</t>
  </si>
  <si>
    <t>T000386</t>
  </si>
  <si>
    <t>T000387</t>
  </si>
  <si>
    <t>T000388</t>
  </si>
  <si>
    <t>T000389</t>
  </si>
  <si>
    <t>T000390</t>
  </si>
  <si>
    <t>T000391</t>
  </si>
  <si>
    <t>T000392</t>
  </si>
  <si>
    <t>T000689</t>
  </si>
  <si>
    <t>T000690</t>
  </si>
  <si>
    <t>T000691</t>
  </si>
  <si>
    <t>T001279</t>
  </si>
  <si>
    <t>T001280</t>
  </si>
  <si>
    <t>T001281</t>
  </si>
  <si>
    <t>T001282</t>
  </si>
  <si>
    <t>T001283</t>
  </si>
  <si>
    <t>T001284</t>
  </si>
  <si>
    <t>T001610</t>
  </si>
  <si>
    <t>T001611</t>
  </si>
  <si>
    <t>T001612</t>
  </si>
  <si>
    <t>T001613</t>
  </si>
  <si>
    <t>T001614</t>
  </si>
  <si>
    <t>T001615</t>
  </si>
  <si>
    <t>T001616</t>
  </si>
  <si>
    <t>T001953</t>
  </si>
  <si>
    <t>T001954</t>
  </si>
  <si>
    <t>T001955</t>
  </si>
  <si>
    <t>Customer-041</t>
  </si>
  <si>
    <t>T000080</t>
  </si>
  <si>
    <t>T000081</t>
  </si>
  <si>
    <t>T000082</t>
  </si>
  <si>
    <t>T000083</t>
  </si>
  <si>
    <t>T000084</t>
  </si>
  <si>
    <t>T000085</t>
  </si>
  <si>
    <t>T000393</t>
  </si>
  <si>
    <t>T000394</t>
  </si>
  <si>
    <t>T000395</t>
  </si>
  <si>
    <t>T000396</t>
  </si>
  <si>
    <t>T000692</t>
  </si>
  <si>
    <t>T000997</t>
  </si>
  <si>
    <t>T000998</t>
  </si>
  <si>
    <t>T001285</t>
  </si>
  <si>
    <t>T001286</t>
  </si>
  <si>
    <t>T001287</t>
  </si>
  <si>
    <t>T001617</t>
  </si>
  <si>
    <t>T001618</t>
  </si>
  <si>
    <t>T001619</t>
  </si>
  <si>
    <t>T001620</t>
  </si>
  <si>
    <t>T001621</t>
  </si>
  <si>
    <t>Customer-042</t>
  </si>
  <si>
    <t>T000086</t>
  </si>
  <si>
    <t>T000087</t>
  </si>
  <si>
    <t>T000088</t>
  </si>
  <si>
    <t>T000397</t>
  </si>
  <si>
    <t>T000693</t>
  </si>
  <si>
    <t>T000694</t>
  </si>
  <si>
    <t>T000695</t>
  </si>
  <si>
    <t>T000696</t>
  </si>
  <si>
    <t>T000697</t>
  </si>
  <si>
    <t>T000698</t>
  </si>
  <si>
    <t>T000699</t>
  </si>
  <si>
    <t>T000999</t>
  </si>
  <si>
    <t>T001956</t>
  </si>
  <si>
    <t>T001957</t>
  </si>
  <si>
    <t>T001958</t>
  </si>
  <si>
    <t>T001959</t>
  </si>
  <si>
    <t>Customer-043</t>
  </si>
  <si>
    <t>T000089</t>
  </si>
  <si>
    <t>T000090</t>
  </si>
  <si>
    <t>T000091</t>
  </si>
  <si>
    <t>T000092</t>
  </si>
  <si>
    <t>T000398</t>
  </si>
  <si>
    <t>T000399</t>
  </si>
  <si>
    <t>T000400</t>
  </si>
  <si>
    <t>T000700</t>
  </si>
  <si>
    <t>T000701</t>
  </si>
  <si>
    <t>T000702</t>
  </si>
  <si>
    <t>T000703</t>
  </si>
  <si>
    <t>T001000</t>
  </si>
  <si>
    <t>T001288</t>
  </si>
  <si>
    <t>T001289</t>
  </si>
  <si>
    <t>T001622</t>
  </si>
  <si>
    <t>T001623</t>
  </si>
  <si>
    <t>T001624</t>
  </si>
  <si>
    <t>T001625</t>
  </si>
  <si>
    <t>Customer-044</t>
  </si>
  <si>
    <t>T000093</t>
  </si>
  <si>
    <t>T000401</t>
  </si>
  <si>
    <t>T000704</t>
  </si>
  <si>
    <t>T000705</t>
  </si>
  <si>
    <t>T000706</t>
  </si>
  <si>
    <t>T000707</t>
  </si>
  <si>
    <t>T001001</t>
  </si>
  <si>
    <t>T001002</t>
  </si>
  <si>
    <t>T001003</t>
  </si>
  <si>
    <t>T001004</t>
  </si>
  <si>
    <t>T001290</t>
  </si>
  <si>
    <t>T001291</t>
  </si>
  <si>
    <t>T001292</t>
  </si>
  <si>
    <t>T001626</t>
  </si>
  <si>
    <t>T001627</t>
  </si>
  <si>
    <t>T001628</t>
  </si>
  <si>
    <t>T001629</t>
  </si>
  <si>
    <t>T001630</t>
  </si>
  <si>
    <t>T001960</t>
  </si>
  <si>
    <t>T001961</t>
  </si>
  <si>
    <t>T000094</t>
  </si>
  <si>
    <t>T000402</t>
  </si>
  <si>
    <t>T000403</t>
  </si>
  <si>
    <t>T000404</t>
  </si>
  <si>
    <t>T000708</t>
  </si>
  <si>
    <t>T000709</t>
  </si>
  <si>
    <t>T001005</t>
  </si>
  <si>
    <t>T001006</t>
  </si>
  <si>
    <t>T001007</t>
  </si>
  <si>
    <t>T001008</t>
  </si>
  <si>
    <t>T001009</t>
  </si>
  <si>
    <t>T001293</t>
  </si>
  <si>
    <t>T001294</t>
  </si>
  <si>
    <t>T001295</t>
  </si>
  <si>
    <t>T001631</t>
  </si>
  <si>
    <t>T001632</t>
  </si>
  <si>
    <t>T001633</t>
  </si>
  <si>
    <t>T001962</t>
  </si>
  <si>
    <t>T001963</t>
  </si>
  <si>
    <t>T001964</t>
  </si>
  <si>
    <t>T001965</t>
  </si>
  <si>
    <t>T001966</t>
  </si>
  <si>
    <t>Customer-046</t>
  </si>
  <si>
    <t>T000405</t>
  </si>
  <si>
    <t>T000406</t>
  </si>
  <si>
    <t>T000407</t>
  </si>
  <si>
    <t>T000408</t>
  </si>
  <si>
    <t>T000710</t>
  </si>
  <si>
    <t>T000711</t>
  </si>
  <si>
    <t>T000712</t>
  </si>
  <si>
    <t>T001010</t>
  </si>
  <si>
    <t>T001011</t>
  </si>
  <si>
    <t>T001012</t>
  </si>
  <si>
    <t>T001296</t>
  </si>
  <si>
    <t>T001297</t>
  </si>
  <si>
    <t>T001298</t>
  </si>
  <si>
    <t>T001299</t>
  </si>
  <si>
    <t>T001634</t>
  </si>
  <si>
    <t>T001635</t>
  </si>
  <si>
    <t>T001636</t>
  </si>
  <si>
    <t>T001637</t>
  </si>
  <si>
    <t>T001638</t>
  </si>
  <si>
    <t>T001967</t>
  </si>
  <si>
    <t>Customer-047</t>
  </si>
  <si>
    <t>T000095</t>
  </si>
  <si>
    <t>T000096</t>
  </si>
  <si>
    <t>T000097</t>
  </si>
  <si>
    <t>T000409</t>
  </si>
  <si>
    <t>T000410</t>
  </si>
  <si>
    <t>T000411</t>
  </si>
  <si>
    <t>T000412</t>
  </si>
  <si>
    <t>T000713</t>
  </si>
  <si>
    <t>T001013</t>
  </si>
  <si>
    <t>T001014</t>
  </si>
  <si>
    <t>T001015</t>
  </si>
  <si>
    <t>T001016</t>
  </si>
  <si>
    <t>T001639</t>
  </si>
  <si>
    <t>T001640</t>
  </si>
  <si>
    <t>T001968</t>
  </si>
  <si>
    <t>T001969</t>
  </si>
  <si>
    <t>T001970</t>
  </si>
  <si>
    <t>T000098</t>
  </si>
  <si>
    <t>T000099</t>
  </si>
  <si>
    <t>T000100</t>
  </si>
  <si>
    <t>T001017</t>
  </si>
  <si>
    <t>T001300</t>
  </si>
  <si>
    <t>T001301</t>
  </si>
  <si>
    <t>T001641</t>
  </si>
  <si>
    <t>T001642</t>
  </si>
  <si>
    <t>T001643</t>
  </si>
  <si>
    <t>T001644</t>
  </si>
  <si>
    <t>T001645</t>
  </si>
  <si>
    <t>T001971</t>
  </si>
  <si>
    <t>T001972</t>
  </si>
  <si>
    <t>T001973</t>
  </si>
  <si>
    <t>Customer-049</t>
  </si>
  <si>
    <t>T000101</t>
  </si>
  <si>
    <t>T000102</t>
  </si>
  <si>
    <t>T000103</t>
  </si>
  <si>
    <t>T000413</t>
  </si>
  <si>
    <t>T000414</t>
  </si>
  <si>
    <t>T000714</t>
  </si>
  <si>
    <t>T000715</t>
  </si>
  <si>
    <t>T001018</t>
  </si>
  <si>
    <t>T001019</t>
  </si>
  <si>
    <t>T001020</t>
  </si>
  <si>
    <t>T001646</t>
  </si>
  <si>
    <t>T001974</t>
  </si>
  <si>
    <t>T001975</t>
  </si>
  <si>
    <t>T001976</t>
  </si>
  <si>
    <t>T001977</t>
  </si>
  <si>
    <t>Customer-050</t>
  </si>
  <si>
    <t>T000415</t>
  </si>
  <si>
    <t>T000716</t>
  </si>
  <si>
    <t>T001021</t>
  </si>
  <si>
    <t>T001302</t>
  </si>
  <si>
    <t>T001303</t>
  </si>
  <si>
    <t>T001304</t>
  </si>
  <si>
    <t>T001305</t>
  </si>
  <si>
    <t>T001306</t>
  </si>
  <si>
    <t>T001978</t>
  </si>
  <si>
    <t>T001979</t>
  </si>
  <si>
    <t>T001980</t>
  </si>
  <si>
    <t>T001981</t>
  </si>
  <si>
    <t>Customer-051</t>
  </si>
  <si>
    <t>T000104</t>
  </si>
  <si>
    <t>T000105</t>
  </si>
  <si>
    <t>T000416</t>
  </si>
  <si>
    <t>T001022</t>
  </si>
  <si>
    <t>T001307</t>
  </si>
  <si>
    <t>T001308</t>
  </si>
  <si>
    <t>T001647</t>
  </si>
  <si>
    <t>T001648</t>
  </si>
  <si>
    <t>T001982</t>
  </si>
  <si>
    <t>Customer-052</t>
  </si>
  <si>
    <t>T000106</t>
  </si>
  <si>
    <t>T000417</t>
  </si>
  <si>
    <t>T000418</t>
  </si>
  <si>
    <t>T000419</t>
  </si>
  <si>
    <t>T000717</t>
  </si>
  <si>
    <t>T000718</t>
  </si>
  <si>
    <t>T000719</t>
  </si>
  <si>
    <t>T001023</t>
  </si>
  <si>
    <t>T001024</t>
  </si>
  <si>
    <t>T001649</t>
  </si>
  <si>
    <t>T001650</t>
  </si>
  <si>
    <t>T001651</t>
  </si>
  <si>
    <t>T001983</t>
  </si>
  <si>
    <t>T001984</t>
  </si>
  <si>
    <t>Customer-053</t>
  </si>
  <si>
    <t>T000107</t>
  </si>
  <si>
    <t>T000108</t>
  </si>
  <si>
    <t>T000109</t>
  </si>
  <si>
    <t>T000420</t>
  </si>
  <si>
    <t>T000421</t>
  </si>
  <si>
    <t>T000422</t>
  </si>
  <si>
    <t>T000423</t>
  </si>
  <si>
    <t>T000720</t>
  </si>
  <si>
    <t>T000721</t>
  </si>
  <si>
    <t>T001025</t>
  </si>
  <si>
    <t>T001026</t>
  </si>
  <si>
    <t>T001027</t>
  </si>
  <si>
    <t>T001309</t>
  </si>
  <si>
    <t>T001310</t>
  </si>
  <si>
    <t>T001652</t>
  </si>
  <si>
    <t>T001653</t>
  </si>
  <si>
    <t>T001985</t>
  </si>
  <si>
    <t>T001986</t>
  </si>
  <si>
    <t>Customer-054</t>
  </si>
  <si>
    <t>T000424</t>
  </si>
  <si>
    <t>T000425</t>
  </si>
  <si>
    <t>T000426</t>
  </si>
  <si>
    <t>T000427</t>
  </si>
  <si>
    <t>T000428</t>
  </si>
  <si>
    <t>T000429</t>
  </si>
  <si>
    <t>T000430</t>
  </si>
  <si>
    <t>T000722</t>
  </si>
  <si>
    <t>T001028</t>
  </si>
  <si>
    <t>T001029</t>
  </si>
  <si>
    <t>T001030</t>
  </si>
  <si>
    <t>T001031</t>
  </si>
  <si>
    <t>T001032</t>
  </si>
  <si>
    <t>T001033</t>
  </si>
  <si>
    <t>T001311</t>
  </si>
  <si>
    <t>T001312</t>
  </si>
  <si>
    <t>T001313</t>
  </si>
  <si>
    <t>T001314</t>
  </si>
  <si>
    <t>T001315</t>
  </si>
  <si>
    <t>T001316</t>
  </si>
  <si>
    <t>T001317</t>
  </si>
  <si>
    <t>T001318</t>
  </si>
  <si>
    <t>T001654</t>
  </si>
  <si>
    <t>T001987</t>
  </si>
  <si>
    <t>T001988</t>
  </si>
  <si>
    <t>T001989</t>
  </si>
  <si>
    <t>Customer-055</t>
  </si>
  <si>
    <t>T000110</t>
  </si>
  <si>
    <t>T000111</t>
  </si>
  <si>
    <t>T000112</t>
  </si>
  <si>
    <t>T000113</t>
  </si>
  <si>
    <t>T000431</t>
  </si>
  <si>
    <t>T000432</t>
  </si>
  <si>
    <t>T000433</t>
  </si>
  <si>
    <t>T000434</t>
  </si>
  <si>
    <t>T000435</t>
  </si>
  <si>
    <t>T000436</t>
  </si>
  <si>
    <t>T000437</t>
  </si>
  <si>
    <t>T000723</t>
  </si>
  <si>
    <t>T000724</t>
  </si>
  <si>
    <t>T000725</t>
  </si>
  <si>
    <t>T000726</t>
  </si>
  <si>
    <t>T000727</t>
  </si>
  <si>
    <t>T000728</t>
  </si>
  <si>
    <t>T001034</t>
  </si>
  <si>
    <t>T001035</t>
  </si>
  <si>
    <t>T001036</t>
  </si>
  <si>
    <t>T001037</t>
  </si>
  <si>
    <t>T001038</t>
  </si>
  <si>
    <t>T001039</t>
  </si>
  <si>
    <t>T001319</t>
  </si>
  <si>
    <t>T001320</t>
  </si>
  <si>
    <t>T001321</t>
  </si>
  <si>
    <t>T001322</t>
  </si>
  <si>
    <t>T001655</t>
  </si>
  <si>
    <t>T001656</t>
  </si>
  <si>
    <t>T001657</t>
  </si>
  <si>
    <t>T001658</t>
  </si>
  <si>
    <t>T001659</t>
  </si>
  <si>
    <t>T001990</t>
  </si>
  <si>
    <t>T001991</t>
  </si>
  <si>
    <t>T001992</t>
  </si>
  <si>
    <t>T001993</t>
  </si>
  <si>
    <t>T001994</t>
  </si>
  <si>
    <t>T001995</t>
  </si>
  <si>
    <t>T001996</t>
  </si>
  <si>
    <t>T001997</t>
  </si>
  <si>
    <t>T001998</t>
  </si>
  <si>
    <t>T001999</t>
  </si>
  <si>
    <t>T002000</t>
  </si>
  <si>
    <t>Customer-056</t>
  </si>
  <si>
    <t>T000114</t>
  </si>
  <si>
    <t>T000115</t>
  </si>
  <si>
    <t>T000116</t>
  </si>
  <si>
    <t>T000438</t>
  </si>
  <si>
    <t>T000439</t>
  </si>
  <si>
    <t>T000440</t>
  </si>
  <si>
    <t>T000441</t>
  </si>
  <si>
    <t>T000729</t>
  </si>
  <si>
    <t>T000730</t>
  </si>
  <si>
    <t>T000731</t>
  </si>
  <si>
    <t>T000732</t>
  </si>
  <si>
    <t>T000733</t>
  </si>
  <si>
    <t>T000734</t>
  </si>
  <si>
    <t>T000735</t>
  </si>
  <si>
    <t>T000736</t>
  </si>
  <si>
    <t>T000737</t>
  </si>
  <si>
    <t>T000738</t>
  </si>
  <si>
    <t>T001040</t>
  </si>
  <si>
    <t>T001041</t>
  </si>
  <si>
    <t>T001042</t>
  </si>
  <si>
    <t>T001323</t>
  </si>
  <si>
    <t>T001324</t>
  </si>
  <si>
    <t>T001325</t>
  </si>
  <si>
    <t>T001326</t>
  </si>
  <si>
    <t>T001327</t>
  </si>
  <si>
    <t>T001660</t>
  </si>
  <si>
    <t>T001661</t>
  </si>
  <si>
    <t>T001662</t>
  </si>
  <si>
    <t>T001663</t>
  </si>
  <si>
    <t>T001664</t>
  </si>
  <si>
    <t>T000117</t>
  </si>
  <si>
    <t>T000118</t>
  </si>
  <si>
    <t>T000119</t>
  </si>
  <si>
    <t>T000120</t>
  </si>
  <si>
    <t>T000121</t>
  </si>
  <si>
    <t>T000122</t>
  </si>
  <si>
    <t>T000123</t>
  </si>
  <si>
    <t>T000124</t>
  </si>
  <si>
    <t>T000125</t>
  </si>
  <si>
    <t>T000126</t>
  </si>
  <si>
    <t>T000127</t>
  </si>
  <si>
    <t>T000128</t>
  </si>
  <si>
    <t>T000129</t>
  </si>
  <si>
    <t>T000442</t>
  </si>
  <si>
    <t>T000443</t>
  </si>
  <si>
    <t>T000444</t>
  </si>
  <si>
    <t>T000445</t>
  </si>
  <si>
    <t>T000446</t>
  </si>
  <si>
    <t>T000447</t>
  </si>
  <si>
    <t>T000448</t>
  </si>
  <si>
    <t>T000739</t>
  </si>
  <si>
    <t>T000740</t>
  </si>
  <si>
    <t>T000741</t>
  </si>
  <si>
    <t>T000742</t>
  </si>
  <si>
    <t>T000743</t>
  </si>
  <si>
    <t>T000744</t>
  </si>
  <si>
    <t>T001043</t>
  </si>
  <si>
    <t>T001044</t>
  </si>
  <si>
    <t>T001045</t>
  </si>
  <si>
    <t>T001328</t>
  </si>
  <si>
    <t>T001329</t>
  </si>
  <si>
    <t>T001330</t>
  </si>
  <si>
    <t>T001665</t>
  </si>
  <si>
    <t>T001666</t>
  </si>
  <si>
    <t>T001667</t>
  </si>
  <si>
    <t>T001668</t>
  </si>
  <si>
    <t>T001669</t>
  </si>
  <si>
    <t>T001670</t>
  </si>
  <si>
    <t>Customer-058</t>
  </si>
  <si>
    <t>T000130</t>
  </si>
  <si>
    <t>T000131</t>
  </si>
  <si>
    <t>T000132</t>
  </si>
  <si>
    <t>T000133</t>
  </si>
  <si>
    <t>T000134</t>
  </si>
  <si>
    <t>T000135</t>
  </si>
  <si>
    <t>T000136</t>
  </si>
  <si>
    <t>T000449</t>
  </si>
  <si>
    <t>T000450</t>
  </si>
  <si>
    <t>T000451</t>
  </si>
  <si>
    <t>T000452</t>
  </si>
  <si>
    <t>T000453</t>
  </si>
  <si>
    <t>T000454</t>
  </si>
  <si>
    <t>T000455</t>
  </si>
  <si>
    <t>T000456</t>
  </si>
  <si>
    <t>T000745</t>
  </si>
  <si>
    <t>T000746</t>
  </si>
  <si>
    <t>T000747</t>
  </si>
  <si>
    <t>T000748</t>
  </si>
  <si>
    <t>T000749</t>
  </si>
  <si>
    <t>T001046</t>
  </si>
  <si>
    <t>T001047</t>
  </si>
  <si>
    <t>T001048</t>
  </si>
  <si>
    <t>T001049</t>
  </si>
  <si>
    <t>T001331</t>
  </si>
  <si>
    <t>T001332</t>
  </si>
  <si>
    <t>T001333</t>
  </si>
  <si>
    <t>T001334</t>
  </si>
  <si>
    <t>T001335</t>
  </si>
  <si>
    <t>T001336</t>
  </si>
  <si>
    <t>T001337</t>
  </si>
  <si>
    <t>T001338</t>
  </si>
  <si>
    <t>T001339</t>
  </si>
  <si>
    <t>T001671</t>
  </si>
  <si>
    <t>T001672</t>
  </si>
  <si>
    <t>T001673</t>
  </si>
  <si>
    <t>T001674</t>
  </si>
  <si>
    <t>T001675</t>
  </si>
  <si>
    <t>T001676</t>
  </si>
  <si>
    <t>T000137</t>
  </si>
  <si>
    <t>T000138</t>
  </si>
  <si>
    <t>T000139</t>
  </si>
  <si>
    <t>T000457</t>
  </si>
  <si>
    <t>T000458</t>
  </si>
  <si>
    <t>T000459</t>
  </si>
  <si>
    <t>T000460</t>
  </si>
  <si>
    <t>T000461</t>
  </si>
  <si>
    <t>T000462</t>
  </si>
  <si>
    <t>T000463</t>
  </si>
  <si>
    <t>T000464</t>
  </si>
  <si>
    <t>T000465</t>
  </si>
  <si>
    <t>T000750</t>
  </si>
  <si>
    <t>T000751</t>
  </si>
  <si>
    <t>T000752</t>
  </si>
  <si>
    <t>T000753</t>
  </si>
  <si>
    <t>T000754</t>
  </si>
  <si>
    <t>T000755</t>
  </si>
  <si>
    <t>T000756</t>
  </si>
  <si>
    <t>T001050</t>
  </si>
  <si>
    <t>T001051</t>
  </si>
  <si>
    <t>T001052</t>
  </si>
  <si>
    <t>T001340</t>
  </si>
  <si>
    <t>T001341</t>
  </si>
  <si>
    <t>T001342</t>
  </si>
  <si>
    <t>T001343</t>
  </si>
  <si>
    <t>T001344</t>
  </si>
  <si>
    <t>T001345</t>
  </si>
  <si>
    <t>T001346</t>
  </si>
  <si>
    <t>T001347</t>
  </si>
  <si>
    <t>T001348</t>
  </si>
  <si>
    <t>T001677</t>
  </si>
  <si>
    <t>T001678</t>
  </si>
  <si>
    <t>T001679</t>
  </si>
  <si>
    <t>T001680</t>
  </si>
  <si>
    <t>T000140</t>
  </si>
  <si>
    <t>T000141</t>
  </si>
  <si>
    <t>T000142</t>
  </si>
  <si>
    <t>T000143</t>
  </si>
  <si>
    <t>T000144</t>
  </si>
  <si>
    <t>T000466</t>
  </si>
  <si>
    <t>T000467</t>
  </si>
  <si>
    <t>T000468</t>
  </si>
  <si>
    <t>T000469</t>
  </si>
  <si>
    <t>T000470</t>
  </si>
  <si>
    <t>T000471</t>
  </si>
  <si>
    <t>T000472</t>
  </si>
  <si>
    <t>T000473</t>
  </si>
  <si>
    <t>T000474</t>
  </si>
  <si>
    <t>T000475</t>
  </si>
  <si>
    <t>T000476</t>
  </si>
  <si>
    <t>T000477</t>
  </si>
  <si>
    <t>T000757</t>
  </si>
  <si>
    <t>T000758</t>
  </si>
  <si>
    <t>T000759</t>
  </si>
  <si>
    <t>T000760</t>
  </si>
  <si>
    <t>T000761</t>
  </si>
  <si>
    <t>T000762</t>
  </si>
  <si>
    <t>T000763</t>
  </si>
  <si>
    <t>T001053</t>
  </si>
  <si>
    <t>T001054</t>
  </si>
  <si>
    <t>T001055</t>
  </si>
  <si>
    <t>T001056</t>
  </si>
  <si>
    <t>T001057</t>
  </si>
  <si>
    <t>T001058</t>
  </si>
  <si>
    <t>T001059</t>
  </si>
  <si>
    <t>T001060</t>
  </si>
  <si>
    <t>T001061</t>
  </si>
  <si>
    <t>T001349</t>
  </si>
  <si>
    <t>T001350</t>
  </si>
  <si>
    <t>T001351</t>
  </si>
  <si>
    <t>T001352</t>
  </si>
  <si>
    <t>T001353</t>
  </si>
  <si>
    <t>T001354</t>
  </si>
  <si>
    <t>T001355</t>
  </si>
  <si>
    <t>T001356</t>
  </si>
  <si>
    <t>T001357</t>
  </si>
  <si>
    <t>T001358</t>
  </si>
  <si>
    <t>T001681</t>
  </si>
  <si>
    <t>T001682</t>
  </si>
  <si>
    <t>T001683</t>
  </si>
  <si>
    <t>T001684</t>
  </si>
  <si>
    <t>T001685</t>
  </si>
  <si>
    <t>T001686</t>
  </si>
  <si>
    <t>T001687</t>
  </si>
  <si>
    <t>T001688</t>
  </si>
  <si>
    <t>T001689</t>
  </si>
  <si>
    <t>Customer-061</t>
  </si>
  <si>
    <t>T000145</t>
  </si>
  <si>
    <t>T000146</t>
  </si>
  <si>
    <t>T000147</t>
  </si>
  <si>
    <t>T000478</t>
  </si>
  <si>
    <t>T000479</t>
  </si>
  <si>
    <t>T000480</t>
  </si>
  <si>
    <t>T000764</t>
  </si>
  <si>
    <t>T001062</t>
  </si>
  <si>
    <t>T001063</t>
  </si>
  <si>
    <t>T001064</t>
  </si>
  <si>
    <t>T001065</t>
  </si>
  <si>
    <t>T001359</t>
  </si>
  <si>
    <t>T001360</t>
  </si>
  <si>
    <t>T001361</t>
  </si>
  <si>
    <t>T001362</t>
  </si>
  <si>
    <t>T001363</t>
  </si>
  <si>
    <t>T001364</t>
  </si>
  <si>
    <t>T001365</t>
  </si>
  <si>
    <t>T001690</t>
  </si>
  <si>
    <t>T001691</t>
  </si>
  <si>
    <t>T001692</t>
  </si>
  <si>
    <t>T001693</t>
  </si>
  <si>
    <t>T001694</t>
  </si>
  <si>
    <t>T001695</t>
  </si>
  <si>
    <t>T001696</t>
  </si>
  <si>
    <t>T001697</t>
  </si>
  <si>
    <t>T001698</t>
  </si>
  <si>
    <t>T001699</t>
  </si>
  <si>
    <t>T001700</t>
  </si>
  <si>
    <t>T001701</t>
  </si>
  <si>
    <t>Customer-062</t>
  </si>
  <si>
    <t>T000148</t>
  </si>
  <si>
    <t>T000149</t>
  </si>
  <si>
    <t>T000150</t>
  </si>
  <si>
    <t>T000151</t>
  </si>
  <si>
    <t>T000152</t>
  </si>
  <si>
    <t>T000153</t>
  </si>
  <si>
    <t>T000154</t>
  </si>
  <si>
    <t>T000155</t>
  </si>
  <si>
    <t>T000481</t>
  </si>
  <si>
    <t>T000482</t>
  </si>
  <si>
    <t>T000483</t>
  </si>
  <si>
    <t>T000484</t>
  </si>
  <si>
    <t>T000485</t>
  </si>
  <si>
    <t>T000486</t>
  </si>
  <si>
    <t>T000487</t>
  </si>
  <si>
    <t>T000765</t>
  </si>
  <si>
    <t>T000766</t>
  </si>
  <si>
    <t>T000767</t>
  </si>
  <si>
    <t>T000768</t>
  </si>
  <si>
    <t>T000769</t>
  </si>
  <si>
    <t>T000770</t>
  </si>
  <si>
    <t>T000771</t>
  </si>
  <si>
    <t>T000772</t>
  </si>
  <si>
    <t>T001066</t>
  </si>
  <si>
    <t>T001067</t>
  </si>
  <si>
    <t>T001068</t>
  </si>
  <si>
    <t>T001069</t>
  </si>
  <si>
    <t>T001070</t>
  </si>
  <si>
    <t>T001071</t>
  </si>
  <si>
    <t>T001366</t>
  </si>
  <si>
    <t>T001367</t>
  </si>
  <si>
    <t>T001368</t>
  </si>
  <si>
    <t>T001369</t>
  </si>
  <si>
    <t>T001370</t>
  </si>
  <si>
    <t>T001371</t>
  </si>
  <si>
    <t>T001372</t>
  </si>
  <si>
    <t>T001702</t>
  </si>
  <si>
    <t>T001703</t>
  </si>
  <si>
    <t>T001704</t>
  </si>
  <si>
    <t>T001705</t>
  </si>
  <si>
    <t>T001706</t>
  </si>
  <si>
    <t>T001707</t>
  </si>
  <si>
    <t>T001708</t>
  </si>
  <si>
    <t>T001709</t>
  </si>
  <si>
    <t>T001710</t>
  </si>
  <si>
    <t>T001711</t>
  </si>
  <si>
    <t>Customer-063</t>
  </si>
  <si>
    <t>T000156</t>
  </si>
  <si>
    <t>T000157</t>
  </si>
  <si>
    <t>T000158</t>
  </si>
  <si>
    <t>T000159</t>
  </si>
  <si>
    <t>T000488</t>
  </si>
  <si>
    <t>T000489</t>
  </si>
  <si>
    <t>T000490</t>
  </si>
  <si>
    <t>T000773</t>
  </si>
  <si>
    <t>T000774</t>
  </si>
  <si>
    <t>T000775</t>
  </si>
  <si>
    <t>T000776</t>
  </si>
  <si>
    <t>T000777</t>
  </si>
  <si>
    <t>T001072</t>
  </si>
  <si>
    <t>T001073</t>
  </si>
  <si>
    <t>T001074</t>
  </si>
  <si>
    <t>T001373</t>
  </si>
  <si>
    <t>T001374</t>
  </si>
  <si>
    <t>T001375</t>
  </si>
  <si>
    <t>T001376</t>
  </si>
  <si>
    <t>T001377</t>
  </si>
  <si>
    <t>T001378</t>
  </si>
  <si>
    <t>T001379</t>
  </si>
  <si>
    <t>T001380</t>
  </si>
  <si>
    <t>T001381</t>
  </si>
  <si>
    <t>T001382</t>
  </si>
  <si>
    <t>T001383</t>
  </si>
  <si>
    <t>T001384</t>
  </si>
  <si>
    <t>T001385</t>
  </si>
  <si>
    <t>T001712</t>
  </si>
  <si>
    <t>T001713</t>
  </si>
  <si>
    <t>T001714</t>
  </si>
  <si>
    <t>T001715</t>
  </si>
  <si>
    <t>T001716</t>
  </si>
  <si>
    <t>T001717</t>
  </si>
  <si>
    <t>T001718</t>
  </si>
  <si>
    <t>T001719</t>
  </si>
  <si>
    <t>T001720</t>
  </si>
  <si>
    <t>Customer-064</t>
  </si>
  <si>
    <t>T000160</t>
  </si>
  <si>
    <t>T000161</t>
  </si>
  <si>
    <t>T000162</t>
  </si>
  <si>
    <t>T000163</t>
  </si>
  <si>
    <t>T000164</t>
  </si>
  <si>
    <t>T000165</t>
  </si>
  <si>
    <t>T000166</t>
  </si>
  <si>
    <t>T000491</t>
  </si>
  <si>
    <t>T000492</t>
  </si>
  <si>
    <t>T000493</t>
  </si>
  <si>
    <t>T000494</t>
  </si>
  <si>
    <t>T000495</t>
  </si>
  <si>
    <t>T000496</t>
  </si>
  <si>
    <t>T000497</t>
  </si>
  <si>
    <t>T000498</t>
  </si>
  <si>
    <t>T000778</t>
  </si>
  <si>
    <t>T000779</t>
  </si>
  <si>
    <t>T000780</t>
  </si>
  <si>
    <t>T000781</t>
  </si>
  <si>
    <t>T000782</t>
  </si>
  <si>
    <t>T000783</t>
  </si>
  <si>
    <t>T001075</t>
  </si>
  <si>
    <t>T001076</t>
  </si>
  <si>
    <t>T001077</t>
  </si>
  <si>
    <t>T001078</t>
  </si>
  <si>
    <t>T001079</t>
  </si>
  <si>
    <t>T001080</t>
  </si>
  <si>
    <t>T001386</t>
  </si>
  <si>
    <t>T001387</t>
  </si>
  <si>
    <t>T001388</t>
  </si>
  <si>
    <t>T001389</t>
  </si>
  <si>
    <t>T001390</t>
  </si>
  <si>
    <t>T001391</t>
  </si>
  <si>
    <t>T001721</t>
  </si>
  <si>
    <t>T001722</t>
  </si>
  <si>
    <t>T001723</t>
  </si>
  <si>
    <t>T001724</t>
  </si>
  <si>
    <t>T001725</t>
  </si>
  <si>
    <t>T001726</t>
  </si>
  <si>
    <t>Customer-065</t>
  </si>
  <si>
    <t>T000167</t>
  </si>
  <si>
    <t>T000168</t>
  </si>
  <si>
    <t>T000169</t>
  </si>
  <si>
    <t>T000170</t>
  </si>
  <si>
    <t>T000171</t>
  </si>
  <si>
    <t>T000172</t>
  </si>
  <si>
    <t>T000173</t>
  </si>
  <si>
    <t>T000174</t>
  </si>
  <si>
    <t>T000175</t>
  </si>
  <si>
    <t>T000499</t>
  </si>
  <si>
    <t>T000500</t>
  </si>
  <si>
    <t>T000501</t>
  </si>
  <si>
    <t>T000502</t>
  </si>
  <si>
    <t>T000503</t>
  </si>
  <si>
    <t>T000504</t>
  </si>
  <si>
    <t>T000505</t>
  </si>
  <si>
    <t>T000784</t>
  </si>
  <si>
    <t>T000785</t>
  </si>
  <si>
    <t>T000786</t>
  </si>
  <si>
    <t>T000787</t>
  </si>
  <si>
    <t>T001081</t>
  </si>
  <si>
    <t>T001082</t>
  </si>
  <si>
    <t>T001083</t>
  </si>
  <si>
    <t>T001084</t>
  </si>
  <si>
    <t>T001085</t>
  </si>
  <si>
    <t>T001086</t>
  </si>
  <si>
    <t>T001087</t>
  </si>
  <si>
    <t>T001392</t>
  </si>
  <si>
    <t>T001393</t>
  </si>
  <si>
    <t>T001394</t>
  </si>
  <si>
    <t>T001395</t>
  </si>
  <si>
    <t>T001396</t>
  </si>
  <si>
    <t>T001397</t>
  </si>
  <si>
    <t>T001398</t>
  </si>
  <si>
    <t>T001727</t>
  </si>
  <si>
    <t>T001728</t>
  </si>
  <si>
    <t>T001729</t>
  </si>
  <si>
    <t>Customer-066</t>
  </si>
  <si>
    <t>T000176</t>
  </si>
  <si>
    <t>T000177</t>
  </si>
  <si>
    <t>T000178</t>
  </si>
  <si>
    <t>T000179</t>
  </si>
  <si>
    <t>T000506</t>
  </si>
  <si>
    <t>T000507</t>
  </si>
  <si>
    <t>T000508</t>
  </si>
  <si>
    <t>T000509</t>
  </si>
  <si>
    <t>T000510</t>
  </si>
  <si>
    <t>T000511</t>
  </si>
  <si>
    <t>T000788</t>
  </si>
  <si>
    <t>T000789</t>
  </si>
  <si>
    <t>T000790</t>
  </si>
  <si>
    <t>T000791</t>
  </si>
  <si>
    <t>T000792</t>
  </si>
  <si>
    <t>T000793</t>
  </si>
  <si>
    <t>T000794</t>
  </si>
  <si>
    <t>T000795</t>
  </si>
  <si>
    <t>T000796</t>
  </si>
  <si>
    <t>T000797</t>
  </si>
  <si>
    <t>T001088</t>
  </si>
  <si>
    <t>T001089</t>
  </si>
  <si>
    <t>T001090</t>
  </si>
  <si>
    <t>T001091</t>
  </si>
  <si>
    <t>T001092</t>
  </si>
  <si>
    <t>T001093</t>
  </si>
  <si>
    <t>T001399</t>
  </si>
  <si>
    <t>T001400</t>
  </si>
  <si>
    <t>T001730</t>
  </si>
  <si>
    <t>T001731</t>
  </si>
  <si>
    <t>T001732</t>
  </si>
  <si>
    <t>T001733</t>
  </si>
  <si>
    <t>T001734</t>
  </si>
  <si>
    <t>T001735</t>
  </si>
  <si>
    <t>T001736</t>
  </si>
  <si>
    <t>T001737</t>
  </si>
  <si>
    <t>T001738</t>
  </si>
  <si>
    <t>T001739</t>
  </si>
  <si>
    <t>T001740</t>
  </si>
  <si>
    <t>Customer-067</t>
  </si>
  <si>
    <t>T000180</t>
  </si>
  <si>
    <t>T000181</t>
  </si>
  <si>
    <t>T000182</t>
  </si>
  <si>
    <t>T000183</t>
  </si>
  <si>
    <t>T000184</t>
  </si>
  <si>
    <t>T000185</t>
  </si>
  <si>
    <t>T000512</t>
  </si>
  <si>
    <t>T000513</t>
  </si>
  <si>
    <t>T000514</t>
  </si>
  <si>
    <t>T000515</t>
  </si>
  <si>
    <t>T000516</t>
  </si>
  <si>
    <t>T000517</t>
  </si>
  <si>
    <t>T000518</t>
  </si>
  <si>
    <t>T000798</t>
  </si>
  <si>
    <t>T000799</t>
  </si>
  <si>
    <t>T000800</t>
  </si>
  <si>
    <t>T000801</t>
  </si>
  <si>
    <t>T000802</t>
  </si>
  <si>
    <t>T000803</t>
  </si>
  <si>
    <t>T000804</t>
  </si>
  <si>
    <t>T001094</t>
  </si>
  <si>
    <t>T001095</t>
  </si>
  <si>
    <t>T001096</t>
  </si>
  <si>
    <t>T001401</t>
  </si>
  <si>
    <t>T001402</t>
  </si>
  <si>
    <t>T001403</t>
  </si>
  <si>
    <t>T001741</t>
  </si>
  <si>
    <t>T001742</t>
  </si>
  <si>
    <t>T001743</t>
  </si>
  <si>
    <t>T001744</t>
  </si>
  <si>
    <t>T001745</t>
  </si>
  <si>
    <t>T001746</t>
  </si>
  <si>
    <t>Customer-068</t>
  </si>
  <si>
    <t>T000186</t>
  </si>
  <si>
    <t>T000187</t>
  </si>
  <si>
    <t>T000188</t>
  </si>
  <si>
    <t>T000189</t>
  </si>
  <si>
    <t>T000190</t>
  </si>
  <si>
    <t>T000191</t>
  </si>
  <si>
    <t>T000192</t>
  </si>
  <si>
    <t>T000193</t>
  </si>
  <si>
    <t>T000519</t>
  </si>
  <si>
    <t>T000520</t>
  </si>
  <si>
    <t>T000521</t>
  </si>
  <si>
    <t>T000522</t>
  </si>
  <si>
    <t>T000523</t>
  </si>
  <si>
    <t>T000805</t>
  </si>
  <si>
    <t>T000806</t>
  </si>
  <si>
    <t>T000807</t>
  </si>
  <si>
    <t>T001097</t>
  </si>
  <si>
    <t>T001098</t>
  </si>
  <si>
    <t>T001099</t>
  </si>
  <si>
    <t>T001100</t>
  </si>
  <si>
    <t>T001101</t>
  </si>
  <si>
    <t>T001102</t>
  </si>
  <si>
    <t>T001103</t>
  </si>
  <si>
    <t>T001104</t>
  </si>
  <si>
    <t>T001404</t>
  </si>
  <si>
    <t>T001405</t>
  </si>
  <si>
    <t>T001406</t>
  </si>
  <si>
    <t>T001407</t>
  </si>
  <si>
    <t>T001408</t>
  </si>
  <si>
    <t>T001409</t>
  </si>
  <si>
    <t>T001410</t>
  </si>
  <si>
    <t>T001747</t>
  </si>
  <si>
    <t>T001748</t>
  </si>
  <si>
    <t>T001749</t>
  </si>
  <si>
    <t>T001750</t>
  </si>
  <si>
    <t>T001751</t>
  </si>
  <si>
    <t>T001752</t>
  </si>
  <si>
    <t>T001753</t>
  </si>
  <si>
    <t>Customer-069</t>
  </si>
  <si>
    <t>T000194</t>
  </si>
  <si>
    <t>T000195</t>
  </si>
  <si>
    <t>T000196</t>
  </si>
  <si>
    <t>T000197</t>
  </si>
  <si>
    <t>T000198</t>
  </si>
  <si>
    <t>T000199</t>
  </si>
  <si>
    <t>T000200</t>
  </si>
  <si>
    <t>T000201</t>
  </si>
  <si>
    <t>T000202</t>
  </si>
  <si>
    <t>T000203</t>
  </si>
  <si>
    <t>T000524</t>
  </si>
  <si>
    <t>T000525</t>
  </si>
  <si>
    <t>T000526</t>
  </si>
  <si>
    <t>T000527</t>
  </si>
  <si>
    <t>T000808</t>
  </si>
  <si>
    <t>T000809</t>
  </si>
  <si>
    <t>T000810</t>
  </si>
  <si>
    <t>T000811</t>
  </si>
  <si>
    <t>T000812</t>
  </si>
  <si>
    <t>T000813</t>
  </si>
  <si>
    <t>T001105</t>
  </si>
  <si>
    <t>T001106</t>
  </si>
  <si>
    <t>T001107</t>
  </si>
  <si>
    <t>T001108</t>
  </si>
  <si>
    <t>T001109</t>
  </si>
  <si>
    <t>T001110</t>
  </si>
  <si>
    <t>T001411</t>
  </si>
  <si>
    <t>T001412</t>
  </si>
  <si>
    <t>T001413</t>
  </si>
  <si>
    <t>T001414</t>
  </si>
  <si>
    <t>T001415</t>
  </si>
  <si>
    <t>T001416</t>
  </si>
  <si>
    <t>T001417</t>
  </si>
  <si>
    <t>T001754</t>
  </si>
  <si>
    <t>T001755</t>
  </si>
  <si>
    <t>T001756</t>
  </si>
  <si>
    <t>T001757</t>
  </si>
  <si>
    <t>T001758</t>
  </si>
  <si>
    <t>T001759</t>
  </si>
  <si>
    <t>T001760</t>
  </si>
  <si>
    <t>T001761</t>
  </si>
  <si>
    <t>T001762</t>
  </si>
  <si>
    <t>T001763</t>
  </si>
  <si>
    <t>T000204</t>
  </si>
  <si>
    <t>T000205</t>
  </si>
  <si>
    <t>T000206</t>
  </si>
  <si>
    <t>T000207</t>
  </si>
  <si>
    <t>T000208</t>
  </si>
  <si>
    <t>T000209</t>
  </si>
  <si>
    <t>T000210</t>
  </si>
  <si>
    <t>T000211</t>
  </si>
  <si>
    <t>T000212</t>
  </si>
  <si>
    <t>T000213</t>
  </si>
  <si>
    <t>T000214</t>
  </si>
  <si>
    <t>T000215</t>
  </si>
  <si>
    <t>T000216</t>
  </si>
  <si>
    <t>T000217</t>
  </si>
  <si>
    <t>T000218</t>
  </si>
  <si>
    <t>T000528</t>
  </si>
  <si>
    <t>T000529</t>
  </si>
  <si>
    <t>T000530</t>
  </si>
  <si>
    <t>T000531</t>
  </si>
  <si>
    <t>T000532</t>
  </si>
  <si>
    <t>T000814</t>
  </si>
  <si>
    <t>T000815</t>
  </si>
  <si>
    <t>T000816</t>
  </si>
  <si>
    <t>T000817</t>
  </si>
  <si>
    <t>T000818</t>
  </si>
  <si>
    <t>T000819</t>
  </si>
  <si>
    <t>T000820</t>
  </si>
  <si>
    <t>T000821</t>
  </si>
  <si>
    <t>T001111</t>
  </si>
  <si>
    <t>T001112</t>
  </si>
  <si>
    <t>T001113</t>
  </si>
  <si>
    <t>T001114</t>
  </si>
  <si>
    <t>T001115</t>
  </si>
  <si>
    <t>T001116</t>
  </si>
  <si>
    <t>T001418</t>
  </si>
  <si>
    <t>T001419</t>
  </si>
  <si>
    <t>T001420</t>
  </si>
  <si>
    <t>T001764</t>
  </si>
  <si>
    <t>T001765</t>
  </si>
  <si>
    <t>T001766</t>
  </si>
  <si>
    <t>Customer-071</t>
  </si>
  <si>
    <t>T000219</t>
  </si>
  <si>
    <t>T000220</t>
  </si>
  <si>
    <t>T000221</t>
  </si>
  <si>
    <t>T000222</t>
  </si>
  <si>
    <t>T000223</t>
  </si>
  <si>
    <t>T000224</t>
  </si>
  <si>
    <t>T000225</t>
  </si>
  <si>
    <t>T000533</t>
  </si>
  <si>
    <t>T000534</t>
  </si>
  <si>
    <t>T000535</t>
  </si>
  <si>
    <t>T000536</t>
  </si>
  <si>
    <t>T000822</t>
  </si>
  <si>
    <t>T000823</t>
  </si>
  <si>
    <t>T000824</t>
  </si>
  <si>
    <t>T001117</t>
  </si>
  <si>
    <t>T001118</t>
  </si>
  <si>
    <t>T001119</t>
  </si>
  <si>
    <t>T001120</t>
  </si>
  <si>
    <t>T001121</t>
  </si>
  <si>
    <t>T001122</t>
  </si>
  <si>
    <t>T001421</t>
  </si>
  <si>
    <t>T001422</t>
  </si>
  <si>
    <t>T001423</t>
  </si>
  <si>
    <t>T001424</t>
  </si>
  <si>
    <t>T001425</t>
  </si>
  <si>
    <t>T001426</t>
  </si>
  <si>
    <t>T001427</t>
  </si>
  <si>
    <t>T001767</t>
  </si>
  <si>
    <t>T001768</t>
  </si>
  <si>
    <t>Customer-072</t>
  </si>
  <si>
    <t>T000226</t>
  </si>
  <si>
    <t>T000227</t>
  </si>
  <si>
    <t>T000228</t>
  </si>
  <si>
    <t>T000229</t>
  </si>
  <si>
    <t>T000230</t>
  </si>
  <si>
    <t>T000537</t>
  </si>
  <si>
    <t>T000825</t>
  </si>
  <si>
    <t>T000826</t>
  </si>
  <si>
    <t>T000827</t>
  </si>
  <si>
    <t>T000828</t>
  </si>
  <si>
    <t>T000829</t>
  </si>
  <si>
    <t>T001123</t>
  </si>
  <si>
    <t>T001124</t>
  </si>
  <si>
    <t>T001125</t>
  </si>
  <si>
    <t>T001428</t>
  </si>
  <si>
    <t>T001429</t>
  </si>
  <si>
    <t>T001430</t>
  </si>
  <si>
    <t>T001769</t>
  </si>
  <si>
    <t>T001770</t>
  </si>
  <si>
    <t>T001771</t>
  </si>
  <si>
    <t>T001772</t>
  </si>
  <si>
    <t>T001773</t>
  </si>
  <si>
    <t>T001774</t>
  </si>
  <si>
    <t>T000231</t>
  </si>
  <si>
    <t>T000232</t>
  </si>
  <si>
    <t>T000538</t>
  </si>
  <si>
    <t>T000539</t>
  </si>
  <si>
    <t>T000540</t>
  </si>
  <si>
    <t>T000541</t>
  </si>
  <si>
    <t>T000542</t>
  </si>
  <si>
    <t>T000543</t>
  </si>
  <si>
    <t>T000544</t>
  </si>
  <si>
    <t>T000830</t>
  </si>
  <si>
    <t>T000831</t>
  </si>
  <si>
    <t>T000832</t>
  </si>
  <si>
    <t>T000833</t>
  </si>
  <si>
    <t>T000834</t>
  </si>
  <si>
    <t>T001126</t>
  </si>
  <si>
    <t>T001127</t>
  </si>
  <si>
    <t>T001128</t>
  </si>
  <si>
    <t>T001129</t>
  </si>
  <si>
    <t>T001431</t>
  </si>
  <si>
    <t>T001432</t>
  </si>
  <si>
    <t>T001433</t>
  </si>
  <si>
    <t>T001434</t>
  </si>
  <si>
    <t>T001435</t>
  </si>
  <si>
    <t>T001775</t>
  </si>
  <si>
    <t>T001776</t>
  </si>
  <si>
    <t>T001777</t>
  </si>
  <si>
    <t>T001778</t>
  </si>
  <si>
    <t>T001779</t>
  </si>
  <si>
    <t>T001780</t>
  </si>
  <si>
    <t>T001781</t>
  </si>
  <si>
    <t>T001782</t>
  </si>
  <si>
    <t>T001783</t>
  </si>
  <si>
    <t>Customer-074</t>
  </si>
  <si>
    <t>T000233</t>
  </si>
  <si>
    <t>T000234</t>
  </si>
  <si>
    <t>T000235</t>
  </si>
  <si>
    <t>T000236</t>
  </si>
  <si>
    <t>T000237</t>
  </si>
  <si>
    <t>T000238</t>
  </si>
  <si>
    <t>T000545</t>
  </si>
  <si>
    <t>T000546</t>
  </si>
  <si>
    <t>T000547</t>
  </si>
  <si>
    <t>T000548</t>
  </si>
  <si>
    <t>T000549</t>
  </si>
  <si>
    <t>T000550</t>
  </si>
  <si>
    <t>T000551</t>
  </si>
  <si>
    <t>T000835</t>
  </si>
  <si>
    <t>T000836</t>
  </si>
  <si>
    <t>T000837</t>
  </si>
  <si>
    <t>T000838</t>
  </si>
  <si>
    <t>T000839</t>
  </si>
  <si>
    <t>T000840</t>
  </si>
  <si>
    <t>T001130</t>
  </si>
  <si>
    <t>T001131</t>
  </si>
  <si>
    <t>T001132</t>
  </si>
  <si>
    <t>T001133</t>
  </si>
  <si>
    <t>T001134</t>
  </si>
  <si>
    <t>T001135</t>
  </si>
  <si>
    <t>T001136</t>
  </si>
  <si>
    <t>T001137</t>
  </si>
  <si>
    <t>T001138</t>
  </si>
  <si>
    <t>T001436</t>
  </si>
  <si>
    <t>T001437</t>
  </si>
  <si>
    <t>T001438</t>
  </si>
  <si>
    <t>T001439</t>
  </si>
  <si>
    <t>T001440</t>
  </si>
  <si>
    <t>T001441</t>
  </si>
  <si>
    <t>T001442</t>
  </si>
  <si>
    <t>T001443</t>
  </si>
  <si>
    <t>T001444</t>
  </si>
  <si>
    <t>T001784</t>
  </si>
  <si>
    <t>T001785</t>
  </si>
  <si>
    <t>T001786</t>
  </si>
  <si>
    <t>T001787</t>
  </si>
  <si>
    <t>T001788</t>
  </si>
  <si>
    <t>Customer-075</t>
  </si>
  <si>
    <t>T000239</t>
  </si>
  <si>
    <t>T000240</t>
  </si>
  <si>
    <t>T000241</t>
  </si>
  <si>
    <t>T000552</t>
  </si>
  <si>
    <t>T000553</t>
  </si>
  <si>
    <t>T000554</t>
  </si>
  <si>
    <t>T000841</t>
  </si>
  <si>
    <t>T000842</t>
  </si>
  <si>
    <t>T000843</t>
  </si>
  <si>
    <t>T000844</t>
  </si>
  <si>
    <t>T000845</t>
  </si>
  <si>
    <t>T000846</t>
  </si>
  <si>
    <t>T001139</t>
  </si>
  <si>
    <t>T001140</t>
  </si>
  <si>
    <t>T001141</t>
  </si>
  <si>
    <t>T001142</t>
  </si>
  <si>
    <t>T001143</t>
  </si>
  <si>
    <t>T001144</t>
  </si>
  <si>
    <t>T001145</t>
  </si>
  <si>
    <t>T001445</t>
  </si>
  <si>
    <t>T001446</t>
  </si>
  <si>
    <t>T001447</t>
  </si>
  <si>
    <t>T001448</t>
  </si>
  <si>
    <t>T001449</t>
  </si>
  <si>
    <t>T001450</t>
  </si>
  <si>
    <t>T001451</t>
  </si>
  <si>
    <t>T001789</t>
  </si>
  <si>
    <t>T001790</t>
  </si>
  <si>
    <t>T001791</t>
  </si>
  <si>
    <t>T001792</t>
  </si>
  <si>
    <t>T001793</t>
  </si>
  <si>
    <t>T001794</t>
  </si>
  <si>
    <t>Customer-076</t>
  </si>
  <si>
    <t>T000242</t>
  </si>
  <si>
    <t>T000243</t>
  </si>
  <si>
    <t>T000244</t>
  </si>
  <si>
    <t>T000245</t>
  </si>
  <si>
    <t>T000246</t>
  </si>
  <si>
    <t>T000247</t>
  </si>
  <si>
    <t>T000248</t>
  </si>
  <si>
    <t>T000555</t>
  </si>
  <si>
    <t>T000556</t>
  </si>
  <si>
    <t>T000557</t>
  </si>
  <si>
    <t>T000847</t>
  </si>
  <si>
    <t>T000848</t>
  </si>
  <si>
    <t>T000849</t>
  </si>
  <si>
    <t>T000850</t>
  </si>
  <si>
    <t>T000851</t>
  </si>
  <si>
    <t>T000852</t>
  </si>
  <si>
    <t>T000853</t>
  </si>
  <si>
    <t>T000854</t>
  </si>
  <si>
    <t>T001146</t>
  </si>
  <si>
    <t>T001147</t>
  </si>
  <si>
    <t>T001148</t>
  </si>
  <si>
    <t>T001149</t>
  </si>
  <si>
    <t>T001452</t>
  </si>
  <si>
    <t>T001453</t>
  </si>
  <si>
    <t>T001454</t>
  </si>
  <si>
    <t>T001455</t>
  </si>
  <si>
    <t>T001456</t>
  </si>
  <si>
    <t>T001457</t>
  </si>
  <si>
    <t>T001458</t>
  </si>
  <si>
    <t>T001459</t>
  </si>
  <si>
    <t>T001460</t>
  </si>
  <si>
    <t>T001795</t>
  </si>
  <si>
    <t>T001796</t>
  </si>
  <si>
    <t>T001797</t>
  </si>
  <si>
    <t>T001798</t>
  </si>
  <si>
    <t>T001799</t>
  </si>
  <si>
    <t>T001800</t>
  </si>
  <si>
    <t>T001801</t>
  </si>
  <si>
    <t>T001802</t>
  </si>
  <si>
    <t>Customer-077</t>
  </si>
  <si>
    <t>T000249</t>
  </si>
  <si>
    <t>T000250</t>
  </si>
  <si>
    <t>T000251</t>
  </si>
  <si>
    <t>T000252</t>
  </si>
  <si>
    <t>T000253</t>
  </si>
  <si>
    <t>T000558</t>
  </si>
  <si>
    <t>T000559</t>
  </si>
  <si>
    <t>T000560</t>
  </si>
  <si>
    <t>T000561</t>
  </si>
  <si>
    <t>T000562</t>
  </si>
  <si>
    <t>T000563</t>
  </si>
  <si>
    <t>T000855</t>
  </si>
  <si>
    <t>T000856</t>
  </si>
  <si>
    <t>T000857</t>
  </si>
  <si>
    <t>T001150</t>
  </si>
  <si>
    <t>T001151</t>
  </si>
  <si>
    <t>T001152</t>
  </si>
  <si>
    <t>T001153</t>
  </si>
  <si>
    <t>T001154</t>
  </si>
  <si>
    <t>T001155</t>
  </si>
  <si>
    <t>T001156</t>
  </si>
  <si>
    <t>T001461</t>
  </si>
  <si>
    <t>T001462</t>
  </si>
  <si>
    <t>T001463</t>
  </si>
  <si>
    <t>T001464</t>
  </si>
  <si>
    <t>T001465</t>
  </si>
  <si>
    <t>T001466</t>
  </si>
  <si>
    <t>T001467</t>
  </si>
  <si>
    <t>T001468</t>
  </si>
  <si>
    <t>T001469</t>
  </si>
  <si>
    <t>T001803</t>
  </si>
  <si>
    <t>T001804</t>
  </si>
  <si>
    <t>Customer-078</t>
  </si>
  <si>
    <t>T000254</t>
  </si>
  <si>
    <t>T000255</t>
  </si>
  <si>
    <t>T000256</t>
  </si>
  <si>
    <t>T000257</t>
  </si>
  <si>
    <t>T000258</t>
  </si>
  <si>
    <t>T000259</t>
  </si>
  <si>
    <t>T000564</t>
  </si>
  <si>
    <t>T000565</t>
  </si>
  <si>
    <t>T000566</t>
  </si>
  <si>
    <t>T000567</t>
  </si>
  <si>
    <t>T000858</t>
  </si>
  <si>
    <t>T000859</t>
  </si>
  <si>
    <t>T000860</t>
  </si>
  <si>
    <t>T000861</t>
  </si>
  <si>
    <t>T001157</t>
  </si>
  <si>
    <t>T001158</t>
  </si>
  <si>
    <t>T001159</t>
  </si>
  <si>
    <t>T001160</t>
  </si>
  <si>
    <t>T001161</t>
  </si>
  <si>
    <t>T001162</t>
  </si>
  <si>
    <t>T001470</t>
  </si>
  <si>
    <t>T001471</t>
  </si>
  <si>
    <t>T001472</t>
  </si>
  <si>
    <t>T001473</t>
  </si>
  <si>
    <t>T001474</t>
  </si>
  <si>
    <t>T001475</t>
  </si>
  <si>
    <t>T001476</t>
  </si>
  <si>
    <t>T001477</t>
  </si>
  <si>
    <t>T001478</t>
  </si>
  <si>
    <t>T001805</t>
  </si>
  <si>
    <t>T001806</t>
  </si>
  <si>
    <t>T001807</t>
  </si>
  <si>
    <t>T001808</t>
  </si>
  <si>
    <t>T001809</t>
  </si>
  <si>
    <t>T001810</t>
  </si>
  <si>
    <t>T001811</t>
  </si>
  <si>
    <t>T000260</t>
  </si>
  <si>
    <t>T000261</t>
  </si>
  <si>
    <t>T000262</t>
  </si>
  <si>
    <t>T000568</t>
  </si>
  <si>
    <t>T000569</t>
  </si>
  <si>
    <t>T000570</t>
  </si>
  <si>
    <t>T000862</t>
  </si>
  <si>
    <t>T000863</t>
  </si>
  <si>
    <t>T000864</t>
  </si>
  <si>
    <t>T000865</t>
  </si>
  <si>
    <t>T000866</t>
  </si>
  <si>
    <t>T000867</t>
  </si>
  <si>
    <t>T001163</t>
  </si>
  <si>
    <t>T001164</t>
  </si>
  <si>
    <t>T001165</t>
  </si>
  <si>
    <t>T001166</t>
  </si>
  <si>
    <t>T001167</t>
  </si>
  <si>
    <t>T001168</t>
  </si>
  <si>
    <t>T001169</t>
  </si>
  <si>
    <t>T001170</t>
  </si>
  <si>
    <t>T001479</t>
  </si>
  <si>
    <t>T001480</t>
  </si>
  <si>
    <t>T001812</t>
  </si>
  <si>
    <t>T001813</t>
  </si>
  <si>
    <t>T001814</t>
  </si>
  <si>
    <t>T001815</t>
  </si>
  <si>
    <t>T001816</t>
  </si>
  <si>
    <t>T001817</t>
  </si>
  <si>
    <t>T001818</t>
  </si>
  <si>
    <t>Customer-080</t>
  </si>
  <si>
    <t>T000263</t>
  </si>
  <si>
    <t>T000264</t>
  </si>
  <si>
    <t>T000265</t>
  </si>
  <si>
    <t>T000266</t>
  </si>
  <si>
    <t>T000571</t>
  </si>
  <si>
    <t>T000572</t>
  </si>
  <si>
    <t>T000573</t>
  </si>
  <si>
    <t>T000868</t>
  </si>
  <si>
    <t>T000869</t>
  </si>
  <si>
    <t>T000870</t>
  </si>
  <si>
    <t>T000871</t>
  </si>
  <si>
    <t>T000872</t>
  </si>
  <si>
    <t>T000873</t>
  </si>
  <si>
    <t>T000874</t>
  </si>
  <si>
    <t>T000875</t>
  </si>
  <si>
    <t>T001171</t>
  </si>
  <si>
    <t>T001172</t>
  </si>
  <si>
    <t>T001173</t>
  </si>
  <si>
    <t>T001481</t>
  </si>
  <si>
    <t>T001482</t>
  </si>
  <si>
    <t>T001483</t>
  </si>
  <si>
    <t>T001484</t>
  </si>
  <si>
    <t>T001485</t>
  </si>
  <si>
    <t>T001486</t>
  </si>
  <si>
    <t>T001487</t>
  </si>
  <si>
    <t>T001819</t>
  </si>
  <si>
    <t>T001820</t>
  </si>
  <si>
    <t>T001821</t>
  </si>
  <si>
    <t>T001822</t>
  </si>
  <si>
    <t>Customer-081</t>
  </si>
  <si>
    <t>T000267</t>
  </si>
  <si>
    <t>T000574</t>
  </si>
  <si>
    <t>T000575</t>
  </si>
  <si>
    <t>T000576</t>
  </si>
  <si>
    <t>T000876</t>
  </si>
  <si>
    <t>T000877</t>
  </si>
  <si>
    <t>T000878</t>
  </si>
  <si>
    <t>T001174</t>
  </si>
  <si>
    <t>T001175</t>
  </si>
  <si>
    <t>T001176</t>
  </si>
  <si>
    <t>T001488</t>
  </si>
  <si>
    <t>T001823</t>
  </si>
  <si>
    <t>T001824</t>
  </si>
  <si>
    <t>Customer-082</t>
  </si>
  <si>
    <t>T000268</t>
  </si>
  <si>
    <t>T000577</t>
  </si>
  <si>
    <t>T000578</t>
  </si>
  <si>
    <t>T000579</t>
  </si>
  <si>
    <t>T000879</t>
  </si>
  <si>
    <t>T000880</t>
  </si>
  <si>
    <t>T001177</t>
  </si>
  <si>
    <t>T001178</t>
  </si>
  <si>
    <t>T001179</t>
  </si>
  <si>
    <t>T001180</t>
  </si>
  <si>
    <t>T001489</t>
  </si>
  <si>
    <t>T001490</t>
  </si>
  <si>
    <t>T001825</t>
  </si>
  <si>
    <t>Customer-083</t>
  </si>
  <si>
    <t>T000269</t>
  </si>
  <si>
    <t>T000270</t>
  </si>
  <si>
    <t>T000271</t>
  </si>
  <si>
    <t>T000881</t>
  </si>
  <si>
    <t>T000882</t>
  </si>
  <si>
    <t>T001181</t>
  </si>
  <si>
    <t>T001491</t>
  </si>
  <si>
    <t>T001492</t>
  </si>
  <si>
    <t>T001493</t>
  </si>
  <si>
    <t>T001826</t>
  </si>
  <si>
    <t>T001827</t>
  </si>
  <si>
    <t>T001828</t>
  </si>
  <si>
    <t>Customer-084</t>
  </si>
  <si>
    <t>T000272</t>
  </si>
  <si>
    <t>T000273</t>
  </si>
  <si>
    <t>T000274</t>
  </si>
  <si>
    <t>T000275</t>
  </si>
  <si>
    <t>T000580</t>
  </si>
  <si>
    <t>T000581</t>
  </si>
  <si>
    <t>T000883</t>
  </si>
  <si>
    <t>T000884</t>
  </si>
  <si>
    <t>T001182</t>
  </si>
  <si>
    <t>T001829</t>
  </si>
  <si>
    <t>T001830</t>
  </si>
  <si>
    <t>T001831</t>
  </si>
  <si>
    <t>Customer-085</t>
  </si>
  <si>
    <t>T000276</t>
  </si>
  <si>
    <t>T000277</t>
  </si>
  <si>
    <t>T000582</t>
  </si>
  <si>
    <t>T000583</t>
  </si>
  <si>
    <t>T000885</t>
  </si>
  <si>
    <t>T000886</t>
  </si>
  <si>
    <t>T001494</t>
  </si>
  <si>
    <t>T001832</t>
  </si>
  <si>
    <t>T001833</t>
  </si>
  <si>
    <t>T001834</t>
  </si>
  <si>
    <t>T001835</t>
  </si>
  <si>
    <t>Customer-086</t>
  </si>
  <si>
    <t>T000278</t>
  </si>
  <si>
    <t>T000279</t>
  </si>
  <si>
    <t>T000887</t>
  </si>
  <si>
    <t>T001183</t>
  </si>
  <si>
    <t>T001184</t>
  </si>
  <si>
    <t>T001185</t>
  </si>
  <si>
    <t>T001836</t>
  </si>
  <si>
    <t>Customer-087</t>
  </si>
  <si>
    <t>T000280</t>
  </si>
  <si>
    <t>T000584</t>
  </si>
  <si>
    <t>T000585</t>
  </si>
  <si>
    <t>T000888</t>
  </si>
  <si>
    <t>T000889</t>
  </si>
  <si>
    <t>T001495</t>
  </si>
  <si>
    <t>T001837</t>
  </si>
  <si>
    <t>T001838</t>
  </si>
  <si>
    <t>T001839</t>
  </si>
  <si>
    <t>T001840</t>
  </si>
  <si>
    <t>Customer-088</t>
  </si>
  <si>
    <t>T000281</t>
  </si>
  <si>
    <t>T000282</t>
  </si>
  <si>
    <t>T000283</t>
  </si>
  <si>
    <t>T000586</t>
  </si>
  <si>
    <t>T001186</t>
  </si>
  <si>
    <t>T001841</t>
  </si>
  <si>
    <t>Customer-089</t>
  </si>
  <si>
    <t>T000284</t>
  </si>
  <si>
    <t>T000587</t>
  </si>
  <si>
    <t>T000588</t>
  </si>
  <si>
    <t>T000890</t>
  </si>
  <si>
    <t>T000891</t>
  </si>
  <si>
    <t>T001496</t>
  </si>
  <si>
    <t>T001497</t>
  </si>
  <si>
    <t>T001842</t>
  </si>
  <si>
    <t>Customer-090</t>
  </si>
  <si>
    <t>T000285</t>
  </si>
  <si>
    <t>T000286</t>
  </si>
  <si>
    <t>T000589</t>
  </si>
  <si>
    <t>T000590</t>
  </si>
  <si>
    <t>T000591</t>
  </si>
  <si>
    <t>T000592</t>
  </si>
  <si>
    <t>T000593</t>
  </si>
  <si>
    <t>T001187</t>
  </si>
  <si>
    <t>T001188</t>
  </si>
  <si>
    <t>T001189</t>
  </si>
  <si>
    <t>T001190</t>
  </si>
  <si>
    <t>T001498</t>
  </si>
  <si>
    <t>T001499</t>
  </si>
  <si>
    <t>T001500</t>
  </si>
  <si>
    <t>T001501</t>
  </si>
  <si>
    <t>T001843</t>
  </si>
  <si>
    <t>Customer-091</t>
  </si>
  <si>
    <t>T000287</t>
  </si>
  <si>
    <t>T000594</t>
  </si>
  <si>
    <t>T000892</t>
  </si>
  <si>
    <t>T000893</t>
  </si>
  <si>
    <t>T001502</t>
  </si>
  <si>
    <t>T001844</t>
  </si>
  <si>
    <t>T001845</t>
  </si>
  <si>
    <t>T001846</t>
  </si>
  <si>
    <t>Customer-092</t>
  </si>
  <si>
    <t>T000288</t>
  </si>
  <si>
    <t>T000289</t>
  </si>
  <si>
    <t>T000290</t>
  </si>
  <si>
    <t>T000291</t>
  </si>
  <si>
    <t>T000292</t>
  </si>
  <si>
    <t>T000595</t>
  </si>
  <si>
    <t>T000596</t>
  </si>
  <si>
    <t>T000894</t>
  </si>
  <si>
    <t>T000895</t>
  </si>
  <si>
    <t>T000896</t>
  </si>
  <si>
    <t>T000897</t>
  </si>
  <si>
    <t>T001191</t>
  </si>
  <si>
    <t>T001192</t>
  </si>
  <si>
    <t>Customer-093</t>
  </si>
  <si>
    <t>T000293</t>
  </si>
  <si>
    <t>T000597</t>
  </si>
  <si>
    <t>T000598</t>
  </si>
  <si>
    <t>T000898</t>
  </si>
  <si>
    <t>T000899</t>
  </si>
  <si>
    <t>T001193</t>
  </si>
  <si>
    <t>T001194</t>
  </si>
  <si>
    <t>T001195</t>
  </si>
  <si>
    <t>T001196</t>
  </si>
  <si>
    <t>T001503</t>
  </si>
  <si>
    <t>T001504</t>
  </si>
  <si>
    <t>T001505</t>
  </si>
  <si>
    <t>T001847</t>
  </si>
  <si>
    <t>Customer-094</t>
  </si>
  <si>
    <t>T000294</t>
  </si>
  <si>
    <t>T000599</t>
  </si>
  <si>
    <t>T000600</t>
  </si>
  <si>
    <t>T000900</t>
  </si>
  <si>
    <t>T000901</t>
  </si>
  <si>
    <t>T001197</t>
  </si>
  <si>
    <t>T001198</t>
  </si>
  <si>
    <t>T001506</t>
  </si>
  <si>
    <t>T001507</t>
  </si>
  <si>
    <t>T001508</t>
  </si>
  <si>
    <t>T001509</t>
  </si>
  <si>
    <t>T001510</t>
  </si>
  <si>
    <t>Customer-095</t>
  </si>
  <si>
    <t>T000601</t>
  </si>
  <si>
    <t>T000602</t>
  </si>
  <si>
    <t>T000603</t>
  </si>
  <si>
    <t>T000902</t>
  </si>
  <si>
    <t>T001199</t>
  </si>
  <si>
    <t>T001200</t>
  </si>
  <si>
    <t>T001848</t>
  </si>
  <si>
    <t>Customer-096</t>
  </si>
  <si>
    <t>T000295</t>
  </si>
  <si>
    <t>T000296</t>
  </si>
  <si>
    <t>T000297</t>
  </si>
  <si>
    <t>T000298</t>
  </si>
  <si>
    <t>T000299</t>
  </si>
  <si>
    <t>T000604</t>
  </si>
  <si>
    <t>T000605</t>
  </si>
  <si>
    <t>T000903</t>
  </si>
  <si>
    <t>T001201</t>
  </si>
  <si>
    <t>T001511</t>
  </si>
  <si>
    <t>T001849</t>
  </si>
  <si>
    <t>Customer-097</t>
  </si>
  <si>
    <t>T000300</t>
  </si>
  <si>
    <t>T000301</t>
  </si>
  <si>
    <t>T000606</t>
  </si>
  <si>
    <t>T000607</t>
  </si>
  <si>
    <t>T000608</t>
  </si>
  <si>
    <t>T000609</t>
  </si>
  <si>
    <t>T000904</t>
  </si>
  <si>
    <t>T000905</t>
  </si>
  <si>
    <t>T001512</t>
  </si>
  <si>
    <t>T001513</t>
  </si>
  <si>
    <t>T001514</t>
  </si>
  <si>
    <t>T001515</t>
  </si>
  <si>
    <t>T001850</t>
  </si>
  <si>
    <t>T001851</t>
  </si>
  <si>
    <t>T000302</t>
  </si>
  <si>
    <t>T000610</t>
  </si>
  <si>
    <t>T000906</t>
  </si>
  <si>
    <t>T000907</t>
  </si>
  <si>
    <t>T001202</t>
  </si>
  <si>
    <t>T001516</t>
  </si>
  <si>
    <t>T001852</t>
  </si>
  <si>
    <t>Customer-099</t>
  </si>
  <si>
    <t>T000303</t>
  </si>
  <si>
    <t>T000304</t>
  </si>
  <si>
    <t>T000611</t>
  </si>
  <si>
    <t>T000908</t>
  </si>
  <si>
    <t>T000909</t>
  </si>
  <si>
    <t>T000910</t>
  </si>
  <si>
    <t>T001853</t>
  </si>
  <si>
    <t>T000305</t>
  </si>
  <si>
    <t>T000306</t>
  </si>
  <si>
    <t>T000307</t>
  </si>
  <si>
    <t>T000612</t>
  </si>
  <si>
    <t>T000613</t>
  </si>
  <si>
    <t>T000911</t>
  </si>
  <si>
    <t>T001203</t>
  </si>
  <si>
    <t>T001204</t>
  </si>
  <si>
    <t>T001205</t>
  </si>
  <si>
    <t>T001517</t>
  </si>
  <si>
    <t>T001518</t>
  </si>
  <si>
    <t>T001519</t>
  </si>
  <si>
    <t>T001520</t>
  </si>
  <si>
    <t>Customer ID</t>
  </si>
  <si>
    <t>Region</t>
  </si>
  <si>
    <t>Customer-101</t>
  </si>
  <si>
    <t>Customer-102</t>
  </si>
  <si>
    <t>Customer-103</t>
  </si>
  <si>
    <t>Customer-104</t>
  </si>
  <si>
    <t>Customer-105</t>
  </si>
  <si>
    <t>Customer-106</t>
  </si>
  <si>
    <t>Customer-107</t>
  </si>
  <si>
    <t>Customer-109</t>
  </si>
  <si>
    <t>Customer-110</t>
  </si>
  <si>
    <t>Customer-111</t>
  </si>
  <si>
    <t>Customer-112</t>
  </si>
  <si>
    <t>Customer-113</t>
  </si>
  <si>
    <t>Customer-114</t>
  </si>
  <si>
    <t>Customer-115</t>
  </si>
  <si>
    <t>Customer-117</t>
  </si>
  <si>
    <t>Customer-118</t>
  </si>
  <si>
    <t>Customer-119</t>
  </si>
  <si>
    <t>Customer-120</t>
  </si>
  <si>
    <t>Customer-121</t>
  </si>
  <si>
    <t>Customer-122</t>
  </si>
  <si>
    <t>Customer-123</t>
  </si>
  <si>
    <t>Customer-124</t>
  </si>
  <si>
    <t>Customer-125</t>
  </si>
  <si>
    <t>Customer-126</t>
  </si>
  <si>
    <t>Customer-127</t>
  </si>
  <si>
    <t>Customer-128</t>
  </si>
  <si>
    <t>Customer-129</t>
  </si>
  <si>
    <t>Customer-130</t>
  </si>
  <si>
    <t>Customer-131</t>
  </si>
  <si>
    <t>Customer-132</t>
  </si>
  <si>
    <t>Customer-133</t>
  </si>
  <si>
    <t>Customer-136</t>
  </si>
  <si>
    <t>Customer-137</t>
  </si>
  <si>
    <t>Customer-138</t>
  </si>
  <si>
    <t>Customer-139</t>
  </si>
  <si>
    <t>Customer-140</t>
  </si>
  <si>
    <t>Customer-141</t>
  </si>
  <si>
    <t>Customer-142</t>
  </si>
  <si>
    <t>Customer-143</t>
  </si>
  <si>
    <t>Customer-144</t>
  </si>
  <si>
    <t>Customer-146</t>
  </si>
  <si>
    <t>Customer-147</t>
  </si>
  <si>
    <t>Customer-148</t>
  </si>
  <si>
    <t>Customer-149</t>
  </si>
  <si>
    <t>Customer-150</t>
  </si>
  <si>
    <t>Customer-151</t>
  </si>
  <si>
    <t>Customer-152</t>
  </si>
  <si>
    <t>Customer-153</t>
  </si>
  <si>
    <t>Customer-154</t>
  </si>
  <si>
    <t>Customer-156</t>
  </si>
  <si>
    <t>Customer-157</t>
  </si>
  <si>
    <t>Customer-159</t>
  </si>
  <si>
    <t>Customer-160</t>
  </si>
  <si>
    <t>Customer-161</t>
  </si>
  <si>
    <t>Customer-162</t>
  </si>
  <si>
    <t>Customer-163</t>
  </si>
  <si>
    <t>Customer-165</t>
  </si>
  <si>
    <t>Customer-168</t>
  </si>
  <si>
    <t>Customer-170</t>
  </si>
  <si>
    <t>Customer-171</t>
  </si>
  <si>
    <t>Customer-172</t>
  </si>
  <si>
    <t>Customer-173</t>
  </si>
  <si>
    <t>Customer-174</t>
  </si>
  <si>
    <t>Customer-175</t>
  </si>
  <si>
    <t>Customer-176</t>
  </si>
  <si>
    <t>Customer-179</t>
  </si>
  <si>
    <t>Customer-180</t>
  </si>
  <si>
    <t>Customer-181</t>
  </si>
  <si>
    <t>Customer-182</t>
  </si>
  <si>
    <t>Customer-183</t>
  </si>
  <si>
    <t>Customer-184</t>
  </si>
  <si>
    <t>Customer-185</t>
  </si>
  <si>
    <t>Customer-186</t>
  </si>
  <si>
    <t>Customer-187</t>
  </si>
  <si>
    <t>Customer-188</t>
  </si>
  <si>
    <t>Customer-189</t>
  </si>
  <si>
    <t>Customer-190</t>
  </si>
  <si>
    <t>Customer-191</t>
  </si>
  <si>
    <t>Customer-192</t>
  </si>
  <si>
    <t>Customer-193</t>
  </si>
  <si>
    <t>Customer-195</t>
  </si>
  <si>
    <t>Customer-196</t>
  </si>
  <si>
    <t>Customer-197</t>
  </si>
  <si>
    <t>Customer-198</t>
  </si>
  <si>
    <t>Customer-199</t>
  </si>
  <si>
    <t>Customer-203</t>
  </si>
  <si>
    <t>Customer-204</t>
  </si>
  <si>
    <t>Customer-205</t>
  </si>
  <si>
    <t>Customer-206</t>
  </si>
  <si>
    <t>Customer-207</t>
  </si>
  <si>
    <t>Customer-208</t>
  </si>
  <si>
    <t>Customer-209</t>
  </si>
  <si>
    <t>Customer-210</t>
  </si>
  <si>
    <t>Customer-211</t>
  </si>
  <si>
    <t>Customer-213</t>
  </si>
  <si>
    <t>Customer-214</t>
  </si>
  <si>
    <t>Customer-217</t>
  </si>
  <si>
    <t>Customer-219</t>
  </si>
  <si>
    <t>Customer-223</t>
  </si>
  <si>
    <t>Customer-224</t>
  </si>
  <si>
    <t>Customer-225</t>
  </si>
  <si>
    <t>Customer-226</t>
  </si>
  <si>
    <t>Customer-227</t>
  </si>
  <si>
    <t>Customer-228</t>
  </si>
  <si>
    <t>Customer-229</t>
  </si>
  <si>
    <t>Customer-230</t>
  </si>
  <si>
    <t>Customer-231</t>
  </si>
  <si>
    <t>Customer-232</t>
  </si>
  <si>
    <t>Customer-233</t>
  </si>
  <si>
    <t>Customer-234</t>
  </si>
  <si>
    <t>Customer-236</t>
  </si>
  <si>
    <t>Customer-237</t>
  </si>
  <si>
    <t>Customer-238</t>
  </si>
  <si>
    <t>Customer-239</t>
  </si>
  <si>
    <t>Customer-240</t>
  </si>
  <si>
    <t>Customer-241</t>
  </si>
  <si>
    <t>Customer-242</t>
  </si>
  <si>
    <t>Customer-243</t>
  </si>
  <si>
    <t>Customer-246</t>
  </si>
  <si>
    <t>Customer-248</t>
  </si>
  <si>
    <t>Customer-250</t>
  </si>
  <si>
    <t>Customer-251</t>
  </si>
  <si>
    <t>Customer-252</t>
  </si>
  <si>
    <t>Customer-253</t>
  </si>
  <si>
    <t>Customer-254</t>
  </si>
  <si>
    <t>Customer-255</t>
  </si>
  <si>
    <t>Customer-256</t>
  </si>
  <si>
    <t>Customer-258</t>
  </si>
  <si>
    <t>Customer-259</t>
  </si>
  <si>
    <t>Customer-261</t>
  </si>
  <si>
    <t>Customer-262</t>
  </si>
  <si>
    <t>Customer-263</t>
  </si>
  <si>
    <t>Customer-264</t>
  </si>
  <si>
    <t>Customer-265</t>
  </si>
  <si>
    <t>Customer-266</t>
  </si>
  <si>
    <t>Customer-267</t>
  </si>
  <si>
    <t>Customer-268</t>
  </si>
  <si>
    <t>Customer-269</t>
  </si>
  <si>
    <t>Customer-272</t>
  </si>
  <si>
    <t>Customer-273</t>
  </si>
  <si>
    <t>Customer-274</t>
  </si>
  <si>
    <t>Customer-275</t>
  </si>
  <si>
    <t>Customer-276</t>
  </si>
  <si>
    <t>Customer-277</t>
  </si>
  <si>
    <t>Customer-278</t>
  </si>
  <si>
    <t>Customer-279</t>
  </si>
  <si>
    <t>Customer-280</t>
  </si>
  <si>
    <t>Customer-281</t>
  </si>
  <si>
    <t>Customer-282</t>
  </si>
  <si>
    <t>Customer-283</t>
  </si>
  <si>
    <t>Customer-284</t>
  </si>
  <si>
    <t>Customer-287</t>
  </si>
  <si>
    <t>Customer-288</t>
  </si>
  <si>
    <t>Customer-289</t>
  </si>
  <si>
    <t>Customer-290</t>
  </si>
  <si>
    <t>Customer-291</t>
  </si>
  <si>
    <t>Customer-292</t>
  </si>
  <si>
    <t>Customer-293</t>
  </si>
  <si>
    <t>Customer-294</t>
  </si>
  <si>
    <t>Customer-295</t>
  </si>
  <si>
    <t>Customer-296</t>
  </si>
  <si>
    <t>Customer-297</t>
  </si>
  <si>
    <t>Customer-299</t>
  </si>
  <si>
    <t>Customer-300</t>
  </si>
  <si>
    <t>Customer-301</t>
  </si>
  <si>
    <t>Customer-302</t>
  </si>
  <si>
    <t>Customer-303</t>
  </si>
  <si>
    <t>Customer-305</t>
  </si>
  <si>
    <t>Customer-306</t>
  </si>
  <si>
    <t>Customer-307</t>
  </si>
  <si>
    <t>Customer-308</t>
  </si>
  <si>
    <t>Customer-309</t>
  </si>
  <si>
    <t>Customer-311</t>
  </si>
  <si>
    <t>Customer-312</t>
  </si>
  <si>
    <t>Customer-313</t>
  </si>
  <si>
    <t>Customer-314</t>
  </si>
  <si>
    <t>Customer-315</t>
  </si>
  <si>
    <t>Customer-316</t>
  </si>
  <si>
    <t>Customer-317</t>
  </si>
  <si>
    <t>Customer-318</t>
  </si>
  <si>
    <t>Customer-320</t>
  </si>
  <si>
    <t>Customer-321</t>
  </si>
  <si>
    <t>Customer-322</t>
  </si>
  <si>
    <t>Customer-324</t>
  </si>
  <si>
    <t>Customer-325</t>
  </si>
  <si>
    <t>Customer-326</t>
  </si>
  <si>
    <t>Customer-327</t>
  </si>
  <si>
    <t>Customer-328</t>
  </si>
  <si>
    <t>Customer-330</t>
  </si>
  <si>
    <t>Customer-331</t>
  </si>
  <si>
    <t>Customer-332</t>
  </si>
  <si>
    <t>Customer-334</t>
  </si>
  <si>
    <t>Customer-335</t>
  </si>
  <si>
    <t>Customer-336</t>
  </si>
  <si>
    <t>Customer-337</t>
  </si>
  <si>
    <t>Customer-338</t>
  </si>
  <si>
    <t>Customer-339</t>
  </si>
  <si>
    <t>Customer-340</t>
  </si>
  <si>
    <t>Customer-344</t>
  </si>
  <si>
    <t>Customer-345</t>
  </si>
  <si>
    <t>Customer-347</t>
  </si>
  <si>
    <t>Customer-349</t>
  </si>
  <si>
    <t>Customer-351</t>
  </si>
  <si>
    <t>Customer-352</t>
  </si>
  <si>
    <t>Customer-355</t>
  </si>
  <si>
    <t>Customer-356</t>
  </si>
  <si>
    <t>Customer-357</t>
  </si>
  <si>
    <t>Customer-359</t>
  </si>
  <si>
    <t>Customer-360</t>
  </si>
  <si>
    <t>Customer-361</t>
  </si>
  <si>
    <t>Customer-362</t>
  </si>
  <si>
    <t>Customer-363</t>
  </si>
  <si>
    <t>Customer-364</t>
  </si>
  <si>
    <t>Customer-367</t>
  </si>
  <si>
    <t>Customer-368</t>
  </si>
  <si>
    <t>Customer-369</t>
  </si>
  <si>
    <t>Customer-372</t>
  </si>
  <si>
    <t>Customer-374</t>
  </si>
  <si>
    <t>Customer-375</t>
  </si>
  <si>
    <t>Customer-376</t>
  </si>
  <si>
    <t>Customer-377</t>
  </si>
  <si>
    <t>Customer-378</t>
  </si>
  <si>
    <t>Customer-380</t>
  </si>
  <si>
    <t>Customer-381</t>
  </si>
  <si>
    <t>Customer-382</t>
  </si>
  <si>
    <t>Customer-383</t>
  </si>
  <si>
    <t>Customer-385</t>
  </si>
  <si>
    <t>Customer-387</t>
  </si>
  <si>
    <t>Customer-388</t>
  </si>
  <si>
    <t>Customer-389</t>
  </si>
  <si>
    <t>Customer-390</t>
  </si>
  <si>
    <t>Customer-392</t>
  </si>
  <si>
    <t>Customer-393</t>
  </si>
  <si>
    <t>Customer-394</t>
  </si>
  <si>
    <t>Customer-397</t>
  </si>
  <si>
    <t>Customer-398</t>
  </si>
  <si>
    <t>Customer-399</t>
  </si>
  <si>
    <t>Customer-402</t>
  </si>
  <si>
    <t>Customer-403</t>
  </si>
  <si>
    <t>Customer-404</t>
  </si>
  <si>
    <t>Customer-405</t>
  </si>
  <si>
    <t>Customer-406</t>
  </si>
  <si>
    <t>Customer-407</t>
  </si>
  <si>
    <t>Customer-409</t>
  </si>
  <si>
    <t>Customer-410</t>
  </si>
  <si>
    <t>Customer-411</t>
  </si>
  <si>
    <t>Customer-412</t>
  </si>
  <si>
    <t>Customer-413</t>
  </si>
  <si>
    <t>Customer-414</t>
  </si>
  <si>
    <t>Customer-415</t>
  </si>
  <si>
    <t>Customer-417</t>
  </si>
  <si>
    <t>Customer-418</t>
  </si>
  <si>
    <t>Customer-419</t>
  </si>
  <si>
    <t>Customer-420</t>
  </si>
  <si>
    <t>Customer-421</t>
  </si>
  <si>
    <t>Customer-422</t>
  </si>
  <si>
    <t>Customer-423</t>
  </si>
  <si>
    <t>Customer-424</t>
  </si>
  <si>
    <t>Customer-426</t>
  </si>
  <si>
    <t>Customer-427</t>
  </si>
  <si>
    <t>Customer-428</t>
  </si>
  <si>
    <t>Customer-429</t>
  </si>
  <si>
    <t>Customer-430</t>
  </si>
  <si>
    <t>Customer-431</t>
  </si>
  <si>
    <t>Customer-432</t>
  </si>
  <si>
    <t>Customer-433</t>
  </si>
  <si>
    <t>Customer-437</t>
  </si>
  <si>
    <t>Customer-438</t>
  </si>
  <si>
    <t>Customer-440</t>
  </si>
  <si>
    <t>Customer-441</t>
  </si>
  <si>
    <t>Customer-442</t>
  </si>
  <si>
    <t>Customer-443</t>
  </si>
  <si>
    <t>Customer-444</t>
  </si>
  <si>
    <t>Customer-445</t>
  </si>
  <si>
    <t>Customer-446</t>
  </si>
  <si>
    <t>Customer-447</t>
  </si>
  <si>
    <t>Customer-448</t>
  </si>
  <si>
    <t>Customer-450</t>
  </si>
  <si>
    <t>Customer-452</t>
  </si>
  <si>
    <t>Customer-453</t>
  </si>
  <si>
    <t>Customer-454</t>
  </si>
  <si>
    <t>Customer-455</t>
  </si>
  <si>
    <t>Customer-456</t>
  </si>
  <si>
    <t>Customer-457</t>
  </si>
  <si>
    <t>Customer-458</t>
  </si>
  <si>
    <t>Customer-459</t>
  </si>
  <si>
    <t>Customer-460</t>
  </si>
  <si>
    <t>Customer-461</t>
  </si>
  <si>
    <t>Customer-462</t>
  </si>
  <si>
    <t>Customer-467</t>
  </si>
  <si>
    <t>Customer-468</t>
  </si>
  <si>
    <t>Customer-469</t>
  </si>
  <si>
    <t>Customer-471</t>
  </si>
  <si>
    <t>Customer-472</t>
  </si>
  <si>
    <t>Customer-473</t>
  </si>
  <si>
    <t>Customer-474</t>
  </si>
  <si>
    <t>Customer-475</t>
  </si>
  <si>
    <t>Customer-476</t>
  </si>
  <si>
    <t>Customer-477</t>
  </si>
  <si>
    <t>Customer-478</t>
  </si>
  <si>
    <t>Customer-479</t>
  </si>
  <si>
    <t>Customer-481</t>
  </si>
  <si>
    <t>Customer-482</t>
  </si>
  <si>
    <t>Customer-485</t>
  </si>
  <si>
    <t>Customer-486</t>
  </si>
  <si>
    <t>Customer-488</t>
  </si>
  <si>
    <t>Customer-489</t>
  </si>
  <si>
    <t>Customer-490</t>
  </si>
  <si>
    <t>Customer-491</t>
  </si>
  <si>
    <t>Customer-492</t>
  </si>
  <si>
    <t>Customer-494</t>
  </si>
  <si>
    <t>Customer-495</t>
  </si>
  <si>
    <t>Customer-496</t>
  </si>
  <si>
    <t>Customer-497</t>
  </si>
  <si>
    <t>Customer-499</t>
  </si>
  <si>
    <t>Customer-500</t>
  </si>
  <si>
    <t>Customer-501</t>
  </si>
  <si>
    <t>Customer-503</t>
  </si>
  <si>
    <t>Customer-504</t>
  </si>
  <si>
    <t>Customer-505</t>
  </si>
  <si>
    <t>Customer-506</t>
  </si>
  <si>
    <t>Customer-508</t>
  </si>
  <si>
    <t>Customer-509</t>
  </si>
  <si>
    <t>Customer-510</t>
  </si>
  <si>
    <t>Customer-511</t>
  </si>
  <si>
    <t>Customer-512</t>
  </si>
  <si>
    <t>Customer-513</t>
  </si>
  <si>
    <t>Customer-514</t>
  </si>
  <si>
    <t>Customer-516</t>
  </si>
  <si>
    <t>Customer-517</t>
  </si>
  <si>
    <t>Customer-518</t>
  </si>
  <si>
    <t>Customer-519</t>
  </si>
  <si>
    <t>Customer-520</t>
  </si>
  <si>
    <t>Customer-521</t>
  </si>
  <si>
    <t>Customer-522</t>
  </si>
  <si>
    <t>Customer-523</t>
  </si>
  <si>
    <t>Customer-524</t>
  </si>
  <si>
    <t>Customer-525</t>
  </si>
  <si>
    <t>Customer-526</t>
  </si>
  <si>
    <t>Customer-527</t>
  </si>
  <si>
    <t>Customer-528</t>
  </si>
  <si>
    <t>Customer-530</t>
  </si>
  <si>
    <t>Customer-532</t>
  </si>
  <si>
    <t>Customer-533</t>
  </si>
  <si>
    <t>Customer-534</t>
  </si>
  <si>
    <t>Customer-535</t>
  </si>
  <si>
    <t>Customer-536</t>
  </si>
  <si>
    <t>Customer-537</t>
  </si>
  <si>
    <t>Customer-538</t>
  </si>
  <si>
    <t>Customer-539</t>
  </si>
  <si>
    <t>Customer-540</t>
  </si>
  <si>
    <t>Customer-542</t>
  </si>
  <si>
    <t>Customer-543</t>
  </si>
  <si>
    <t>Customer-544</t>
  </si>
  <si>
    <t>Customer-545</t>
  </si>
  <si>
    <t>Customer-546</t>
  </si>
  <si>
    <t>Customer-547</t>
  </si>
  <si>
    <t>Customer-548</t>
  </si>
  <si>
    <t>Customer-549</t>
  </si>
  <si>
    <t>Customer-550</t>
  </si>
  <si>
    <t>Customer-551</t>
  </si>
  <si>
    <t>Customer-552</t>
  </si>
  <si>
    <t>Customer-553</t>
  </si>
  <si>
    <t>Customer-556</t>
  </si>
  <si>
    <t>Customer-557</t>
  </si>
  <si>
    <t>Customer-558</t>
  </si>
  <si>
    <t>Customer-559</t>
  </si>
  <si>
    <t>Customer-560</t>
  </si>
  <si>
    <t>Customer-561</t>
  </si>
  <si>
    <t>Customer-562</t>
  </si>
  <si>
    <t>Customer-563</t>
  </si>
  <si>
    <t>Customer-564</t>
  </si>
  <si>
    <t>Customer-565</t>
  </si>
  <si>
    <t>Customer-566</t>
  </si>
  <si>
    <t>Customer-569</t>
  </si>
  <si>
    <t>Customer-571</t>
  </si>
  <si>
    <t>Customer-572</t>
  </si>
  <si>
    <t>Customer-574</t>
  </si>
  <si>
    <t>Customer-575</t>
  </si>
  <si>
    <t>Customer-576</t>
  </si>
  <si>
    <t>Customer-577</t>
  </si>
  <si>
    <t>Customer-578</t>
  </si>
  <si>
    <t>Customer-579</t>
  </si>
  <si>
    <t>Customer-580</t>
  </si>
  <si>
    <t>Customer-581</t>
  </si>
  <si>
    <t>Customer-582</t>
  </si>
  <si>
    <t>Customer-585</t>
  </si>
  <si>
    <t>Customer-586</t>
  </si>
  <si>
    <t>Customer-587</t>
  </si>
  <si>
    <t>Customer-588</t>
  </si>
  <si>
    <t>Customer-589</t>
  </si>
  <si>
    <t>Customer-591</t>
  </si>
  <si>
    <t>Customer-592</t>
  </si>
  <si>
    <t>Customer-593</t>
  </si>
  <si>
    <t>Customer-594</t>
  </si>
  <si>
    <t>Customer-595</t>
  </si>
  <si>
    <t>Customer-596</t>
  </si>
  <si>
    <t>Customer-597</t>
  </si>
  <si>
    <t>Customer-598</t>
  </si>
  <si>
    <t>Customer-599</t>
  </si>
  <si>
    <t>Customer-601</t>
  </si>
  <si>
    <t>Customer-603</t>
  </si>
  <si>
    <t>Customer-604</t>
  </si>
  <si>
    <t>Customer-606</t>
  </si>
  <si>
    <t>Customer-607</t>
  </si>
  <si>
    <t>Customer-608</t>
  </si>
  <si>
    <t>Customer-609</t>
  </si>
  <si>
    <t>Customer-610</t>
  </si>
  <si>
    <t>Customer-611</t>
  </si>
  <si>
    <t>Customer-614</t>
  </si>
  <si>
    <t>Customer-615</t>
  </si>
  <si>
    <t>Customer-616</t>
  </si>
  <si>
    <t>Customer-617</t>
  </si>
  <si>
    <t>Customer-618</t>
  </si>
  <si>
    <t>Customer-619</t>
  </si>
  <si>
    <t>Customer-620</t>
  </si>
  <si>
    <t>Customer-621</t>
  </si>
  <si>
    <t>Customer-624</t>
  </si>
  <si>
    <t>Customer-625</t>
  </si>
  <si>
    <t>Customer-626</t>
  </si>
  <si>
    <t>Customer-628</t>
  </si>
  <si>
    <t>Customer-630</t>
  </si>
  <si>
    <t>Customer-631</t>
  </si>
  <si>
    <t>Customer-632</t>
  </si>
  <si>
    <t>Customer-633</t>
  </si>
  <si>
    <t>Customer-634</t>
  </si>
  <si>
    <t>Customer-635</t>
  </si>
  <si>
    <t>Customer-636</t>
  </si>
  <si>
    <t>Customer-638</t>
  </si>
  <si>
    <t>Customer-639</t>
  </si>
  <si>
    <t>Customer-640</t>
  </si>
  <si>
    <t>Customer-642</t>
  </si>
  <si>
    <t>Customer-644</t>
  </si>
  <si>
    <t>Customer-646</t>
  </si>
  <si>
    <t>Customer-649</t>
  </si>
  <si>
    <t>Customer-650</t>
  </si>
  <si>
    <t>Customer-651</t>
  </si>
  <si>
    <t>Customer-652</t>
  </si>
  <si>
    <t>Customer-653</t>
  </si>
  <si>
    <t>Customer-654</t>
  </si>
  <si>
    <t>Customer-655</t>
  </si>
  <si>
    <t>Customer-657</t>
  </si>
  <si>
    <t>Customer-658</t>
  </si>
  <si>
    <t>Customer-659</t>
  </si>
  <si>
    <t>Customer-661</t>
  </si>
  <si>
    <t>Customer-663</t>
  </si>
  <si>
    <t>Customer-664</t>
  </si>
  <si>
    <t>Customer-665</t>
  </si>
  <si>
    <t>Customer-666</t>
  </si>
  <si>
    <t>Customer-667</t>
  </si>
  <si>
    <t>Customer-668</t>
  </si>
  <si>
    <t>Customer-669</t>
  </si>
  <si>
    <t>Customer-670</t>
  </si>
  <si>
    <t>Customer-671</t>
  </si>
  <si>
    <t>Customer-673</t>
  </si>
  <si>
    <t>Customer-674</t>
  </si>
  <si>
    <t>Customer-675</t>
  </si>
  <si>
    <t>Customer-676</t>
  </si>
  <si>
    <t>Customer-677</t>
  </si>
  <si>
    <t>Customer-678</t>
  </si>
  <si>
    <t>Customer-680</t>
  </si>
  <si>
    <t>Customer-681</t>
  </si>
  <si>
    <t>Customer-682</t>
  </si>
  <si>
    <t>Customer-683</t>
  </si>
  <si>
    <t>Customer-684</t>
  </si>
  <si>
    <t>Customer-685</t>
  </si>
  <si>
    <t>Customer-686</t>
  </si>
  <si>
    <t>Customer-687</t>
  </si>
  <si>
    <t>Customer-688</t>
  </si>
  <si>
    <t>Customer-689</t>
  </si>
  <si>
    <t>Customer-690</t>
  </si>
  <si>
    <t>Customer-692</t>
  </si>
  <si>
    <t>Customer-693</t>
  </si>
  <si>
    <t>Customer-694</t>
  </si>
  <si>
    <t>Customer-695</t>
  </si>
  <si>
    <t>Customer-696</t>
  </si>
  <si>
    <t>Customer-697</t>
  </si>
  <si>
    <t>Customer-698</t>
  </si>
  <si>
    <t>Customer-699</t>
  </si>
  <si>
    <t>Customer-700</t>
  </si>
  <si>
    <t>Customer-702</t>
  </si>
  <si>
    <t>Customer-703</t>
  </si>
  <si>
    <t>Customer-704</t>
  </si>
  <si>
    <t>Customer-705</t>
  </si>
  <si>
    <t>Customer-708</t>
  </si>
  <si>
    <t>Customer-709</t>
  </si>
  <si>
    <t>Customer-710</t>
  </si>
  <si>
    <t>Customer-711</t>
  </si>
  <si>
    <t>Customer-712</t>
  </si>
  <si>
    <t>Customer-713</t>
  </si>
  <si>
    <t>Customer-714</t>
  </si>
  <si>
    <t>Customer-716</t>
  </si>
  <si>
    <t>Customer-717</t>
  </si>
  <si>
    <t>Customer-718</t>
  </si>
  <si>
    <t>Customer-719</t>
  </si>
  <si>
    <t>Customer-720</t>
  </si>
  <si>
    <t>Customer-721</t>
  </si>
  <si>
    <t>Customer-722</t>
  </si>
  <si>
    <t>Customer-723</t>
  </si>
  <si>
    <t>Customer-724</t>
  </si>
  <si>
    <t>Customer-725</t>
  </si>
  <si>
    <t>Customer-727</t>
  </si>
  <si>
    <t>Customer-728</t>
  </si>
  <si>
    <t>Customer-729</t>
  </si>
  <si>
    <t>Customer-730</t>
  </si>
  <si>
    <t>Customer-731</t>
  </si>
  <si>
    <t>Customer-732</t>
  </si>
  <si>
    <t>Customer-733</t>
  </si>
  <si>
    <t>Customer-734</t>
  </si>
  <si>
    <t>Customer-735</t>
  </si>
  <si>
    <t>Customer-737</t>
  </si>
  <si>
    <t>Customer-738</t>
  </si>
  <si>
    <t>Customer-739</t>
  </si>
  <si>
    <t>Customer-740</t>
  </si>
  <si>
    <t>Customer-742</t>
  </si>
  <si>
    <t>Customer-744</t>
  </si>
  <si>
    <t>Customer-745</t>
  </si>
  <si>
    <t>Customer-746</t>
  </si>
  <si>
    <t>Customer-747</t>
  </si>
  <si>
    <t>Customer-748</t>
  </si>
  <si>
    <t>Customer-749</t>
  </si>
  <si>
    <t>Customer-750</t>
  </si>
  <si>
    <t>Customer-751</t>
  </si>
  <si>
    <t>Customer-752</t>
  </si>
  <si>
    <t>Customer-753</t>
  </si>
  <si>
    <t>Customer-754</t>
  </si>
  <si>
    <t>Customer-755</t>
  </si>
  <si>
    <t>Customer-756</t>
  </si>
  <si>
    <t>Customer-757</t>
  </si>
  <si>
    <t>Customer-758</t>
  </si>
  <si>
    <t>Customer-759</t>
  </si>
  <si>
    <t>Customer-760</t>
  </si>
  <si>
    <t>Customer-761</t>
  </si>
  <si>
    <t>Customer-762</t>
  </si>
  <si>
    <t>Customer-764</t>
  </si>
  <si>
    <t>Customer-766</t>
  </si>
  <si>
    <t>Customer-767</t>
  </si>
  <si>
    <t>Customer-769</t>
  </si>
  <si>
    <t>Customer-770</t>
  </si>
  <si>
    <t>Customer-771</t>
  </si>
  <si>
    <t>Customer-772</t>
  </si>
  <si>
    <t>Customer-773</t>
  </si>
  <si>
    <t>Customer-774</t>
  </si>
  <si>
    <t>Customer-775</t>
  </si>
  <si>
    <t>Customer-776</t>
  </si>
  <si>
    <t>Customer-777</t>
  </si>
  <si>
    <t>Customer-778</t>
  </si>
  <si>
    <t>Customer-781</t>
  </si>
  <si>
    <t>Customer-782</t>
  </si>
  <si>
    <t>Customer-783</t>
  </si>
  <si>
    <t>Customer-784</t>
  </si>
  <si>
    <t>Customer-785</t>
  </si>
  <si>
    <t>Customer-786</t>
  </si>
  <si>
    <t>Customer-787</t>
  </si>
  <si>
    <t>Customer-788</t>
  </si>
  <si>
    <t>Customer-789</t>
  </si>
  <si>
    <t>Customer-790</t>
  </si>
  <si>
    <t>Customer-791</t>
  </si>
  <si>
    <t>Customer-792</t>
  </si>
  <si>
    <t>Customer-794</t>
  </si>
  <si>
    <t>Customer-795</t>
  </si>
  <si>
    <t>Customer-796</t>
  </si>
  <si>
    <t>Customer-797</t>
  </si>
  <si>
    <t>Customer-799</t>
  </si>
  <si>
    <t>Customer-800</t>
  </si>
  <si>
    <t>Customer-801</t>
  </si>
  <si>
    <t>Customer-802</t>
  </si>
  <si>
    <t>Customer-803</t>
  </si>
  <si>
    <t>Customer-804</t>
  </si>
  <si>
    <t>Customer-805</t>
  </si>
  <si>
    <t>Customer-806</t>
  </si>
  <si>
    <t>Customer-807</t>
  </si>
  <si>
    <t>Customer-808</t>
  </si>
  <si>
    <t>Customer-809</t>
  </si>
  <si>
    <t>Customer-810</t>
  </si>
  <si>
    <t>Customer-812</t>
  </si>
  <si>
    <t>Customer-813</t>
  </si>
  <si>
    <t>Customer-816</t>
  </si>
  <si>
    <t>Customer-817</t>
  </si>
  <si>
    <t>Customer-818</t>
  </si>
  <si>
    <t>Customer-819</t>
  </si>
  <si>
    <t>Customer-820</t>
  </si>
  <si>
    <t>Customer-821</t>
  </si>
  <si>
    <t>Customer-822</t>
  </si>
  <si>
    <t>Customer-823</t>
  </si>
  <si>
    <t>Customer-824</t>
  </si>
  <si>
    <t>Customer-825</t>
  </si>
  <si>
    <t>Customer-826</t>
  </si>
  <si>
    <t>Customer-827</t>
  </si>
  <si>
    <t>Customer-828</t>
  </si>
  <si>
    <t>Customer-829</t>
  </si>
  <si>
    <t>Customer-831</t>
  </si>
  <si>
    <t>Customer-832</t>
  </si>
  <si>
    <t>Customer-833</t>
  </si>
  <si>
    <t>Customer-834</t>
  </si>
  <si>
    <t>Customer-835</t>
  </si>
  <si>
    <t>Customer-836</t>
  </si>
  <si>
    <t>Customer-837</t>
  </si>
  <si>
    <t>Customer-839</t>
  </si>
  <si>
    <t>Customer-840</t>
  </si>
  <si>
    <t>Customer-842</t>
  </si>
  <si>
    <t>Customer-844</t>
  </si>
  <si>
    <t>Customer-845</t>
  </si>
  <si>
    <t>Customer-846</t>
  </si>
  <si>
    <t>Customer-849</t>
  </si>
  <si>
    <t>Customer-851</t>
  </si>
  <si>
    <t>Customer-853</t>
  </si>
  <si>
    <t>Customer-854</t>
  </si>
  <si>
    <t>Customer-856</t>
  </si>
  <si>
    <t>Customer-857</t>
  </si>
  <si>
    <t>Customer-858</t>
  </si>
  <si>
    <t>Customer-860</t>
  </si>
  <si>
    <t>Customer-861</t>
  </si>
  <si>
    <t>Customer-863</t>
  </si>
  <si>
    <t>Customer-864</t>
  </si>
  <si>
    <t>Customer-865</t>
  </si>
  <si>
    <t>Customer-866</t>
  </si>
  <si>
    <t>Customer-867</t>
  </si>
  <si>
    <t>Customer-868</t>
  </si>
  <si>
    <t>Customer-869</t>
  </si>
  <si>
    <t>Customer-870</t>
  </si>
  <si>
    <t>Customer-871</t>
  </si>
  <si>
    <t>Customer-872</t>
  </si>
  <si>
    <t>Customer-873</t>
  </si>
  <si>
    <t>Customer-874</t>
  </si>
  <si>
    <t>Customer-876</t>
  </si>
  <si>
    <t>Customer-879</t>
  </si>
  <si>
    <t>Customer-880</t>
  </si>
  <si>
    <t>Customer-881</t>
  </si>
  <si>
    <t>Customer-882</t>
  </si>
  <si>
    <t>Customer-883</t>
  </si>
  <si>
    <t>Customer-884</t>
  </si>
  <si>
    <t>Customer-885</t>
  </si>
  <si>
    <t>Customer-886</t>
  </si>
  <si>
    <t>Customer-887</t>
  </si>
  <si>
    <t>Customer-888</t>
  </si>
  <si>
    <t>Customer-889</t>
  </si>
  <si>
    <t>Customer-890</t>
  </si>
  <si>
    <t>Customer-891</t>
  </si>
  <si>
    <t>Customer-892</t>
  </si>
  <si>
    <t>Customer-893</t>
  </si>
  <si>
    <t>Customer-895</t>
  </si>
  <si>
    <t>Customer-896</t>
  </si>
  <si>
    <t>Customer-897</t>
  </si>
  <si>
    <t>Customer-898</t>
  </si>
  <si>
    <t>Customer-900</t>
  </si>
  <si>
    <t>Customer-901</t>
  </si>
  <si>
    <t>Customer-902</t>
  </si>
  <si>
    <t>Customer-904</t>
  </si>
  <si>
    <t>Customer-905</t>
  </si>
  <si>
    <t>Customer-907</t>
  </si>
  <si>
    <t>Customer-908</t>
  </si>
  <si>
    <t>Customer-909</t>
  </si>
  <si>
    <t>Customer-910</t>
  </si>
  <si>
    <t>Customer-911</t>
  </si>
  <si>
    <t>Customer-912</t>
  </si>
  <si>
    <t>Customer-913</t>
  </si>
  <si>
    <t>Customer-914</t>
  </si>
  <si>
    <t>Customer-915</t>
  </si>
  <si>
    <t>Customer-916</t>
  </si>
  <si>
    <t>Customer-917</t>
  </si>
  <si>
    <t>Customer-918</t>
  </si>
  <si>
    <t>Customer-919</t>
  </si>
  <si>
    <t>Customer-920</t>
  </si>
  <si>
    <t>Customer-921</t>
  </si>
  <si>
    <t>Customer-922</t>
  </si>
  <si>
    <t>Customer-923</t>
  </si>
  <si>
    <t>Customer-924</t>
  </si>
  <si>
    <t>Customer-925</t>
  </si>
  <si>
    <t>Customer-926</t>
  </si>
  <si>
    <t>Customer-927</t>
  </si>
  <si>
    <t>Customer-928</t>
  </si>
  <si>
    <t>Customer-929</t>
  </si>
  <si>
    <t>Customer-931</t>
  </si>
  <si>
    <t>Customer-932</t>
  </si>
  <si>
    <t>Customer-933</t>
  </si>
  <si>
    <t>Customer-934</t>
  </si>
  <si>
    <t>Customer-935</t>
  </si>
  <si>
    <t>Customer-936</t>
  </si>
  <si>
    <t>Customer-937</t>
  </si>
  <si>
    <t>Customer-938</t>
  </si>
  <si>
    <t>Customer-939</t>
  </si>
  <si>
    <t>Customer-940</t>
  </si>
  <si>
    <t>Customer-941</t>
  </si>
  <si>
    <t>Customer-942</t>
  </si>
  <si>
    <t>Customer-943</t>
  </si>
  <si>
    <t>Customer-944</t>
  </si>
  <si>
    <t>Customer-945</t>
  </si>
  <si>
    <t>Customer-946</t>
  </si>
  <si>
    <t>Customer-947</t>
  </si>
  <si>
    <t>Customer-948</t>
  </si>
  <si>
    <t>Customer-949</t>
  </si>
  <si>
    <t>Customer-950</t>
  </si>
  <si>
    <t>Customer-951</t>
  </si>
  <si>
    <t>Customer-954</t>
  </si>
  <si>
    <t>Customer-955</t>
  </si>
  <si>
    <t>Customer-957</t>
  </si>
  <si>
    <t>Customer-958</t>
  </si>
  <si>
    <t>Customer-959</t>
  </si>
  <si>
    <t>Customer-961</t>
  </si>
  <si>
    <t>Customer-962</t>
  </si>
  <si>
    <t>Customer-963</t>
  </si>
  <si>
    <t>Customer-964</t>
  </si>
  <si>
    <t>Customer-966</t>
  </si>
  <si>
    <t>Customer-967</t>
  </si>
  <si>
    <t>Customer-968</t>
  </si>
  <si>
    <t>Customer-969</t>
  </si>
  <si>
    <t>Customer-970</t>
  </si>
  <si>
    <t>Customer-971</t>
  </si>
  <si>
    <t>Customer-972</t>
  </si>
  <si>
    <t>Customer-974</t>
  </si>
  <si>
    <t>Customer-976</t>
  </si>
  <si>
    <t>Customer-977</t>
  </si>
  <si>
    <t>Customer-978</t>
  </si>
  <si>
    <t>Customer-979</t>
  </si>
  <si>
    <t>Customer-980</t>
  </si>
  <si>
    <t>Customer-981</t>
  </si>
  <si>
    <t>Customer-983</t>
  </si>
  <si>
    <t>Customer-984</t>
  </si>
  <si>
    <t>Customer-985</t>
  </si>
  <si>
    <t>Customer-986</t>
  </si>
  <si>
    <t>Customer-988</t>
  </si>
  <si>
    <t>Customer-990</t>
  </si>
  <si>
    <t>Customer-991</t>
  </si>
  <si>
    <t>Customer-992</t>
  </si>
  <si>
    <t>Customer-993</t>
  </si>
  <si>
    <t>Customer-995</t>
  </si>
  <si>
    <t>Customer-996</t>
  </si>
  <si>
    <t>Customer-997</t>
  </si>
  <si>
    <t>Customer-998</t>
  </si>
  <si>
    <t>Customer-999</t>
  </si>
  <si>
    <t>Customer-1000</t>
  </si>
  <si>
    <t>% on Total</t>
  </si>
  <si>
    <t>Cumulative %</t>
  </si>
  <si>
    <t>M Score (H/L)</t>
  </si>
  <si>
    <t>Recency</t>
  </si>
  <si>
    <t>Analysis Date</t>
  </si>
  <si>
    <t>Next Purchase Date</t>
  </si>
  <si>
    <t>Date Gap</t>
  </si>
  <si>
    <t>Returned</t>
  </si>
  <si>
    <t>Returned = 1 if next purchase ≤ 30 days</t>
  </si>
  <si>
    <t>Returned ?</t>
  </si>
  <si>
    <t>Did each customer EVER return within 30 days?</t>
  </si>
  <si>
    <t>Last Purchase Date</t>
  </si>
  <si>
    <t>Returned Bucket</t>
  </si>
  <si>
    <t>Return Rate</t>
  </si>
  <si>
    <t>Customers</t>
  </si>
  <si>
    <t>Returned Customers</t>
  </si>
  <si>
    <t>Look for the Pattern (NOT the numbers)</t>
  </si>
  <si>
    <t>Frequency</t>
  </si>
  <si>
    <t>Frequency = number of purchases per customer</t>
  </si>
  <si>
    <t>≥ Frequency</t>
  </si>
  <si>
    <t>Repeat Rate</t>
  </si>
  <si>
    <t>R Score</t>
  </si>
  <si>
    <t>F Score</t>
  </si>
  <si>
    <t>Recency Threshold</t>
  </si>
  <si>
    <t>Frequency Threshold</t>
  </si>
  <si>
    <t>RFM Score</t>
  </si>
  <si>
    <t>RFM Segmentation Table</t>
  </si>
  <si>
    <t>Segment Name</t>
  </si>
  <si>
    <t>Customer Meaning</t>
  </si>
  <si>
    <t>Typical Risk Level</t>
  </si>
  <si>
    <t>Recommended Actions</t>
  </si>
  <si>
    <t>HHH</t>
  </si>
  <si>
    <t>🥇 Champions</t>
  </si>
  <si>
    <t>Recently active, frequent, high spenders</t>
  </si>
  <si>
    <t>Very Low</t>
  </si>
  <si>
    <t>Loyalty rewards, VIP programs, referrals</t>
  </si>
  <si>
    <t>HHL</t>
  </si>
  <si>
    <t>💎 Loyal High Value</t>
  </si>
  <si>
    <t>Active &amp; loyal but moderate spending</t>
  </si>
  <si>
    <t>Low</t>
  </si>
  <si>
    <t>Upsell, cross-sell, premium offers</t>
  </si>
  <si>
    <t>HLH</t>
  </si>
  <si>
    <t>🛒 Big Spenders (Occasional)</t>
  </si>
  <si>
    <t>Spend high but purchase less often</t>
  </si>
  <si>
    <t>Medium</t>
  </si>
  <si>
    <t>Engagement campaigns, personalized offers</t>
  </si>
  <si>
    <t>HLL</t>
  </si>
  <si>
    <t>🌱 Potential Loyalists</t>
  </si>
  <si>
    <t>Recent customers with low history</t>
  </si>
  <si>
    <t>Onboarding, nurture campaigns</t>
  </si>
  <si>
    <t>LHH</t>
  </si>
  <si>
    <t>⚠️ At Risk High Value</t>
  </si>
  <si>
    <t>Previously valuable but inactive</t>
  </si>
  <si>
    <t>High</t>
  </si>
  <si>
    <t>Win-back campaigns, special incentives</t>
  </si>
  <si>
    <t>LHL</t>
  </si>
  <si>
    <t>🔁 Former Loyal Low Spend</t>
  </si>
  <si>
    <t>Loyal before but lower value now</t>
  </si>
  <si>
    <t>Medium–High</t>
  </si>
  <si>
    <t>Re-engagement, bundle offers</t>
  </si>
  <si>
    <t>LLH</t>
  </si>
  <si>
    <t>💸 Lost High Spenders</t>
  </si>
  <si>
    <t>High spenders but long inactive</t>
  </si>
  <si>
    <t>Very High</t>
  </si>
  <si>
    <t>Targeted reactivation, exclusive promotions</t>
  </si>
  <si>
    <t>LLL</t>
  </si>
  <si>
    <t>💤 Lost / Low Value</t>
  </si>
  <si>
    <t>Low engagement, low spend</t>
  </si>
  <si>
    <t>Low–Medium (Low ROI)</t>
  </si>
  <si>
    <t>Minimal effort, mass campaigns only</t>
  </si>
  <si>
    <t>User CMA Smart &amp; Secure : Applied Data Analytics Training Center.</t>
  </si>
  <si>
    <t>http://www.facebook.com/cma.01012020</t>
  </si>
  <si>
    <r>
      <t>Email:</t>
    </r>
    <r>
      <rPr>
        <sz val="9"/>
        <color rgb="FF92D050"/>
        <rFont val="Aptos Display"/>
        <family val="2"/>
        <scheme val="major"/>
      </rPr>
      <t xml:space="preserve"> info@usercma.com                </t>
    </r>
    <r>
      <rPr>
        <sz val="9"/>
        <color theme="0"/>
        <rFont val="Aptos Display"/>
        <family val="2"/>
        <scheme val="major"/>
      </rPr>
      <t>Phone:</t>
    </r>
    <r>
      <rPr>
        <sz val="9"/>
        <color rgb="FF92D050"/>
        <rFont val="Aptos Display"/>
        <family val="2"/>
        <scheme val="major"/>
      </rPr>
      <t xml:space="preserve"> 09 44717 2115</t>
    </r>
  </si>
  <si>
    <t>📊</t>
  </si>
  <si>
    <t>The Gold Standard: RFM Analysis (Segmentation, Descriptive Analytics)</t>
  </si>
  <si>
    <t>💡</t>
  </si>
  <si>
    <t>What is RFM Analysis?</t>
  </si>
  <si>
    <t>RFM Analysis is a customer segmentation technique based on purchasing behavior using three factors:</t>
  </si>
  <si>
    <r>
      <rPr>
        <b/>
        <sz val="11"/>
        <color theme="1"/>
        <rFont val="Aptos Display"/>
        <family val="2"/>
        <scheme val="major"/>
      </rPr>
      <t>R — Recency:</t>
    </r>
    <r>
      <rPr>
        <sz val="11"/>
        <color theme="1"/>
        <rFont val="Aptos Display"/>
        <family val="2"/>
        <scheme val="major"/>
      </rPr>
      <t xml:space="preserve"> How recently a customer purchased (Engagement)</t>
    </r>
  </si>
  <si>
    <r>
      <rPr>
        <b/>
        <sz val="11"/>
        <color theme="1"/>
        <rFont val="Aptos Display"/>
        <family val="2"/>
        <scheme val="major"/>
      </rPr>
      <t xml:space="preserve">F — Frequency: </t>
    </r>
    <r>
      <rPr>
        <sz val="11"/>
        <color theme="1"/>
        <rFont val="Aptos Display"/>
        <family val="2"/>
        <scheme val="major"/>
      </rPr>
      <t>How often they purchase (Loyalty)</t>
    </r>
  </si>
  <si>
    <r>
      <rPr>
        <b/>
        <sz val="11"/>
        <color theme="1"/>
        <rFont val="Aptos Display"/>
        <family val="2"/>
        <scheme val="major"/>
      </rPr>
      <t>M — Monetary:</t>
    </r>
    <r>
      <rPr>
        <sz val="11"/>
        <color theme="1"/>
        <rFont val="Aptos Display"/>
        <family val="2"/>
        <scheme val="major"/>
      </rPr>
      <t xml:space="preserve"> How much money they spend (Value)</t>
    </r>
  </si>
  <si>
    <t>Why Should You Use RFM Analysis?</t>
  </si>
  <si>
    <t>Identify high-value customers</t>
  </si>
  <si>
    <t>Detect loyal vs inactive customers</t>
  </si>
  <si>
    <t>Improve marketing targeting</t>
  </si>
  <si>
    <t>Increase customer retention</t>
  </si>
  <si>
    <t>Support data-driven business decisions</t>
  </si>
  <si>
    <t>How to Use RFM Analysis — Step-by-Step</t>
  </si>
  <si>
    <t>1️⃣</t>
  </si>
  <si>
    <t>Define Business Objective</t>
  </si>
  <si>
    <t>Examples: Improve customer retention, Target high-value segments, Reduce churn.</t>
  </si>
  <si>
    <t>2️⃣</t>
  </si>
  <si>
    <t>Prepare Data</t>
  </si>
  <si>
    <t>Required fields (at least):</t>
  </si>
  <si>
    <t>Transaction Date</t>
  </si>
  <si>
    <t>Invoice / Order ID</t>
  </si>
  <si>
    <t>Transaction Amount</t>
  </si>
  <si>
    <t>3️⃣</t>
  </si>
  <si>
    <t>Calculate RFM Metrics</t>
  </si>
  <si>
    <r>
      <rPr>
        <b/>
        <sz val="11"/>
        <color theme="1"/>
        <rFont val="Aptos Display"/>
        <family val="2"/>
        <scheme val="major"/>
      </rPr>
      <t xml:space="preserve">Recency: </t>
    </r>
    <r>
      <rPr>
        <sz val="11"/>
        <color theme="1"/>
        <rFont val="Aptos Display"/>
        <family val="2"/>
        <scheme val="major"/>
      </rPr>
      <t>Days since last purchase  (Recency = Analysis Date – Last Purchase Date)</t>
    </r>
  </si>
  <si>
    <r>
      <rPr>
        <b/>
        <sz val="11"/>
        <color theme="1"/>
        <rFont val="Aptos Display"/>
        <family val="2"/>
        <scheme val="major"/>
      </rPr>
      <t xml:space="preserve">Frequency: </t>
    </r>
    <r>
      <rPr>
        <sz val="11"/>
        <color theme="1"/>
        <rFont val="Aptos Display"/>
        <family val="2"/>
        <scheme val="major"/>
      </rPr>
      <t>Number of transactions count</t>
    </r>
  </si>
  <si>
    <r>
      <rPr>
        <b/>
        <sz val="11"/>
        <color theme="1"/>
        <rFont val="Aptos Display"/>
        <family val="2"/>
        <scheme val="major"/>
      </rPr>
      <t>Monetary:</t>
    </r>
    <r>
      <rPr>
        <sz val="11"/>
        <color theme="1"/>
        <rFont val="Aptos Display"/>
        <family val="2"/>
        <scheme val="major"/>
      </rPr>
      <t xml:space="preserve"> Total or average spending</t>
    </r>
  </si>
  <si>
    <t>4️⃣</t>
  </si>
  <si>
    <t>Score Customers</t>
  </si>
  <si>
    <r>
      <rPr>
        <b/>
        <sz val="11"/>
        <color theme="1"/>
        <rFont val="Aptos Display"/>
        <family val="2"/>
        <scheme val="major"/>
      </rPr>
      <t>Common approach:</t>
    </r>
    <r>
      <rPr>
        <sz val="11"/>
        <color theme="1"/>
        <rFont val="Aptos Display"/>
        <family val="2"/>
        <scheme val="major"/>
      </rPr>
      <t xml:space="preserve"> Rank into 1–5 score groups (quintiles)</t>
    </r>
  </si>
  <si>
    <t>5️⃣</t>
  </si>
  <si>
    <t>Create Customer Segments</t>
  </si>
  <si>
    <r>
      <rPr>
        <b/>
        <sz val="11"/>
        <color theme="1"/>
        <rFont val="Aptos Display"/>
        <family val="2"/>
        <scheme val="major"/>
      </rPr>
      <t xml:space="preserve">Common approach: </t>
    </r>
    <r>
      <rPr>
        <sz val="11"/>
        <color theme="1"/>
        <rFont val="Aptos Display"/>
        <family val="2"/>
        <scheme val="major"/>
      </rPr>
      <t>Combining R(1-5), F(1-5), M(1-5) (125 segments need to handle) (depend on business</t>
    </r>
  </si>
  <si>
    <t>capacity and actionability)</t>
  </si>
  <si>
    <t>6️⃣</t>
  </si>
  <si>
    <t>Interpret &amp; Take Action</t>
  </si>
  <si>
    <r>
      <rPr>
        <b/>
        <sz val="11"/>
        <color rgb="FF0000CC"/>
        <rFont val="Aptos Display"/>
        <family val="2"/>
        <scheme val="major"/>
      </rPr>
      <t>Simple approach:</t>
    </r>
    <r>
      <rPr>
        <sz val="11"/>
        <color theme="1"/>
        <rFont val="Aptos Display"/>
        <family val="2"/>
        <scheme val="major"/>
      </rPr>
      <t xml:space="preserve"> Rank into High-Low groups with Median splitting</t>
    </r>
  </si>
  <si>
    <r>
      <rPr>
        <b/>
        <sz val="11"/>
        <color rgb="FFC00000"/>
        <rFont val="Aptos Display"/>
        <family val="2"/>
        <scheme val="major"/>
      </rPr>
      <t>Advanced:</t>
    </r>
    <r>
      <rPr>
        <sz val="11"/>
        <color theme="1"/>
        <rFont val="Aptos Display"/>
        <family val="2"/>
        <scheme val="major"/>
      </rPr>
      <t xml:space="preserve"> Return-rate analysis for </t>
    </r>
    <r>
      <rPr>
        <b/>
        <sz val="11"/>
        <color theme="1"/>
        <rFont val="Aptos Display"/>
        <family val="2"/>
        <scheme val="major"/>
      </rPr>
      <t>R</t>
    </r>
    <r>
      <rPr>
        <sz val="11"/>
        <color theme="1"/>
        <rFont val="Aptos Display"/>
        <family val="2"/>
        <scheme val="major"/>
      </rPr>
      <t>, Repeat-rate analysis for</t>
    </r>
    <r>
      <rPr>
        <b/>
        <sz val="11"/>
        <color theme="1"/>
        <rFont val="Aptos Display"/>
        <family val="2"/>
        <scheme val="major"/>
      </rPr>
      <t xml:space="preserve"> F</t>
    </r>
    <r>
      <rPr>
        <sz val="11"/>
        <color theme="1"/>
        <rFont val="Aptos Display"/>
        <family val="2"/>
        <scheme val="major"/>
      </rPr>
      <t xml:space="preserve">, and Pareto (80/20) Principle for </t>
    </r>
    <r>
      <rPr>
        <b/>
        <sz val="11"/>
        <color theme="1"/>
        <rFont val="Aptos Display"/>
        <family val="2"/>
        <scheme val="major"/>
      </rPr>
      <t>M</t>
    </r>
    <r>
      <rPr>
        <sz val="11"/>
        <color theme="1"/>
        <rFont val="Aptos Display"/>
        <family val="2"/>
        <scheme val="major"/>
      </rPr>
      <t>.</t>
    </r>
  </si>
  <si>
    <t>See table &gt;&gt;&gt;</t>
  </si>
  <si>
    <r>
      <rPr>
        <b/>
        <sz val="11"/>
        <color rgb="FF0000CC"/>
        <rFont val="Aptos Display"/>
        <family val="2"/>
        <scheme val="major"/>
      </rPr>
      <t>Simple approach :</t>
    </r>
    <r>
      <rPr>
        <sz val="11"/>
        <color theme="1"/>
        <rFont val="Aptos Display"/>
        <family val="2"/>
        <scheme val="major"/>
      </rPr>
      <t xml:space="preserve"> Combining R(H-L), F(H-L), M (H-L) (Only 8 segments need to handle)</t>
    </r>
  </si>
  <si>
    <r>
      <t xml:space="preserve">Recency (R)                     &gt;  Active </t>
    </r>
    <r>
      <rPr>
        <sz val="11"/>
        <color rgb="FFC00000"/>
        <rFont val="Aptos Display"/>
        <family val="2"/>
        <scheme val="major"/>
      </rPr>
      <t>(H)</t>
    </r>
    <r>
      <rPr>
        <sz val="11"/>
        <color theme="1"/>
        <rFont val="Aptos Display"/>
        <family val="2"/>
        <scheme val="major"/>
      </rPr>
      <t xml:space="preserve"> vs Inactive </t>
    </r>
    <r>
      <rPr>
        <sz val="11"/>
        <color rgb="FFC00000"/>
        <rFont val="Aptos Display"/>
        <family val="2"/>
        <scheme val="major"/>
      </rPr>
      <t>(L)</t>
    </r>
  </si>
  <si>
    <r>
      <t xml:space="preserve">Frequency (F)                 &gt;  Loyal </t>
    </r>
    <r>
      <rPr>
        <sz val="11"/>
        <color rgb="FFC00000"/>
        <rFont val="Aptos Display"/>
        <family val="2"/>
        <scheme val="major"/>
      </rPr>
      <t>(H)</t>
    </r>
    <r>
      <rPr>
        <sz val="11"/>
        <color theme="1"/>
        <rFont val="Aptos Display"/>
        <family val="2"/>
        <scheme val="major"/>
      </rPr>
      <t xml:space="preserve"> vs Occasional </t>
    </r>
    <r>
      <rPr>
        <sz val="11"/>
        <color rgb="FFC00000"/>
        <rFont val="Aptos Display"/>
        <family val="2"/>
        <scheme val="major"/>
      </rPr>
      <t>(L)</t>
    </r>
  </si>
  <si>
    <r>
      <t xml:space="preserve">Monetary (M)                  &gt;  Valuable </t>
    </r>
    <r>
      <rPr>
        <sz val="11"/>
        <color rgb="FFC00000"/>
        <rFont val="Aptos Display"/>
        <family val="2"/>
        <scheme val="major"/>
      </rPr>
      <t>(H)</t>
    </r>
    <r>
      <rPr>
        <sz val="11"/>
        <color theme="1"/>
        <rFont val="Aptos Display"/>
        <family val="2"/>
        <scheme val="major"/>
      </rPr>
      <t xml:space="preserve"> vs Low value </t>
    </r>
    <r>
      <rPr>
        <sz val="11"/>
        <color rgb="FFC00000"/>
        <rFont val="Aptos Display"/>
        <family val="2"/>
        <scheme val="major"/>
      </rPr>
      <t>(L)</t>
    </r>
  </si>
  <si>
    <r>
      <rPr>
        <b/>
        <sz val="11"/>
        <color rgb="FFC00000"/>
        <rFont val="Aptos Display"/>
        <family val="2"/>
        <scheme val="major"/>
      </rPr>
      <t>Advanced:</t>
    </r>
    <r>
      <rPr>
        <sz val="11"/>
        <color theme="1"/>
        <rFont val="Aptos Display"/>
        <family val="2"/>
        <scheme val="major"/>
      </rPr>
      <t xml:space="preserve"> Combining R(H-L), F(H-L), M (H-L) (Only 8 segments need to handle) </t>
    </r>
  </si>
  <si>
    <t>raw_rfm_sales_transactions_(V2).csv</t>
  </si>
  <si>
    <t>https://www.kaggle.com/datasets/charmmyaeaung/raw-sales-dataset-for-rfm-customer-segmentation</t>
  </si>
  <si>
    <t>Criteria</t>
  </si>
  <si>
    <t>(1) Quintiles (1–5 Scoring)</t>
  </si>
  <si>
    <t>(2) Median Split (High/Low)</t>
  </si>
  <si>
    <t>(3) Advanced (Return / Repeat / Pareto)</t>
  </si>
  <si>
    <t>Concept</t>
  </si>
  <si>
    <t>Divide customers into 5 equal groups</t>
  </si>
  <si>
    <t>Split customers into 2 groups using median</t>
  </si>
  <si>
    <t>Use business-driven thresholds based on behavior patterns</t>
  </si>
  <si>
    <t>Complexity</t>
  </si>
  <si>
    <t>Ease of Implementation (Excel)</t>
  </si>
  <si>
    <t>Easy</t>
  </si>
  <si>
    <t>Very Easy</t>
  </si>
  <si>
    <t>Moderate to Advanced</t>
  </si>
  <si>
    <t>Business Interpretability</t>
  </si>
  <si>
    <t>High (very intuitive)</t>
  </si>
  <si>
    <t>Very High (directly linked to behavior)</t>
  </si>
  <si>
    <t>Statistical Accuracy</t>
  </si>
  <si>
    <t>Medium (relative ranking only)</t>
  </si>
  <si>
    <t>Low (too simplified)</t>
  </si>
  <si>
    <t>High (behavior-based insights)</t>
  </si>
  <si>
    <t>Sensitivity to Data Distribution</t>
  </si>
  <si>
    <t>High (can distort skewed data)</t>
  </si>
  <si>
    <t>Low (based on actual patterns)</t>
  </si>
  <si>
    <t>Actionability</t>
  </si>
  <si>
    <t>Low–Medium</t>
  </si>
  <si>
    <t>Use of Business Logic</t>
  </si>
  <si>
    <t>❌ No</t>
  </si>
  <si>
    <t>✅ Yes</t>
  </si>
  <si>
    <t>Handles Skewed Data (common in sales)</t>
  </si>
  <si>
    <t>❌ Weak</t>
  </si>
  <si>
    <t>✅ Strong</t>
  </si>
  <si>
    <t>Segmentation Power</t>
  </si>
  <si>
    <t>Medium (5×5×5 combinations)</t>
  </si>
  <si>
    <t>Low (only 2×2×2)</t>
  </si>
  <si>
    <t>Very Strong (meaningful segmentation)</t>
  </si>
  <si>
    <t>Real-world Usage</t>
  </si>
  <si>
    <t>Very Common (textbook &amp; tools)</t>
  </si>
  <si>
    <t>Rare in serious analytics</t>
  </si>
  <si>
    <t>Used by advanced analysts &amp; businesses</t>
  </si>
  <si>
    <t>Day Gap</t>
  </si>
  <si>
    <t>Transaction Count</t>
  </si>
  <si>
    <t>Total Amount</t>
  </si>
  <si>
    <t>M Score</t>
  </si>
  <si>
    <t>RFM (Median Splitting Option)</t>
  </si>
  <si>
    <t>Advanced RFM (Return / Repeat / Pareto)</t>
  </si>
  <si>
    <t>lookup_value</t>
  </si>
  <si>
    <t>We have successfully learned RFM using Excel. However, for real-world applications, Excel has limitations.</t>
  </si>
  <si>
    <t>📌 Why this is important:</t>
  </si>
  <si>
    <t>(1.1) Model Exploration (Return Window Testing)</t>
  </si>
  <si>
    <t>RFM analysis requires testing multiple return windows (15, 30, 45, 60 days)</t>
  </si>
  <si>
    <t>Excel = manual, time-consuming</t>
  </si>
  <si>
    <t>Advanced tools = faster, scalable, repeatable testing</t>
  </si>
  <si>
    <t>(1.2) Automation for Periodic Analysis</t>
  </si>
  <si>
    <t>RFM is NOT one-time → must run monthly / periodically</t>
  </si>
  <si>
    <t>Excel = manual refresh every time</t>
  </si>
  <si>
    <t>Advanced tools = automated workflows (schedule + refresh)</t>
  </si>
  <si>
    <t>(1.3) Handling Large Data</t>
  </si>
  <si>
    <t>Real business data = large datasets</t>
  </si>
  <si>
    <t>Excel = performance limitations</t>
  </si>
  <si>
    <t>Advanced tools = handle millions of rows efficiently</t>
  </si>
  <si>
    <t>🎯 Goal:</t>
  </si>
  <si>
    <t>👉 Apply RFM in:</t>
  </si>
  <si>
    <t>Your company (if working)</t>
  </si>
  <si>
    <t>Case studies</t>
  </si>
  <si>
    <t>Simulated business scenarios</t>
  </si>
  <si>
    <t>Focus on:</t>
  </si>
  <si>
    <t>To become a strong data analyst:</t>
  </si>
  <si>
    <r>
      <t xml:space="preserve">👉 Start creating a </t>
    </r>
    <r>
      <rPr>
        <b/>
        <sz val="10"/>
        <color theme="1"/>
        <rFont val="Aptos Display"/>
        <family val="2"/>
        <scheme val="major"/>
      </rPr>
      <t>professional portfolio project</t>
    </r>
    <r>
      <rPr>
        <sz val="10"/>
        <color theme="1"/>
        <rFont val="Aptos Display"/>
        <family val="2"/>
        <scheme val="major"/>
      </rPr>
      <t>:</t>
    </r>
  </si>
  <si>
    <r>
      <t xml:space="preserve">Be able to show a complete </t>
    </r>
    <r>
      <rPr>
        <b/>
        <sz val="10"/>
        <color theme="1"/>
        <rFont val="Aptos Display"/>
        <family val="2"/>
        <scheme val="major"/>
      </rPr>
      <t>end-to-end data analytics project</t>
    </r>
  </si>
  <si>
    <r>
      <t xml:space="preserve">Defining </t>
    </r>
    <r>
      <rPr>
        <b/>
        <sz val="10"/>
        <color theme="1"/>
        <rFont val="Aptos Display"/>
        <family val="2"/>
        <scheme val="major"/>
      </rPr>
      <t>real business problems</t>
    </r>
  </si>
  <si>
    <r>
      <t xml:space="preserve">Making </t>
    </r>
    <r>
      <rPr>
        <b/>
        <sz val="10"/>
        <color theme="1"/>
        <rFont val="Aptos Display"/>
        <family val="2"/>
        <scheme val="major"/>
      </rPr>
      <t>actionable decisions</t>
    </r>
    <r>
      <rPr>
        <sz val="10"/>
        <color theme="1"/>
        <rFont val="Aptos Display"/>
        <family val="2"/>
        <scheme val="major"/>
      </rPr>
      <t xml:space="preserve"> (not just analysis)</t>
    </r>
  </si>
  <si>
    <r>
      <t xml:space="preserve">Connecting results to </t>
    </r>
    <r>
      <rPr>
        <b/>
        <sz val="10"/>
        <color theme="1"/>
        <rFont val="Aptos Display"/>
        <family val="2"/>
        <scheme val="major"/>
      </rPr>
      <t>business value</t>
    </r>
  </si>
  <si>
    <r>
      <t xml:space="preserve">RFM is not just a technique — it is a </t>
    </r>
    <r>
      <rPr>
        <b/>
        <sz val="10"/>
        <color theme="1"/>
        <rFont val="Aptos Display"/>
        <family val="2"/>
        <scheme val="major"/>
      </rPr>
      <t>decision-making tool</t>
    </r>
    <r>
      <rPr>
        <sz val="10"/>
        <color theme="1"/>
        <rFont val="Aptos Display"/>
        <family val="2"/>
        <scheme val="major"/>
      </rPr>
      <t>.</t>
    </r>
  </si>
  <si>
    <t>⏭️ Next Actions</t>
  </si>
  <si>
    <t>1. Move Beyond Excel → Advanced Tools</t>
  </si>
  <si>
    <r>
      <t xml:space="preserve">👉 Let’s start exploring tools like </t>
    </r>
    <r>
      <rPr>
        <b/>
        <sz val="10"/>
        <color theme="1"/>
        <rFont val="Aptos Display"/>
        <family val="2"/>
        <scheme val="major"/>
      </rPr>
      <t>Python, KNIME, Power BI</t>
    </r>
    <r>
      <rPr>
        <sz val="10"/>
        <color theme="1"/>
        <rFont val="Aptos Display"/>
        <family val="2"/>
        <scheme val="major"/>
      </rPr>
      <t>, etc.</t>
    </r>
  </si>
  <si>
    <t>2. Build Your RFM Project Portfolio</t>
  </si>
  <si>
    <t>3. Practice Using Real Business Context</t>
  </si>
  <si>
    <t>🔴 Final Message</t>
  </si>
  <si>
    <r>
      <t xml:space="preserve">Move from </t>
    </r>
    <r>
      <rPr>
        <b/>
        <sz val="10"/>
        <color rgb="FFC00000"/>
        <rFont val="Aptos Display"/>
        <family val="2"/>
        <scheme val="major"/>
      </rPr>
      <t>Excel → Scalable tools</t>
    </r>
  </si>
  <si>
    <r>
      <t xml:space="preserve">Move from </t>
    </r>
    <r>
      <rPr>
        <b/>
        <sz val="10"/>
        <color rgb="FFC00000"/>
        <rFont val="Aptos Display"/>
        <family val="2"/>
        <scheme val="major"/>
      </rPr>
      <t>theory → real business application</t>
    </r>
  </si>
  <si>
    <r>
      <t xml:space="preserve">Move from </t>
    </r>
    <r>
      <rPr>
        <b/>
        <sz val="10"/>
        <color rgb="FFC00000"/>
        <rFont val="Aptos Display"/>
        <family val="2"/>
        <scheme val="major"/>
      </rPr>
      <t>painting → analytics</t>
    </r>
  </si>
  <si>
    <t>Return Window</t>
  </si>
  <si>
    <t>% Gap</t>
  </si>
  <si>
    <t>Comparison</t>
  </si>
  <si>
    <t>Summary</t>
  </si>
  <si>
    <t>RFM Distribution</t>
  </si>
  <si>
    <t>Count</t>
  </si>
  <si>
    <r>
      <t>Recency Distribution (</t>
    </r>
    <r>
      <rPr>
        <b/>
        <sz val="11"/>
        <color rgb="FF00B050"/>
        <rFont val="Aptos Display"/>
        <family val="2"/>
        <scheme val="major"/>
      </rPr>
      <t>H - Active</t>
    </r>
    <r>
      <rPr>
        <b/>
        <sz val="11"/>
        <color rgb="FF0070C0"/>
        <rFont val="Aptos Display"/>
        <family val="2"/>
        <scheme val="major"/>
      </rPr>
      <t xml:space="preserve">, </t>
    </r>
    <r>
      <rPr>
        <b/>
        <sz val="11"/>
        <color rgb="FFC00000"/>
        <rFont val="Aptos Display"/>
        <family val="2"/>
        <scheme val="major"/>
      </rPr>
      <t>L - Inactive</t>
    </r>
    <r>
      <rPr>
        <b/>
        <sz val="11"/>
        <color rgb="FF0070C0"/>
        <rFont val="Aptos Display"/>
        <family val="2"/>
        <scheme val="major"/>
      </rPr>
      <t>)</t>
    </r>
  </si>
  <si>
    <r>
      <t>Frequency Distribution (</t>
    </r>
    <r>
      <rPr>
        <b/>
        <sz val="10"/>
        <color rgb="FF00B050"/>
        <rFont val="Aptos"/>
        <family val="2"/>
      </rPr>
      <t>H - Loyal</t>
    </r>
    <r>
      <rPr>
        <b/>
        <sz val="10"/>
        <color rgb="FF0070C0"/>
        <rFont val="Aptos"/>
        <family val="2"/>
      </rPr>
      <t xml:space="preserve">, </t>
    </r>
    <r>
      <rPr>
        <b/>
        <sz val="10"/>
        <color rgb="FFC00000"/>
        <rFont val="Aptos"/>
        <family val="2"/>
      </rPr>
      <t>L - Ocassional</t>
    </r>
    <r>
      <rPr>
        <b/>
        <sz val="10"/>
        <color rgb="FF0070C0"/>
        <rFont val="Aptos"/>
        <family val="2"/>
      </rPr>
      <t>)</t>
    </r>
  </si>
  <si>
    <t>(Show distribution of Recency, Frequency, Monetary scores)</t>
  </si>
  <si>
    <t>Segment Revenue Contribution</t>
  </si>
  <si>
    <t>(Show which segment generates most revenue)</t>
  </si>
  <si>
    <t>Customer Count by Segment</t>
  </si>
  <si>
    <t>(How many customers in each group)</t>
  </si>
  <si>
    <t>RFM Customer Segmentation Dashboard</t>
  </si>
  <si>
    <t>Total Customers</t>
  </si>
  <si>
    <t>Total Revenue</t>
  </si>
  <si>
    <t>% Active Customers (R High)</t>
  </si>
  <si>
    <t>% Loyal Customers (F High)</t>
  </si>
  <si>
    <t>% High Value Customers (M High)</t>
  </si>
  <si>
    <t>X-axis → % Customers</t>
  </si>
  <si>
    <t>Y-axis → % Revenue</t>
  </si>
  <si>
    <t>Bubble size → Revenue</t>
  </si>
  <si>
    <t>Sort by % Revenue (descending)</t>
  </si>
  <si>
    <t>Add Cumulative % (Pareto view)</t>
  </si>
  <si>
    <t>(1) Executive Summary</t>
  </si>
  <si>
    <t>(1.1) KPI Cards (4–5 only)</t>
  </si>
  <si>
    <t>(1.2) Key Insight Text Box</t>
  </si>
  <si>
    <t>(2) Diagnostic Analysis</t>
  </si>
  <si>
    <t>(2.3) Segment Ranking Table</t>
  </si>
  <si>
    <t>(3) Action Layer</t>
  </si>
  <si>
    <r>
      <t>(2.1) RFM Distribution</t>
    </r>
    <r>
      <rPr>
        <sz val="11"/>
        <color rgb="FF0070C0"/>
        <rFont val="Aptos Display"/>
        <family val="2"/>
        <scheme val="major"/>
      </rPr>
      <t xml:space="preserve"> (100% Stacked Bar, 3 bars only)</t>
    </r>
  </si>
  <si>
    <r>
      <t xml:space="preserve">(2.2) Segment Revenue vs Customer Count </t>
    </r>
    <r>
      <rPr>
        <sz val="11"/>
        <color rgb="FF0070C0"/>
        <rFont val="Aptos Display"/>
        <family val="2"/>
        <scheme val="major"/>
      </rPr>
      <t>(Bubble Chart or Scatter Plot)</t>
    </r>
  </si>
  <si>
    <r>
      <t xml:space="preserve">(3.1) Segment Action Matrix </t>
    </r>
    <r>
      <rPr>
        <sz val="11"/>
        <color rgb="FF0070C0"/>
        <rFont val="Aptos Display"/>
        <family val="2"/>
        <scheme val="major"/>
      </rPr>
      <t>(Segment, Revenue %, Customer %, Action)</t>
    </r>
  </si>
  <si>
    <r>
      <t xml:space="preserve">(3.2) Risk Indicator </t>
    </r>
    <r>
      <rPr>
        <sz val="11"/>
        <color rgb="FFC00000"/>
        <rFont val="Aptos Display"/>
        <family val="2"/>
        <scheme val="major"/>
      </rPr>
      <t>(At risk high value)</t>
    </r>
  </si>
  <si>
    <r>
      <t xml:space="preserve">(3.3) Filter (Region) </t>
    </r>
    <r>
      <rPr>
        <sz val="11"/>
        <color rgb="FFC00000"/>
        <rFont val="Aptos Display"/>
        <family val="2"/>
        <scheme val="major"/>
      </rPr>
      <t>(⚠️ keep minimal)</t>
    </r>
  </si>
  <si>
    <r>
      <t xml:space="preserve">Move from </t>
    </r>
    <r>
      <rPr>
        <b/>
        <sz val="10"/>
        <color rgb="FFC00000"/>
        <rFont val="Aptos Display"/>
        <family val="2"/>
        <scheme val="major"/>
      </rPr>
      <t>manual analysis → automation</t>
    </r>
  </si>
  <si>
    <t>recency</t>
  </si>
  <si>
    <t>=IF(Q6&lt;MEDIAN($Q$6:$Q$817),"H","L")</t>
  </si>
  <si>
    <t>=IF(R6&gt;MEDIAN($R$6:$R$817),"H","L")</t>
  </si>
  <si>
    <t>=IF(S6&gt;MEDIAN($S$6:$S$817),"H","L")</t>
  </si>
  <si>
    <t>=VLOOKUP(W6,rfm,2,0)</t>
  </si>
  <si>
    <t>=IF(D7=D8,E8,"")</t>
  </si>
  <si>
    <t>=IF(F7="","",F7-E7)</t>
  </si>
  <si>
    <t>=IFS(G7="","",G7&lt;=return_window,1,1,0)</t>
  </si>
  <si>
    <t>0-30</t>
  </si>
  <si>
    <t>31-60</t>
  </si>
  <si>
    <t>61-90</t>
  </si>
  <si>
    <t>90+</t>
  </si>
  <si>
    <t>Change of Change</t>
  </si>
  <si>
    <t>Second derivative (Curvature)</t>
  </si>
  <si>
    <r>
      <t>Email:</t>
    </r>
    <r>
      <rPr>
        <sz val="12"/>
        <color rgb="FF92D050"/>
        <rFont val="Calibri Light"/>
        <family val="2"/>
      </rPr>
      <t xml:space="preserve"> info@usercma.com                </t>
    </r>
    <r>
      <rPr>
        <sz val="12"/>
        <color theme="0"/>
        <rFont val="Calibri Light"/>
        <family val="2"/>
      </rPr>
      <t>Phone:</t>
    </r>
    <r>
      <rPr>
        <sz val="12"/>
        <color rgb="FF92D050"/>
        <rFont val="Calibri Light"/>
        <family val="2"/>
      </rPr>
      <t xml:space="preserve"> 09 44717 2115</t>
    </r>
  </si>
  <si>
    <t>Transaction Count (from WK01)</t>
  </si>
  <si>
    <t>=COUNTIFS($G$7:$G$818,"&gt;="&amp;K7)</t>
  </si>
  <si>
    <t>=M7-M8</t>
  </si>
  <si>
    <t>=N8-N9</t>
  </si>
  <si>
    <t>land</t>
  </si>
  <si>
    <t>population</t>
  </si>
  <si>
    <t>revenue</t>
  </si>
  <si>
    <t>customers</t>
  </si>
  <si>
    <t>Row Labels</t>
  </si>
  <si>
    <t>Grand Total</t>
  </si>
  <si>
    <t>Count of Customer ID</t>
  </si>
  <si>
    <t xml:space="preserve"> Total Amount</t>
  </si>
  <si>
    <t>Segments</t>
  </si>
  <si>
    <t>Sum of Total Amount</t>
  </si>
  <si>
    <t>% of Total</t>
  </si>
  <si>
    <t>% of Customer</t>
  </si>
  <si>
    <r>
      <t>Monetary Score (</t>
    </r>
    <r>
      <rPr>
        <b/>
        <sz val="10"/>
        <color rgb="FF00B050"/>
        <rFont val="Aptos"/>
        <family val="2"/>
      </rPr>
      <t>H - Valuable</t>
    </r>
    <r>
      <rPr>
        <b/>
        <sz val="10"/>
        <color rgb="FF0070C0"/>
        <rFont val="Aptos"/>
        <family val="2"/>
      </rPr>
      <t xml:space="preserve">, </t>
    </r>
    <r>
      <rPr>
        <b/>
        <sz val="10"/>
        <color rgb="FFC00000"/>
        <rFont val="Aptos"/>
        <family val="2"/>
      </rPr>
      <t>L - Low value</t>
    </r>
    <r>
      <rPr>
        <b/>
        <sz val="10"/>
        <color rgb="FF0070C0"/>
        <rFont val="Aptos"/>
        <family val="2"/>
      </rPr>
      <t>)</t>
    </r>
  </si>
  <si>
    <t>Values</t>
  </si>
  <si>
    <t xml:space="preserve">Customer ID </t>
  </si>
  <si>
    <t xml:space="preserve">Amount </t>
  </si>
  <si>
    <t xml:space="preserve">Score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</si>
</sst>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_(* #,##0_);_(* \(#,##0\);_(* &quot;-&quot;??_);_(@_)"/>
    <numFmt numFmtId="166" formatCode="00\ &quot;days&quot;"/>
    <numFmt numFmtId="167" formatCode="0\ &quot;times&quot;"/>
    <numFmt numFmtId="168" formatCode="0.000%"/>
  </numFmts>
  <fonts count="61" x14ac:knownFonts="1">
    <font>
      <sz val="10"/>
      <color theme="1"/>
      <name val="Aptos"/>
      <family val="2"/>
    </font>
    <font>
      <sz val="11"/>
      <color theme="1"/>
      <name val="Aptos Narrow"/>
      <family val="2"/>
      <scheme val="minor"/>
    </font>
    <font>
      <sz val="11"/>
      <color theme="1"/>
      <name val="Aptos Narrow"/>
      <family val="2"/>
      <scheme val="minor"/>
    </font>
    <font>
      <sz val="10"/>
      <color theme="1"/>
      <name val="Aptos"/>
      <family val="2"/>
    </font>
    <font>
      <sz val="18"/>
      <color theme="3"/>
      <name val="Aptos Display"/>
      <family val="2"/>
      <scheme val="major"/>
    </font>
    <font>
      <b/>
      <sz val="15"/>
      <color theme="3"/>
      <name val="Aptos"/>
      <family val="2"/>
    </font>
    <font>
      <b/>
      <sz val="13"/>
      <color theme="3"/>
      <name val="Aptos"/>
      <family val="2"/>
    </font>
    <font>
      <b/>
      <sz val="11"/>
      <color theme="3"/>
      <name val="Aptos"/>
      <family val="2"/>
    </font>
    <font>
      <sz val="10"/>
      <color rgb="FF006100"/>
      <name val="Aptos"/>
      <family val="2"/>
    </font>
    <font>
      <sz val="10"/>
      <color rgb="FF9C0006"/>
      <name val="Aptos"/>
      <family val="2"/>
    </font>
    <font>
      <sz val="10"/>
      <color rgb="FF9C5700"/>
      <name val="Aptos"/>
      <family val="2"/>
    </font>
    <font>
      <sz val="10"/>
      <color rgb="FF3F3F76"/>
      <name val="Aptos"/>
      <family val="2"/>
    </font>
    <font>
      <b/>
      <sz val="10"/>
      <color rgb="FF3F3F3F"/>
      <name val="Aptos"/>
      <family val="2"/>
    </font>
    <font>
      <b/>
      <sz val="10"/>
      <color rgb="FFFA7D00"/>
      <name val="Aptos"/>
      <family val="2"/>
    </font>
    <font>
      <sz val="10"/>
      <color rgb="FFFA7D00"/>
      <name val="Aptos"/>
      <family val="2"/>
    </font>
    <font>
      <b/>
      <sz val="10"/>
      <color theme="0"/>
      <name val="Aptos"/>
      <family val="2"/>
    </font>
    <font>
      <sz val="10"/>
      <color rgb="FFFF0000"/>
      <name val="Aptos"/>
      <family val="2"/>
    </font>
    <font>
      <i/>
      <sz val="10"/>
      <color rgb="FF7F7F7F"/>
      <name val="Aptos"/>
      <family val="2"/>
    </font>
    <font>
      <b/>
      <sz val="10"/>
      <color theme="1"/>
      <name val="Aptos"/>
      <family val="2"/>
    </font>
    <font>
      <sz val="10"/>
      <color theme="0"/>
      <name val="Aptos"/>
      <family val="2"/>
    </font>
    <font>
      <sz val="8"/>
      <name val="Aptos"/>
      <family val="2"/>
    </font>
    <font>
      <sz val="11"/>
      <color theme="1"/>
      <name val="Aptos Display"/>
      <family val="2"/>
      <scheme val="major"/>
    </font>
    <font>
      <b/>
      <sz val="11"/>
      <color theme="1"/>
      <name val="Aptos Display"/>
      <family val="2"/>
      <scheme val="major"/>
    </font>
    <font>
      <sz val="11"/>
      <color theme="0"/>
      <name val="Aptos Display"/>
      <family val="2"/>
      <scheme val="major"/>
    </font>
    <font>
      <b/>
      <sz val="16"/>
      <color theme="0"/>
      <name val="Aptos Display"/>
      <family val="2"/>
      <scheme val="major"/>
    </font>
    <font>
      <sz val="9"/>
      <color theme="0"/>
      <name val="Aptos Display"/>
      <family val="2"/>
      <scheme val="major"/>
    </font>
    <font>
      <sz val="9"/>
      <color rgb="FF92D050"/>
      <name val="Aptos Display"/>
      <family val="2"/>
      <scheme val="major"/>
    </font>
    <font>
      <b/>
      <sz val="14"/>
      <color rgb="FF0070C0"/>
      <name val="Aptos Display"/>
      <family val="2"/>
      <scheme val="major"/>
    </font>
    <font>
      <b/>
      <sz val="11"/>
      <color rgb="FF0070C0"/>
      <name val="Aptos Display"/>
      <family val="2"/>
      <scheme val="major"/>
    </font>
    <font>
      <sz val="11"/>
      <color rgb="FF0070C0"/>
      <name val="Aptos Display"/>
      <family val="2"/>
      <scheme val="major"/>
    </font>
    <font>
      <b/>
      <sz val="11"/>
      <color rgb="FF0000CC"/>
      <name val="Aptos Display"/>
      <family val="2"/>
      <scheme val="major"/>
    </font>
    <font>
      <b/>
      <sz val="11"/>
      <color rgb="FF0070C0"/>
      <name val="Aptos Narrow"/>
      <family val="2"/>
      <scheme val="minor"/>
    </font>
    <font>
      <b/>
      <sz val="11"/>
      <color rgb="FFC00000"/>
      <name val="Aptos Display"/>
      <family val="2"/>
      <scheme val="major"/>
    </font>
    <font>
      <u/>
      <sz val="10"/>
      <color theme="10"/>
      <name val="Aptos"/>
      <family val="2"/>
    </font>
    <font>
      <u/>
      <sz val="10"/>
      <color rgb="FFC00000"/>
      <name val="Aptos"/>
      <family val="2"/>
    </font>
    <font>
      <sz val="11"/>
      <color rgb="FFC00000"/>
      <name val="Aptos Display"/>
      <family val="2"/>
      <scheme val="major"/>
    </font>
    <font>
      <b/>
      <sz val="10"/>
      <color rgb="FF202124"/>
      <name val="Arial"/>
      <family val="2"/>
    </font>
    <font>
      <u/>
      <sz val="10"/>
      <color rgb="FF0070C0"/>
      <name val="Aptos"/>
      <family val="2"/>
    </font>
    <font>
      <sz val="8"/>
      <color theme="1"/>
      <name val="Aptos Display"/>
      <family val="2"/>
      <scheme val="major"/>
    </font>
    <font>
      <b/>
      <sz val="10"/>
      <color rgb="FFC00000"/>
      <name val="Aptos Display"/>
      <family val="2"/>
      <scheme val="major"/>
    </font>
    <font>
      <sz val="10"/>
      <color theme="1"/>
      <name val="Aptos Display"/>
      <family val="2"/>
      <scheme val="major"/>
    </font>
    <font>
      <b/>
      <sz val="10"/>
      <color theme="1"/>
      <name val="Aptos Display"/>
      <family val="2"/>
      <scheme val="major"/>
    </font>
    <font>
      <b/>
      <sz val="16"/>
      <color theme="1"/>
      <name val="Aptos Display"/>
      <family val="2"/>
      <scheme val="major"/>
    </font>
    <font>
      <b/>
      <sz val="8"/>
      <color theme="1"/>
      <name val="Aptos Display"/>
      <family val="2"/>
      <scheme val="major"/>
    </font>
    <font>
      <b/>
      <sz val="12"/>
      <color rgb="FF0070C0"/>
      <name val="Aptos Display"/>
      <family val="2"/>
      <scheme val="major"/>
    </font>
    <font>
      <b/>
      <sz val="12"/>
      <color rgb="FFC00000"/>
      <name val="Aptos Display"/>
      <family val="2"/>
      <scheme val="major"/>
    </font>
    <font>
      <b/>
      <sz val="14"/>
      <color theme="1"/>
      <name val="Aptos Display"/>
      <family val="2"/>
      <scheme val="major"/>
    </font>
    <font>
      <b/>
      <sz val="10"/>
      <color rgb="FF0070C0"/>
      <name val="Aptos"/>
      <family val="2"/>
    </font>
    <font>
      <b/>
      <sz val="11"/>
      <name val="Aptos Display"/>
      <family val="2"/>
      <scheme val="major"/>
    </font>
    <font>
      <b/>
      <sz val="11"/>
      <color rgb="FF00B050"/>
      <name val="Aptos Display"/>
      <family val="2"/>
      <scheme val="major"/>
    </font>
    <font>
      <b/>
      <sz val="10"/>
      <color rgb="FF00B050"/>
      <name val="Aptos"/>
      <family val="2"/>
    </font>
    <font>
      <b/>
      <sz val="10"/>
      <color rgb="FFC00000"/>
      <name val="Aptos"/>
      <family val="2"/>
    </font>
    <font>
      <sz val="11"/>
      <name val="Aptos Display"/>
      <family val="2"/>
      <scheme val="major"/>
    </font>
    <font>
      <b/>
      <sz val="16"/>
      <color rgb="FF0000CC"/>
      <name val="Aptos Display"/>
      <family val="2"/>
      <scheme val="major"/>
    </font>
    <font>
      <b/>
      <sz val="12"/>
      <color theme="0"/>
      <name val="Calibri Light"/>
      <family val="2"/>
    </font>
    <font>
      <sz val="12"/>
      <color theme="0"/>
      <name val="Calibri Light"/>
      <family val="2"/>
    </font>
    <font>
      <sz val="12"/>
      <color rgb="FF92D050"/>
      <name val="Calibri Light"/>
      <family val="2"/>
    </font>
    <font>
      <sz val="12"/>
      <color theme="1"/>
      <name val="Calibri Light"/>
      <family val="2"/>
    </font>
    <font>
      <b/>
      <sz val="12"/>
      <color rgb="FFC00000"/>
      <name val="Calibri Light"/>
      <family val="2"/>
    </font>
    <font>
      <b/>
      <sz val="12"/>
      <color theme="1"/>
      <name val="Calibri Light"/>
      <family val="2"/>
    </font>
    <font>
      <sz val="11"/>
      <color rgb="FFFF0000"/>
      <name val="Aptos Display"/>
      <family val="2"/>
      <scheme val="maj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C00000"/>
        <bgColor indexed="64"/>
      </patternFill>
    </fill>
    <fill>
      <patternFill patternType="solid">
        <fgColor theme="4"/>
        <bgColor indexed="64"/>
      </patternFill>
    </fill>
    <fill>
      <patternFill patternType="solid">
        <fgColor rgb="FFFEF5F0"/>
        <bgColor indexed="64"/>
      </patternFill>
    </fill>
    <fill>
      <patternFill patternType="solid">
        <fgColor rgb="FF7030A0"/>
        <bgColor indexed="64"/>
      </patternFill>
    </fill>
    <fill>
      <patternFill patternType="solid">
        <fgColor rgb="FFEEF5FC"/>
        <bgColor indexed="64"/>
      </patternFill>
    </fill>
    <fill>
      <patternFill patternType="solid">
        <fgColor rgb="FFFFFFE1"/>
        <bgColor indexed="64"/>
      </patternFill>
    </fill>
    <fill>
      <patternFill patternType="solid">
        <fgColor rgb="FFFFFF00"/>
        <bgColor indexed="64"/>
      </patternFill>
    </fill>
    <fill>
      <patternFill patternType="solid">
        <fgColor theme="2" tint="-0.249977111117893"/>
        <bgColor indexed="64"/>
      </patternFill>
    </fill>
    <fill>
      <patternFill patternType="solid">
        <fgColor theme="1"/>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7">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2" fillId="0" borderId="0"/>
    <xf numFmtId="0" fontId="1" fillId="0" borderId="0"/>
    <xf numFmtId="0" fontId="33" fillId="0" borderId="0" applyNumberFormat="0" applyFill="0" applyBorder="0" applyAlignment="0" applyProtection="0"/>
  </cellStyleXfs>
  <cellXfs count="136">
    <xf numFmtId="0" fontId="0" fillId="0" borderId="0" xfId="0"/>
    <xf numFmtId="0" fontId="21" fillId="0" borderId="0" xfId="44" applyFont="1"/>
    <xf numFmtId="0" fontId="22" fillId="0" borderId="0" xfId="44" applyFont="1"/>
    <xf numFmtId="0" fontId="22" fillId="35" borderId="11" xfId="44" applyFont="1" applyFill="1" applyBorder="1" applyAlignment="1">
      <alignment horizontal="center" vertical="center"/>
    </xf>
    <xf numFmtId="0" fontId="22" fillId="35" borderId="12" xfId="44" applyFont="1" applyFill="1" applyBorder="1" applyAlignment="1">
      <alignment horizontal="center" vertical="center"/>
    </xf>
    <xf numFmtId="0" fontId="22" fillId="35" borderId="13" xfId="44" applyFont="1" applyFill="1" applyBorder="1" applyAlignment="1">
      <alignment horizontal="center" vertical="center"/>
    </xf>
    <xf numFmtId="0" fontId="21" fillId="36" borderId="14" xfId="44" applyFont="1" applyFill="1" applyBorder="1" applyAlignment="1">
      <alignment horizontal="left" vertical="center" indent="3"/>
    </xf>
    <xf numFmtId="0" fontId="21" fillId="36" borderId="10" xfId="44" applyFont="1" applyFill="1" applyBorder="1" applyAlignment="1">
      <alignment vertical="center"/>
    </xf>
    <xf numFmtId="0" fontId="21" fillId="36" borderId="15" xfId="44" applyFont="1" applyFill="1" applyBorder="1" applyAlignment="1">
      <alignment vertical="center"/>
    </xf>
    <xf numFmtId="0" fontId="21" fillId="36" borderId="16" xfId="44" applyFont="1" applyFill="1" applyBorder="1" applyAlignment="1">
      <alignment horizontal="left" vertical="center" indent="3"/>
    </xf>
    <xf numFmtId="0" fontId="21" fillId="36" borderId="17" xfId="44" applyFont="1" applyFill="1" applyBorder="1" applyAlignment="1">
      <alignment vertical="center"/>
    </xf>
    <xf numFmtId="0" fontId="21" fillId="36" borderId="18" xfId="44" applyFont="1" applyFill="1" applyBorder="1" applyAlignment="1">
      <alignment vertical="center"/>
    </xf>
    <xf numFmtId="0" fontId="23" fillId="33" borderId="0" xfId="44" applyFont="1" applyFill="1"/>
    <xf numFmtId="0" fontId="24" fillId="33" borderId="0" xfId="44" applyFont="1" applyFill="1"/>
    <xf numFmtId="0" fontId="25" fillId="33" borderId="0" xfId="44" applyFont="1" applyFill="1"/>
    <xf numFmtId="0" fontId="26" fillId="33" borderId="0" xfId="44" applyFont="1" applyFill="1"/>
    <xf numFmtId="0" fontId="24" fillId="33" borderId="0" xfId="45" applyFont="1" applyFill="1"/>
    <xf numFmtId="0" fontId="23" fillId="33" borderId="0" xfId="45" applyFont="1" applyFill="1"/>
    <xf numFmtId="0" fontId="26" fillId="33" borderId="0" xfId="45" applyFont="1" applyFill="1"/>
    <xf numFmtId="0" fontId="25" fillId="33" borderId="0" xfId="45" applyFont="1" applyFill="1"/>
    <xf numFmtId="0" fontId="21" fillId="0" borderId="0" xfId="45" applyFont="1"/>
    <xf numFmtId="0" fontId="27" fillId="0" borderId="0" xfId="45" applyFont="1"/>
    <xf numFmtId="0" fontId="21" fillId="36" borderId="19" xfId="45" applyFont="1" applyFill="1" applyBorder="1"/>
    <xf numFmtId="0" fontId="21" fillId="36" borderId="20" xfId="45" applyFont="1" applyFill="1" applyBorder="1"/>
    <xf numFmtId="0" fontId="28" fillId="36" borderId="21" xfId="45" applyFont="1" applyFill="1" applyBorder="1"/>
    <xf numFmtId="0" fontId="28" fillId="36" borderId="22" xfId="45" applyFont="1" applyFill="1" applyBorder="1"/>
    <xf numFmtId="0" fontId="28" fillId="0" borderId="0" xfId="45" applyFont="1"/>
    <xf numFmtId="0" fontId="21" fillId="36" borderId="21" xfId="45" applyFont="1" applyFill="1" applyBorder="1"/>
    <xf numFmtId="0" fontId="21" fillId="36" borderId="22" xfId="45" applyFont="1" applyFill="1" applyBorder="1"/>
    <xf numFmtId="0" fontId="21" fillId="36" borderId="22" xfId="45" applyFont="1" applyFill="1" applyBorder="1" applyAlignment="1">
      <alignment horizontal="left" indent="3"/>
    </xf>
    <xf numFmtId="0" fontId="21" fillId="0" borderId="0" xfId="45" applyFont="1" applyAlignment="1">
      <alignment horizontal="left" indent="3"/>
    </xf>
    <xf numFmtId="0" fontId="21" fillId="36" borderId="22" xfId="45" applyFont="1" applyFill="1" applyBorder="1" applyAlignment="1">
      <alignment horizontal="left" indent="2"/>
    </xf>
    <xf numFmtId="0" fontId="21" fillId="0" borderId="0" xfId="45" applyFont="1" applyAlignment="1">
      <alignment horizontal="left" indent="2"/>
    </xf>
    <xf numFmtId="0" fontId="21" fillId="36" borderId="23" xfId="45" applyFont="1" applyFill="1" applyBorder="1"/>
    <xf numFmtId="0" fontId="21" fillId="36" borderId="24" xfId="45" applyFont="1" applyFill="1" applyBorder="1"/>
    <xf numFmtId="0" fontId="29" fillId="36" borderId="21" xfId="45" applyFont="1" applyFill="1" applyBorder="1"/>
    <xf numFmtId="0" fontId="21" fillId="36" borderId="22" xfId="45" applyFont="1" applyFill="1" applyBorder="1" applyAlignment="1">
      <alignment horizontal="left" indent="1"/>
    </xf>
    <xf numFmtId="0" fontId="21" fillId="0" borderId="0" xfId="45" applyFont="1" applyAlignment="1">
      <alignment horizontal="left" indent="1"/>
    </xf>
    <xf numFmtId="0" fontId="31" fillId="36" borderId="22" xfId="45" applyFont="1" applyFill="1" applyBorder="1"/>
    <xf numFmtId="0" fontId="31" fillId="0" borderId="0" xfId="45" applyFont="1"/>
    <xf numFmtId="0" fontId="34" fillId="36" borderId="22" xfId="46" applyFont="1" applyFill="1" applyBorder="1"/>
    <xf numFmtId="0" fontId="21" fillId="0" borderId="0" xfId="0" applyFont="1"/>
    <xf numFmtId="0" fontId="21" fillId="0" borderId="10" xfId="0" applyFont="1" applyBorder="1"/>
    <xf numFmtId="14" fontId="21" fillId="0" borderId="10" xfId="0" applyNumberFormat="1" applyFont="1" applyBorder="1"/>
    <xf numFmtId="3" fontId="21" fillId="0" borderId="10" xfId="0" applyNumberFormat="1" applyFont="1" applyBorder="1"/>
    <xf numFmtId="0" fontId="23" fillId="33" borderId="0" xfId="0" applyFont="1" applyFill="1"/>
    <xf numFmtId="0" fontId="24" fillId="33" borderId="0" xfId="0" applyFont="1" applyFill="1"/>
    <xf numFmtId="0" fontId="25" fillId="33" borderId="0" xfId="0" applyFont="1" applyFill="1"/>
    <xf numFmtId="0" fontId="26" fillId="33" borderId="0" xfId="0" applyFont="1" applyFill="1"/>
    <xf numFmtId="0" fontId="23" fillId="33" borderId="10" xfId="0" applyFont="1" applyFill="1" applyBorder="1"/>
    <xf numFmtId="0" fontId="36" fillId="0" borderId="0" xfId="0" applyFont="1" applyAlignment="1">
      <alignment vertical="center"/>
    </xf>
    <xf numFmtId="0" fontId="37" fillId="0" borderId="0" xfId="46" applyFont="1"/>
    <xf numFmtId="0" fontId="38" fillId="0" borderId="0" xfId="0" applyFont="1"/>
    <xf numFmtId="0" fontId="18" fillId="0" borderId="10" xfId="0" applyFont="1" applyBorder="1" applyAlignment="1">
      <alignment vertical="center"/>
    </xf>
    <xf numFmtId="0" fontId="0" fillId="0" borderId="10" xfId="0" applyBorder="1" applyAlignment="1">
      <alignment vertical="center"/>
    </xf>
    <xf numFmtId="0" fontId="15" fillId="33" borderId="10" xfId="0" applyFont="1" applyFill="1" applyBorder="1" applyAlignment="1">
      <alignment horizontal="center" vertical="center"/>
    </xf>
    <xf numFmtId="165" fontId="0" fillId="0" borderId="0" xfId="0" applyNumberFormat="1"/>
    <xf numFmtId="0" fontId="40" fillId="0" borderId="0" xfId="0" applyFont="1"/>
    <xf numFmtId="0" fontId="42" fillId="0" borderId="0" xfId="0" applyFont="1" applyAlignment="1">
      <alignment vertical="center"/>
    </xf>
    <xf numFmtId="0" fontId="40" fillId="38" borderId="25" xfId="0" applyFont="1" applyFill="1" applyBorder="1"/>
    <xf numFmtId="0" fontId="40" fillId="38" borderId="26" xfId="0" applyFont="1" applyFill="1" applyBorder="1"/>
    <xf numFmtId="0" fontId="39" fillId="38" borderId="26" xfId="0" applyFont="1" applyFill="1" applyBorder="1" applyAlignment="1">
      <alignment vertical="center"/>
    </xf>
    <xf numFmtId="0" fontId="41" fillId="38" borderId="26" xfId="0" applyFont="1" applyFill="1" applyBorder="1"/>
    <xf numFmtId="0" fontId="40" fillId="38" borderId="26" xfId="0" applyFont="1" applyFill="1" applyBorder="1" applyAlignment="1">
      <alignment horizontal="left" vertical="center" indent="4"/>
    </xf>
    <xf numFmtId="0" fontId="40" fillId="38" borderId="27" xfId="0" applyFont="1" applyFill="1" applyBorder="1"/>
    <xf numFmtId="0" fontId="40" fillId="38" borderId="26" xfId="0" applyFont="1" applyFill="1" applyBorder="1" applyAlignment="1">
      <alignment horizontal="left" vertical="center" indent="3"/>
    </xf>
    <xf numFmtId="0" fontId="40" fillId="38" borderId="26" xfId="0" applyFont="1" applyFill="1" applyBorder="1" applyAlignment="1">
      <alignment horizontal="left" vertical="center" indent="1"/>
    </xf>
    <xf numFmtId="0" fontId="40" fillId="38" borderId="26" xfId="0" applyFont="1" applyFill="1" applyBorder="1" applyAlignment="1">
      <alignment horizontal="left" vertical="center"/>
    </xf>
    <xf numFmtId="0" fontId="40" fillId="38" borderId="26" xfId="0" applyFont="1" applyFill="1" applyBorder="1" applyAlignment="1">
      <alignment horizontal="left" vertical="center" indent="2"/>
    </xf>
    <xf numFmtId="0" fontId="40" fillId="38" borderId="26" xfId="0" applyFont="1" applyFill="1" applyBorder="1" applyAlignment="1">
      <alignment horizontal="left" indent="2"/>
    </xf>
    <xf numFmtId="0" fontId="21" fillId="38" borderId="27" xfId="0" applyFont="1" applyFill="1" applyBorder="1"/>
    <xf numFmtId="0" fontId="43" fillId="0" borderId="0" xfId="0" applyFont="1" applyAlignment="1">
      <alignment vertical="center"/>
    </xf>
    <xf numFmtId="0" fontId="44" fillId="38" borderId="26" xfId="0" applyFont="1" applyFill="1" applyBorder="1" applyAlignment="1">
      <alignment vertical="center"/>
    </xf>
    <xf numFmtId="0" fontId="45" fillId="38" borderId="26" xfId="0" applyFont="1" applyFill="1" applyBorder="1" applyAlignment="1">
      <alignment vertical="center"/>
    </xf>
    <xf numFmtId="0" fontId="46" fillId="0" borderId="0" xfId="0" applyFont="1"/>
    <xf numFmtId="0" fontId="28" fillId="0" borderId="0" xfId="0" applyFont="1"/>
    <xf numFmtId="0" fontId="47" fillId="0" borderId="0" xfId="0" applyFont="1"/>
    <xf numFmtId="0" fontId="21" fillId="39" borderId="25" xfId="0" applyFont="1" applyFill="1" applyBorder="1"/>
    <xf numFmtId="0" fontId="53" fillId="39" borderId="26" xfId="0" applyFont="1" applyFill="1" applyBorder="1"/>
    <xf numFmtId="0" fontId="21" fillId="39" borderId="26" xfId="0" applyFont="1" applyFill="1" applyBorder="1"/>
    <xf numFmtId="0" fontId="22" fillId="39" borderId="26" xfId="0" applyFont="1" applyFill="1" applyBorder="1" applyAlignment="1">
      <alignment horizontal="left"/>
    </xf>
    <xf numFmtId="0" fontId="52" fillId="39" borderId="26" xfId="0" applyFont="1" applyFill="1" applyBorder="1" applyAlignment="1">
      <alignment horizontal="left" indent="2"/>
    </xf>
    <xf numFmtId="0" fontId="29" fillId="39" borderId="26" xfId="0" applyFont="1" applyFill="1" applyBorder="1" applyAlignment="1">
      <alignment horizontal="left" indent="5"/>
    </xf>
    <xf numFmtId="0" fontId="48" fillId="39" borderId="26" xfId="0" applyFont="1" applyFill="1" applyBorder="1" applyAlignment="1">
      <alignment horizontal="left"/>
    </xf>
    <xf numFmtId="0" fontId="29" fillId="39" borderId="26" xfId="0" applyFont="1" applyFill="1" applyBorder="1" applyAlignment="1">
      <alignment horizontal="left" indent="7"/>
    </xf>
    <xf numFmtId="0" fontId="21" fillId="39" borderId="27" xfId="0" applyFont="1" applyFill="1" applyBorder="1"/>
    <xf numFmtId="0" fontId="54" fillId="33" borderId="0" xfId="0" applyFont="1" applyFill="1" applyAlignment="1">
      <alignment horizontal="center"/>
    </xf>
    <xf numFmtId="0" fontId="55" fillId="33" borderId="0" xfId="0" applyFont="1" applyFill="1"/>
    <xf numFmtId="0" fontId="56" fillId="33" borderId="0" xfId="0" applyFont="1" applyFill="1" applyAlignment="1">
      <alignment horizontal="center"/>
    </xf>
    <xf numFmtId="0" fontId="56" fillId="33" borderId="0" xfId="0" applyFont="1" applyFill="1"/>
    <xf numFmtId="0" fontId="55" fillId="33" borderId="0" xfId="0" applyFont="1" applyFill="1" applyAlignment="1">
      <alignment horizontal="center"/>
    </xf>
    <xf numFmtId="0" fontId="57" fillId="0" borderId="0" xfId="0" applyFont="1" applyAlignment="1">
      <alignment horizontal="center"/>
    </xf>
    <xf numFmtId="0" fontId="57" fillId="0" borderId="0" xfId="0" applyFont="1"/>
    <xf numFmtId="0" fontId="57" fillId="0" borderId="0" xfId="0" quotePrefix="1" applyFont="1"/>
    <xf numFmtId="0" fontId="55" fillId="33" borderId="10" xfId="0" applyFont="1" applyFill="1" applyBorder="1" applyAlignment="1">
      <alignment horizontal="center"/>
    </xf>
    <xf numFmtId="0" fontId="55" fillId="33" borderId="10" xfId="0" applyFont="1" applyFill="1" applyBorder="1"/>
    <xf numFmtId="0" fontId="55" fillId="33" borderId="10" xfId="0" applyFont="1" applyFill="1" applyBorder="1" applyAlignment="1">
      <alignment horizontal="center" vertical="center"/>
    </xf>
    <xf numFmtId="0" fontId="55" fillId="34" borderId="10" xfId="0" applyFont="1" applyFill="1" applyBorder="1" applyAlignment="1">
      <alignment horizontal="center" vertical="center"/>
    </xf>
    <xf numFmtId="14" fontId="57" fillId="0" borderId="10" xfId="0" applyNumberFormat="1" applyFont="1" applyBorder="1" applyAlignment="1">
      <alignment horizontal="center"/>
    </xf>
    <xf numFmtId="0" fontId="57" fillId="0" borderId="10" xfId="0" applyFont="1" applyBorder="1"/>
    <xf numFmtId="14" fontId="57" fillId="0" borderId="10" xfId="0" applyNumberFormat="1" applyFont="1" applyBorder="1"/>
    <xf numFmtId="165" fontId="57" fillId="0" borderId="10" xfId="42" applyNumberFormat="1" applyFont="1" applyBorder="1"/>
    <xf numFmtId="1" fontId="57" fillId="0" borderId="10" xfId="42" applyNumberFormat="1" applyFont="1" applyBorder="1"/>
    <xf numFmtId="9" fontId="57" fillId="0" borderId="10" xfId="43" applyFont="1" applyBorder="1"/>
    <xf numFmtId="166" fontId="57" fillId="0" borderId="10" xfId="0" applyNumberFormat="1" applyFont="1" applyBorder="1" applyAlignment="1">
      <alignment horizontal="center"/>
    </xf>
    <xf numFmtId="0" fontId="55" fillId="34" borderId="10" xfId="0" applyFont="1" applyFill="1" applyBorder="1" applyAlignment="1">
      <alignment horizontal="center"/>
    </xf>
    <xf numFmtId="165" fontId="57" fillId="0" borderId="0" xfId="0" applyNumberFormat="1" applyFont="1"/>
    <xf numFmtId="0" fontId="57" fillId="0" borderId="10" xfId="0" applyFont="1" applyBorder="1" applyAlignment="1">
      <alignment horizontal="center" vertical="center"/>
    </xf>
    <xf numFmtId="0" fontId="54" fillId="33" borderId="0" xfId="0" applyFont="1" applyFill="1"/>
    <xf numFmtId="0" fontId="58" fillId="0" borderId="0" xfId="0" applyFont="1"/>
    <xf numFmtId="0" fontId="55" fillId="37" borderId="10" xfId="0" applyFont="1" applyFill="1" applyBorder="1" applyAlignment="1">
      <alignment horizontal="center"/>
    </xf>
    <xf numFmtId="0" fontId="59" fillId="8" borderId="8" xfId="15" applyFont="1" applyAlignment="1">
      <alignment horizontal="center"/>
    </xf>
    <xf numFmtId="3" fontId="57" fillId="0" borderId="10" xfId="0" applyNumberFormat="1" applyFont="1" applyBorder="1"/>
    <xf numFmtId="0" fontId="57" fillId="8" borderId="8" xfId="15" applyFont="1"/>
    <xf numFmtId="165" fontId="57" fillId="8" borderId="8" xfId="15" applyNumberFormat="1" applyFont="1"/>
    <xf numFmtId="0" fontId="57" fillId="0" borderId="0" xfId="0" applyFont="1" applyAlignment="1">
      <alignment horizontal="left"/>
    </xf>
    <xf numFmtId="167" fontId="57" fillId="0" borderId="10" xfId="0" applyNumberFormat="1" applyFont="1" applyBorder="1" applyAlignment="1">
      <alignment horizontal="center"/>
    </xf>
    <xf numFmtId="0" fontId="57" fillId="0" borderId="0" xfId="0" quotePrefix="1" applyFont="1" applyAlignment="1">
      <alignment horizontal="left"/>
    </xf>
    <xf numFmtId="0" fontId="57" fillId="40" borderId="10" xfId="0" applyFont="1" applyFill="1" applyBorder="1"/>
    <xf numFmtId="165" fontId="57" fillId="40" borderId="10" xfId="42" applyNumberFormat="1" applyFont="1" applyFill="1" applyBorder="1"/>
    <xf numFmtId="0" fontId="55" fillId="34" borderId="10" xfId="0" applyFont="1" applyFill="1" applyBorder="1"/>
    <xf numFmtId="10" fontId="57" fillId="0" borderId="10" xfId="43" applyNumberFormat="1" applyFont="1" applyBorder="1"/>
    <xf numFmtId="10" fontId="57" fillId="0" borderId="10" xfId="0" applyNumberFormat="1" applyFont="1" applyBorder="1"/>
    <xf numFmtId="9" fontId="57" fillId="0" borderId="0" xfId="43" applyFont="1"/>
    <xf numFmtId="10" fontId="57" fillId="40" borderId="10" xfId="0" applyNumberFormat="1" applyFont="1" applyFill="1" applyBorder="1"/>
    <xf numFmtId="0" fontId="60" fillId="36" borderId="10" xfId="44" applyFont="1" applyFill="1" applyBorder="1" applyAlignment="1">
      <alignment vertical="center"/>
    </xf>
    <xf numFmtId="0" fontId="0" fillId="0" borderId="0" xfId="0" pivotButton="1"/>
    <xf numFmtId="0" fontId="0" fillId="0" borderId="0" xfId="0" applyAlignment="1">
      <alignment horizontal="left"/>
    </xf>
    <xf numFmtId="10" fontId="0" fillId="0" borderId="0" xfId="0" applyNumberFormat="1"/>
    <xf numFmtId="0" fontId="57" fillId="41" borderId="10" xfId="0" applyFont="1" applyFill="1" applyBorder="1"/>
    <xf numFmtId="0" fontId="55" fillId="42" borderId="10" xfId="0" applyFont="1" applyFill="1" applyBorder="1" applyAlignment="1">
      <alignment horizontal="center"/>
    </xf>
    <xf numFmtId="165" fontId="58" fillId="0" borderId="0" xfId="0" applyNumberFormat="1" applyFont="1"/>
    <xf numFmtId="0" fontId="57" fillId="0" borderId="10" xfId="0" applyFont="1" applyBorder="1" applyAlignment="1">
      <alignment horizontal="left"/>
    </xf>
    <xf numFmtId="168" fontId="57" fillId="0" borderId="10" xfId="43" applyNumberFormat="1" applyFont="1" applyBorder="1"/>
    <xf numFmtId="168" fontId="57" fillId="40" borderId="10" xfId="43" applyNumberFormat="1" applyFont="1" applyFill="1" applyBorder="1"/>
    <xf numFmtId="0" fontId="0" fillId="0" borderId="0" xfId="0" applyNumberFormat="1"/>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ellStyle name="Input" xfId="9" builtinId="20" customBuiltin="1"/>
    <cellStyle name="Linked Cell" xfId="12" builtinId="24" customBuiltin="1"/>
    <cellStyle name="Neutral" xfId="8" builtinId="28" customBuiltin="1"/>
    <cellStyle name="Normal" xfId="0" builtinId="0"/>
    <cellStyle name="Normal 2" xfId="44" xr:uid="{C35B77E6-1D17-4102-8B02-8F24BDC41E86}"/>
    <cellStyle name="Normal 3" xfId="45" xr:uid="{A92B3EFB-6B3A-41C5-BF56-976DD8183ABA}"/>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0">
    <dxf>
      <font>
        <strike val="0"/>
        <outline val="0"/>
        <shadow val="0"/>
        <u val="none"/>
        <vertAlign val="baseline"/>
        <sz val="11"/>
        <color theme="1"/>
        <name val="Aptos Display"/>
        <scheme val="major"/>
      </font>
      <fill>
        <patternFill patternType="solid">
          <fgColor indexed="64"/>
          <bgColor rgb="FFFEF5F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Display"/>
        <scheme val="major"/>
      </font>
      <fill>
        <patternFill patternType="solid">
          <fgColor indexed="64"/>
          <bgColor rgb="FFFEF5F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Display"/>
        <scheme val="major"/>
      </font>
      <fill>
        <patternFill patternType="solid">
          <fgColor indexed="64"/>
          <bgColor rgb="FFFEF5F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Display"/>
        <scheme val="major"/>
      </font>
      <fill>
        <patternFill patternType="solid">
          <fgColor indexed="64"/>
          <bgColor rgb="FFFEF5F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Display"/>
        <scheme val="major"/>
      </font>
      <fill>
        <patternFill patternType="solid">
          <fgColor indexed="64"/>
          <bgColor rgb="FFFEF5F0"/>
        </patternFill>
      </fill>
      <alignment horizontal="left" vertical="center" textRotation="0" wrapText="0" relativeIndent="1"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ptos Display"/>
        <scheme val="major"/>
      </font>
      <fill>
        <patternFill patternType="solid">
          <fgColor indexed="64"/>
          <bgColor rgb="FFFEF5F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Aptos Display"/>
        <scheme val="major"/>
      </font>
      <fill>
        <patternFill patternType="solid">
          <fgColor indexed="6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Invisible" pivot="0" table="0" count="0" xr9:uid="{BCE6FE82-6B1A-41E7-9D29-598406057ADE}"/>
  </tableStyles>
  <colors>
    <mruColors>
      <color rgb="FF0000CC"/>
      <color rgb="FFFFFFE1"/>
      <color rgb="FFFFFFFF"/>
      <color rgb="FFEEF5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[RFM_Advanced_Name_Date (NayChi Htet).xlsx]monetary!monetary</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monetary!$M$5:$M$6</c:f>
              <c:strCache>
                <c:ptCount val="1"/>
                <c:pt idx="0">
                  <c:v>High</c:v>
                </c:pt>
              </c:strCache>
            </c:strRef>
          </c:tx>
          <c:spPr>
            <a:solidFill>
              <a:schemeClr val="accent1"/>
            </a:solidFill>
            <a:ln>
              <a:noFill/>
            </a:ln>
            <a:effectLst/>
          </c:spPr>
          <c:invertIfNegative val="0"/>
          <c:cat>
            <c:strRef>
              <c:f>monetary!$L$7:$L$8</c:f>
              <c:strCache>
                <c:ptCount val="2"/>
                <c:pt idx="0">
                  <c:v>Customer ID </c:v>
                </c:pt>
                <c:pt idx="1">
                  <c:v>Amount </c:v>
                </c:pt>
              </c:strCache>
            </c:strRef>
          </c:cat>
          <c:val>
            <c:numRef>
              <c:f>monetary!$M$7:$M$8</c:f>
              <c:numCache>
                <c:formatCode>0.00%</c:formatCode>
                <c:ptCount val="2"/>
                <c:pt idx="0">
                  <c:v>0.16379310344827586</c:v>
                </c:pt>
                <c:pt idx="1">
                  <c:v>0.7994762880190337</c:v>
                </c:pt>
              </c:numCache>
            </c:numRef>
          </c:val>
          <c:extLst>
            <c:ext xmlns:c16="http://schemas.microsoft.com/office/drawing/2014/chart" uri="{C3380CC4-5D6E-409C-BE32-E72D297353CC}">
              <c16:uniqueId val="{00000000-12F2-4763-B9B1-3E134C5F1F3C}"/>
            </c:ext>
          </c:extLst>
        </c:ser>
        <c:ser>
          <c:idx val="1"/>
          <c:order val="1"/>
          <c:tx>
            <c:strRef>
              <c:f>monetary!$N$5:$N$6</c:f>
              <c:strCache>
                <c:ptCount val="1"/>
                <c:pt idx="0">
                  <c:v>Low</c:v>
                </c:pt>
              </c:strCache>
            </c:strRef>
          </c:tx>
          <c:spPr>
            <a:solidFill>
              <a:schemeClr val="accent2"/>
            </a:solidFill>
            <a:ln>
              <a:noFill/>
            </a:ln>
            <a:effectLst/>
          </c:spPr>
          <c:invertIfNegative val="0"/>
          <c:cat>
            <c:strRef>
              <c:f>monetary!$L$7:$L$8</c:f>
              <c:strCache>
                <c:ptCount val="2"/>
                <c:pt idx="0">
                  <c:v>Customer ID </c:v>
                </c:pt>
                <c:pt idx="1">
                  <c:v>Amount </c:v>
                </c:pt>
              </c:strCache>
            </c:strRef>
          </c:cat>
          <c:val>
            <c:numRef>
              <c:f>monetary!$N$7:$N$8</c:f>
              <c:numCache>
                <c:formatCode>0.00%</c:formatCode>
                <c:ptCount val="2"/>
                <c:pt idx="0">
                  <c:v>0.83620689655172409</c:v>
                </c:pt>
                <c:pt idx="1">
                  <c:v>0.20052371198096625</c:v>
                </c:pt>
              </c:numCache>
            </c:numRef>
          </c:val>
          <c:extLst>
            <c:ext xmlns:c16="http://schemas.microsoft.com/office/drawing/2014/chart" uri="{C3380CC4-5D6E-409C-BE32-E72D297353CC}">
              <c16:uniqueId val="{00000001-12F2-4763-B9B1-3E134C5F1F3C}"/>
            </c:ext>
          </c:extLst>
        </c:ser>
        <c:dLbls>
          <c:showLegendKey val="0"/>
          <c:showVal val="0"/>
          <c:showCatName val="0"/>
          <c:showSerName val="0"/>
          <c:showPercent val="0"/>
          <c:showBubbleSize val="0"/>
        </c:dLbls>
        <c:gapWidth val="150"/>
        <c:overlap val="100"/>
        <c:axId val="836906527"/>
        <c:axId val="836919967"/>
      </c:barChart>
      <c:catAx>
        <c:axId val="83690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19967"/>
        <c:crosses val="autoZero"/>
        <c:auto val="1"/>
        <c:lblAlgn val="ctr"/>
        <c:lblOffset val="100"/>
        <c:noMultiLvlLbl val="0"/>
      </c:catAx>
      <c:valAx>
        <c:axId val="836919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480060</xdr:colOff>
      <xdr:row>10</xdr:row>
      <xdr:rowOff>133350</xdr:rowOff>
    </xdr:from>
    <xdr:to>
      <xdr:col>16</xdr:col>
      <xdr:colOff>160020</xdr:colOff>
      <xdr:row>24</xdr:row>
      <xdr:rowOff>102870</xdr:rowOff>
    </xdr:to>
    <xdr:graphicFrame macro="">
      <xdr:nvGraphicFramePr>
        <xdr:cNvPr id="2" name="Chart 1">
          <a:extLst>
            <a:ext uri="{FF2B5EF4-FFF2-40B4-BE49-F238E27FC236}">
              <a16:creationId xmlns:a16="http://schemas.microsoft.com/office/drawing/2014/main" id="{5F7E09A1-2790-8F6F-07ED-EB95B18D8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352425</xdr:colOff>
      <xdr:row>18</xdr:row>
      <xdr:rowOff>93345</xdr:rowOff>
    </xdr:from>
    <xdr:to>
      <xdr:col>7</xdr:col>
      <xdr:colOff>385082</xdr:colOff>
      <xdr:row>28</xdr:row>
      <xdr:rowOff>19050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76A0F787-F7A9-D56A-FEB2-B1440AB8FF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24300" y="3379470"/>
              <a:ext cx="1828800" cy="1735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yChi Htet" refreshedDate="46195.646673148149" createdVersion="8" refreshedVersion="8" minRefreshableVersion="3" recordCount="812" xr:uid="{46BA13C7-5D7F-433E-98A1-2B77B34780FD}">
  <cacheSource type="worksheet">
    <worksheetSource ref="AA5:AK817" sheet="WK01"/>
  </cacheSource>
  <cacheFields count="11">
    <cacheField name="Customer ID" numFmtId="0">
      <sharedItems/>
    </cacheField>
    <cacheField name="Region" numFmtId="0">
      <sharedItems count="5">
        <s v="Mandalay"/>
        <s v="Yangon"/>
        <s v="Bago"/>
        <s v="Naypyitaw"/>
        <s v="Taunggyi"/>
      </sharedItems>
    </cacheField>
    <cacheField name="Last Purchase Date" numFmtId="14">
      <sharedItems containsSemiMixedTypes="0" containsNonDate="0" containsDate="1" containsString="0" minDate="2025-01-01T00:00:00" maxDate="2026-01-01T00:00:00"/>
    </cacheField>
    <cacheField name="Day Gap" numFmtId="165">
      <sharedItems containsSemiMixedTypes="0" containsString="0" containsNumber="1" containsInteger="1" minValue="1" maxValue="365"/>
    </cacheField>
    <cacheField name="Transaction Count" numFmtId="165">
      <sharedItems containsSemiMixedTypes="0" containsString="0" containsNumber="1" containsInteger="1" minValue="1" maxValue="10"/>
    </cacheField>
    <cacheField name="Total Amount" numFmtId="165">
      <sharedItems containsSemiMixedTypes="0" containsString="0" containsNumber="1" containsInteger="1" minValue="250000" maxValue="1516250000"/>
    </cacheField>
    <cacheField name="R Score" numFmtId="0">
      <sharedItems count="4">
        <s v="High"/>
        <s v="Low"/>
        <s v="H" u="1"/>
        <s v="L" u="1"/>
      </sharedItems>
    </cacheField>
    <cacheField name="F Score" numFmtId="0">
      <sharedItems count="5">
        <s v="High"/>
        <s v="Low"/>
        <e v="#N/A" u="1"/>
        <s v="H" u="1"/>
        <s v="L" u="1"/>
      </sharedItems>
    </cacheField>
    <cacheField name="M Score" numFmtId="0">
      <sharedItems count="4">
        <s v="Low"/>
        <s v="High"/>
        <s v="L" u="1"/>
        <s v="H" u="1"/>
      </sharedItems>
    </cacheField>
    <cacheField name="RFM Score" numFmtId="0">
      <sharedItems/>
    </cacheField>
    <cacheField name="Segment Name" numFmtId="0">
      <sharedItems count="9">
        <s v="💎 Loyal High Value"/>
        <s v="🥇 Champions"/>
        <s v="💤 Lost / Low Value"/>
        <s v="🔁 Former Loyal Low Spend"/>
        <s v="🛒 Big Spenders (Occasional)"/>
        <s v="⚠️ At Risk High Value"/>
        <s v="🌱 Potential Loyalists"/>
        <s v="💸 Lost High Spenders"/>
        <e v="#N/A" u="1"/>
      </sharedItems>
    </cacheField>
  </cacheFields>
  <extLst>
    <ext xmlns:x14="http://schemas.microsoft.com/office/spreadsheetml/2009/9/main" uri="{725AE2AE-9491-48be-B2B4-4EB974FC3084}">
      <x14:pivotCacheDefinition pivotCacheId="7264927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yChi Htet" refreshedDate="46195.646675000004" createdVersion="8" refreshedVersion="8" minRefreshableVersion="3" recordCount="812" xr:uid="{F6CFB947-5CB6-491A-AECF-5726DAC96708}">
  <cacheSource type="worksheet">
    <worksheetSource ref="N5:X817" sheet="WK01"/>
  </cacheSource>
  <cacheFields count="11">
    <cacheField name="Customer ID" numFmtId="0">
      <sharedItems/>
    </cacheField>
    <cacheField name="Region" numFmtId="0">
      <sharedItems/>
    </cacheField>
    <cacheField name="Last Purchase Date" numFmtId="14">
      <sharedItems containsSemiMixedTypes="0" containsNonDate="0" containsDate="1" containsString="0" minDate="2025-01-01T00:00:00" maxDate="2026-01-01T00:00:00"/>
    </cacheField>
    <cacheField name="Day Gap" numFmtId="165">
      <sharedItems containsSemiMixedTypes="0" containsString="0" containsNumber="1" containsInteger="1" minValue="1" maxValue="365"/>
    </cacheField>
    <cacheField name="Transaction Count" numFmtId="0">
      <sharedItems containsSemiMixedTypes="0" containsString="0" containsNumber="1" containsInteger="1" minValue="1" maxValue="10"/>
    </cacheField>
    <cacheField name="Total Amount" numFmtId="165">
      <sharedItems containsSemiMixedTypes="0" containsString="0" containsNumber="1" containsInteger="1" minValue="250000" maxValue="1516250000"/>
    </cacheField>
    <cacheField name="R Score" numFmtId="0">
      <sharedItems/>
    </cacheField>
    <cacheField name="F Score" numFmtId="0">
      <sharedItems/>
    </cacheField>
    <cacheField name="M Score" numFmtId="0">
      <sharedItems/>
    </cacheField>
    <cacheField name="RFM Score" numFmtId="0">
      <sharedItems/>
    </cacheField>
    <cacheField name="Segment Name" numFmtId="0">
      <sharedItems count="8">
        <s v="💎 Loyal High Value"/>
        <s v="🥇 Champions"/>
        <s v="💸 Lost High Spenders"/>
        <s v="💤 Lost / Low Value"/>
        <s v="⚠️ At Risk High Value"/>
        <s v="🛒 Big Spenders (Occasional)"/>
        <s v="🌱 Potential Loyalists"/>
        <s v="🔁 Former Loyal Low Spen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yChi Htet" refreshedDate="46195.65045173611" createdVersion="8" refreshedVersion="8" minRefreshableVersion="3" recordCount="812" xr:uid="{1B348581-95E7-485D-89CE-9C2DF404BE32}">
  <cacheSource type="worksheet">
    <worksheetSource ref="B5:F817" sheet="monetary"/>
  </cacheSource>
  <cacheFields count="5">
    <cacheField name="Customer ID" numFmtId="0">
      <sharedItems/>
    </cacheField>
    <cacheField name="Amount" numFmtId="165">
      <sharedItems containsSemiMixedTypes="0" containsString="0" containsNumber="1" containsInteger="1" minValue="250000" maxValue="1516250000" count="642">
        <n v="1516250000"/>
        <n v="1357000000"/>
        <n v="1332050000"/>
        <n v="1265250000"/>
        <n v="1214250000"/>
        <n v="1186900000"/>
        <n v="1165500000"/>
        <n v="1161100000"/>
        <n v="1151500000"/>
        <n v="1138500000"/>
        <n v="1137600000"/>
        <n v="1135000000"/>
        <n v="1105000000"/>
        <n v="1093500000"/>
        <n v="1079600000"/>
        <n v="1045300000"/>
        <n v="1033750000"/>
        <n v="1027500000"/>
        <n v="1017000000"/>
        <n v="1001000000"/>
        <n v="993000000"/>
        <n v="977000000"/>
        <n v="971100000"/>
        <n v="949500000"/>
        <n v="947500000"/>
        <n v="944000000"/>
        <n v="943400000"/>
        <n v="938250000"/>
        <n v="934000000"/>
        <n v="914250000"/>
        <n v="910250000"/>
        <n v="900500000"/>
        <n v="889200000"/>
        <n v="872000000"/>
        <n v="852750000"/>
        <n v="846250000"/>
        <n v="846150000"/>
        <n v="833400000"/>
        <n v="817500000"/>
        <n v="412500000"/>
        <n v="412000000"/>
        <n v="404900000"/>
        <n v="400750000"/>
        <n v="396500000"/>
        <n v="79200000"/>
        <n v="77330000"/>
        <n v="77200000"/>
        <n v="76200000"/>
        <n v="76150000"/>
        <n v="75150000"/>
        <n v="74250000"/>
        <n v="73950000"/>
        <n v="73675000"/>
        <n v="72850000"/>
        <n v="72570000"/>
        <n v="72100000"/>
        <n v="71525000"/>
        <n v="69800000"/>
        <n v="69590000"/>
        <n v="67990000"/>
        <n v="67000000"/>
        <n v="66500000"/>
        <n v="66170000"/>
        <n v="65860000"/>
        <n v="65470000"/>
        <n v="64800000"/>
        <n v="64080000"/>
        <n v="63820000"/>
        <n v="63450000"/>
        <n v="62950000"/>
        <n v="62575000"/>
        <n v="62550000"/>
        <n v="62530000"/>
        <n v="62040000"/>
        <n v="62000000"/>
        <n v="61350000"/>
        <n v="60960000"/>
        <n v="60540000"/>
        <n v="60160000"/>
        <n v="60150000"/>
        <n v="60000000"/>
        <n v="59520000"/>
        <n v="59500000"/>
        <n v="59460000"/>
        <n v="59350000"/>
        <n v="59100000"/>
        <n v="58820000"/>
        <n v="58520000"/>
        <n v="58470000"/>
        <n v="58275000"/>
        <n v="58200000"/>
        <n v="57600000"/>
        <n v="57550000"/>
        <n v="57450000"/>
        <n v="57080000"/>
        <n v="56820000"/>
        <n v="56600000"/>
        <n v="56400000"/>
        <n v="56300000"/>
        <n v="56100000"/>
        <n v="56060000"/>
        <n v="55800000"/>
        <n v="55330000"/>
        <n v="54850000"/>
        <n v="54710000"/>
        <n v="54350000"/>
        <n v="54250000"/>
        <n v="54000000"/>
        <n v="53990000"/>
        <n v="53750000"/>
        <n v="53550000"/>
        <n v="53500000"/>
        <n v="53070000"/>
        <n v="53050000"/>
        <n v="52800000"/>
        <n v="52740000"/>
        <n v="52600000"/>
        <n v="52460000"/>
        <n v="51855000"/>
        <n v="51750000"/>
        <n v="51720000"/>
        <n v="51600000"/>
        <n v="51520000"/>
        <n v="50400000"/>
        <n v="50300000"/>
        <n v="49740000"/>
        <n v="49600000"/>
        <n v="49400000"/>
        <n v="49090000"/>
        <n v="49000000"/>
        <n v="48750000"/>
        <n v="48500000"/>
        <n v="48400000"/>
        <n v="48300000"/>
        <n v="47880000"/>
        <n v="47700000"/>
        <n v="47450000"/>
        <n v="47150000"/>
        <n v="46800000"/>
        <n v="46560000"/>
        <n v="46500000"/>
        <n v="46465000"/>
        <n v="46400000"/>
        <n v="46225000"/>
        <n v="46210000"/>
        <n v="46155000"/>
        <n v="46100000"/>
        <n v="45960000"/>
        <n v="45850000"/>
        <n v="45600000"/>
        <n v="45300000"/>
        <n v="45210000"/>
        <n v="45175000"/>
        <n v="44830000"/>
        <n v="44780000"/>
        <n v="44690000"/>
        <n v="44350000"/>
        <n v="44300000"/>
        <n v="44000000"/>
        <n v="43700000"/>
        <n v="43550000"/>
        <n v="42910000"/>
        <n v="42650000"/>
        <n v="42550000"/>
        <n v="42350000"/>
        <n v="42100000"/>
        <n v="42025000"/>
        <n v="41940000"/>
        <n v="41900000"/>
        <n v="41695000"/>
        <n v="41675000"/>
        <n v="41400000"/>
        <n v="41350000"/>
        <n v="41300000"/>
        <n v="41200000"/>
        <n v="40800000"/>
        <n v="40750000"/>
        <n v="40730000"/>
        <n v="40700000"/>
        <n v="40555000"/>
        <n v="40525000"/>
        <n v="40500000"/>
        <n v="40290000"/>
        <n v="40235000"/>
        <n v="39980000"/>
        <n v="39900000"/>
        <n v="39560000"/>
        <n v="39250000"/>
        <n v="39215000"/>
        <n v="39180000"/>
        <n v="38950000"/>
        <n v="38825000"/>
        <n v="38710000"/>
        <n v="38650000"/>
        <n v="38520000"/>
        <n v="38450000"/>
        <n v="37850000"/>
        <n v="37800000"/>
        <n v="37575000"/>
        <n v="37525000"/>
        <n v="37490000"/>
        <n v="37400000"/>
        <n v="37200000"/>
        <n v="37050000"/>
        <n v="36100000"/>
        <n v="35575000"/>
        <n v="35500000"/>
        <n v="35375000"/>
        <n v="35350000"/>
        <n v="35150000"/>
        <n v="35100000"/>
        <n v="34750000"/>
        <n v="34600000"/>
        <n v="34550000"/>
        <n v="34450000"/>
        <n v="34375000"/>
        <n v="34360000"/>
        <n v="34200000"/>
        <n v="34050000"/>
        <n v="34000000"/>
        <n v="33900000"/>
        <n v="33120000"/>
        <n v="33080000"/>
        <n v="33050000"/>
        <n v="32765000"/>
        <n v="32750000"/>
        <n v="32730000"/>
        <n v="32600000"/>
        <n v="32300000"/>
        <n v="32150000"/>
        <n v="32100000"/>
        <n v="31850000"/>
        <n v="31805000"/>
        <n v="31585000"/>
        <n v="31475000"/>
        <n v="31350000"/>
        <n v="31280000"/>
        <n v="31200000"/>
        <n v="31125000"/>
        <n v="31100000"/>
        <n v="30910000"/>
        <n v="30725000"/>
        <n v="30720000"/>
        <n v="30650000"/>
        <n v="30450000"/>
        <n v="30225000"/>
        <n v="30100000"/>
        <n v="29990000"/>
        <n v="29950000"/>
        <n v="29775000"/>
        <n v="29770000"/>
        <n v="29740000"/>
        <n v="29610000"/>
        <n v="29580000"/>
        <n v="29450000"/>
        <n v="29430000"/>
        <n v="29050000"/>
        <n v="28990000"/>
        <n v="28970000"/>
        <n v="28950000"/>
        <n v="28850000"/>
        <n v="28800000"/>
        <n v="28700000"/>
        <n v="28660000"/>
        <n v="28550000"/>
        <n v="28500000"/>
        <n v="28160000"/>
        <n v="27950000"/>
        <n v="27900000"/>
        <n v="27550000"/>
        <n v="27450000"/>
        <n v="27320000"/>
        <n v="27020000"/>
        <n v="26920000"/>
        <n v="26690000"/>
        <n v="26615000"/>
        <n v="26600000"/>
        <n v="26440000"/>
        <n v="26400000"/>
        <n v="26275000"/>
        <n v="26150000"/>
        <n v="26125000"/>
        <n v="26050000"/>
        <n v="26025000"/>
        <n v="25975000"/>
        <n v="25935000"/>
        <n v="25670000"/>
        <n v="25530000"/>
        <n v="25500000"/>
        <n v="25450000"/>
        <n v="25385000"/>
        <n v="25290000"/>
        <n v="25200000"/>
        <n v="25150000"/>
        <n v="25000000"/>
        <n v="24900000"/>
        <n v="24850000"/>
        <n v="24750000"/>
        <n v="24700000"/>
        <n v="24650000"/>
        <n v="24470000"/>
        <n v="24460000"/>
        <n v="24450000"/>
        <n v="24250000"/>
        <n v="24150000"/>
        <n v="24100000"/>
        <n v="24050000"/>
        <n v="24040000"/>
        <n v="24000000"/>
        <n v="23750000"/>
        <n v="23500000"/>
        <n v="23400000"/>
        <n v="23375000"/>
        <n v="23100000"/>
        <n v="23060000"/>
        <n v="23010000"/>
        <n v="23000000"/>
        <n v="22950000"/>
        <n v="22680000"/>
        <n v="22650000"/>
        <n v="22500000"/>
        <n v="22350000"/>
        <n v="22240000"/>
        <n v="22205000"/>
        <n v="22100000"/>
        <n v="22050000"/>
        <n v="22040000"/>
        <n v="22000000"/>
        <n v="21990000"/>
        <n v="21800000"/>
        <n v="21700000"/>
        <n v="21400000"/>
        <n v="21390000"/>
        <n v="21250000"/>
        <n v="21150000"/>
        <n v="21000000"/>
        <n v="20990000"/>
        <n v="20900000"/>
        <n v="20875000"/>
        <n v="20825000"/>
        <n v="20700000"/>
        <n v="20550000"/>
        <n v="20500000"/>
        <n v="20450000"/>
        <n v="20400000"/>
        <n v="20300000"/>
        <n v="20200000"/>
        <n v="19960000"/>
        <n v="19950000"/>
        <n v="19800000"/>
        <n v="19760000"/>
        <n v="19700000"/>
        <n v="19600000"/>
        <n v="19350000"/>
        <n v="19340000"/>
        <n v="19315000"/>
        <n v="19250000"/>
        <n v="19200000"/>
        <n v="19130000"/>
        <n v="19075000"/>
        <n v="19000000"/>
        <n v="18900000"/>
        <n v="18875000"/>
        <n v="18720000"/>
        <n v="18625000"/>
        <n v="18600000"/>
        <n v="18500000"/>
        <n v="18450000"/>
        <n v="18400000"/>
        <n v="18300000"/>
        <n v="18275000"/>
        <n v="18200000"/>
        <n v="18100000"/>
        <n v="18075000"/>
        <n v="18000000"/>
        <n v="17950000"/>
        <n v="17900000"/>
        <n v="17800000"/>
        <n v="17530000"/>
        <n v="17500000"/>
        <n v="17425000"/>
        <n v="17420000"/>
        <n v="17300000"/>
        <n v="17250000"/>
        <n v="17100000"/>
        <n v="17000000"/>
        <n v="16820000"/>
        <n v="16800000"/>
        <n v="16790000"/>
        <n v="16700000"/>
        <n v="16650000"/>
        <n v="16575000"/>
        <n v="16500000"/>
        <n v="16450000"/>
        <n v="16420000"/>
        <n v="16200000"/>
        <n v="16100000"/>
        <n v="15880000"/>
        <n v="15820000"/>
        <n v="15750000"/>
        <n v="15600000"/>
        <n v="15585000"/>
        <n v="15500000"/>
        <n v="15475000"/>
        <n v="15450000"/>
        <n v="15340000"/>
        <n v="15300000"/>
        <n v="15275000"/>
        <n v="15200000"/>
        <n v="15125000"/>
        <n v="15100000"/>
        <n v="15030000"/>
        <n v="15010000"/>
        <n v="15000000"/>
        <n v="14870000"/>
        <n v="14850000"/>
        <n v="14775000"/>
        <n v="14670000"/>
        <n v="14590000"/>
        <n v="14500000"/>
        <n v="14490000"/>
        <n v="14380000"/>
        <n v="14350000"/>
        <n v="14270000"/>
        <n v="14250000"/>
        <n v="14000000"/>
        <n v="13950000"/>
        <n v="13920000"/>
        <n v="13885000"/>
        <n v="13880000"/>
        <n v="13700000"/>
        <n v="13650000"/>
        <n v="13610000"/>
        <n v="13515000"/>
        <n v="13500000"/>
        <n v="13490000"/>
        <n v="13300000"/>
        <n v="13230000"/>
        <n v="13200000"/>
        <n v="13100000"/>
        <n v="12930000"/>
        <n v="12910000"/>
        <n v="12725000"/>
        <n v="12600000"/>
        <n v="12500000"/>
        <n v="12420000"/>
        <n v="12380000"/>
        <n v="12250000"/>
        <n v="12025000"/>
        <n v="12000000"/>
        <n v="11900000"/>
        <n v="11775000"/>
        <n v="11750000"/>
        <n v="11710000"/>
        <n v="11700000"/>
        <n v="11680000"/>
        <n v="11650000"/>
        <n v="11625000"/>
        <n v="11575000"/>
        <n v="11430000"/>
        <n v="11350000"/>
        <n v="11250000"/>
        <n v="11200000"/>
        <n v="11150000"/>
        <n v="11100000"/>
        <n v="11060000"/>
        <n v="11025000"/>
        <n v="11000000"/>
        <n v="10950000"/>
        <n v="10940000"/>
        <n v="10800000"/>
        <n v="10680000"/>
        <n v="10560000"/>
        <n v="10525000"/>
        <n v="10500000"/>
        <n v="10400000"/>
        <n v="10350000"/>
        <n v="10260000"/>
        <n v="10250000"/>
        <n v="10230000"/>
        <n v="10130000"/>
        <n v="9900000"/>
        <n v="9825000"/>
        <n v="9800000"/>
        <n v="9750000"/>
        <n v="9650000"/>
        <n v="9580000"/>
        <n v="9500000"/>
        <n v="9400000"/>
        <n v="9250000"/>
        <n v="9200000"/>
        <n v="9160000"/>
        <n v="9120000"/>
        <n v="9070000"/>
        <n v="9000000"/>
        <n v="8975000"/>
        <n v="8960000"/>
        <n v="8820000"/>
        <n v="8750000"/>
        <n v="8720000"/>
        <n v="8660000"/>
        <n v="8640000"/>
        <n v="8600000"/>
        <n v="8550000"/>
        <n v="8505000"/>
        <n v="8500000"/>
        <n v="8460000"/>
        <n v="8400000"/>
        <n v="8375000"/>
        <n v="8250000"/>
        <n v="8200000"/>
        <n v="8100000"/>
        <n v="8000000"/>
        <n v="7990000"/>
        <n v="7920000"/>
        <n v="7900000"/>
        <n v="7800000"/>
        <n v="7740000"/>
        <n v="7700000"/>
        <n v="7660000"/>
        <n v="7650000"/>
        <n v="7600000"/>
        <n v="7560000"/>
        <n v="7550000"/>
        <n v="7430000"/>
        <n v="7400000"/>
        <n v="7380000"/>
        <n v="7370000"/>
        <n v="7350000"/>
        <n v="7325000"/>
        <n v="7200000"/>
        <n v="7065000"/>
        <n v="7020000"/>
        <n v="7000000"/>
        <n v="6990000"/>
        <n v="6965000"/>
        <n v="6960000"/>
        <n v="6900000"/>
        <n v="6750000"/>
        <n v="6650000"/>
        <n v="6595000"/>
        <n v="6500000"/>
        <n v="6480000"/>
        <n v="6450000"/>
        <n v="6400000"/>
        <n v="6300000"/>
        <n v="6280000"/>
        <n v="6250000"/>
        <n v="6175000"/>
        <n v="6060000"/>
        <n v="6000000"/>
        <n v="5950000"/>
        <n v="5940000"/>
        <n v="5890000"/>
        <n v="5825000"/>
        <n v="5820000"/>
        <n v="5750000"/>
        <n v="5640000"/>
        <n v="5580000"/>
        <n v="5520000"/>
        <n v="5510000"/>
        <n v="5500000"/>
        <n v="5280000"/>
        <n v="5220000"/>
        <n v="5200000"/>
        <n v="5160000"/>
        <n v="5055000"/>
        <n v="5040000"/>
        <n v="5000000"/>
        <n v="4950000"/>
        <n v="4920000"/>
        <n v="4900000"/>
        <n v="4860000"/>
        <n v="4800000"/>
        <n v="4750000"/>
        <n v="4680000"/>
        <n v="4595000"/>
        <n v="4560000"/>
        <n v="4500000"/>
        <n v="4440000"/>
        <n v="4430000"/>
        <n v="4320000"/>
        <n v="4300000"/>
        <n v="4260000"/>
        <n v="4250000"/>
        <n v="4200000"/>
        <n v="4140000"/>
        <n v="4050000"/>
        <n v="4000000"/>
        <n v="3800000"/>
        <n v="3780000"/>
        <n v="3750000"/>
        <n v="3600000"/>
        <n v="3500000"/>
        <n v="3400000"/>
        <n v="3250000"/>
        <n v="3240000"/>
        <n v="3000000"/>
        <n v="2975000"/>
        <n v="2880000"/>
        <n v="2800000"/>
        <n v="2760000"/>
        <n v="2640000"/>
        <n v="2600000"/>
        <n v="2595000"/>
        <n v="2520000"/>
        <n v="2500000"/>
        <n v="2450000"/>
        <n v="2400000"/>
        <n v="2250000"/>
        <n v="2200000"/>
        <n v="2000000"/>
        <n v="1920000"/>
        <n v="1750000"/>
        <n v="1560000"/>
        <n v="1475000"/>
        <n v="1400000"/>
        <n v="1320000"/>
        <n v="1250000"/>
        <n v="1225000"/>
        <n v="1200000"/>
        <n v="1175000"/>
        <n v="1125000"/>
        <n v="1100000"/>
        <n v="1080000"/>
        <n v="1000000"/>
        <n v="975000"/>
        <n v="960000"/>
        <n v="840000"/>
        <n v="800000"/>
        <n v="750000"/>
        <n v="720000"/>
        <n v="675000"/>
        <n v="650000"/>
        <n v="575000"/>
        <n v="525000"/>
        <n v="475000"/>
        <n v="425000"/>
        <n v="400000"/>
        <n v="300000"/>
        <n v="275000"/>
        <n v="250000"/>
      </sharedItems>
    </cacheField>
    <cacheField name="% on Total" numFmtId="168">
      <sharedItems containsSemiMixedTypes="0" containsString="0" containsNumber="1" minValue="4.176997774495586E-6" maxValue="2.5333491502315727E-2"/>
    </cacheField>
    <cacheField name="Cumulative %" numFmtId="10">
      <sharedItems containsSemiMixedTypes="0" containsString="0" containsNumber="1" minValue="2.5333491502315727E-2" maxValue="1.0000000000000016"/>
    </cacheField>
    <cacheField name="M Score (H/L)" numFmtId="0">
      <sharedItems count="2">
        <s v="High"/>
        <s v="Low"/>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
  <r>
    <s v="Customer-002"/>
    <x v="0"/>
    <d v="2025-12-25T00:00:00"/>
    <n v="7"/>
    <n v="3"/>
    <n v="17425000"/>
    <x v="0"/>
    <x v="0"/>
    <x v="0"/>
    <s v="HHL"/>
    <x v="0"/>
  </r>
  <r>
    <s v="Customer-004"/>
    <x v="1"/>
    <d v="2025-11-04T00:00:00"/>
    <n v="58"/>
    <n v="5"/>
    <n v="69590000"/>
    <x v="0"/>
    <x v="0"/>
    <x v="1"/>
    <s v="HHH"/>
    <x v="1"/>
  </r>
  <r>
    <s v="Customer-005"/>
    <x v="0"/>
    <d v="2025-09-22T00:00:00"/>
    <n v="101"/>
    <n v="2"/>
    <n v="22950000"/>
    <x v="1"/>
    <x v="1"/>
    <x v="0"/>
    <s v="LLL"/>
    <x v="2"/>
  </r>
  <r>
    <s v="Customer-006"/>
    <x v="2"/>
    <d v="2025-03-06T00:00:00"/>
    <n v="301"/>
    <n v="1"/>
    <n v="39900000"/>
    <x v="1"/>
    <x v="1"/>
    <x v="0"/>
    <s v="LLL"/>
    <x v="2"/>
  </r>
  <r>
    <s v="Customer-007"/>
    <x v="2"/>
    <d v="2025-06-26T00:00:00"/>
    <n v="189"/>
    <n v="1"/>
    <n v="250000"/>
    <x v="1"/>
    <x v="1"/>
    <x v="0"/>
    <s v="LLL"/>
    <x v="2"/>
  </r>
  <r>
    <s v="Customer-008"/>
    <x v="2"/>
    <d v="2025-03-11T00:00:00"/>
    <n v="296"/>
    <n v="1"/>
    <n v="19000000"/>
    <x v="1"/>
    <x v="1"/>
    <x v="0"/>
    <s v="LLL"/>
    <x v="2"/>
  </r>
  <r>
    <s v="Customer-009"/>
    <x v="0"/>
    <d v="2025-04-21T00:00:00"/>
    <n v="255"/>
    <n v="2"/>
    <n v="11700000"/>
    <x v="1"/>
    <x v="1"/>
    <x v="0"/>
    <s v="LLL"/>
    <x v="2"/>
  </r>
  <r>
    <s v="Customer-012"/>
    <x v="0"/>
    <d v="2025-10-20T00:00:00"/>
    <n v="73"/>
    <n v="3"/>
    <n v="10230000"/>
    <x v="1"/>
    <x v="0"/>
    <x v="0"/>
    <s v="LHL"/>
    <x v="3"/>
  </r>
  <r>
    <s v="Customer-013"/>
    <x v="1"/>
    <d v="2025-11-17T00:00:00"/>
    <n v="45"/>
    <n v="3"/>
    <n v="60960000"/>
    <x v="0"/>
    <x v="0"/>
    <x v="1"/>
    <s v="HHH"/>
    <x v="1"/>
  </r>
  <r>
    <s v="Customer-014"/>
    <x v="0"/>
    <d v="2025-09-24T00:00:00"/>
    <n v="99"/>
    <n v="1"/>
    <n v="18450000"/>
    <x v="1"/>
    <x v="1"/>
    <x v="0"/>
    <s v="LLL"/>
    <x v="2"/>
  </r>
  <r>
    <s v="Customer-015"/>
    <x v="3"/>
    <d v="2025-07-16T00:00:00"/>
    <n v="169"/>
    <n v="1"/>
    <n v="18500000"/>
    <x v="1"/>
    <x v="1"/>
    <x v="0"/>
    <s v="LLL"/>
    <x v="2"/>
  </r>
  <r>
    <s v="Customer-016"/>
    <x v="4"/>
    <d v="2025-09-04T00:00:00"/>
    <n v="119"/>
    <n v="3"/>
    <n v="43550000"/>
    <x v="1"/>
    <x v="0"/>
    <x v="0"/>
    <s v="LHL"/>
    <x v="3"/>
  </r>
  <r>
    <s v="Customer-017"/>
    <x v="1"/>
    <d v="2025-05-13T00:00:00"/>
    <n v="233"/>
    <n v="3"/>
    <n v="22350000"/>
    <x v="1"/>
    <x v="0"/>
    <x v="0"/>
    <s v="LHL"/>
    <x v="3"/>
  </r>
  <r>
    <s v="Customer-019"/>
    <x v="2"/>
    <d v="2025-10-10T00:00:00"/>
    <n v="83"/>
    <n v="3"/>
    <n v="5825000"/>
    <x v="1"/>
    <x v="0"/>
    <x v="0"/>
    <s v="LHL"/>
    <x v="3"/>
  </r>
  <r>
    <s v="Customer-020"/>
    <x v="1"/>
    <d v="2025-11-25T00:00:00"/>
    <n v="37"/>
    <n v="5"/>
    <n v="38710000"/>
    <x v="0"/>
    <x v="0"/>
    <x v="0"/>
    <s v="HHL"/>
    <x v="0"/>
  </r>
  <r>
    <s v="Customer-021"/>
    <x v="4"/>
    <d v="2025-12-24T00:00:00"/>
    <n v="8"/>
    <n v="2"/>
    <n v="57550000"/>
    <x v="0"/>
    <x v="1"/>
    <x v="1"/>
    <s v="HLH"/>
    <x v="4"/>
  </r>
  <r>
    <s v="Customer-023"/>
    <x v="0"/>
    <d v="2025-10-07T00:00:00"/>
    <n v="86"/>
    <n v="3"/>
    <n v="11100000"/>
    <x v="1"/>
    <x v="0"/>
    <x v="0"/>
    <s v="LHL"/>
    <x v="3"/>
  </r>
  <r>
    <s v="Customer-024"/>
    <x v="1"/>
    <d v="2025-10-13T00:00:00"/>
    <n v="80"/>
    <n v="2"/>
    <n v="16200000"/>
    <x v="1"/>
    <x v="1"/>
    <x v="0"/>
    <s v="LLL"/>
    <x v="2"/>
  </r>
  <r>
    <s v="Customer-025"/>
    <x v="2"/>
    <d v="2025-01-16T00:00:00"/>
    <n v="350"/>
    <n v="1"/>
    <n v="17500000"/>
    <x v="1"/>
    <x v="1"/>
    <x v="0"/>
    <s v="LLL"/>
    <x v="2"/>
  </r>
  <r>
    <s v="Customer-026"/>
    <x v="3"/>
    <d v="2025-12-30T00:00:00"/>
    <n v="2"/>
    <n v="3"/>
    <n v="15880000"/>
    <x v="0"/>
    <x v="0"/>
    <x v="0"/>
    <s v="HHL"/>
    <x v="0"/>
  </r>
  <r>
    <s v="Customer-027"/>
    <x v="0"/>
    <d v="2025-03-28T00:00:00"/>
    <n v="279"/>
    <n v="1"/>
    <n v="8550000"/>
    <x v="1"/>
    <x v="1"/>
    <x v="0"/>
    <s v="LLL"/>
    <x v="2"/>
  </r>
  <r>
    <s v="Customer-028"/>
    <x v="2"/>
    <d v="2025-03-17T00:00:00"/>
    <n v="290"/>
    <n v="2"/>
    <n v="10525000"/>
    <x v="1"/>
    <x v="1"/>
    <x v="0"/>
    <s v="LLL"/>
    <x v="2"/>
  </r>
  <r>
    <s v="Customer-029"/>
    <x v="2"/>
    <d v="2025-10-24T00:00:00"/>
    <n v="69"/>
    <n v="1"/>
    <n v="17100000"/>
    <x v="1"/>
    <x v="1"/>
    <x v="0"/>
    <s v="LLL"/>
    <x v="2"/>
  </r>
  <r>
    <s v="Customer-031"/>
    <x v="4"/>
    <d v="2025-08-27T00:00:00"/>
    <n v="127"/>
    <n v="2"/>
    <n v="9200000"/>
    <x v="1"/>
    <x v="1"/>
    <x v="0"/>
    <s v="LLL"/>
    <x v="2"/>
  </r>
  <r>
    <s v="Customer-032"/>
    <x v="0"/>
    <d v="2025-10-31T00:00:00"/>
    <n v="62"/>
    <n v="4"/>
    <n v="31125000"/>
    <x v="1"/>
    <x v="0"/>
    <x v="0"/>
    <s v="LHL"/>
    <x v="3"/>
  </r>
  <r>
    <s v="Customer-033"/>
    <x v="0"/>
    <d v="2025-07-25T00:00:00"/>
    <n v="160"/>
    <n v="2"/>
    <n v="11625000"/>
    <x v="1"/>
    <x v="1"/>
    <x v="0"/>
    <s v="LLL"/>
    <x v="2"/>
  </r>
  <r>
    <s v="Customer-035"/>
    <x v="2"/>
    <d v="2025-09-29T00:00:00"/>
    <n v="94"/>
    <n v="3"/>
    <n v="46210000"/>
    <x v="1"/>
    <x v="0"/>
    <x v="0"/>
    <s v="LHL"/>
    <x v="3"/>
  </r>
  <r>
    <s v="Customer-037"/>
    <x v="2"/>
    <d v="2025-08-15T00:00:00"/>
    <n v="139"/>
    <n v="3"/>
    <n v="73950000"/>
    <x v="1"/>
    <x v="0"/>
    <x v="1"/>
    <s v="LHH"/>
    <x v="5"/>
  </r>
  <r>
    <s v="Customer-038"/>
    <x v="3"/>
    <d v="2025-05-16T00:00:00"/>
    <n v="230"/>
    <n v="2"/>
    <n v="15300000"/>
    <x v="1"/>
    <x v="1"/>
    <x v="0"/>
    <s v="LLL"/>
    <x v="2"/>
  </r>
  <r>
    <s v="Customer-040"/>
    <x v="1"/>
    <d v="2025-11-27T00:00:00"/>
    <n v="35"/>
    <n v="5"/>
    <n v="59350000"/>
    <x v="0"/>
    <x v="0"/>
    <x v="1"/>
    <s v="HHH"/>
    <x v="1"/>
  </r>
  <r>
    <s v="Customer-041"/>
    <x v="0"/>
    <d v="2025-01-28T00:00:00"/>
    <n v="338"/>
    <n v="1"/>
    <n v="19950000"/>
    <x v="1"/>
    <x v="1"/>
    <x v="0"/>
    <s v="LLL"/>
    <x v="2"/>
  </r>
  <r>
    <s v="Customer-042"/>
    <x v="1"/>
    <d v="2025-01-16T00:00:00"/>
    <n v="350"/>
    <n v="2"/>
    <n v="14670000"/>
    <x v="1"/>
    <x v="1"/>
    <x v="0"/>
    <s v="LLL"/>
    <x v="2"/>
  </r>
  <r>
    <s v="Customer-043"/>
    <x v="1"/>
    <d v="2025-11-06T00:00:00"/>
    <n v="56"/>
    <n v="2"/>
    <n v="32150000"/>
    <x v="0"/>
    <x v="1"/>
    <x v="0"/>
    <s v="HLL"/>
    <x v="6"/>
  </r>
  <r>
    <s v="Customer-044"/>
    <x v="2"/>
    <d v="2025-10-21T00:00:00"/>
    <n v="72"/>
    <n v="4"/>
    <n v="1165500000"/>
    <x v="1"/>
    <x v="0"/>
    <x v="1"/>
    <s v="LHH"/>
    <x v="5"/>
  </r>
  <r>
    <s v="Customer-046"/>
    <x v="4"/>
    <d v="2025-06-12T00:00:00"/>
    <n v="203"/>
    <n v="1"/>
    <n v="14850000"/>
    <x v="1"/>
    <x v="1"/>
    <x v="0"/>
    <s v="LLL"/>
    <x v="2"/>
  </r>
  <r>
    <s v="Customer-047"/>
    <x v="2"/>
    <d v="2025-06-04T00:00:00"/>
    <n v="211"/>
    <n v="1"/>
    <n v="5520000"/>
    <x v="1"/>
    <x v="1"/>
    <x v="0"/>
    <s v="LLL"/>
    <x v="2"/>
  </r>
  <r>
    <s v="Customer-049"/>
    <x v="3"/>
    <d v="2025-11-04T00:00:00"/>
    <n v="58"/>
    <n v="2"/>
    <n v="10400000"/>
    <x v="0"/>
    <x v="1"/>
    <x v="0"/>
    <s v="HLL"/>
    <x v="6"/>
  </r>
  <r>
    <s v="Customer-050"/>
    <x v="0"/>
    <d v="2025-12-30T00:00:00"/>
    <n v="2"/>
    <n v="2"/>
    <n v="18875000"/>
    <x v="0"/>
    <x v="1"/>
    <x v="0"/>
    <s v="HLL"/>
    <x v="6"/>
  </r>
  <r>
    <s v="Customer-051"/>
    <x v="2"/>
    <d v="2025-11-18T00:00:00"/>
    <n v="44"/>
    <n v="5"/>
    <n v="949500000"/>
    <x v="0"/>
    <x v="0"/>
    <x v="1"/>
    <s v="HHH"/>
    <x v="1"/>
  </r>
  <r>
    <s v="Customer-052"/>
    <x v="4"/>
    <d v="2025-03-13T00:00:00"/>
    <n v="294"/>
    <n v="2"/>
    <n v="29950000"/>
    <x v="1"/>
    <x v="1"/>
    <x v="0"/>
    <s v="LLL"/>
    <x v="2"/>
  </r>
  <r>
    <s v="Customer-053"/>
    <x v="1"/>
    <d v="2025-09-08T00:00:00"/>
    <n v="115"/>
    <n v="3"/>
    <n v="13200000"/>
    <x v="1"/>
    <x v="0"/>
    <x v="0"/>
    <s v="LHL"/>
    <x v="3"/>
  </r>
  <r>
    <s v="Customer-054"/>
    <x v="0"/>
    <d v="2025-01-03T00:00:00"/>
    <n v="363"/>
    <n v="1"/>
    <n v="5200000"/>
    <x v="1"/>
    <x v="1"/>
    <x v="0"/>
    <s v="LLL"/>
    <x v="2"/>
  </r>
  <r>
    <s v="Customer-055"/>
    <x v="2"/>
    <d v="2025-09-05T00:00:00"/>
    <n v="118"/>
    <n v="1"/>
    <n v="18000000"/>
    <x v="1"/>
    <x v="1"/>
    <x v="0"/>
    <s v="LLL"/>
    <x v="2"/>
  </r>
  <r>
    <s v="Customer-056"/>
    <x v="1"/>
    <d v="2025-10-01T00:00:00"/>
    <n v="92"/>
    <n v="1"/>
    <n v="8640000"/>
    <x v="1"/>
    <x v="1"/>
    <x v="0"/>
    <s v="LLL"/>
    <x v="2"/>
  </r>
  <r>
    <s v="Customer-058"/>
    <x v="3"/>
    <d v="2025-09-30T00:00:00"/>
    <n v="93"/>
    <n v="1"/>
    <n v="1920000"/>
    <x v="1"/>
    <x v="1"/>
    <x v="0"/>
    <s v="LLL"/>
    <x v="2"/>
  </r>
  <r>
    <s v="Customer-061"/>
    <x v="3"/>
    <d v="2025-08-26T00:00:00"/>
    <n v="128"/>
    <n v="1"/>
    <n v="22500000"/>
    <x v="1"/>
    <x v="1"/>
    <x v="0"/>
    <s v="LLL"/>
    <x v="2"/>
  </r>
  <r>
    <s v="Customer-062"/>
    <x v="4"/>
    <d v="2025-08-05T00:00:00"/>
    <n v="149"/>
    <n v="1"/>
    <n v="12500000"/>
    <x v="1"/>
    <x v="1"/>
    <x v="0"/>
    <s v="LLL"/>
    <x v="2"/>
  </r>
  <r>
    <s v="Customer-063"/>
    <x v="3"/>
    <d v="2025-07-25T00:00:00"/>
    <n v="160"/>
    <n v="6"/>
    <n v="40555000"/>
    <x v="1"/>
    <x v="0"/>
    <x v="0"/>
    <s v="LHL"/>
    <x v="3"/>
  </r>
  <r>
    <s v="Customer-064"/>
    <x v="4"/>
    <d v="2025-07-25T00:00:00"/>
    <n v="160"/>
    <n v="3"/>
    <n v="34360000"/>
    <x v="1"/>
    <x v="0"/>
    <x v="0"/>
    <s v="LHL"/>
    <x v="3"/>
  </r>
  <r>
    <s v="Customer-065"/>
    <x v="2"/>
    <d v="2025-08-20T00:00:00"/>
    <n v="134"/>
    <n v="3"/>
    <n v="59460000"/>
    <x v="1"/>
    <x v="0"/>
    <x v="1"/>
    <s v="LHH"/>
    <x v="5"/>
  </r>
  <r>
    <s v="Customer-066"/>
    <x v="2"/>
    <d v="2025-11-24T00:00:00"/>
    <n v="38"/>
    <n v="2"/>
    <n v="45850000"/>
    <x v="0"/>
    <x v="1"/>
    <x v="0"/>
    <s v="HLL"/>
    <x v="6"/>
  </r>
  <r>
    <s v="Customer-067"/>
    <x v="0"/>
    <d v="2025-09-18T00:00:00"/>
    <n v="105"/>
    <n v="1"/>
    <n v="300000"/>
    <x v="1"/>
    <x v="1"/>
    <x v="0"/>
    <s v="LLL"/>
    <x v="2"/>
  </r>
  <r>
    <s v="Customer-068"/>
    <x v="4"/>
    <d v="2025-05-30T00:00:00"/>
    <n v="216"/>
    <n v="2"/>
    <n v="6060000"/>
    <x v="1"/>
    <x v="1"/>
    <x v="0"/>
    <s v="LLL"/>
    <x v="2"/>
  </r>
  <r>
    <s v="Customer-069"/>
    <x v="4"/>
    <d v="2025-04-17T00:00:00"/>
    <n v="259"/>
    <n v="2"/>
    <n v="15600000"/>
    <x v="1"/>
    <x v="1"/>
    <x v="0"/>
    <s v="LLL"/>
    <x v="2"/>
  </r>
  <r>
    <s v="Customer-071"/>
    <x v="4"/>
    <d v="2025-10-09T00:00:00"/>
    <n v="84"/>
    <n v="1"/>
    <n v="1200000"/>
    <x v="1"/>
    <x v="1"/>
    <x v="0"/>
    <s v="LLL"/>
    <x v="2"/>
  </r>
  <r>
    <s v="Customer-072"/>
    <x v="0"/>
    <d v="2025-12-03T00:00:00"/>
    <n v="29"/>
    <n v="7"/>
    <n v="22205000"/>
    <x v="0"/>
    <x v="0"/>
    <x v="0"/>
    <s v="HHL"/>
    <x v="0"/>
  </r>
  <r>
    <s v="Customer-074"/>
    <x v="2"/>
    <d v="2025-08-12T00:00:00"/>
    <n v="142"/>
    <n v="3"/>
    <n v="1027500000"/>
    <x v="1"/>
    <x v="0"/>
    <x v="1"/>
    <s v="LHH"/>
    <x v="5"/>
  </r>
  <r>
    <s v="Customer-075"/>
    <x v="2"/>
    <d v="2025-02-28T00:00:00"/>
    <n v="307"/>
    <n v="1"/>
    <n v="3400000"/>
    <x v="1"/>
    <x v="1"/>
    <x v="0"/>
    <s v="LLL"/>
    <x v="2"/>
  </r>
  <r>
    <s v="Customer-076"/>
    <x v="0"/>
    <d v="2025-09-12T00:00:00"/>
    <n v="111"/>
    <n v="2"/>
    <n v="8720000"/>
    <x v="1"/>
    <x v="1"/>
    <x v="0"/>
    <s v="LLL"/>
    <x v="2"/>
  </r>
  <r>
    <s v="Customer-077"/>
    <x v="1"/>
    <d v="2025-12-23T00:00:00"/>
    <n v="9"/>
    <n v="1"/>
    <n v="35150000"/>
    <x v="0"/>
    <x v="1"/>
    <x v="0"/>
    <s v="HLL"/>
    <x v="6"/>
  </r>
  <r>
    <s v="Customer-078"/>
    <x v="1"/>
    <d v="2025-11-25T00:00:00"/>
    <n v="37"/>
    <n v="5"/>
    <n v="993000000"/>
    <x v="0"/>
    <x v="0"/>
    <x v="1"/>
    <s v="HHH"/>
    <x v="1"/>
  </r>
  <r>
    <s v="Customer-080"/>
    <x v="4"/>
    <d v="2025-08-14T00:00:00"/>
    <n v="140"/>
    <n v="2"/>
    <n v="6965000"/>
    <x v="1"/>
    <x v="1"/>
    <x v="0"/>
    <s v="LLL"/>
    <x v="2"/>
  </r>
  <r>
    <s v="Customer-081"/>
    <x v="0"/>
    <d v="2025-04-21T00:00:00"/>
    <n v="255"/>
    <n v="1"/>
    <n v="475000"/>
    <x v="1"/>
    <x v="1"/>
    <x v="0"/>
    <s v="LLL"/>
    <x v="2"/>
  </r>
  <r>
    <s v="Customer-082"/>
    <x v="0"/>
    <d v="2025-12-22T00:00:00"/>
    <n v="10"/>
    <n v="1"/>
    <n v="8600000"/>
    <x v="0"/>
    <x v="1"/>
    <x v="0"/>
    <s v="HLL"/>
    <x v="6"/>
  </r>
  <r>
    <s v="Customer-083"/>
    <x v="3"/>
    <d v="2025-01-08T00:00:00"/>
    <n v="358"/>
    <n v="1"/>
    <n v="32300000"/>
    <x v="1"/>
    <x v="1"/>
    <x v="0"/>
    <s v="LLL"/>
    <x v="2"/>
  </r>
  <r>
    <s v="Customer-084"/>
    <x v="1"/>
    <d v="2025-08-05T00:00:00"/>
    <n v="149"/>
    <n v="1"/>
    <n v="4200000"/>
    <x v="1"/>
    <x v="1"/>
    <x v="0"/>
    <s v="LLL"/>
    <x v="2"/>
  </r>
  <r>
    <s v="Customer-085"/>
    <x v="1"/>
    <d v="2025-07-02T00:00:00"/>
    <n v="183"/>
    <n v="3"/>
    <n v="7990000"/>
    <x v="1"/>
    <x v="0"/>
    <x v="0"/>
    <s v="LHL"/>
    <x v="3"/>
  </r>
  <r>
    <s v="Customer-086"/>
    <x v="3"/>
    <d v="2025-07-25T00:00:00"/>
    <n v="160"/>
    <n v="1"/>
    <n v="6300000"/>
    <x v="1"/>
    <x v="1"/>
    <x v="0"/>
    <s v="LLL"/>
    <x v="2"/>
  </r>
  <r>
    <s v="Customer-087"/>
    <x v="1"/>
    <d v="2025-04-16T00:00:00"/>
    <n v="260"/>
    <n v="1"/>
    <n v="14500000"/>
    <x v="1"/>
    <x v="1"/>
    <x v="0"/>
    <s v="LLL"/>
    <x v="2"/>
  </r>
  <r>
    <s v="Customer-088"/>
    <x v="0"/>
    <d v="2025-10-13T00:00:00"/>
    <n v="80"/>
    <n v="3"/>
    <n v="11625000"/>
    <x v="1"/>
    <x v="0"/>
    <x v="0"/>
    <s v="LHL"/>
    <x v="3"/>
  </r>
  <r>
    <s v="Customer-089"/>
    <x v="1"/>
    <d v="2025-09-12T00:00:00"/>
    <n v="111"/>
    <n v="1"/>
    <n v="11250000"/>
    <x v="1"/>
    <x v="1"/>
    <x v="0"/>
    <s v="LLL"/>
    <x v="2"/>
  </r>
  <r>
    <s v="Customer-090"/>
    <x v="0"/>
    <d v="2025-06-26T00:00:00"/>
    <n v="189"/>
    <n v="1"/>
    <n v="2200000"/>
    <x v="1"/>
    <x v="1"/>
    <x v="0"/>
    <s v="LLL"/>
    <x v="2"/>
  </r>
  <r>
    <s v="Customer-091"/>
    <x v="1"/>
    <d v="2025-01-10T00:00:00"/>
    <n v="356"/>
    <n v="1"/>
    <n v="3240000"/>
    <x v="1"/>
    <x v="1"/>
    <x v="0"/>
    <s v="LLL"/>
    <x v="2"/>
  </r>
  <r>
    <s v="Customer-092"/>
    <x v="3"/>
    <d v="2025-10-17T00:00:00"/>
    <n v="76"/>
    <n v="2"/>
    <n v="21800000"/>
    <x v="1"/>
    <x v="1"/>
    <x v="0"/>
    <s v="LLL"/>
    <x v="2"/>
  </r>
  <r>
    <s v="Customer-093"/>
    <x v="2"/>
    <d v="2025-06-09T00:00:00"/>
    <n v="206"/>
    <n v="1"/>
    <n v="13650000"/>
    <x v="1"/>
    <x v="1"/>
    <x v="0"/>
    <s v="LLL"/>
    <x v="2"/>
  </r>
  <r>
    <s v="Customer-094"/>
    <x v="3"/>
    <d v="2025-10-09T00:00:00"/>
    <n v="84"/>
    <n v="1"/>
    <n v="12250000"/>
    <x v="1"/>
    <x v="1"/>
    <x v="0"/>
    <s v="LLL"/>
    <x v="2"/>
  </r>
  <r>
    <s v="Customer-095"/>
    <x v="1"/>
    <d v="2025-12-05T00:00:00"/>
    <n v="27"/>
    <n v="4"/>
    <n v="22350000"/>
    <x v="0"/>
    <x v="0"/>
    <x v="0"/>
    <s v="HHL"/>
    <x v="0"/>
  </r>
  <r>
    <s v="Customer-096"/>
    <x v="0"/>
    <d v="2025-11-27T00:00:00"/>
    <n v="35"/>
    <n v="1"/>
    <n v="1560000"/>
    <x v="0"/>
    <x v="1"/>
    <x v="0"/>
    <s v="HLL"/>
    <x v="6"/>
  </r>
  <r>
    <s v="Customer-097"/>
    <x v="2"/>
    <d v="2025-05-13T00:00:00"/>
    <n v="233"/>
    <n v="1"/>
    <n v="11000000"/>
    <x v="1"/>
    <x v="1"/>
    <x v="0"/>
    <s v="LLL"/>
    <x v="2"/>
  </r>
  <r>
    <s v="Customer-099"/>
    <x v="4"/>
    <d v="2025-05-21T00:00:00"/>
    <n v="225"/>
    <n v="3"/>
    <n v="15010000"/>
    <x v="1"/>
    <x v="0"/>
    <x v="0"/>
    <s v="LHL"/>
    <x v="3"/>
  </r>
  <r>
    <s v="Customer-1000"/>
    <x v="2"/>
    <d v="2025-12-01T00:00:00"/>
    <n v="31"/>
    <n v="1"/>
    <n v="10500000"/>
    <x v="0"/>
    <x v="1"/>
    <x v="0"/>
    <s v="HLL"/>
    <x v="6"/>
  </r>
  <r>
    <s v="Customer-101"/>
    <x v="4"/>
    <d v="2025-09-25T00:00:00"/>
    <n v="98"/>
    <n v="3"/>
    <n v="45960000"/>
    <x v="1"/>
    <x v="0"/>
    <x v="0"/>
    <s v="LHL"/>
    <x v="3"/>
  </r>
  <r>
    <s v="Customer-102"/>
    <x v="0"/>
    <d v="2025-11-19T00:00:00"/>
    <n v="43"/>
    <n v="4"/>
    <n v="29580000"/>
    <x v="0"/>
    <x v="0"/>
    <x v="0"/>
    <s v="HHL"/>
    <x v="0"/>
  </r>
  <r>
    <s v="Customer-103"/>
    <x v="1"/>
    <d v="2025-12-22T00:00:00"/>
    <n v="10"/>
    <n v="3"/>
    <n v="31280000"/>
    <x v="0"/>
    <x v="0"/>
    <x v="0"/>
    <s v="HHL"/>
    <x v="0"/>
  </r>
  <r>
    <s v="Customer-104"/>
    <x v="3"/>
    <d v="2025-07-23T00:00:00"/>
    <n v="162"/>
    <n v="1"/>
    <n v="1400000"/>
    <x v="1"/>
    <x v="1"/>
    <x v="0"/>
    <s v="LLL"/>
    <x v="2"/>
  </r>
  <r>
    <s v="Customer-105"/>
    <x v="2"/>
    <d v="2025-12-19T00:00:00"/>
    <n v="13"/>
    <n v="4"/>
    <n v="24470000"/>
    <x v="0"/>
    <x v="0"/>
    <x v="0"/>
    <s v="HHL"/>
    <x v="0"/>
  </r>
  <r>
    <s v="Customer-106"/>
    <x v="3"/>
    <d v="2025-08-15T00:00:00"/>
    <n v="139"/>
    <n v="1"/>
    <n v="5950000"/>
    <x v="1"/>
    <x v="1"/>
    <x v="0"/>
    <s v="LLL"/>
    <x v="2"/>
  </r>
  <r>
    <s v="Customer-107"/>
    <x v="1"/>
    <d v="2025-10-08T00:00:00"/>
    <n v="85"/>
    <n v="2"/>
    <n v="12250000"/>
    <x v="1"/>
    <x v="1"/>
    <x v="0"/>
    <s v="LLL"/>
    <x v="2"/>
  </r>
  <r>
    <s v="Customer-109"/>
    <x v="2"/>
    <d v="2025-11-26T00:00:00"/>
    <n v="36"/>
    <n v="3"/>
    <n v="27020000"/>
    <x v="0"/>
    <x v="0"/>
    <x v="0"/>
    <s v="HHL"/>
    <x v="0"/>
  </r>
  <r>
    <s v="Customer-110"/>
    <x v="0"/>
    <d v="2025-12-25T00:00:00"/>
    <n v="7"/>
    <n v="2"/>
    <n v="37525000"/>
    <x v="0"/>
    <x v="1"/>
    <x v="0"/>
    <s v="HLL"/>
    <x v="6"/>
  </r>
  <r>
    <s v="Customer-111"/>
    <x v="0"/>
    <d v="2025-09-24T00:00:00"/>
    <n v="99"/>
    <n v="3"/>
    <n v="13880000"/>
    <x v="1"/>
    <x v="0"/>
    <x v="0"/>
    <s v="LHL"/>
    <x v="3"/>
  </r>
  <r>
    <s v="Customer-112"/>
    <x v="4"/>
    <d v="2025-12-25T00:00:00"/>
    <n v="7"/>
    <n v="5"/>
    <n v="46465000"/>
    <x v="0"/>
    <x v="0"/>
    <x v="0"/>
    <s v="HHL"/>
    <x v="0"/>
  </r>
  <r>
    <s v="Customer-113"/>
    <x v="1"/>
    <d v="2025-12-12T00:00:00"/>
    <n v="20"/>
    <n v="6"/>
    <n v="44780000"/>
    <x v="0"/>
    <x v="0"/>
    <x v="0"/>
    <s v="HHL"/>
    <x v="0"/>
  </r>
  <r>
    <s v="Customer-114"/>
    <x v="4"/>
    <d v="2025-08-25T00:00:00"/>
    <n v="129"/>
    <n v="1"/>
    <n v="4860000"/>
    <x v="1"/>
    <x v="1"/>
    <x v="0"/>
    <s v="LLL"/>
    <x v="2"/>
  </r>
  <r>
    <s v="Customer-115"/>
    <x v="3"/>
    <d v="2025-11-07T00:00:00"/>
    <n v="55"/>
    <n v="3"/>
    <n v="56600000"/>
    <x v="0"/>
    <x v="0"/>
    <x v="1"/>
    <s v="HHH"/>
    <x v="1"/>
  </r>
  <r>
    <s v="Customer-117"/>
    <x v="0"/>
    <d v="2025-10-30T00:00:00"/>
    <n v="63"/>
    <n v="1"/>
    <n v="5640000"/>
    <x v="1"/>
    <x v="1"/>
    <x v="0"/>
    <s v="LLL"/>
    <x v="2"/>
  </r>
  <r>
    <s v="Customer-118"/>
    <x v="3"/>
    <d v="2025-08-25T00:00:00"/>
    <n v="129"/>
    <n v="3"/>
    <n v="22650000"/>
    <x v="1"/>
    <x v="0"/>
    <x v="0"/>
    <s v="LHL"/>
    <x v="3"/>
  </r>
  <r>
    <s v="Customer-119"/>
    <x v="1"/>
    <d v="2025-10-13T00:00:00"/>
    <n v="80"/>
    <n v="2"/>
    <n v="14850000"/>
    <x v="1"/>
    <x v="1"/>
    <x v="0"/>
    <s v="LLL"/>
    <x v="2"/>
  </r>
  <r>
    <s v="Customer-120"/>
    <x v="1"/>
    <d v="2025-10-08T00:00:00"/>
    <n v="85"/>
    <n v="3"/>
    <n v="18300000"/>
    <x v="1"/>
    <x v="0"/>
    <x v="0"/>
    <s v="LHL"/>
    <x v="3"/>
  </r>
  <r>
    <s v="Customer-121"/>
    <x v="4"/>
    <d v="2025-10-22T00:00:00"/>
    <n v="71"/>
    <n v="2"/>
    <n v="79200000"/>
    <x v="1"/>
    <x v="1"/>
    <x v="1"/>
    <s v="LLH"/>
    <x v="7"/>
  </r>
  <r>
    <s v="Customer-122"/>
    <x v="2"/>
    <d v="2025-04-24T00:00:00"/>
    <n v="252"/>
    <n v="1"/>
    <n v="4440000"/>
    <x v="1"/>
    <x v="1"/>
    <x v="0"/>
    <s v="LLL"/>
    <x v="2"/>
  </r>
  <r>
    <s v="Customer-123"/>
    <x v="0"/>
    <d v="2025-08-21T00:00:00"/>
    <n v="133"/>
    <n v="1"/>
    <n v="2400000"/>
    <x v="1"/>
    <x v="1"/>
    <x v="0"/>
    <s v="LLL"/>
    <x v="2"/>
  </r>
  <r>
    <s v="Customer-124"/>
    <x v="1"/>
    <d v="2025-11-27T00:00:00"/>
    <n v="35"/>
    <n v="3"/>
    <n v="6000000"/>
    <x v="0"/>
    <x v="0"/>
    <x v="0"/>
    <s v="HHL"/>
    <x v="0"/>
  </r>
  <r>
    <s v="Customer-125"/>
    <x v="0"/>
    <d v="2025-12-23T00:00:00"/>
    <n v="9"/>
    <n v="3"/>
    <n v="20825000"/>
    <x v="0"/>
    <x v="0"/>
    <x v="0"/>
    <s v="HHL"/>
    <x v="0"/>
  </r>
  <r>
    <s v="Customer-126"/>
    <x v="1"/>
    <d v="2025-12-31T00:00:00"/>
    <n v="1"/>
    <n v="2"/>
    <n v="7550000"/>
    <x v="0"/>
    <x v="1"/>
    <x v="0"/>
    <s v="HLL"/>
    <x v="6"/>
  </r>
  <r>
    <s v="Customer-127"/>
    <x v="1"/>
    <d v="2025-10-13T00:00:00"/>
    <n v="80"/>
    <n v="3"/>
    <n v="24040000"/>
    <x v="1"/>
    <x v="0"/>
    <x v="0"/>
    <s v="LHL"/>
    <x v="3"/>
  </r>
  <r>
    <s v="Customer-128"/>
    <x v="1"/>
    <d v="2025-11-11T00:00:00"/>
    <n v="51"/>
    <n v="2"/>
    <n v="12725000"/>
    <x v="0"/>
    <x v="1"/>
    <x v="0"/>
    <s v="HLL"/>
    <x v="6"/>
  </r>
  <r>
    <s v="Customer-129"/>
    <x v="4"/>
    <d v="2025-06-27T00:00:00"/>
    <n v="188"/>
    <n v="3"/>
    <n v="65470000"/>
    <x v="1"/>
    <x v="0"/>
    <x v="1"/>
    <s v="LHH"/>
    <x v="5"/>
  </r>
  <r>
    <s v="Customer-130"/>
    <x v="4"/>
    <d v="2025-01-30T00:00:00"/>
    <n v="336"/>
    <n v="1"/>
    <n v="2600000"/>
    <x v="1"/>
    <x v="1"/>
    <x v="0"/>
    <s v="LLL"/>
    <x v="2"/>
  </r>
  <r>
    <s v="Customer-131"/>
    <x v="4"/>
    <d v="2025-11-21T00:00:00"/>
    <n v="41"/>
    <n v="2"/>
    <n v="16450000"/>
    <x v="0"/>
    <x v="1"/>
    <x v="0"/>
    <s v="HLL"/>
    <x v="6"/>
  </r>
  <r>
    <s v="Customer-132"/>
    <x v="3"/>
    <d v="2025-10-01T00:00:00"/>
    <n v="92"/>
    <n v="1"/>
    <n v="15500000"/>
    <x v="1"/>
    <x v="1"/>
    <x v="0"/>
    <s v="LLL"/>
    <x v="2"/>
  </r>
  <r>
    <s v="Customer-133"/>
    <x v="0"/>
    <d v="2025-08-06T00:00:00"/>
    <n v="148"/>
    <n v="4"/>
    <n v="28970000"/>
    <x v="1"/>
    <x v="0"/>
    <x v="0"/>
    <s v="LHL"/>
    <x v="3"/>
  </r>
  <r>
    <s v="Customer-136"/>
    <x v="0"/>
    <d v="2025-12-25T00:00:00"/>
    <n v="7"/>
    <n v="9"/>
    <n v="914250000"/>
    <x v="0"/>
    <x v="0"/>
    <x v="1"/>
    <s v="HHH"/>
    <x v="1"/>
  </r>
  <r>
    <s v="Customer-137"/>
    <x v="0"/>
    <d v="2025-11-26T00:00:00"/>
    <n v="36"/>
    <n v="2"/>
    <n v="41300000"/>
    <x v="0"/>
    <x v="1"/>
    <x v="0"/>
    <s v="HLL"/>
    <x v="6"/>
  </r>
  <r>
    <s v="Customer-138"/>
    <x v="4"/>
    <d v="2025-08-14T00:00:00"/>
    <n v="140"/>
    <n v="1"/>
    <n v="16800000"/>
    <x v="1"/>
    <x v="1"/>
    <x v="0"/>
    <s v="LLL"/>
    <x v="2"/>
  </r>
  <r>
    <s v="Customer-139"/>
    <x v="4"/>
    <d v="2025-10-15T00:00:00"/>
    <n v="78"/>
    <n v="4"/>
    <n v="72850000"/>
    <x v="1"/>
    <x v="0"/>
    <x v="1"/>
    <s v="LHH"/>
    <x v="5"/>
  </r>
  <r>
    <s v="Customer-140"/>
    <x v="0"/>
    <d v="2025-12-23T00:00:00"/>
    <n v="9"/>
    <n v="4"/>
    <n v="53990000"/>
    <x v="0"/>
    <x v="0"/>
    <x v="1"/>
    <s v="HHH"/>
    <x v="1"/>
  </r>
  <r>
    <s v="Customer-141"/>
    <x v="0"/>
    <d v="2025-07-11T00:00:00"/>
    <n v="174"/>
    <n v="3"/>
    <n v="11150000"/>
    <x v="1"/>
    <x v="0"/>
    <x v="0"/>
    <s v="LHL"/>
    <x v="3"/>
  </r>
  <r>
    <s v="Customer-142"/>
    <x v="4"/>
    <d v="2025-12-24T00:00:00"/>
    <n v="8"/>
    <n v="2"/>
    <n v="6480000"/>
    <x v="0"/>
    <x v="1"/>
    <x v="0"/>
    <s v="HLL"/>
    <x v="6"/>
  </r>
  <r>
    <s v="Customer-143"/>
    <x v="2"/>
    <d v="2025-06-23T00:00:00"/>
    <n v="192"/>
    <n v="3"/>
    <n v="21700000"/>
    <x v="1"/>
    <x v="0"/>
    <x v="0"/>
    <s v="LHL"/>
    <x v="3"/>
  </r>
  <r>
    <s v="Customer-144"/>
    <x v="3"/>
    <d v="2025-12-30T00:00:00"/>
    <n v="2"/>
    <n v="2"/>
    <n v="49000000"/>
    <x v="0"/>
    <x v="1"/>
    <x v="0"/>
    <s v="HLL"/>
    <x v="6"/>
  </r>
  <r>
    <s v="Customer-146"/>
    <x v="1"/>
    <d v="2025-05-28T00:00:00"/>
    <n v="218"/>
    <n v="1"/>
    <n v="575000"/>
    <x v="1"/>
    <x v="1"/>
    <x v="0"/>
    <s v="LLL"/>
    <x v="2"/>
  </r>
  <r>
    <s v="Customer-147"/>
    <x v="0"/>
    <d v="2025-12-09T00:00:00"/>
    <n v="23"/>
    <n v="3"/>
    <n v="30910000"/>
    <x v="0"/>
    <x v="0"/>
    <x v="0"/>
    <s v="HHL"/>
    <x v="0"/>
  </r>
  <r>
    <s v="Customer-148"/>
    <x v="3"/>
    <d v="2025-11-06T00:00:00"/>
    <n v="56"/>
    <n v="7"/>
    <n v="846150000"/>
    <x v="0"/>
    <x v="0"/>
    <x v="1"/>
    <s v="HHH"/>
    <x v="1"/>
  </r>
  <r>
    <s v="Customer-149"/>
    <x v="4"/>
    <d v="2025-04-21T00:00:00"/>
    <n v="255"/>
    <n v="1"/>
    <n v="675000"/>
    <x v="1"/>
    <x v="1"/>
    <x v="0"/>
    <s v="LLL"/>
    <x v="2"/>
  </r>
  <r>
    <s v="Customer-150"/>
    <x v="1"/>
    <d v="2025-09-12T00:00:00"/>
    <n v="111"/>
    <n v="4"/>
    <n v="971100000"/>
    <x v="1"/>
    <x v="0"/>
    <x v="1"/>
    <s v="LHH"/>
    <x v="5"/>
  </r>
  <r>
    <s v="Customer-151"/>
    <x v="0"/>
    <d v="2025-01-17T00:00:00"/>
    <n v="349"/>
    <n v="2"/>
    <n v="11060000"/>
    <x v="1"/>
    <x v="1"/>
    <x v="0"/>
    <s v="LLL"/>
    <x v="2"/>
  </r>
  <r>
    <s v="Customer-152"/>
    <x v="0"/>
    <d v="2025-12-04T00:00:00"/>
    <n v="28"/>
    <n v="2"/>
    <n v="24000000"/>
    <x v="0"/>
    <x v="1"/>
    <x v="0"/>
    <s v="HLL"/>
    <x v="6"/>
  </r>
  <r>
    <s v="Customer-153"/>
    <x v="0"/>
    <d v="2025-11-27T00:00:00"/>
    <n v="35"/>
    <n v="1"/>
    <n v="18000000"/>
    <x v="0"/>
    <x v="1"/>
    <x v="0"/>
    <s v="HLL"/>
    <x v="6"/>
  </r>
  <r>
    <s v="Customer-154"/>
    <x v="3"/>
    <d v="2025-09-25T00:00:00"/>
    <n v="98"/>
    <n v="2"/>
    <n v="21400000"/>
    <x v="1"/>
    <x v="1"/>
    <x v="0"/>
    <s v="LLL"/>
    <x v="2"/>
  </r>
  <r>
    <s v="Customer-156"/>
    <x v="4"/>
    <d v="2025-12-04T00:00:00"/>
    <n v="28"/>
    <n v="1"/>
    <n v="13650000"/>
    <x v="0"/>
    <x v="1"/>
    <x v="0"/>
    <s v="HLL"/>
    <x v="6"/>
  </r>
  <r>
    <s v="Customer-157"/>
    <x v="0"/>
    <d v="2025-09-11T00:00:00"/>
    <n v="112"/>
    <n v="2"/>
    <n v="15450000"/>
    <x v="1"/>
    <x v="1"/>
    <x v="0"/>
    <s v="LLL"/>
    <x v="2"/>
  </r>
  <r>
    <s v="Customer-159"/>
    <x v="0"/>
    <d v="2025-12-01T00:00:00"/>
    <n v="31"/>
    <n v="6"/>
    <n v="947500000"/>
    <x v="0"/>
    <x v="0"/>
    <x v="1"/>
    <s v="HHH"/>
    <x v="1"/>
  </r>
  <r>
    <s v="Customer-160"/>
    <x v="0"/>
    <d v="2025-05-21T00:00:00"/>
    <n v="225"/>
    <n v="1"/>
    <n v="20400000"/>
    <x v="1"/>
    <x v="1"/>
    <x v="0"/>
    <s v="LLL"/>
    <x v="2"/>
  </r>
  <r>
    <s v="Customer-161"/>
    <x v="2"/>
    <d v="2025-04-17T00:00:00"/>
    <n v="259"/>
    <n v="1"/>
    <n v="12000000"/>
    <x v="1"/>
    <x v="1"/>
    <x v="0"/>
    <s v="LLL"/>
    <x v="2"/>
  </r>
  <r>
    <s v="Customer-162"/>
    <x v="3"/>
    <d v="2025-04-11T00:00:00"/>
    <n v="265"/>
    <n v="1"/>
    <n v="43700000"/>
    <x v="1"/>
    <x v="1"/>
    <x v="0"/>
    <s v="LLL"/>
    <x v="2"/>
  </r>
  <r>
    <s v="Customer-163"/>
    <x v="1"/>
    <d v="2025-04-17T00:00:00"/>
    <n v="259"/>
    <n v="4"/>
    <n v="51600000"/>
    <x v="1"/>
    <x v="0"/>
    <x v="1"/>
    <s v="LHH"/>
    <x v="5"/>
  </r>
  <r>
    <s v="Customer-165"/>
    <x v="0"/>
    <d v="2025-06-16T00:00:00"/>
    <n v="199"/>
    <n v="1"/>
    <n v="8600000"/>
    <x v="1"/>
    <x v="1"/>
    <x v="0"/>
    <s v="LLL"/>
    <x v="2"/>
  </r>
  <r>
    <s v="Customer-168"/>
    <x v="0"/>
    <d v="2025-12-30T00:00:00"/>
    <n v="2"/>
    <n v="2"/>
    <n v="45300000"/>
    <x v="0"/>
    <x v="1"/>
    <x v="0"/>
    <s v="HLL"/>
    <x v="6"/>
  </r>
  <r>
    <s v="Customer-170"/>
    <x v="0"/>
    <d v="2025-10-31T00:00:00"/>
    <n v="62"/>
    <n v="3"/>
    <n v="62040000"/>
    <x v="1"/>
    <x v="0"/>
    <x v="1"/>
    <s v="LHH"/>
    <x v="5"/>
  </r>
  <r>
    <s v="Customer-171"/>
    <x v="2"/>
    <d v="2025-01-30T00:00:00"/>
    <n v="336"/>
    <n v="1"/>
    <n v="35150000"/>
    <x v="1"/>
    <x v="1"/>
    <x v="0"/>
    <s v="LLL"/>
    <x v="2"/>
  </r>
  <r>
    <s v="Customer-172"/>
    <x v="2"/>
    <d v="2025-11-05T00:00:00"/>
    <n v="57"/>
    <n v="2"/>
    <n v="17530000"/>
    <x v="0"/>
    <x v="1"/>
    <x v="0"/>
    <s v="HLL"/>
    <x v="6"/>
  </r>
  <r>
    <s v="Customer-173"/>
    <x v="0"/>
    <d v="2025-11-21T00:00:00"/>
    <n v="41"/>
    <n v="7"/>
    <n v="58275000"/>
    <x v="0"/>
    <x v="0"/>
    <x v="1"/>
    <s v="HHH"/>
    <x v="1"/>
  </r>
  <r>
    <s v="Customer-174"/>
    <x v="0"/>
    <d v="2025-05-13T00:00:00"/>
    <n v="233"/>
    <n v="1"/>
    <n v="8460000"/>
    <x v="1"/>
    <x v="1"/>
    <x v="0"/>
    <s v="LLL"/>
    <x v="2"/>
  </r>
  <r>
    <s v="Customer-175"/>
    <x v="4"/>
    <d v="2025-12-01T00:00:00"/>
    <n v="31"/>
    <n v="1"/>
    <n v="1320000"/>
    <x v="0"/>
    <x v="1"/>
    <x v="0"/>
    <s v="HLL"/>
    <x v="6"/>
  </r>
  <r>
    <s v="Customer-176"/>
    <x v="2"/>
    <d v="2025-11-21T00:00:00"/>
    <n v="41"/>
    <n v="2"/>
    <n v="18400000"/>
    <x v="0"/>
    <x v="1"/>
    <x v="0"/>
    <s v="HLL"/>
    <x v="6"/>
  </r>
  <r>
    <s v="Customer-179"/>
    <x v="1"/>
    <d v="2025-10-22T00:00:00"/>
    <n v="71"/>
    <n v="4"/>
    <n v="54850000"/>
    <x v="1"/>
    <x v="0"/>
    <x v="1"/>
    <s v="LHH"/>
    <x v="5"/>
  </r>
  <r>
    <s v="Customer-180"/>
    <x v="0"/>
    <d v="2025-07-11T00:00:00"/>
    <n v="174"/>
    <n v="9"/>
    <n v="1079600000"/>
    <x v="1"/>
    <x v="0"/>
    <x v="1"/>
    <s v="LHH"/>
    <x v="5"/>
  </r>
  <r>
    <s v="Customer-181"/>
    <x v="2"/>
    <d v="2025-10-22T00:00:00"/>
    <n v="71"/>
    <n v="1"/>
    <n v="14350000"/>
    <x v="1"/>
    <x v="1"/>
    <x v="0"/>
    <s v="LLL"/>
    <x v="2"/>
  </r>
  <r>
    <s v="Customer-182"/>
    <x v="4"/>
    <d v="2025-06-11T00:00:00"/>
    <n v="204"/>
    <n v="2"/>
    <n v="16820000"/>
    <x v="1"/>
    <x v="1"/>
    <x v="0"/>
    <s v="LLL"/>
    <x v="2"/>
  </r>
  <r>
    <s v="Customer-183"/>
    <x v="3"/>
    <d v="2025-10-21T00:00:00"/>
    <n v="72"/>
    <n v="2"/>
    <n v="46225000"/>
    <x v="1"/>
    <x v="1"/>
    <x v="0"/>
    <s v="LLL"/>
    <x v="2"/>
  </r>
  <r>
    <s v="Customer-184"/>
    <x v="1"/>
    <d v="2025-12-23T00:00:00"/>
    <n v="9"/>
    <n v="2"/>
    <n v="4050000"/>
    <x v="0"/>
    <x v="1"/>
    <x v="0"/>
    <s v="HLL"/>
    <x v="6"/>
  </r>
  <r>
    <s v="Customer-185"/>
    <x v="1"/>
    <d v="2025-10-30T00:00:00"/>
    <n v="63"/>
    <n v="1"/>
    <n v="9800000"/>
    <x v="1"/>
    <x v="1"/>
    <x v="0"/>
    <s v="LLL"/>
    <x v="2"/>
  </r>
  <r>
    <s v="Customer-186"/>
    <x v="1"/>
    <d v="2025-10-30T00:00:00"/>
    <n v="63"/>
    <n v="3"/>
    <n v="31850000"/>
    <x v="1"/>
    <x v="0"/>
    <x v="0"/>
    <s v="LHL"/>
    <x v="3"/>
  </r>
  <r>
    <s v="Customer-187"/>
    <x v="4"/>
    <d v="2025-08-13T00:00:00"/>
    <n v="141"/>
    <n v="4"/>
    <n v="56060000"/>
    <x v="1"/>
    <x v="0"/>
    <x v="1"/>
    <s v="LHH"/>
    <x v="5"/>
  </r>
  <r>
    <s v="Customer-188"/>
    <x v="1"/>
    <d v="2025-09-12T00:00:00"/>
    <n v="111"/>
    <n v="2"/>
    <n v="18900000"/>
    <x v="1"/>
    <x v="1"/>
    <x v="0"/>
    <s v="LLL"/>
    <x v="2"/>
  </r>
  <r>
    <s v="Customer-189"/>
    <x v="0"/>
    <d v="2025-10-15T00:00:00"/>
    <n v="78"/>
    <n v="3"/>
    <n v="16200000"/>
    <x v="1"/>
    <x v="0"/>
    <x v="0"/>
    <s v="LHL"/>
    <x v="3"/>
  </r>
  <r>
    <s v="Customer-190"/>
    <x v="1"/>
    <d v="2025-08-25T00:00:00"/>
    <n v="129"/>
    <n v="2"/>
    <n v="5825000"/>
    <x v="1"/>
    <x v="1"/>
    <x v="0"/>
    <s v="LLL"/>
    <x v="2"/>
  </r>
  <r>
    <s v="Customer-191"/>
    <x v="3"/>
    <d v="2025-08-15T00:00:00"/>
    <n v="139"/>
    <n v="3"/>
    <n v="18075000"/>
    <x v="1"/>
    <x v="0"/>
    <x v="0"/>
    <s v="LHL"/>
    <x v="3"/>
  </r>
  <r>
    <s v="Customer-192"/>
    <x v="4"/>
    <d v="2025-06-17T00:00:00"/>
    <n v="198"/>
    <n v="1"/>
    <n v="4680000"/>
    <x v="1"/>
    <x v="1"/>
    <x v="0"/>
    <s v="LLL"/>
    <x v="2"/>
  </r>
  <r>
    <s v="Customer-193"/>
    <x v="1"/>
    <d v="2025-12-26T00:00:00"/>
    <n v="6"/>
    <n v="6"/>
    <n v="1332050000"/>
    <x v="0"/>
    <x v="0"/>
    <x v="1"/>
    <s v="HHH"/>
    <x v="1"/>
  </r>
  <r>
    <s v="Customer-195"/>
    <x v="1"/>
    <d v="2025-10-20T00:00:00"/>
    <n v="73"/>
    <n v="2"/>
    <n v="11430000"/>
    <x v="1"/>
    <x v="1"/>
    <x v="0"/>
    <s v="LLL"/>
    <x v="2"/>
  </r>
  <r>
    <s v="Customer-196"/>
    <x v="3"/>
    <d v="2025-02-05T00:00:00"/>
    <n v="330"/>
    <n v="1"/>
    <n v="3500000"/>
    <x v="1"/>
    <x v="1"/>
    <x v="0"/>
    <s v="LLL"/>
    <x v="2"/>
  </r>
  <r>
    <s v="Customer-197"/>
    <x v="1"/>
    <d v="2025-03-25T00:00:00"/>
    <n v="282"/>
    <n v="2"/>
    <n v="17000000"/>
    <x v="1"/>
    <x v="1"/>
    <x v="0"/>
    <s v="LLL"/>
    <x v="2"/>
  </r>
  <r>
    <s v="Customer-198"/>
    <x v="3"/>
    <d v="2025-06-19T00:00:00"/>
    <n v="196"/>
    <n v="2"/>
    <n v="42650000"/>
    <x v="1"/>
    <x v="1"/>
    <x v="0"/>
    <s v="LLL"/>
    <x v="2"/>
  </r>
  <r>
    <s v="Customer-199"/>
    <x v="1"/>
    <d v="2025-06-09T00:00:00"/>
    <n v="206"/>
    <n v="3"/>
    <n v="30225000"/>
    <x v="1"/>
    <x v="0"/>
    <x v="0"/>
    <s v="LHL"/>
    <x v="3"/>
  </r>
  <r>
    <s v="Customer-203"/>
    <x v="2"/>
    <d v="2025-08-20T00:00:00"/>
    <n v="134"/>
    <n v="1"/>
    <n v="21000000"/>
    <x v="1"/>
    <x v="1"/>
    <x v="0"/>
    <s v="LLL"/>
    <x v="2"/>
  </r>
  <r>
    <s v="Customer-204"/>
    <x v="4"/>
    <d v="2025-07-17T00:00:00"/>
    <n v="168"/>
    <n v="2"/>
    <n v="13100000"/>
    <x v="1"/>
    <x v="1"/>
    <x v="0"/>
    <s v="LLL"/>
    <x v="2"/>
  </r>
  <r>
    <s v="Customer-205"/>
    <x v="3"/>
    <d v="2025-10-21T00:00:00"/>
    <n v="72"/>
    <n v="2"/>
    <n v="15000000"/>
    <x v="1"/>
    <x v="1"/>
    <x v="0"/>
    <s v="LLL"/>
    <x v="2"/>
  </r>
  <r>
    <s v="Customer-206"/>
    <x v="1"/>
    <d v="2025-08-25T00:00:00"/>
    <n v="129"/>
    <n v="4"/>
    <n v="23500000"/>
    <x v="1"/>
    <x v="0"/>
    <x v="0"/>
    <s v="LHL"/>
    <x v="3"/>
  </r>
  <r>
    <s v="Customer-207"/>
    <x v="1"/>
    <d v="2025-06-04T00:00:00"/>
    <n v="211"/>
    <n v="2"/>
    <n v="7900000"/>
    <x v="1"/>
    <x v="1"/>
    <x v="0"/>
    <s v="LLL"/>
    <x v="2"/>
  </r>
  <r>
    <s v="Customer-208"/>
    <x v="0"/>
    <d v="2025-02-28T00:00:00"/>
    <n v="307"/>
    <n v="1"/>
    <n v="1000000"/>
    <x v="1"/>
    <x v="1"/>
    <x v="0"/>
    <s v="LLL"/>
    <x v="2"/>
  </r>
  <r>
    <s v="Customer-209"/>
    <x v="1"/>
    <d v="2025-04-03T00:00:00"/>
    <n v="273"/>
    <n v="2"/>
    <n v="9070000"/>
    <x v="1"/>
    <x v="1"/>
    <x v="0"/>
    <s v="LLL"/>
    <x v="2"/>
  </r>
  <r>
    <s v="Customer-210"/>
    <x v="0"/>
    <d v="2025-06-04T00:00:00"/>
    <n v="211"/>
    <n v="2"/>
    <n v="11680000"/>
    <x v="1"/>
    <x v="1"/>
    <x v="0"/>
    <s v="LLL"/>
    <x v="2"/>
  </r>
  <r>
    <s v="Customer-211"/>
    <x v="4"/>
    <d v="2025-05-21T00:00:00"/>
    <n v="225"/>
    <n v="1"/>
    <n v="36100000"/>
    <x v="1"/>
    <x v="1"/>
    <x v="0"/>
    <s v="LLL"/>
    <x v="2"/>
  </r>
  <r>
    <s v="Customer-213"/>
    <x v="2"/>
    <d v="2025-09-30T00:00:00"/>
    <n v="93"/>
    <n v="1"/>
    <n v="9000000"/>
    <x v="1"/>
    <x v="1"/>
    <x v="0"/>
    <s v="LLL"/>
    <x v="2"/>
  </r>
  <r>
    <s v="Customer-214"/>
    <x v="1"/>
    <d v="2025-06-25T00:00:00"/>
    <n v="190"/>
    <n v="2"/>
    <n v="38825000"/>
    <x v="1"/>
    <x v="1"/>
    <x v="0"/>
    <s v="LLL"/>
    <x v="2"/>
  </r>
  <r>
    <s v="Customer-217"/>
    <x v="4"/>
    <d v="2025-04-21T00:00:00"/>
    <n v="255"/>
    <n v="1"/>
    <n v="13500000"/>
    <x v="1"/>
    <x v="1"/>
    <x v="0"/>
    <s v="LLL"/>
    <x v="2"/>
  </r>
  <r>
    <s v="Customer-219"/>
    <x v="3"/>
    <d v="2025-12-09T00:00:00"/>
    <n v="23"/>
    <n v="1"/>
    <n v="27550000"/>
    <x v="0"/>
    <x v="1"/>
    <x v="0"/>
    <s v="HLL"/>
    <x v="6"/>
  </r>
  <r>
    <s v="Customer-223"/>
    <x v="3"/>
    <d v="2025-04-28T00:00:00"/>
    <n v="248"/>
    <n v="1"/>
    <n v="26400000"/>
    <x v="1"/>
    <x v="1"/>
    <x v="0"/>
    <s v="LLL"/>
    <x v="2"/>
  </r>
  <r>
    <s v="Customer-224"/>
    <x v="1"/>
    <d v="2025-09-30T00:00:00"/>
    <n v="93"/>
    <n v="3"/>
    <n v="71525000"/>
    <x v="1"/>
    <x v="0"/>
    <x v="1"/>
    <s v="LHH"/>
    <x v="5"/>
  </r>
  <r>
    <s v="Customer-225"/>
    <x v="2"/>
    <d v="2025-11-05T00:00:00"/>
    <n v="57"/>
    <n v="2"/>
    <n v="40800000"/>
    <x v="0"/>
    <x v="1"/>
    <x v="0"/>
    <s v="HLL"/>
    <x v="6"/>
  </r>
  <r>
    <s v="Customer-226"/>
    <x v="3"/>
    <d v="2025-12-03T00:00:00"/>
    <n v="29"/>
    <n v="1"/>
    <n v="19800000"/>
    <x v="0"/>
    <x v="1"/>
    <x v="0"/>
    <s v="HLL"/>
    <x v="6"/>
  </r>
  <r>
    <s v="Customer-227"/>
    <x v="1"/>
    <d v="2025-05-21T00:00:00"/>
    <n v="225"/>
    <n v="1"/>
    <n v="10800000"/>
    <x v="1"/>
    <x v="1"/>
    <x v="0"/>
    <s v="LLL"/>
    <x v="2"/>
  </r>
  <r>
    <s v="Customer-228"/>
    <x v="3"/>
    <d v="2025-09-17T00:00:00"/>
    <n v="106"/>
    <n v="2"/>
    <n v="8550000"/>
    <x v="1"/>
    <x v="1"/>
    <x v="0"/>
    <s v="LLL"/>
    <x v="2"/>
  </r>
  <r>
    <s v="Customer-229"/>
    <x v="3"/>
    <d v="2025-12-30T00:00:00"/>
    <n v="2"/>
    <n v="1"/>
    <n v="12250000"/>
    <x v="0"/>
    <x v="1"/>
    <x v="0"/>
    <s v="HLL"/>
    <x v="6"/>
  </r>
  <r>
    <s v="Customer-230"/>
    <x v="1"/>
    <d v="2025-11-21T00:00:00"/>
    <n v="41"/>
    <n v="2"/>
    <n v="54350000"/>
    <x v="0"/>
    <x v="1"/>
    <x v="1"/>
    <s v="HLH"/>
    <x v="4"/>
  </r>
  <r>
    <s v="Customer-231"/>
    <x v="0"/>
    <d v="2025-09-18T00:00:00"/>
    <n v="105"/>
    <n v="2"/>
    <n v="49400000"/>
    <x v="1"/>
    <x v="1"/>
    <x v="1"/>
    <s v="LLH"/>
    <x v="7"/>
  </r>
  <r>
    <s v="Customer-232"/>
    <x v="1"/>
    <d v="2025-10-13T00:00:00"/>
    <n v="80"/>
    <n v="2"/>
    <n v="11575000"/>
    <x v="1"/>
    <x v="1"/>
    <x v="0"/>
    <s v="LLL"/>
    <x v="2"/>
  </r>
  <r>
    <s v="Customer-233"/>
    <x v="3"/>
    <d v="2025-11-13T00:00:00"/>
    <n v="49"/>
    <n v="1"/>
    <n v="60000000"/>
    <x v="0"/>
    <x v="1"/>
    <x v="1"/>
    <s v="HLH"/>
    <x v="4"/>
  </r>
  <r>
    <s v="Customer-234"/>
    <x v="3"/>
    <d v="2025-05-12T00:00:00"/>
    <n v="234"/>
    <n v="1"/>
    <n v="4050000"/>
    <x v="1"/>
    <x v="1"/>
    <x v="0"/>
    <s v="LLL"/>
    <x v="2"/>
  </r>
  <r>
    <s v="Customer-236"/>
    <x v="0"/>
    <d v="2025-06-25T00:00:00"/>
    <n v="190"/>
    <n v="1"/>
    <n v="14500000"/>
    <x v="1"/>
    <x v="1"/>
    <x v="0"/>
    <s v="LLL"/>
    <x v="2"/>
  </r>
  <r>
    <s v="Customer-237"/>
    <x v="3"/>
    <d v="2025-07-30T00:00:00"/>
    <n v="155"/>
    <n v="3"/>
    <n v="77200000"/>
    <x v="1"/>
    <x v="0"/>
    <x v="1"/>
    <s v="LHH"/>
    <x v="5"/>
  </r>
  <r>
    <s v="Customer-238"/>
    <x v="2"/>
    <d v="2025-11-19T00:00:00"/>
    <n v="43"/>
    <n v="2"/>
    <n v="9750000"/>
    <x v="0"/>
    <x v="1"/>
    <x v="0"/>
    <s v="HLL"/>
    <x v="6"/>
  </r>
  <r>
    <s v="Customer-239"/>
    <x v="3"/>
    <d v="2025-10-21T00:00:00"/>
    <n v="72"/>
    <n v="1"/>
    <n v="9500000"/>
    <x v="1"/>
    <x v="1"/>
    <x v="0"/>
    <s v="LLL"/>
    <x v="2"/>
  </r>
  <r>
    <s v="Customer-240"/>
    <x v="3"/>
    <d v="2025-12-08T00:00:00"/>
    <n v="24"/>
    <n v="1"/>
    <n v="960000"/>
    <x v="0"/>
    <x v="1"/>
    <x v="0"/>
    <s v="HLL"/>
    <x v="6"/>
  </r>
  <r>
    <s v="Customer-241"/>
    <x v="1"/>
    <d v="2025-11-26T00:00:00"/>
    <n v="36"/>
    <n v="7"/>
    <n v="1151500000"/>
    <x v="0"/>
    <x v="0"/>
    <x v="1"/>
    <s v="HHH"/>
    <x v="1"/>
  </r>
  <r>
    <s v="Customer-242"/>
    <x v="3"/>
    <d v="2025-05-13T00:00:00"/>
    <n v="233"/>
    <n v="3"/>
    <n v="76150000"/>
    <x v="1"/>
    <x v="0"/>
    <x v="1"/>
    <s v="LHH"/>
    <x v="5"/>
  </r>
  <r>
    <s v="Customer-243"/>
    <x v="0"/>
    <d v="2025-09-09T00:00:00"/>
    <n v="114"/>
    <n v="4"/>
    <n v="846250000"/>
    <x v="1"/>
    <x v="0"/>
    <x v="1"/>
    <s v="LHH"/>
    <x v="5"/>
  </r>
  <r>
    <s v="Customer-246"/>
    <x v="1"/>
    <d v="2025-11-26T00:00:00"/>
    <n v="36"/>
    <n v="6"/>
    <n v="1135000000"/>
    <x v="0"/>
    <x v="0"/>
    <x v="1"/>
    <s v="HHH"/>
    <x v="1"/>
  </r>
  <r>
    <s v="Customer-248"/>
    <x v="2"/>
    <d v="2025-11-13T00:00:00"/>
    <n v="49"/>
    <n v="1"/>
    <n v="4320000"/>
    <x v="0"/>
    <x v="1"/>
    <x v="0"/>
    <s v="HLL"/>
    <x v="6"/>
  </r>
  <r>
    <s v="Customer-250"/>
    <x v="3"/>
    <d v="2025-01-06T00:00:00"/>
    <n v="360"/>
    <n v="1"/>
    <n v="6000000"/>
    <x v="1"/>
    <x v="1"/>
    <x v="0"/>
    <s v="LLL"/>
    <x v="2"/>
  </r>
  <r>
    <s v="Customer-251"/>
    <x v="1"/>
    <d v="2025-10-22T00:00:00"/>
    <n v="71"/>
    <n v="6"/>
    <n v="1214250000"/>
    <x v="1"/>
    <x v="0"/>
    <x v="1"/>
    <s v="LHH"/>
    <x v="5"/>
  </r>
  <r>
    <s v="Customer-252"/>
    <x v="1"/>
    <d v="2025-06-23T00:00:00"/>
    <n v="192"/>
    <n v="1"/>
    <n v="13500000"/>
    <x v="1"/>
    <x v="1"/>
    <x v="0"/>
    <s v="LLL"/>
    <x v="2"/>
  </r>
  <r>
    <s v="Customer-253"/>
    <x v="0"/>
    <d v="2025-09-10T00:00:00"/>
    <n v="113"/>
    <n v="1"/>
    <n v="46800000"/>
    <x v="1"/>
    <x v="1"/>
    <x v="0"/>
    <s v="LLL"/>
    <x v="2"/>
  </r>
  <r>
    <s v="Customer-254"/>
    <x v="0"/>
    <d v="2025-09-10T00:00:00"/>
    <n v="113"/>
    <n v="1"/>
    <n v="6750000"/>
    <x v="1"/>
    <x v="1"/>
    <x v="0"/>
    <s v="LLL"/>
    <x v="2"/>
  </r>
  <r>
    <s v="Customer-255"/>
    <x v="1"/>
    <d v="2025-12-08T00:00:00"/>
    <n v="24"/>
    <n v="3"/>
    <n v="15030000"/>
    <x v="0"/>
    <x v="0"/>
    <x v="0"/>
    <s v="HHL"/>
    <x v="0"/>
  </r>
  <r>
    <s v="Customer-256"/>
    <x v="3"/>
    <d v="2025-08-20T00:00:00"/>
    <n v="134"/>
    <n v="1"/>
    <n v="2520000"/>
    <x v="1"/>
    <x v="1"/>
    <x v="0"/>
    <s v="LLL"/>
    <x v="2"/>
  </r>
  <r>
    <s v="Customer-258"/>
    <x v="0"/>
    <d v="2025-12-19T00:00:00"/>
    <n v="13"/>
    <n v="6"/>
    <n v="944000000"/>
    <x v="0"/>
    <x v="0"/>
    <x v="1"/>
    <s v="HHH"/>
    <x v="1"/>
  </r>
  <r>
    <s v="Customer-259"/>
    <x v="0"/>
    <d v="2025-07-24T00:00:00"/>
    <n v="161"/>
    <n v="1"/>
    <n v="8400000"/>
    <x v="1"/>
    <x v="1"/>
    <x v="0"/>
    <s v="LLL"/>
    <x v="2"/>
  </r>
  <r>
    <s v="Customer-261"/>
    <x v="1"/>
    <d v="2025-12-22T00:00:00"/>
    <n v="10"/>
    <n v="3"/>
    <n v="37490000"/>
    <x v="0"/>
    <x v="0"/>
    <x v="0"/>
    <s v="HHL"/>
    <x v="0"/>
  </r>
  <r>
    <s v="Customer-262"/>
    <x v="3"/>
    <d v="2025-10-20T00:00:00"/>
    <n v="73"/>
    <n v="5"/>
    <n v="59520000"/>
    <x v="1"/>
    <x v="0"/>
    <x v="1"/>
    <s v="LHH"/>
    <x v="5"/>
  </r>
  <r>
    <s v="Customer-263"/>
    <x v="4"/>
    <d v="2025-10-09T00:00:00"/>
    <n v="84"/>
    <n v="2"/>
    <n v="8960000"/>
    <x v="1"/>
    <x v="1"/>
    <x v="0"/>
    <s v="LLL"/>
    <x v="2"/>
  </r>
  <r>
    <s v="Customer-264"/>
    <x v="4"/>
    <d v="2025-12-26T00:00:00"/>
    <n v="6"/>
    <n v="7"/>
    <n v="29775000"/>
    <x v="0"/>
    <x v="0"/>
    <x v="0"/>
    <s v="HHL"/>
    <x v="0"/>
  </r>
  <r>
    <s v="Customer-265"/>
    <x v="0"/>
    <d v="2025-06-30T00:00:00"/>
    <n v="185"/>
    <n v="4"/>
    <n v="57080000"/>
    <x v="1"/>
    <x v="0"/>
    <x v="1"/>
    <s v="LHH"/>
    <x v="5"/>
  </r>
  <r>
    <s v="Customer-266"/>
    <x v="2"/>
    <d v="2025-07-02T00:00:00"/>
    <n v="183"/>
    <n v="2"/>
    <n v="34200000"/>
    <x v="1"/>
    <x v="1"/>
    <x v="0"/>
    <s v="LLL"/>
    <x v="2"/>
  </r>
  <r>
    <s v="Customer-267"/>
    <x v="1"/>
    <d v="2025-10-07T00:00:00"/>
    <n v="86"/>
    <n v="4"/>
    <n v="39180000"/>
    <x v="1"/>
    <x v="0"/>
    <x v="0"/>
    <s v="LHL"/>
    <x v="3"/>
  </r>
  <r>
    <s v="Customer-268"/>
    <x v="1"/>
    <d v="2025-05-28T00:00:00"/>
    <n v="218"/>
    <n v="1"/>
    <n v="3600000"/>
    <x v="1"/>
    <x v="1"/>
    <x v="0"/>
    <s v="LLL"/>
    <x v="2"/>
  </r>
  <r>
    <s v="Customer-269"/>
    <x v="4"/>
    <d v="2025-08-15T00:00:00"/>
    <n v="139"/>
    <n v="1"/>
    <n v="37050000"/>
    <x v="1"/>
    <x v="1"/>
    <x v="0"/>
    <s v="LLL"/>
    <x v="2"/>
  </r>
  <r>
    <s v="Customer-272"/>
    <x v="3"/>
    <d v="2025-05-05T00:00:00"/>
    <n v="241"/>
    <n v="2"/>
    <n v="23750000"/>
    <x v="1"/>
    <x v="1"/>
    <x v="0"/>
    <s v="LLL"/>
    <x v="2"/>
  </r>
  <r>
    <s v="Customer-273"/>
    <x v="0"/>
    <d v="2025-12-04T00:00:00"/>
    <n v="28"/>
    <n v="4"/>
    <n v="19960000"/>
    <x v="0"/>
    <x v="0"/>
    <x v="0"/>
    <s v="HHL"/>
    <x v="0"/>
  </r>
  <r>
    <s v="Customer-274"/>
    <x v="0"/>
    <d v="2025-07-24T00:00:00"/>
    <n v="161"/>
    <n v="3"/>
    <n v="41900000"/>
    <x v="1"/>
    <x v="0"/>
    <x v="0"/>
    <s v="LHL"/>
    <x v="3"/>
  </r>
  <r>
    <s v="Customer-275"/>
    <x v="0"/>
    <d v="2025-07-04T00:00:00"/>
    <n v="181"/>
    <n v="2"/>
    <n v="20300000"/>
    <x v="1"/>
    <x v="1"/>
    <x v="0"/>
    <s v="LLL"/>
    <x v="2"/>
  </r>
  <r>
    <s v="Customer-276"/>
    <x v="0"/>
    <d v="2025-11-04T00:00:00"/>
    <n v="58"/>
    <n v="6"/>
    <n v="65860000"/>
    <x v="0"/>
    <x v="0"/>
    <x v="1"/>
    <s v="HHH"/>
    <x v="1"/>
  </r>
  <r>
    <s v="Customer-277"/>
    <x v="2"/>
    <d v="2025-06-25T00:00:00"/>
    <n v="190"/>
    <n v="1"/>
    <n v="4680000"/>
    <x v="1"/>
    <x v="1"/>
    <x v="0"/>
    <s v="LLL"/>
    <x v="2"/>
  </r>
  <r>
    <s v="Customer-278"/>
    <x v="0"/>
    <d v="2025-03-31T00:00:00"/>
    <n v="276"/>
    <n v="1"/>
    <n v="43700000"/>
    <x v="1"/>
    <x v="1"/>
    <x v="0"/>
    <s v="LLL"/>
    <x v="2"/>
  </r>
  <r>
    <s v="Customer-279"/>
    <x v="1"/>
    <d v="2025-12-12T00:00:00"/>
    <n v="20"/>
    <n v="7"/>
    <n v="67990000"/>
    <x v="0"/>
    <x v="0"/>
    <x v="1"/>
    <s v="HHH"/>
    <x v="1"/>
  </r>
  <r>
    <s v="Customer-280"/>
    <x v="4"/>
    <d v="2025-07-24T00:00:00"/>
    <n v="161"/>
    <n v="1"/>
    <n v="7740000"/>
    <x v="1"/>
    <x v="1"/>
    <x v="0"/>
    <s v="LLL"/>
    <x v="2"/>
  </r>
  <r>
    <s v="Customer-281"/>
    <x v="0"/>
    <d v="2025-09-26T00:00:00"/>
    <n v="97"/>
    <n v="1"/>
    <n v="1000000"/>
    <x v="1"/>
    <x v="1"/>
    <x v="0"/>
    <s v="LLL"/>
    <x v="2"/>
  </r>
  <r>
    <s v="Customer-282"/>
    <x v="1"/>
    <d v="2025-12-30T00:00:00"/>
    <n v="2"/>
    <n v="7"/>
    <n v="1186900000"/>
    <x v="0"/>
    <x v="0"/>
    <x v="1"/>
    <s v="HHH"/>
    <x v="1"/>
  </r>
  <r>
    <s v="Customer-283"/>
    <x v="1"/>
    <d v="2025-09-10T00:00:00"/>
    <n v="113"/>
    <n v="3"/>
    <n v="46100000"/>
    <x v="1"/>
    <x v="0"/>
    <x v="0"/>
    <s v="LHL"/>
    <x v="3"/>
  </r>
  <r>
    <s v="Customer-284"/>
    <x v="3"/>
    <d v="2025-10-29T00:00:00"/>
    <n v="64"/>
    <n v="1"/>
    <n v="4500000"/>
    <x v="1"/>
    <x v="1"/>
    <x v="0"/>
    <s v="LLL"/>
    <x v="2"/>
  </r>
  <r>
    <s v="Customer-287"/>
    <x v="1"/>
    <d v="2025-05-28T00:00:00"/>
    <n v="218"/>
    <n v="2"/>
    <n v="51750000"/>
    <x v="1"/>
    <x v="1"/>
    <x v="1"/>
    <s v="LLH"/>
    <x v="7"/>
  </r>
  <r>
    <s v="Customer-288"/>
    <x v="3"/>
    <d v="2025-10-08T00:00:00"/>
    <n v="85"/>
    <n v="2"/>
    <n v="4430000"/>
    <x v="1"/>
    <x v="1"/>
    <x v="0"/>
    <s v="LLL"/>
    <x v="2"/>
  </r>
  <r>
    <s v="Customer-289"/>
    <x v="2"/>
    <d v="2025-03-10T00:00:00"/>
    <n v="297"/>
    <n v="2"/>
    <n v="24900000"/>
    <x v="1"/>
    <x v="1"/>
    <x v="0"/>
    <s v="LLL"/>
    <x v="2"/>
  </r>
  <r>
    <s v="Customer-290"/>
    <x v="1"/>
    <d v="2025-12-03T00:00:00"/>
    <n v="29"/>
    <n v="2"/>
    <n v="49090000"/>
    <x v="0"/>
    <x v="1"/>
    <x v="0"/>
    <s v="HLL"/>
    <x v="6"/>
  </r>
  <r>
    <s v="Customer-291"/>
    <x v="3"/>
    <d v="2025-11-25T00:00:00"/>
    <n v="37"/>
    <n v="4"/>
    <n v="25935000"/>
    <x v="0"/>
    <x v="0"/>
    <x v="0"/>
    <s v="HHL"/>
    <x v="0"/>
  </r>
  <r>
    <s v="Customer-292"/>
    <x v="3"/>
    <d v="2025-11-21T00:00:00"/>
    <n v="41"/>
    <n v="3"/>
    <n v="19315000"/>
    <x v="0"/>
    <x v="0"/>
    <x v="0"/>
    <s v="HHL"/>
    <x v="0"/>
  </r>
  <r>
    <s v="Customer-293"/>
    <x v="3"/>
    <d v="2025-02-24T00:00:00"/>
    <n v="311"/>
    <n v="1"/>
    <n v="20500000"/>
    <x v="1"/>
    <x v="1"/>
    <x v="0"/>
    <s v="LLL"/>
    <x v="2"/>
  </r>
  <r>
    <s v="Customer-294"/>
    <x v="1"/>
    <d v="2025-11-21T00:00:00"/>
    <n v="41"/>
    <n v="7"/>
    <n v="19000000"/>
    <x v="0"/>
    <x v="0"/>
    <x v="0"/>
    <s v="HHL"/>
    <x v="0"/>
  </r>
  <r>
    <s v="Customer-295"/>
    <x v="0"/>
    <d v="2025-06-25T00:00:00"/>
    <n v="190"/>
    <n v="2"/>
    <n v="3400000"/>
    <x v="1"/>
    <x v="1"/>
    <x v="0"/>
    <s v="LLL"/>
    <x v="2"/>
  </r>
  <r>
    <s v="Customer-296"/>
    <x v="3"/>
    <d v="2025-08-27T00:00:00"/>
    <n v="127"/>
    <n v="2"/>
    <n v="19200000"/>
    <x v="1"/>
    <x v="1"/>
    <x v="0"/>
    <s v="LLL"/>
    <x v="2"/>
  </r>
  <r>
    <s v="Customer-297"/>
    <x v="3"/>
    <d v="2025-06-12T00:00:00"/>
    <n v="203"/>
    <n v="1"/>
    <n v="5750000"/>
    <x v="1"/>
    <x v="1"/>
    <x v="0"/>
    <s v="LLL"/>
    <x v="2"/>
  </r>
  <r>
    <s v="Customer-299"/>
    <x v="3"/>
    <d v="2025-06-16T00:00:00"/>
    <n v="199"/>
    <n v="2"/>
    <n v="9900000"/>
    <x v="1"/>
    <x v="1"/>
    <x v="0"/>
    <s v="LLL"/>
    <x v="2"/>
  </r>
  <r>
    <s v="Customer-300"/>
    <x v="2"/>
    <d v="2025-07-04T00:00:00"/>
    <n v="181"/>
    <n v="1"/>
    <n v="4140000"/>
    <x v="1"/>
    <x v="1"/>
    <x v="0"/>
    <s v="LLL"/>
    <x v="2"/>
  </r>
  <r>
    <s v="Customer-301"/>
    <x v="4"/>
    <d v="2025-12-17T00:00:00"/>
    <n v="15"/>
    <n v="3"/>
    <n v="18720000"/>
    <x v="0"/>
    <x v="0"/>
    <x v="0"/>
    <s v="HHL"/>
    <x v="0"/>
  </r>
  <r>
    <s v="Customer-302"/>
    <x v="4"/>
    <d v="2025-01-20T00:00:00"/>
    <n v="346"/>
    <n v="1"/>
    <n v="2000000"/>
    <x v="1"/>
    <x v="1"/>
    <x v="0"/>
    <s v="LLL"/>
    <x v="2"/>
  </r>
  <r>
    <s v="Customer-303"/>
    <x v="1"/>
    <d v="2025-02-27T00:00:00"/>
    <n v="308"/>
    <n v="1"/>
    <n v="7000000"/>
    <x v="1"/>
    <x v="1"/>
    <x v="0"/>
    <s v="LLL"/>
    <x v="2"/>
  </r>
  <r>
    <s v="Customer-305"/>
    <x v="4"/>
    <d v="2025-12-31T00:00:00"/>
    <n v="1"/>
    <n v="2"/>
    <n v="7430000"/>
    <x v="0"/>
    <x v="1"/>
    <x v="0"/>
    <s v="HLL"/>
    <x v="6"/>
  </r>
  <r>
    <s v="Customer-306"/>
    <x v="1"/>
    <d v="2025-10-15T00:00:00"/>
    <n v="78"/>
    <n v="1"/>
    <n v="18000000"/>
    <x v="1"/>
    <x v="1"/>
    <x v="0"/>
    <s v="LLL"/>
    <x v="2"/>
  </r>
  <r>
    <s v="Customer-307"/>
    <x v="0"/>
    <d v="2025-12-03T00:00:00"/>
    <n v="29"/>
    <n v="3"/>
    <n v="20550000"/>
    <x v="0"/>
    <x v="0"/>
    <x v="0"/>
    <s v="HHL"/>
    <x v="0"/>
  </r>
  <r>
    <s v="Customer-308"/>
    <x v="3"/>
    <d v="2025-03-28T00:00:00"/>
    <n v="279"/>
    <n v="2"/>
    <n v="32750000"/>
    <x v="1"/>
    <x v="1"/>
    <x v="0"/>
    <s v="LLL"/>
    <x v="2"/>
  </r>
  <r>
    <s v="Customer-309"/>
    <x v="0"/>
    <d v="2025-06-11T00:00:00"/>
    <n v="204"/>
    <n v="1"/>
    <n v="18000000"/>
    <x v="1"/>
    <x v="1"/>
    <x v="0"/>
    <s v="LLL"/>
    <x v="2"/>
  </r>
  <r>
    <s v="Customer-311"/>
    <x v="1"/>
    <d v="2025-06-23T00:00:00"/>
    <n v="192"/>
    <n v="1"/>
    <n v="275000"/>
    <x v="1"/>
    <x v="1"/>
    <x v="0"/>
    <s v="LLL"/>
    <x v="2"/>
  </r>
  <r>
    <s v="Customer-312"/>
    <x v="0"/>
    <d v="2025-12-26T00:00:00"/>
    <n v="6"/>
    <n v="5"/>
    <n v="910250000"/>
    <x v="0"/>
    <x v="0"/>
    <x v="1"/>
    <s v="HHH"/>
    <x v="1"/>
  </r>
  <r>
    <s v="Customer-313"/>
    <x v="0"/>
    <d v="2025-08-27T00:00:00"/>
    <n v="127"/>
    <n v="3"/>
    <n v="62950000"/>
    <x v="1"/>
    <x v="0"/>
    <x v="1"/>
    <s v="LHH"/>
    <x v="5"/>
  </r>
  <r>
    <s v="Customer-314"/>
    <x v="2"/>
    <d v="2025-12-16T00:00:00"/>
    <n v="16"/>
    <n v="3"/>
    <n v="26125000"/>
    <x v="0"/>
    <x v="0"/>
    <x v="0"/>
    <s v="HHL"/>
    <x v="0"/>
  </r>
  <r>
    <s v="Customer-315"/>
    <x v="3"/>
    <d v="2025-09-05T00:00:00"/>
    <n v="118"/>
    <n v="1"/>
    <n v="12600000"/>
    <x v="1"/>
    <x v="1"/>
    <x v="0"/>
    <s v="LLL"/>
    <x v="2"/>
  </r>
  <r>
    <s v="Customer-316"/>
    <x v="0"/>
    <d v="2025-09-10T00:00:00"/>
    <n v="113"/>
    <n v="2"/>
    <n v="12025000"/>
    <x v="1"/>
    <x v="1"/>
    <x v="0"/>
    <s v="LLL"/>
    <x v="2"/>
  </r>
  <r>
    <s v="Customer-317"/>
    <x v="1"/>
    <d v="2025-11-17T00:00:00"/>
    <n v="45"/>
    <n v="3"/>
    <n v="41350000"/>
    <x v="0"/>
    <x v="0"/>
    <x v="0"/>
    <s v="HHL"/>
    <x v="0"/>
  </r>
  <r>
    <s v="Customer-318"/>
    <x v="4"/>
    <d v="2025-08-21T00:00:00"/>
    <n v="133"/>
    <n v="3"/>
    <n v="14590000"/>
    <x v="1"/>
    <x v="0"/>
    <x v="0"/>
    <s v="LHL"/>
    <x v="3"/>
  </r>
  <r>
    <s v="Customer-320"/>
    <x v="3"/>
    <d v="2025-08-25T00:00:00"/>
    <n v="129"/>
    <n v="2"/>
    <n v="13700000"/>
    <x v="1"/>
    <x v="1"/>
    <x v="0"/>
    <s v="LLL"/>
    <x v="2"/>
  </r>
  <r>
    <s v="Customer-321"/>
    <x v="0"/>
    <d v="2025-09-24T00:00:00"/>
    <n v="99"/>
    <n v="6"/>
    <n v="817500000"/>
    <x v="1"/>
    <x v="0"/>
    <x v="1"/>
    <s v="LHH"/>
    <x v="5"/>
  </r>
  <r>
    <s v="Customer-322"/>
    <x v="3"/>
    <d v="2025-07-09T00:00:00"/>
    <n v="176"/>
    <n v="2"/>
    <n v="30650000"/>
    <x v="1"/>
    <x v="1"/>
    <x v="0"/>
    <s v="LLL"/>
    <x v="2"/>
  </r>
  <r>
    <s v="Customer-324"/>
    <x v="1"/>
    <d v="2025-12-08T00:00:00"/>
    <n v="24"/>
    <n v="6"/>
    <n v="32730000"/>
    <x v="0"/>
    <x v="0"/>
    <x v="0"/>
    <s v="HHL"/>
    <x v="0"/>
  </r>
  <r>
    <s v="Customer-325"/>
    <x v="1"/>
    <d v="2025-10-31T00:00:00"/>
    <n v="62"/>
    <n v="4"/>
    <n v="53550000"/>
    <x v="1"/>
    <x v="0"/>
    <x v="1"/>
    <s v="LHH"/>
    <x v="5"/>
  </r>
  <r>
    <s v="Customer-326"/>
    <x v="0"/>
    <d v="2025-12-12T00:00:00"/>
    <n v="20"/>
    <n v="3"/>
    <n v="25975000"/>
    <x v="0"/>
    <x v="0"/>
    <x v="0"/>
    <s v="HHL"/>
    <x v="0"/>
  </r>
  <r>
    <s v="Customer-327"/>
    <x v="1"/>
    <d v="2025-08-19T00:00:00"/>
    <n v="135"/>
    <n v="2"/>
    <n v="19200000"/>
    <x v="1"/>
    <x v="1"/>
    <x v="0"/>
    <s v="LLL"/>
    <x v="2"/>
  </r>
  <r>
    <s v="Customer-328"/>
    <x v="1"/>
    <d v="2025-09-12T00:00:00"/>
    <n v="111"/>
    <n v="3"/>
    <n v="18625000"/>
    <x v="1"/>
    <x v="0"/>
    <x v="0"/>
    <s v="LHL"/>
    <x v="3"/>
  </r>
  <r>
    <s v="Customer-330"/>
    <x v="2"/>
    <d v="2025-11-27T00:00:00"/>
    <n v="35"/>
    <n v="1"/>
    <n v="2400000"/>
    <x v="0"/>
    <x v="1"/>
    <x v="0"/>
    <s v="HLL"/>
    <x v="6"/>
  </r>
  <r>
    <s v="Customer-331"/>
    <x v="0"/>
    <d v="2025-08-21T00:00:00"/>
    <n v="133"/>
    <n v="2"/>
    <n v="24050000"/>
    <x v="1"/>
    <x v="1"/>
    <x v="0"/>
    <s v="LLL"/>
    <x v="2"/>
  </r>
  <r>
    <s v="Customer-332"/>
    <x v="3"/>
    <d v="2025-01-16T00:00:00"/>
    <n v="350"/>
    <n v="1"/>
    <n v="11200000"/>
    <x v="1"/>
    <x v="1"/>
    <x v="0"/>
    <s v="LLL"/>
    <x v="2"/>
  </r>
  <r>
    <s v="Customer-334"/>
    <x v="1"/>
    <d v="2025-08-27T00:00:00"/>
    <n v="127"/>
    <n v="4"/>
    <n v="44690000"/>
    <x v="1"/>
    <x v="0"/>
    <x v="0"/>
    <s v="LHL"/>
    <x v="3"/>
  </r>
  <r>
    <s v="Customer-335"/>
    <x v="1"/>
    <d v="2025-11-27T00:00:00"/>
    <n v="35"/>
    <n v="3"/>
    <n v="16700000"/>
    <x v="0"/>
    <x v="0"/>
    <x v="0"/>
    <s v="HHL"/>
    <x v="0"/>
  </r>
  <r>
    <s v="Customer-336"/>
    <x v="3"/>
    <d v="2025-01-21T00:00:00"/>
    <n v="345"/>
    <n v="2"/>
    <n v="17500000"/>
    <x v="1"/>
    <x v="1"/>
    <x v="0"/>
    <s v="LLL"/>
    <x v="2"/>
  </r>
  <r>
    <s v="Customer-337"/>
    <x v="0"/>
    <d v="2025-12-19T00:00:00"/>
    <n v="13"/>
    <n v="5"/>
    <n v="55330000"/>
    <x v="0"/>
    <x v="0"/>
    <x v="1"/>
    <s v="HHH"/>
    <x v="1"/>
  </r>
  <r>
    <s v="Customer-338"/>
    <x v="0"/>
    <d v="2025-11-05T00:00:00"/>
    <n v="57"/>
    <n v="1"/>
    <n v="4000000"/>
    <x v="0"/>
    <x v="1"/>
    <x v="0"/>
    <s v="HLL"/>
    <x v="6"/>
  </r>
  <r>
    <s v="Customer-339"/>
    <x v="1"/>
    <d v="2025-10-29T00:00:00"/>
    <n v="64"/>
    <n v="2"/>
    <n v="51720000"/>
    <x v="1"/>
    <x v="1"/>
    <x v="1"/>
    <s v="LLH"/>
    <x v="7"/>
  </r>
  <r>
    <s v="Customer-340"/>
    <x v="0"/>
    <d v="2025-07-10T00:00:00"/>
    <n v="175"/>
    <n v="1"/>
    <n v="11700000"/>
    <x v="1"/>
    <x v="1"/>
    <x v="0"/>
    <s v="LLL"/>
    <x v="2"/>
  </r>
  <r>
    <s v="Customer-344"/>
    <x v="3"/>
    <d v="2025-08-21T00:00:00"/>
    <n v="133"/>
    <n v="2"/>
    <n v="54250000"/>
    <x v="1"/>
    <x v="1"/>
    <x v="1"/>
    <s v="LLH"/>
    <x v="7"/>
  </r>
  <r>
    <s v="Customer-345"/>
    <x v="2"/>
    <d v="2025-09-12T00:00:00"/>
    <n v="111"/>
    <n v="1"/>
    <n v="1225000"/>
    <x v="1"/>
    <x v="1"/>
    <x v="0"/>
    <s v="LLL"/>
    <x v="2"/>
  </r>
  <r>
    <s v="Customer-347"/>
    <x v="2"/>
    <d v="2025-11-17T00:00:00"/>
    <n v="45"/>
    <n v="2"/>
    <n v="8660000"/>
    <x v="0"/>
    <x v="1"/>
    <x v="0"/>
    <s v="HLL"/>
    <x v="6"/>
  </r>
  <r>
    <s v="Customer-349"/>
    <x v="3"/>
    <d v="2025-12-31T00:00:00"/>
    <n v="1"/>
    <n v="3"/>
    <n v="14490000"/>
    <x v="0"/>
    <x v="0"/>
    <x v="0"/>
    <s v="HHL"/>
    <x v="0"/>
  </r>
  <r>
    <s v="Customer-351"/>
    <x v="2"/>
    <d v="2025-06-12T00:00:00"/>
    <n v="203"/>
    <n v="2"/>
    <n v="5940000"/>
    <x v="1"/>
    <x v="1"/>
    <x v="0"/>
    <s v="LLL"/>
    <x v="2"/>
  </r>
  <r>
    <s v="Customer-352"/>
    <x v="0"/>
    <d v="2025-01-09T00:00:00"/>
    <n v="357"/>
    <n v="1"/>
    <n v="10800000"/>
    <x v="1"/>
    <x v="1"/>
    <x v="0"/>
    <s v="LLL"/>
    <x v="2"/>
  </r>
  <r>
    <s v="Customer-355"/>
    <x v="1"/>
    <d v="2025-09-19T00:00:00"/>
    <n v="104"/>
    <n v="1"/>
    <n v="2450000"/>
    <x v="1"/>
    <x v="1"/>
    <x v="0"/>
    <s v="LLL"/>
    <x v="2"/>
  </r>
  <r>
    <s v="Customer-356"/>
    <x v="2"/>
    <d v="2025-04-17T00:00:00"/>
    <n v="259"/>
    <n v="3"/>
    <n v="24700000"/>
    <x v="1"/>
    <x v="0"/>
    <x v="0"/>
    <s v="LHL"/>
    <x v="3"/>
  </r>
  <r>
    <s v="Customer-357"/>
    <x v="1"/>
    <d v="2025-04-24T00:00:00"/>
    <n v="252"/>
    <n v="1"/>
    <n v="7200000"/>
    <x v="1"/>
    <x v="1"/>
    <x v="0"/>
    <s v="LLL"/>
    <x v="2"/>
  </r>
  <r>
    <s v="Customer-359"/>
    <x v="1"/>
    <d v="2025-09-10T00:00:00"/>
    <n v="113"/>
    <n v="3"/>
    <n v="14000000"/>
    <x v="1"/>
    <x v="0"/>
    <x v="0"/>
    <s v="LHL"/>
    <x v="3"/>
  </r>
  <r>
    <s v="Customer-360"/>
    <x v="4"/>
    <d v="2025-12-31T00:00:00"/>
    <n v="1"/>
    <n v="3"/>
    <n v="26050000"/>
    <x v="0"/>
    <x v="0"/>
    <x v="0"/>
    <s v="HHL"/>
    <x v="0"/>
  </r>
  <r>
    <s v="Customer-361"/>
    <x v="0"/>
    <d v="2025-12-05T00:00:00"/>
    <n v="27"/>
    <n v="4"/>
    <n v="29770000"/>
    <x v="0"/>
    <x v="0"/>
    <x v="0"/>
    <s v="HHL"/>
    <x v="0"/>
  </r>
  <r>
    <s v="Customer-362"/>
    <x v="1"/>
    <d v="2025-12-03T00:00:00"/>
    <n v="29"/>
    <n v="3"/>
    <n v="20875000"/>
    <x v="0"/>
    <x v="0"/>
    <x v="0"/>
    <s v="HHL"/>
    <x v="0"/>
  </r>
  <r>
    <s v="Customer-363"/>
    <x v="4"/>
    <d v="2025-12-31T00:00:00"/>
    <n v="1"/>
    <n v="2"/>
    <n v="12000000"/>
    <x v="0"/>
    <x v="1"/>
    <x v="0"/>
    <s v="HLL"/>
    <x v="6"/>
  </r>
  <r>
    <s v="Customer-364"/>
    <x v="4"/>
    <d v="2025-04-03T00:00:00"/>
    <n v="273"/>
    <n v="3"/>
    <n v="17420000"/>
    <x v="1"/>
    <x v="0"/>
    <x v="0"/>
    <s v="LHL"/>
    <x v="3"/>
  </r>
  <r>
    <s v="Customer-367"/>
    <x v="2"/>
    <d v="2025-09-12T00:00:00"/>
    <n v="111"/>
    <n v="1"/>
    <n v="14000000"/>
    <x v="1"/>
    <x v="1"/>
    <x v="0"/>
    <s v="LLL"/>
    <x v="2"/>
  </r>
  <r>
    <s v="Customer-368"/>
    <x v="1"/>
    <d v="2025-01-15T00:00:00"/>
    <n v="351"/>
    <n v="1"/>
    <n v="11200000"/>
    <x v="1"/>
    <x v="1"/>
    <x v="0"/>
    <s v="LLL"/>
    <x v="2"/>
  </r>
  <r>
    <s v="Customer-369"/>
    <x v="3"/>
    <d v="2025-07-10T00:00:00"/>
    <n v="175"/>
    <n v="3"/>
    <n v="46400000"/>
    <x v="1"/>
    <x v="0"/>
    <x v="0"/>
    <s v="LHL"/>
    <x v="3"/>
  </r>
  <r>
    <s v="Customer-372"/>
    <x v="0"/>
    <d v="2025-11-26T00:00:00"/>
    <n v="36"/>
    <n v="3"/>
    <n v="6960000"/>
    <x v="0"/>
    <x v="0"/>
    <x v="0"/>
    <s v="HHL"/>
    <x v="0"/>
  </r>
  <r>
    <s v="Customer-374"/>
    <x v="2"/>
    <d v="2025-05-01T00:00:00"/>
    <n v="245"/>
    <n v="2"/>
    <n v="32100000"/>
    <x v="1"/>
    <x v="1"/>
    <x v="0"/>
    <s v="LLL"/>
    <x v="2"/>
  </r>
  <r>
    <s v="Customer-375"/>
    <x v="4"/>
    <d v="2025-09-23T00:00:00"/>
    <n v="100"/>
    <n v="1"/>
    <n v="5000000"/>
    <x v="1"/>
    <x v="1"/>
    <x v="0"/>
    <s v="LLL"/>
    <x v="2"/>
  </r>
  <r>
    <s v="Customer-376"/>
    <x v="0"/>
    <d v="2025-03-13T00:00:00"/>
    <n v="294"/>
    <n v="1"/>
    <n v="9900000"/>
    <x v="1"/>
    <x v="1"/>
    <x v="0"/>
    <s v="LLL"/>
    <x v="2"/>
  </r>
  <r>
    <s v="Customer-377"/>
    <x v="4"/>
    <d v="2025-12-19T00:00:00"/>
    <n v="13"/>
    <n v="1"/>
    <n v="400000"/>
    <x v="0"/>
    <x v="1"/>
    <x v="0"/>
    <s v="HLL"/>
    <x v="6"/>
  </r>
  <r>
    <s v="Customer-378"/>
    <x v="4"/>
    <d v="2025-11-18T00:00:00"/>
    <n v="44"/>
    <n v="2"/>
    <n v="29740000"/>
    <x v="0"/>
    <x v="1"/>
    <x v="0"/>
    <s v="HLL"/>
    <x v="6"/>
  </r>
  <r>
    <s v="Customer-380"/>
    <x v="0"/>
    <d v="2025-07-04T00:00:00"/>
    <n v="181"/>
    <n v="1"/>
    <n v="45600000"/>
    <x v="1"/>
    <x v="1"/>
    <x v="0"/>
    <s v="LLL"/>
    <x v="2"/>
  </r>
  <r>
    <s v="Customer-381"/>
    <x v="2"/>
    <d v="2025-05-02T00:00:00"/>
    <n v="244"/>
    <n v="1"/>
    <n v="20400000"/>
    <x v="1"/>
    <x v="1"/>
    <x v="0"/>
    <s v="LLL"/>
    <x v="2"/>
  </r>
  <r>
    <s v="Customer-382"/>
    <x v="0"/>
    <d v="2025-08-05T00:00:00"/>
    <n v="149"/>
    <n v="2"/>
    <n v="47700000"/>
    <x v="1"/>
    <x v="1"/>
    <x v="0"/>
    <s v="LLL"/>
    <x v="2"/>
  </r>
  <r>
    <s v="Customer-383"/>
    <x v="1"/>
    <d v="2025-09-12T00:00:00"/>
    <n v="111"/>
    <n v="2"/>
    <n v="7380000"/>
    <x v="1"/>
    <x v="1"/>
    <x v="0"/>
    <s v="LLL"/>
    <x v="2"/>
  </r>
  <r>
    <s v="Customer-385"/>
    <x v="2"/>
    <d v="2025-12-26T00:00:00"/>
    <n v="6"/>
    <n v="1"/>
    <n v="3780000"/>
    <x v="0"/>
    <x v="1"/>
    <x v="0"/>
    <s v="HLL"/>
    <x v="6"/>
  </r>
  <r>
    <s v="Customer-387"/>
    <x v="1"/>
    <d v="2025-08-06T00:00:00"/>
    <n v="148"/>
    <n v="6"/>
    <n v="25385000"/>
    <x v="1"/>
    <x v="0"/>
    <x v="0"/>
    <s v="LHL"/>
    <x v="3"/>
  </r>
  <r>
    <s v="Customer-388"/>
    <x v="0"/>
    <d v="2025-12-16T00:00:00"/>
    <n v="16"/>
    <n v="4"/>
    <n v="28950000"/>
    <x v="0"/>
    <x v="0"/>
    <x v="0"/>
    <s v="HHL"/>
    <x v="0"/>
  </r>
  <r>
    <s v="Customer-389"/>
    <x v="4"/>
    <d v="2025-12-23T00:00:00"/>
    <n v="9"/>
    <n v="3"/>
    <n v="66170000"/>
    <x v="0"/>
    <x v="0"/>
    <x v="1"/>
    <s v="HHH"/>
    <x v="1"/>
  </r>
  <r>
    <s v="Customer-390"/>
    <x v="2"/>
    <d v="2025-09-10T00:00:00"/>
    <n v="113"/>
    <n v="1"/>
    <n v="7200000"/>
    <x v="1"/>
    <x v="1"/>
    <x v="0"/>
    <s v="LLL"/>
    <x v="2"/>
  </r>
  <r>
    <s v="Customer-392"/>
    <x v="0"/>
    <d v="2025-09-09T00:00:00"/>
    <n v="114"/>
    <n v="2"/>
    <n v="8250000"/>
    <x v="1"/>
    <x v="1"/>
    <x v="0"/>
    <s v="LLL"/>
    <x v="2"/>
  </r>
  <r>
    <s v="Customer-393"/>
    <x v="2"/>
    <d v="2025-01-30T00:00:00"/>
    <n v="336"/>
    <n v="1"/>
    <n v="18450000"/>
    <x v="1"/>
    <x v="1"/>
    <x v="0"/>
    <s v="LLL"/>
    <x v="2"/>
  </r>
  <r>
    <s v="Customer-394"/>
    <x v="2"/>
    <d v="2025-08-05T00:00:00"/>
    <n v="149"/>
    <n v="3"/>
    <n v="23000000"/>
    <x v="1"/>
    <x v="0"/>
    <x v="0"/>
    <s v="LHL"/>
    <x v="3"/>
  </r>
  <r>
    <s v="Customer-397"/>
    <x v="1"/>
    <d v="2025-09-22T00:00:00"/>
    <n v="101"/>
    <n v="1"/>
    <n v="7000000"/>
    <x v="1"/>
    <x v="1"/>
    <x v="0"/>
    <s v="LLL"/>
    <x v="2"/>
  </r>
  <r>
    <s v="Customer-398"/>
    <x v="4"/>
    <d v="2025-11-06T00:00:00"/>
    <n v="56"/>
    <n v="3"/>
    <n v="15275000"/>
    <x v="0"/>
    <x v="0"/>
    <x v="0"/>
    <s v="HHL"/>
    <x v="0"/>
  </r>
  <r>
    <s v="Customer-399"/>
    <x v="2"/>
    <d v="2025-12-31T00:00:00"/>
    <n v="1"/>
    <n v="1"/>
    <n v="19350000"/>
    <x v="0"/>
    <x v="1"/>
    <x v="0"/>
    <s v="HLL"/>
    <x v="6"/>
  </r>
  <r>
    <s v="Customer-402"/>
    <x v="2"/>
    <d v="2025-11-11T00:00:00"/>
    <n v="51"/>
    <n v="3"/>
    <n v="15475000"/>
    <x v="0"/>
    <x v="0"/>
    <x v="0"/>
    <s v="HHL"/>
    <x v="0"/>
  </r>
  <r>
    <s v="Customer-403"/>
    <x v="1"/>
    <d v="2025-09-18T00:00:00"/>
    <n v="105"/>
    <n v="5"/>
    <n v="61350000"/>
    <x v="1"/>
    <x v="0"/>
    <x v="1"/>
    <s v="LHH"/>
    <x v="5"/>
  </r>
  <r>
    <s v="Customer-404"/>
    <x v="0"/>
    <d v="2025-08-06T00:00:00"/>
    <n v="148"/>
    <n v="1"/>
    <n v="1000000"/>
    <x v="1"/>
    <x v="1"/>
    <x v="0"/>
    <s v="LLL"/>
    <x v="2"/>
  </r>
  <r>
    <s v="Customer-405"/>
    <x v="0"/>
    <d v="2025-02-11T00:00:00"/>
    <n v="324"/>
    <n v="1"/>
    <n v="7200000"/>
    <x v="1"/>
    <x v="1"/>
    <x v="0"/>
    <s v="LLL"/>
    <x v="2"/>
  </r>
  <r>
    <s v="Customer-406"/>
    <x v="0"/>
    <d v="2025-12-23T00:00:00"/>
    <n v="9"/>
    <n v="3"/>
    <n v="23100000"/>
    <x v="0"/>
    <x v="0"/>
    <x v="0"/>
    <s v="HHL"/>
    <x v="0"/>
  </r>
  <r>
    <s v="Customer-407"/>
    <x v="3"/>
    <d v="2025-02-26T00:00:00"/>
    <n v="309"/>
    <n v="1"/>
    <n v="11250000"/>
    <x v="1"/>
    <x v="1"/>
    <x v="0"/>
    <s v="LLL"/>
    <x v="2"/>
  </r>
  <r>
    <s v="Customer-409"/>
    <x v="1"/>
    <d v="2025-02-05T00:00:00"/>
    <n v="330"/>
    <n v="1"/>
    <n v="11250000"/>
    <x v="1"/>
    <x v="1"/>
    <x v="0"/>
    <s v="LLL"/>
    <x v="2"/>
  </r>
  <r>
    <s v="Customer-410"/>
    <x v="1"/>
    <d v="2025-10-30T00:00:00"/>
    <n v="63"/>
    <n v="7"/>
    <n v="1138500000"/>
    <x v="1"/>
    <x v="0"/>
    <x v="1"/>
    <s v="LHH"/>
    <x v="5"/>
  </r>
  <r>
    <s v="Customer-411"/>
    <x v="1"/>
    <d v="2025-11-13T00:00:00"/>
    <n v="49"/>
    <n v="4"/>
    <n v="13490000"/>
    <x v="0"/>
    <x v="0"/>
    <x v="0"/>
    <s v="HHL"/>
    <x v="0"/>
  </r>
  <r>
    <s v="Customer-412"/>
    <x v="0"/>
    <d v="2025-10-07T00:00:00"/>
    <n v="86"/>
    <n v="4"/>
    <n v="46100000"/>
    <x v="1"/>
    <x v="0"/>
    <x v="0"/>
    <s v="LHL"/>
    <x v="3"/>
  </r>
  <r>
    <s v="Customer-413"/>
    <x v="3"/>
    <d v="2025-11-17T00:00:00"/>
    <n v="45"/>
    <n v="4"/>
    <n v="23010000"/>
    <x v="0"/>
    <x v="0"/>
    <x v="0"/>
    <s v="HHL"/>
    <x v="0"/>
  </r>
  <r>
    <s v="Customer-414"/>
    <x v="1"/>
    <d v="2025-12-12T00:00:00"/>
    <n v="20"/>
    <n v="2"/>
    <n v="22680000"/>
    <x v="0"/>
    <x v="1"/>
    <x v="0"/>
    <s v="HLL"/>
    <x v="6"/>
  </r>
  <r>
    <s v="Customer-415"/>
    <x v="0"/>
    <d v="2025-05-16T00:00:00"/>
    <n v="230"/>
    <n v="2"/>
    <n v="24150000"/>
    <x v="1"/>
    <x v="1"/>
    <x v="0"/>
    <s v="LLL"/>
    <x v="2"/>
  </r>
  <r>
    <s v="Customer-417"/>
    <x v="1"/>
    <d v="2025-10-01T00:00:00"/>
    <n v="92"/>
    <n v="1"/>
    <n v="3250000"/>
    <x v="1"/>
    <x v="1"/>
    <x v="0"/>
    <s v="LLL"/>
    <x v="2"/>
  </r>
  <r>
    <s v="Customer-418"/>
    <x v="0"/>
    <d v="2025-04-22T00:00:00"/>
    <n v="254"/>
    <n v="1"/>
    <n v="9500000"/>
    <x v="1"/>
    <x v="1"/>
    <x v="0"/>
    <s v="LLL"/>
    <x v="2"/>
  </r>
  <r>
    <s v="Customer-419"/>
    <x v="3"/>
    <d v="2025-12-03T00:00:00"/>
    <n v="29"/>
    <n v="2"/>
    <n v="15820000"/>
    <x v="0"/>
    <x v="1"/>
    <x v="0"/>
    <s v="HLL"/>
    <x v="6"/>
  </r>
  <r>
    <s v="Customer-420"/>
    <x v="1"/>
    <d v="2025-11-13T00:00:00"/>
    <n v="49"/>
    <n v="2"/>
    <n v="4260000"/>
    <x v="0"/>
    <x v="1"/>
    <x v="0"/>
    <s v="HLL"/>
    <x v="6"/>
  </r>
  <r>
    <s v="Customer-421"/>
    <x v="1"/>
    <d v="2025-10-15T00:00:00"/>
    <n v="78"/>
    <n v="2"/>
    <n v="13230000"/>
    <x v="1"/>
    <x v="1"/>
    <x v="0"/>
    <s v="LLL"/>
    <x v="2"/>
  </r>
  <r>
    <s v="Customer-422"/>
    <x v="4"/>
    <d v="2025-10-21T00:00:00"/>
    <n v="72"/>
    <n v="2"/>
    <n v="20990000"/>
    <x v="1"/>
    <x v="1"/>
    <x v="0"/>
    <s v="LLL"/>
    <x v="2"/>
  </r>
  <r>
    <s v="Customer-423"/>
    <x v="2"/>
    <d v="2025-02-26T00:00:00"/>
    <n v="309"/>
    <n v="1"/>
    <n v="7200000"/>
    <x v="1"/>
    <x v="1"/>
    <x v="0"/>
    <s v="LLL"/>
    <x v="2"/>
  </r>
  <r>
    <s v="Customer-424"/>
    <x v="0"/>
    <d v="2025-10-01T00:00:00"/>
    <n v="92"/>
    <n v="1"/>
    <n v="11000000"/>
    <x v="1"/>
    <x v="1"/>
    <x v="0"/>
    <s v="LLL"/>
    <x v="2"/>
  </r>
  <r>
    <s v="Customer-426"/>
    <x v="0"/>
    <d v="2025-12-16T00:00:00"/>
    <n v="16"/>
    <n v="6"/>
    <n v="58820000"/>
    <x v="0"/>
    <x v="0"/>
    <x v="1"/>
    <s v="HHH"/>
    <x v="1"/>
  </r>
  <r>
    <s v="Customer-427"/>
    <x v="3"/>
    <d v="2025-11-07T00:00:00"/>
    <n v="55"/>
    <n v="1"/>
    <n v="22500000"/>
    <x v="0"/>
    <x v="1"/>
    <x v="0"/>
    <s v="HLL"/>
    <x v="6"/>
  </r>
  <r>
    <s v="Customer-428"/>
    <x v="3"/>
    <d v="2025-12-30T00:00:00"/>
    <n v="2"/>
    <n v="1"/>
    <n v="50400000"/>
    <x v="0"/>
    <x v="1"/>
    <x v="1"/>
    <s v="HLH"/>
    <x v="4"/>
  </r>
  <r>
    <s v="Customer-429"/>
    <x v="0"/>
    <d v="2025-09-11T00:00:00"/>
    <n v="112"/>
    <n v="2"/>
    <n v="7800000"/>
    <x v="1"/>
    <x v="1"/>
    <x v="0"/>
    <s v="LLL"/>
    <x v="2"/>
  </r>
  <r>
    <s v="Customer-430"/>
    <x v="4"/>
    <d v="2025-11-18T00:00:00"/>
    <n v="44"/>
    <n v="2"/>
    <n v="24150000"/>
    <x v="0"/>
    <x v="1"/>
    <x v="0"/>
    <s v="HLL"/>
    <x v="6"/>
  </r>
  <r>
    <s v="Customer-431"/>
    <x v="1"/>
    <d v="2025-09-25T00:00:00"/>
    <n v="98"/>
    <n v="2"/>
    <n v="41400000"/>
    <x v="1"/>
    <x v="1"/>
    <x v="0"/>
    <s v="LLL"/>
    <x v="2"/>
  </r>
  <r>
    <s v="Customer-432"/>
    <x v="2"/>
    <d v="2025-11-18T00:00:00"/>
    <n v="44"/>
    <n v="1"/>
    <n v="57600000"/>
    <x v="0"/>
    <x v="1"/>
    <x v="1"/>
    <s v="HLH"/>
    <x v="4"/>
  </r>
  <r>
    <s v="Customer-433"/>
    <x v="4"/>
    <d v="2025-04-01T00:00:00"/>
    <n v="275"/>
    <n v="1"/>
    <n v="9800000"/>
    <x v="1"/>
    <x v="1"/>
    <x v="0"/>
    <s v="LLL"/>
    <x v="2"/>
  </r>
  <r>
    <s v="Customer-437"/>
    <x v="4"/>
    <d v="2025-09-10T00:00:00"/>
    <n v="113"/>
    <n v="1"/>
    <n v="18000000"/>
    <x v="1"/>
    <x v="1"/>
    <x v="0"/>
    <s v="LLL"/>
    <x v="2"/>
  </r>
  <r>
    <s v="Customer-438"/>
    <x v="2"/>
    <d v="2025-12-12T00:00:00"/>
    <n v="20"/>
    <n v="3"/>
    <n v="13920000"/>
    <x v="0"/>
    <x v="0"/>
    <x v="0"/>
    <s v="HHL"/>
    <x v="0"/>
  </r>
  <r>
    <s v="Customer-440"/>
    <x v="0"/>
    <d v="2025-10-10T00:00:00"/>
    <n v="83"/>
    <n v="2"/>
    <n v="21990000"/>
    <x v="1"/>
    <x v="1"/>
    <x v="0"/>
    <s v="LLL"/>
    <x v="2"/>
  </r>
  <r>
    <s v="Customer-441"/>
    <x v="1"/>
    <d v="2025-11-21T00:00:00"/>
    <n v="41"/>
    <n v="3"/>
    <n v="10950000"/>
    <x v="0"/>
    <x v="0"/>
    <x v="0"/>
    <s v="HHL"/>
    <x v="0"/>
  </r>
  <r>
    <s v="Customer-442"/>
    <x v="4"/>
    <d v="2025-07-11T00:00:00"/>
    <n v="174"/>
    <n v="1"/>
    <n v="1200000"/>
    <x v="1"/>
    <x v="1"/>
    <x v="0"/>
    <s v="LLL"/>
    <x v="2"/>
  </r>
  <r>
    <s v="Customer-443"/>
    <x v="3"/>
    <d v="2025-10-01T00:00:00"/>
    <n v="92"/>
    <n v="1"/>
    <n v="7200000"/>
    <x v="1"/>
    <x v="1"/>
    <x v="0"/>
    <s v="LLL"/>
    <x v="2"/>
  </r>
  <r>
    <s v="Customer-444"/>
    <x v="4"/>
    <d v="2025-07-10T00:00:00"/>
    <n v="175"/>
    <n v="1"/>
    <n v="5950000"/>
    <x v="1"/>
    <x v="1"/>
    <x v="0"/>
    <s v="LLL"/>
    <x v="2"/>
  </r>
  <r>
    <s v="Customer-445"/>
    <x v="0"/>
    <d v="2025-12-25T00:00:00"/>
    <n v="7"/>
    <n v="4"/>
    <n v="26025000"/>
    <x v="0"/>
    <x v="0"/>
    <x v="0"/>
    <s v="HHL"/>
    <x v="0"/>
  </r>
  <r>
    <s v="Customer-446"/>
    <x v="1"/>
    <d v="2025-11-07T00:00:00"/>
    <n v="55"/>
    <n v="6"/>
    <n v="64800000"/>
    <x v="0"/>
    <x v="0"/>
    <x v="1"/>
    <s v="HHH"/>
    <x v="1"/>
  </r>
  <r>
    <s v="Customer-447"/>
    <x v="3"/>
    <d v="2025-01-06T00:00:00"/>
    <n v="360"/>
    <n v="1"/>
    <n v="475000"/>
    <x v="1"/>
    <x v="1"/>
    <x v="0"/>
    <s v="LLL"/>
    <x v="2"/>
  </r>
  <r>
    <s v="Customer-448"/>
    <x v="0"/>
    <d v="2025-08-14T00:00:00"/>
    <n v="140"/>
    <n v="3"/>
    <n v="42025000"/>
    <x v="1"/>
    <x v="0"/>
    <x v="0"/>
    <s v="LHL"/>
    <x v="3"/>
  </r>
  <r>
    <s v="Customer-450"/>
    <x v="1"/>
    <d v="2025-04-30T00:00:00"/>
    <n v="246"/>
    <n v="3"/>
    <n v="27450000"/>
    <x v="1"/>
    <x v="0"/>
    <x v="0"/>
    <s v="LHL"/>
    <x v="3"/>
  </r>
  <r>
    <s v="Customer-452"/>
    <x v="0"/>
    <d v="2025-05-22T00:00:00"/>
    <n v="224"/>
    <n v="2"/>
    <n v="12500000"/>
    <x v="1"/>
    <x v="1"/>
    <x v="0"/>
    <s v="LLL"/>
    <x v="2"/>
  </r>
  <r>
    <s v="Customer-453"/>
    <x v="2"/>
    <d v="2025-10-20T00:00:00"/>
    <n v="73"/>
    <n v="3"/>
    <n v="37800000"/>
    <x v="1"/>
    <x v="0"/>
    <x v="0"/>
    <s v="LHL"/>
    <x v="3"/>
  </r>
  <r>
    <s v="Customer-454"/>
    <x v="2"/>
    <d v="2025-04-01T00:00:00"/>
    <n v="275"/>
    <n v="1"/>
    <n v="4860000"/>
    <x v="1"/>
    <x v="1"/>
    <x v="0"/>
    <s v="LLL"/>
    <x v="2"/>
  </r>
  <r>
    <s v="Customer-455"/>
    <x v="1"/>
    <d v="2025-01-10T00:00:00"/>
    <n v="356"/>
    <n v="1"/>
    <n v="4320000"/>
    <x v="1"/>
    <x v="1"/>
    <x v="0"/>
    <s v="LLL"/>
    <x v="2"/>
  </r>
  <r>
    <s v="Customer-456"/>
    <x v="0"/>
    <d v="2025-07-10T00:00:00"/>
    <n v="175"/>
    <n v="2"/>
    <n v="25200000"/>
    <x v="1"/>
    <x v="1"/>
    <x v="0"/>
    <s v="LLL"/>
    <x v="2"/>
  </r>
  <r>
    <s v="Customer-457"/>
    <x v="2"/>
    <d v="2025-12-12T00:00:00"/>
    <n v="20"/>
    <n v="1"/>
    <n v="5280000"/>
    <x v="0"/>
    <x v="1"/>
    <x v="0"/>
    <s v="HLL"/>
    <x v="6"/>
  </r>
  <r>
    <s v="Customer-458"/>
    <x v="4"/>
    <d v="2025-10-31T00:00:00"/>
    <n v="62"/>
    <n v="3"/>
    <n v="9825000"/>
    <x v="1"/>
    <x v="0"/>
    <x v="0"/>
    <s v="LHL"/>
    <x v="3"/>
  </r>
  <r>
    <s v="Customer-459"/>
    <x v="1"/>
    <d v="2025-09-29T00:00:00"/>
    <n v="94"/>
    <n v="3"/>
    <n v="22100000"/>
    <x v="1"/>
    <x v="0"/>
    <x v="0"/>
    <s v="LHL"/>
    <x v="3"/>
  </r>
  <r>
    <s v="Customer-460"/>
    <x v="3"/>
    <d v="2025-11-07T00:00:00"/>
    <n v="55"/>
    <n v="4"/>
    <n v="31585000"/>
    <x v="0"/>
    <x v="0"/>
    <x v="0"/>
    <s v="HHL"/>
    <x v="0"/>
  </r>
  <r>
    <s v="Customer-461"/>
    <x v="4"/>
    <d v="2025-03-14T00:00:00"/>
    <n v="293"/>
    <n v="1"/>
    <n v="5950000"/>
    <x v="1"/>
    <x v="1"/>
    <x v="0"/>
    <s v="LLL"/>
    <x v="2"/>
  </r>
  <r>
    <s v="Customer-462"/>
    <x v="2"/>
    <d v="2025-04-21T00:00:00"/>
    <n v="255"/>
    <n v="1"/>
    <n v="5220000"/>
    <x v="1"/>
    <x v="1"/>
    <x v="0"/>
    <s v="LLL"/>
    <x v="2"/>
  </r>
  <r>
    <s v="Customer-467"/>
    <x v="4"/>
    <d v="2025-08-27T00:00:00"/>
    <n v="127"/>
    <n v="1"/>
    <n v="10500000"/>
    <x v="1"/>
    <x v="1"/>
    <x v="0"/>
    <s v="LLL"/>
    <x v="2"/>
  </r>
  <r>
    <s v="Customer-468"/>
    <x v="1"/>
    <d v="2025-10-07T00:00:00"/>
    <n v="86"/>
    <n v="1"/>
    <n v="9000000"/>
    <x v="1"/>
    <x v="1"/>
    <x v="0"/>
    <s v="LLL"/>
    <x v="2"/>
  </r>
  <r>
    <s v="Customer-469"/>
    <x v="4"/>
    <d v="2025-12-12T00:00:00"/>
    <n v="20"/>
    <n v="3"/>
    <n v="41940000"/>
    <x v="0"/>
    <x v="0"/>
    <x v="0"/>
    <s v="HHL"/>
    <x v="0"/>
  </r>
  <r>
    <s v="Customer-471"/>
    <x v="1"/>
    <d v="2025-10-17T00:00:00"/>
    <n v="76"/>
    <n v="3"/>
    <n v="25150000"/>
    <x v="1"/>
    <x v="0"/>
    <x v="0"/>
    <s v="LHL"/>
    <x v="3"/>
  </r>
  <r>
    <s v="Customer-472"/>
    <x v="2"/>
    <d v="2025-09-23T00:00:00"/>
    <n v="100"/>
    <n v="3"/>
    <n v="12910000"/>
    <x v="1"/>
    <x v="0"/>
    <x v="0"/>
    <s v="LHL"/>
    <x v="3"/>
  </r>
  <r>
    <s v="Customer-473"/>
    <x v="4"/>
    <d v="2025-06-04T00:00:00"/>
    <n v="211"/>
    <n v="1"/>
    <n v="6250000"/>
    <x v="1"/>
    <x v="1"/>
    <x v="0"/>
    <s v="LLL"/>
    <x v="2"/>
  </r>
  <r>
    <s v="Customer-474"/>
    <x v="1"/>
    <d v="2025-12-04T00:00:00"/>
    <n v="28"/>
    <n v="4"/>
    <n v="20450000"/>
    <x v="0"/>
    <x v="0"/>
    <x v="0"/>
    <s v="HHL"/>
    <x v="0"/>
  </r>
  <r>
    <s v="Customer-475"/>
    <x v="1"/>
    <d v="2025-12-01T00:00:00"/>
    <n v="31"/>
    <n v="2"/>
    <n v="6450000"/>
    <x v="0"/>
    <x v="1"/>
    <x v="0"/>
    <s v="HLL"/>
    <x v="6"/>
  </r>
  <r>
    <s v="Customer-476"/>
    <x v="1"/>
    <d v="2025-08-25T00:00:00"/>
    <n v="129"/>
    <n v="3"/>
    <n v="29990000"/>
    <x v="1"/>
    <x v="0"/>
    <x v="0"/>
    <s v="LHL"/>
    <x v="3"/>
  </r>
  <r>
    <s v="Customer-477"/>
    <x v="4"/>
    <d v="2025-11-25T00:00:00"/>
    <n v="37"/>
    <n v="2"/>
    <n v="11250000"/>
    <x v="0"/>
    <x v="1"/>
    <x v="0"/>
    <s v="HLL"/>
    <x v="6"/>
  </r>
  <r>
    <s v="Customer-478"/>
    <x v="3"/>
    <d v="2025-07-25T00:00:00"/>
    <n v="160"/>
    <n v="1"/>
    <n v="56400000"/>
    <x v="1"/>
    <x v="1"/>
    <x v="1"/>
    <s v="LLH"/>
    <x v="7"/>
  </r>
  <r>
    <s v="Customer-479"/>
    <x v="4"/>
    <d v="2025-08-21T00:00:00"/>
    <n v="133"/>
    <n v="1"/>
    <n v="9000000"/>
    <x v="1"/>
    <x v="1"/>
    <x v="0"/>
    <s v="LLL"/>
    <x v="2"/>
  </r>
  <r>
    <s v="Customer-481"/>
    <x v="2"/>
    <d v="2025-10-22T00:00:00"/>
    <n v="71"/>
    <n v="1"/>
    <n v="2500000"/>
    <x v="1"/>
    <x v="1"/>
    <x v="0"/>
    <s v="LLL"/>
    <x v="2"/>
  </r>
  <r>
    <s v="Customer-482"/>
    <x v="0"/>
    <d v="2025-12-22T00:00:00"/>
    <n v="10"/>
    <n v="7"/>
    <n v="39215000"/>
    <x v="0"/>
    <x v="0"/>
    <x v="0"/>
    <s v="HHL"/>
    <x v="0"/>
  </r>
  <r>
    <s v="Customer-485"/>
    <x v="4"/>
    <d v="2025-05-22T00:00:00"/>
    <n v="224"/>
    <n v="2"/>
    <n v="33900000"/>
    <x v="1"/>
    <x v="1"/>
    <x v="0"/>
    <s v="LLL"/>
    <x v="2"/>
  </r>
  <r>
    <s v="Customer-486"/>
    <x v="1"/>
    <d v="2025-04-15T00:00:00"/>
    <n v="261"/>
    <n v="2"/>
    <n v="19760000"/>
    <x v="1"/>
    <x v="1"/>
    <x v="0"/>
    <s v="LLL"/>
    <x v="2"/>
  </r>
  <r>
    <s v="Customer-488"/>
    <x v="0"/>
    <d v="2025-12-19T00:00:00"/>
    <n v="13"/>
    <n v="1"/>
    <n v="475000"/>
    <x v="0"/>
    <x v="1"/>
    <x v="0"/>
    <s v="HLL"/>
    <x v="6"/>
  </r>
  <r>
    <s v="Customer-489"/>
    <x v="3"/>
    <d v="2025-12-12T00:00:00"/>
    <n v="20"/>
    <n v="1"/>
    <n v="52800000"/>
    <x v="0"/>
    <x v="1"/>
    <x v="1"/>
    <s v="HLH"/>
    <x v="4"/>
  </r>
  <r>
    <s v="Customer-490"/>
    <x v="3"/>
    <d v="2025-10-30T00:00:00"/>
    <n v="63"/>
    <n v="2"/>
    <n v="11650000"/>
    <x v="1"/>
    <x v="1"/>
    <x v="0"/>
    <s v="LLL"/>
    <x v="2"/>
  </r>
  <r>
    <s v="Customer-491"/>
    <x v="4"/>
    <d v="2025-11-04T00:00:00"/>
    <n v="58"/>
    <n v="2"/>
    <n v="44000000"/>
    <x v="0"/>
    <x v="1"/>
    <x v="0"/>
    <s v="HLL"/>
    <x v="6"/>
  </r>
  <r>
    <s v="Customer-492"/>
    <x v="1"/>
    <d v="2025-09-24T00:00:00"/>
    <n v="99"/>
    <n v="2"/>
    <n v="11350000"/>
    <x v="1"/>
    <x v="1"/>
    <x v="0"/>
    <s v="LLL"/>
    <x v="2"/>
  </r>
  <r>
    <s v="Customer-494"/>
    <x v="3"/>
    <d v="2025-11-07T00:00:00"/>
    <n v="55"/>
    <n v="1"/>
    <n v="2880000"/>
    <x v="0"/>
    <x v="1"/>
    <x v="0"/>
    <s v="HLL"/>
    <x v="6"/>
  </r>
  <r>
    <s v="Customer-495"/>
    <x v="0"/>
    <d v="2025-11-18T00:00:00"/>
    <n v="44"/>
    <n v="6"/>
    <n v="1137600000"/>
    <x v="0"/>
    <x v="0"/>
    <x v="1"/>
    <s v="HHH"/>
    <x v="1"/>
  </r>
  <r>
    <s v="Customer-496"/>
    <x v="1"/>
    <d v="2025-10-31T00:00:00"/>
    <n v="62"/>
    <n v="1"/>
    <n v="8200000"/>
    <x v="1"/>
    <x v="1"/>
    <x v="0"/>
    <s v="LLL"/>
    <x v="2"/>
  </r>
  <r>
    <s v="Customer-497"/>
    <x v="0"/>
    <d v="2025-09-10T00:00:00"/>
    <n v="113"/>
    <n v="2"/>
    <n v="29050000"/>
    <x v="1"/>
    <x v="1"/>
    <x v="0"/>
    <s v="LLL"/>
    <x v="2"/>
  </r>
  <r>
    <s v="Customer-499"/>
    <x v="1"/>
    <d v="2025-09-10T00:00:00"/>
    <n v="113"/>
    <n v="9"/>
    <n v="1265250000"/>
    <x v="1"/>
    <x v="0"/>
    <x v="1"/>
    <s v="LHH"/>
    <x v="5"/>
  </r>
  <r>
    <s v="Customer-500"/>
    <x v="4"/>
    <d v="2025-04-08T00:00:00"/>
    <n v="268"/>
    <n v="1"/>
    <n v="5500000"/>
    <x v="1"/>
    <x v="1"/>
    <x v="0"/>
    <s v="LLL"/>
    <x v="2"/>
  </r>
  <r>
    <s v="Customer-501"/>
    <x v="2"/>
    <d v="2025-04-30T00:00:00"/>
    <n v="246"/>
    <n v="2"/>
    <n v="5510000"/>
    <x v="1"/>
    <x v="1"/>
    <x v="0"/>
    <s v="LLL"/>
    <x v="2"/>
  </r>
  <r>
    <s v="Customer-503"/>
    <x v="0"/>
    <d v="2025-10-01T00:00:00"/>
    <n v="92"/>
    <n v="3"/>
    <n v="8960000"/>
    <x v="1"/>
    <x v="0"/>
    <x v="0"/>
    <s v="LHL"/>
    <x v="3"/>
  </r>
  <r>
    <s v="Customer-504"/>
    <x v="2"/>
    <d v="2025-08-05T00:00:00"/>
    <n v="149"/>
    <n v="1"/>
    <n v="13200000"/>
    <x v="1"/>
    <x v="1"/>
    <x v="0"/>
    <s v="LLL"/>
    <x v="2"/>
  </r>
  <r>
    <s v="Customer-505"/>
    <x v="4"/>
    <d v="2025-10-10T00:00:00"/>
    <n v="83"/>
    <n v="4"/>
    <n v="35575000"/>
    <x v="1"/>
    <x v="0"/>
    <x v="0"/>
    <s v="LHL"/>
    <x v="3"/>
  </r>
  <r>
    <s v="Customer-506"/>
    <x v="4"/>
    <d v="2025-12-09T00:00:00"/>
    <n v="23"/>
    <n v="1"/>
    <n v="4920000"/>
    <x v="0"/>
    <x v="1"/>
    <x v="0"/>
    <s v="HLL"/>
    <x v="6"/>
  </r>
  <r>
    <s v="Customer-508"/>
    <x v="0"/>
    <d v="2025-08-05T00:00:00"/>
    <n v="149"/>
    <n v="1"/>
    <n v="6250000"/>
    <x v="1"/>
    <x v="1"/>
    <x v="0"/>
    <s v="LLL"/>
    <x v="2"/>
  </r>
  <r>
    <s v="Customer-509"/>
    <x v="0"/>
    <d v="2025-11-19T00:00:00"/>
    <n v="43"/>
    <n v="3"/>
    <n v="18200000"/>
    <x v="0"/>
    <x v="0"/>
    <x v="0"/>
    <s v="HHL"/>
    <x v="0"/>
  </r>
  <r>
    <s v="Customer-510"/>
    <x v="0"/>
    <d v="2025-09-29T00:00:00"/>
    <n v="94"/>
    <n v="2"/>
    <n v="11250000"/>
    <x v="1"/>
    <x v="1"/>
    <x v="0"/>
    <s v="LLL"/>
    <x v="2"/>
  </r>
  <r>
    <s v="Customer-511"/>
    <x v="2"/>
    <d v="2025-05-21T00:00:00"/>
    <n v="225"/>
    <n v="2"/>
    <n v="2975000"/>
    <x v="1"/>
    <x v="1"/>
    <x v="0"/>
    <s v="LLL"/>
    <x v="2"/>
  </r>
  <r>
    <s v="Customer-512"/>
    <x v="1"/>
    <d v="2025-05-19T00:00:00"/>
    <n v="227"/>
    <n v="2"/>
    <n v="49600000"/>
    <x v="1"/>
    <x v="1"/>
    <x v="1"/>
    <s v="LLH"/>
    <x v="7"/>
  </r>
  <r>
    <s v="Customer-513"/>
    <x v="3"/>
    <d v="2025-03-05T00:00:00"/>
    <n v="302"/>
    <n v="1"/>
    <n v="3800000"/>
    <x v="1"/>
    <x v="1"/>
    <x v="0"/>
    <s v="LLL"/>
    <x v="2"/>
  </r>
  <r>
    <s v="Customer-514"/>
    <x v="4"/>
    <d v="2025-06-04T00:00:00"/>
    <n v="211"/>
    <n v="1"/>
    <n v="525000"/>
    <x v="1"/>
    <x v="1"/>
    <x v="0"/>
    <s v="LLL"/>
    <x v="2"/>
  </r>
  <r>
    <s v="Customer-516"/>
    <x v="4"/>
    <d v="2025-08-26T00:00:00"/>
    <n v="128"/>
    <n v="1"/>
    <n v="7920000"/>
    <x v="1"/>
    <x v="1"/>
    <x v="0"/>
    <s v="LLL"/>
    <x v="2"/>
  </r>
  <r>
    <s v="Customer-517"/>
    <x v="1"/>
    <d v="2025-11-04T00:00:00"/>
    <n v="58"/>
    <n v="5"/>
    <n v="44830000"/>
    <x v="0"/>
    <x v="0"/>
    <x v="0"/>
    <s v="HHL"/>
    <x v="0"/>
  </r>
  <r>
    <s v="Customer-518"/>
    <x v="3"/>
    <d v="2025-08-21T00:00:00"/>
    <n v="133"/>
    <n v="4"/>
    <n v="17950000"/>
    <x v="1"/>
    <x v="0"/>
    <x v="0"/>
    <s v="LHL"/>
    <x v="3"/>
  </r>
  <r>
    <s v="Customer-519"/>
    <x v="3"/>
    <d v="2025-08-05T00:00:00"/>
    <n v="149"/>
    <n v="1"/>
    <n v="2640000"/>
    <x v="1"/>
    <x v="1"/>
    <x v="0"/>
    <s v="LLL"/>
    <x v="2"/>
  </r>
  <r>
    <s v="Customer-520"/>
    <x v="1"/>
    <d v="2025-11-19T00:00:00"/>
    <n v="43"/>
    <n v="3"/>
    <n v="12420000"/>
    <x v="0"/>
    <x v="0"/>
    <x v="0"/>
    <s v="HHL"/>
    <x v="0"/>
  </r>
  <r>
    <s v="Customer-521"/>
    <x v="3"/>
    <d v="2025-03-25T00:00:00"/>
    <n v="282"/>
    <n v="1"/>
    <n v="750000"/>
    <x v="1"/>
    <x v="1"/>
    <x v="0"/>
    <s v="LLL"/>
    <x v="2"/>
  </r>
  <r>
    <s v="Customer-522"/>
    <x v="2"/>
    <d v="2025-09-18T00:00:00"/>
    <n v="105"/>
    <n v="1"/>
    <n v="8100000"/>
    <x v="1"/>
    <x v="1"/>
    <x v="0"/>
    <s v="LLL"/>
    <x v="2"/>
  </r>
  <r>
    <s v="Customer-523"/>
    <x v="1"/>
    <d v="2025-10-31T00:00:00"/>
    <n v="62"/>
    <n v="4"/>
    <n v="51520000"/>
    <x v="1"/>
    <x v="0"/>
    <x v="1"/>
    <s v="LHH"/>
    <x v="5"/>
  </r>
  <r>
    <s v="Customer-524"/>
    <x v="1"/>
    <d v="2025-06-30T00:00:00"/>
    <n v="185"/>
    <n v="1"/>
    <n v="4900000"/>
    <x v="1"/>
    <x v="1"/>
    <x v="0"/>
    <s v="LLL"/>
    <x v="2"/>
  </r>
  <r>
    <s v="Customer-525"/>
    <x v="0"/>
    <d v="2025-03-24T00:00:00"/>
    <n v="283"/>
    <n v="1"/>
    <n v="4500000"/>
    <x v="1"/>
    <x v="1"/>
    <x v="0"/>
    <s v="LLL"/>
    <x v="2"/>
  </r>
  <r>
    <s v="Customer-526"/>
    <x v="4"/>
    <d v="2025-08-12T00:00:00"/>
    <n v="142"/>
    <n v="2"/>
    <n v="21000000"/>
    <x v="1"/>
    <x v="1"/>
    <x v="0"/>
    <s v="LLL"/>
    <x v="2"/>
  </r>
  <r>
    <s v="Customer-527"/>
    <x v="3"/>
    <d v="2025-10-30T00:00:00"/>
    <n v="63"/>
    <n v="1"/>
    <n v="11900000"/>
    <x v="1"/>
    <x v="1"/>
    <x v="0"/>
    <s v="LLL"/>
    <x v="2"/>
  </r>
  <r>
    <s v="Customer-528"/>
    <x v="1"/>
    <d v="2025-03-10T00:00:00"/>
    <n v="297"/>
    <n v="1"/>
    <n v="4250000"/>
    <x v="1"/>
    <x v="1"/>
    <x v="0"/>
    <s v="LLL"/>
    <x v="2"/>
  </r>
  <r>
    <s v="Customer-530"/>
    <x v="4"/>
    <d v="2025-09-24T00:00:00"/>
    <n v="99"/>
    <n v="3"/>
    <n v="27900000"/>
    <x v="1"/>
    <x v="0"/>
    <x v="0"/>
    <s v="LHL"/>
    <x v="3"/>
  </r>
  <r>
    <s v="Customer-532"/>
    <x v="1"/>
    <d v="2025-08-25T00:00:00"/>
    <n v="129"/>
    <n v="1"/>
    <n v="4950000"/>
    <x v="1"/>
    <x v="1"/>
    <x v="0"/>
    <s v="LLL"/>
    <x v="2"/>
  </r>
  <r>
    <s v="Customer-533"/>
    <x v="4"/>
    <d v="2025-03-11T00:00:00"/>
    <n v="296"/>
    <n v="1"/>
    <n v="13500000"/>
    <x v="1"/>
    <x v="1"/>
    <x v="0"/>
    <s v="LLL"/>
    <x v="2"/>
  </r>
  <r>
    <s v="Customer-534"/>
    <x v="3"/>
    <d v="2025-12-24T00:00:00"/>
    <n v="8"/>
    <n v="2"/>
    <n v="7065000"/>
    <x v="0"/>
    <x v="1"/>
    <x v="0"/>
    <s v="HLL"/>
    <x v="6"/>
  </r>
  <r>
    <s v="Customer-535"/>
    <x v="1"/>
    <d v="2025-09-19T00:00:00"/>
    <n v="104"/>
    <n v="3"/>
    <n v="52740000"/>
    <x v="1"/>
    <x v="0"/>
    <x v="1"/>
    <s v="LHH"/>
    <x v="5"/>
  </r>
  <r>
    <s v="Customer-536"/>
    <x v="1"/>
    <d v="2025-12-09T00:00:00"/>
    <n v="23"/>
    <n v="4"/>
    <n v="60160000"/>
    <x v="0"/>
    <x v="0"/>
    <x v="1"/>
    <s v="HHH"/>
    <x v="1"/>
  </r>
  <r>
    <s v="Customer-537"/>
    <x v="0"/>
    <d v="2025-08-20T00:00:00"/>
    <n v="134"/>
    <n v="5"/>
    <n v="40525000"/>
    <x v="1"/>
    <x v="0"/>
    <x v="0"/>
    <s v="LHL"/>
    <x v="3"/>
  </r>
  <r>
    <s v="Customer-538"/>
    <x v="0"/>
    <d v="2025-12-16T00:00:00"/>
    <n v="16"/>
    <n v="2"/>
    <n v="5820000"/>
    <x v="0"/>
    <x v="1"/>
    <x v="0"/>
    <s v="HLL"/>
    <x v="6"/>
  </r>
  <r>
    <s v="Customer-539"/>
    <x v="2"/>
    <d v="2025-01-10T00:00:00"/>
    <n v="356"/>
    <n v="1"/>
    <n v="14500000"/>
    <x v="1"/>
    <x v="1"/>
    <x v="0"/>
    <s v="LLL"/>
    <x v="2"/>
  </r>
  <r>
    <s v="Customer-540"/>
    <x v="3"/>
    <d v="2025-11-11T00:00:00"/>
    <n v="51"/>
    <n v="4"/>
    <n v="20200000"/>
    <x v="0"/>
    <x v="0"/>
    <x v="0"/>
    <s v="HHL"/>
    <x v="0"/>
  </r>
  <r>
    <s v="Customer-542"/>
    <x v="4"/>
    <d v="2025-09-25T00:00:00"/>
    <n v="98"/>
    <n v="2"/>
    <n v="46500000"/>
    <x v="1"/>
    <x v="1"/>
    <x v="0"/>
    <s v="LLL"/>
    <x v="2"/>
  </r>
  <r>
    <s v="Customer-543"/>
    <x v="3"/>
    <d v="2025-10-24T00:00:00"/>
    <n v="69"/>
    <n v="3"/>
    <n v="42550000"/>
    <x v="1"/>
    <x v="0"/>
    <x v="0"/>
    <s v="LHL"/>
    <x v="3"/>
  </r>
  <r>
    <s v="Customer-544"/>
    <x v="2"/>
    <d v="2025-12-22T00:00:00"/>
    <n v="10"/>
    <n v="2"/>
    <n v="8375000"/>
    <x v="0"/>
    <x v="1"/>
    <x v="0"/>
    <s v="HLL"/>
    <x v="6"/>
  </r>
  <r>
    <s v="Customer-545"/>
    <x v="4"/>
    <d v="2025-05-22T00:00:00"/>
    <n v="224"/>
    <n v="1"/>
    <n v="3600000"/>
    <x v="1"/>
    <x v="1"/>
    <x v="0"/>
    <s v="LLL"/>
    <x v="2"/>
  </r>
  <r>
    <s v="Customer-546"/>
    <x v="4"/>
    <d v="2025-10-22T00:00:00"/>
    <n v="71"/>
    <n v="1"/>
    <n v="19200000"/>
    <x v="1"/>
    <x v="1"/>
    <x v="0"/>
    <s v="LLL"/>
    <x v="2"/>
  </r>
  <r>
    <s v="Customer-547"/>
    <x v="1"/>
    <d v="2025-05-21T00:00:00"/>
    <n v="225"/>
    <n v="1"/>
    <n v="840000"/>
    <x v="1"/>
    <x v="1"/>
    <x v="0"/>
    <s v="LLL"/>
    <x v="2"/>
  </r>
  <r>
    <s v="Customer-548"/>
    <x v="2"/>
    <d v="2025-10-14T00:00:00"/>
    <n v="79"/>
    <n v="4"/>
    <n v="42350000"/>
    <x v="1"/>
    <x v="0"/>
    <x v="0"/>
    <s v="LHL"/>
    <x v="3"/>
  </r>
  <r>
    <s v="Customer-549"/>
    <x v="2"/>
    <d v="2025-06-09T00:00:00"/>
    <n v="206"/>
    <n v="1"/>
    <n v="26600000"/>
    <x v="1"/>
    <x v="1"/>
    <x v="0"/>
    <s v="LLL"/>
    <x v="2"/>
  </r>
  <r>
    <s v="Customer-550"/>
    <x v="2"/>
    <d v="2025-11-24T00:00:00"/>
    <n v="38"/>
    <n v="2"/>
    <n v="17300000"/>
    <x v="0"/>
    <x v="1"/>
    <x v="0"/>
    <s v="HLL"/>
    <x v="6"/>
  </r>
  <r>
    <s v="Customer-551"/>
    <x v="4"/>
    <d v="2025-12-03T00:00:00"/>
    <n v="29"/>
    <n v="1"/>
    <n v="4750000"/>
    <x v="0"/>
    <x v="1"/>
    <x v="0"/>
    <s v="HLL"/>
    <x v="6"/>
  </r>
  <r>
    <s v="Customer-552"/>
    <x v="0"/>
    <d v="2025-04-09T00:00:00"/>
    <n v="267"/>
    <n v="1"/>
    <n v="35150000"/>
    <x v="1"/>
    <x v="1"/>
    <x v="0"/>
    <s v="LLL"/>
    <x v="2"/>
  </r>
  <r>
    <s v="Customer-553"/>
    <x v="0"/>
    <d v="2025-11-26T00:00:00"/>
    <n v="36"/>
    <n v="4"/>
    <n v="27320000"/>
    <x v="0"/>
    <x v="0"/>
    <x v="0"/>
    <s v="HHL"/>
    <x v="0"/>
  </r>
  <r>
    <s v="Customer-556"/>
    <x v="0"/>
    <d v="2025-01-17T00:00:00"/>
    <n v="349"/>
    <n v="1"/>
    <n v="18000000"/>
    <x v="1"/>
    <x v="1"/>
    <x v="0"/>
    <s v="LLL"/>
    <x v="2"/>
  </r>
  <r>
    <s v="Customer-557"/>
    <x v="0"/>
    <d v="2025-06-05T00:00:00"/>
    <n v="210"/>
    <n v="2"/>
    <n v="7325000"/>
    <x v="1"/>
    <x v="1"/>
    <x v="0"/>
    <s v="LLL"/>
    <x v="2"/>
  </r>
  <r>
    <s v="Customer-558"/>
    <x v="1"/>
    <d v="2025-11-11T00:00:00"/>
    <n v="51"/>
    <n v="3"/>
    <n v="28800000"/>
    <x v="0"/>
    <x v="0"/>
    <x v="0"/>
    <s v="HHL"/>
    <x v="0"/>
  </r>
  <r>
    <s v="Customer-559"/>
    <x v="3"/>
    <d v="2025-12-22T00:00:00"/>
    <n v="10"/>
    <n v="4"/>
    <n v="13515000"/>
    <x v="0"/>
    <x v="0"/>
    <x v="0"/>
    <s v="HHL"/>
    <x v="0"/>
  </r>
  <r>
    <s v="Customer-560"/>
    <x v="0"/>
    <d v="2025-12-31T00:00:00"/>
    <n v="1"/>
    <n v="3"/>
    <n v="67000000"/>
    <x v="0"/>
    <x v="0"/>
    <x v="1"/>
    <s v="HHH"/>
    <x v="1"/>
  </r>
  <r>
    <s v="Customer-561"/>
    <x v="0"/>
    <d v="2025-11-24T00:00:00"/>
    <n v="38"/>
    <n v="5"/>
    <n v="54250000"/>
    <x v="0"/>
    <x v="0"/>
    <x v="1"/>
    <s v="HHH"/>
    <x v="1"/>
  </r>
  <r>
    <s v="Customer-562"/>
    <x v="2"/>
    <d v="2025-12-03T00:00:00"/>
    <n v="29"/>
    <n v="2"/>
    <n v="35100000"/>
    <x v="0"/>
    <x v="1"/>
    <x v="0"/>
    <s v="HLL"/>
    <x v="6"/>
  </r>
  <r>
    <s v="Customer-563"/>
    <x v="1"/>
    <d v="2025-11-25T00:00:00"/>
    <n v="37"/>
    <n v="3"/>
    <n v="900500000"/>
    <x v="0"/>
    <x v="0"/>
    <x v="1"/>
    <s v="HHH"/>
    <x v="1"/>
  </r>
  <r>
    <s v="Customer-564"/>
    <x v="4"/>
    <d v="2025-03-17T00:00:00"/>
    <n v="290"/>
    <n v="1"/>
    <n v="2760000"/>
    <x v="1"/>
    <x v="1"/>
    <x v="0"/>
    <s v="LLL"/>
    <x v="2"/>
  </r>
  <r>
    <s v="Customer-565"/>
    <x v="1"/>
    <d v="2025-09-10T00:00:00"/>
    <n v="113"/>
    <n v="1"/>
    <n v="7200000"/>
    <x v="1"/>
    <x v="1"/>
    <x v="0"/>
    <s v="LLL"/>
    <x v="2"/>
  </r>
  <r>
    <s v="Customer-566"/>
    <x v="2"/>
    <d v="2025-10-30T00:00:00"/>
    <n v="63"/>
    <n v="1"/>
    <n v="5640000"/>
    <x v="1"/>
    <x v="1"/>
    <x v="0"/>
    <s v="LLL"/>
    <x v="2"/>
  </r>
  <r>
    <s v="Customer-569"/>
    <x v="0"/>
    <d v="2025-10-30T00:00:00"/>
    <n v="63"/>
    <n v="1"/>
    <n v="16800000"/>
    <x v="1"/>
    <x v="1"/>
    <x v="0"/>
    <s v="LLL"/>
    <x v="2"/>
  </r>
  <r>
    <s v="Customer-571"/>
    <x v="4"/>
    <d v="2025-10-15T00:00:00"/>
    <n v="78"/>
    <n v="1"/>
    <n v="21150000"/>
    <x v="1"/>
    <x v="1"/>
    <x v="0"/>
    <s v="LLL"/>
    <x v="2"/>
  </r>
  <r>
    <s v="Customer-572"/>
    <x v="1"/>
    <d v="2025-12-09T00:00:00"/>
    <n v="23"/>
    <n v="2"/>
    <n v="19200000"/>
    <x v="0"/>
    <x v="1"/>
    <x v="0"/>
    <s v="HLL"/>
    <x v="6"/>
  </r>
  <r>
    <s v="Customer-574"/>
    <x v="3"/>
    <d v="2025-10-10T00:00:00"/>
    <n v="83"/>
    <n v="5"/>
    <n v="54710000"/>
    <x v="1"/>
    <x v="0"/>
    <x v="1"/>
    <s v="LHH"/>
    <x v="5"/>
  </r>
  <r>
    <s v="Customer-575"/>
    <x v="3"/>
    <d v="2025-12-25T00:00:00"/>
    <n v="7"/>
    <n v="3"/>
    <n v="934000000"/>
    <x v="0"/>
    <x v="0"/>
    <x v="1"/>
    <s v="HHH"/>
    <x v="1"/>
  </r>
  <r>
    <s v="Customer-576"/>
    <x v="0"/>
    <d v="2025-12-30T00:00:00"/>
    <n v="2"/>
    <n v="5"/>
    <n v="66500000"/>
    <x v="0"/>
    <x v="0"/>
    <x v="1"/>
    <s v="HHH"/>
    <x v="1"/>
  </r>
  <r>
    <s v="Customer-577"/>
    <x v="1"/>
    <d v="2025-05-19T00:00:00"/>
    <n v="227"/>
    <n v="1"/>
    <n v="6480000"/>
    <x v="1"/>
    <x v="1"/>
    <x v="0"/>
    <s v="LLL"/>
    <x v="2"/>
  </r>
  <r>
    <s v="Customer-578"/>
    <x v="3"/>
    <d v="2025-04-21T00:00:00"/>
    <n v="255"/>
    <n v="1"/>
    <n v="9750000"/>
    <x v="1"/>
    <x v="1"/>
    <x v="0"/>
    <s v="LLL"/>
    <x v="2"/>
  </r>
  <r>
    <s v="Customer-579"/>
    <x v="4"/>
    <d v="2025-11-13T00:00:00"/>
    <n v="49"/>
    <n v="2"/>
    <n v="19250000"/>
    <x v="0"/>
    <x v="1"/>
    <x v="0"/>
    <s v="HLL"/>
    <x v="6"/>
  </r>
  <r>
    <s v="Customer-580"/>
    <x v="4"/>
    <d v="2025-09-23T00:00:00"/>
    <n v="100"/>
    <n v="3"/>
    <n v="44350000"/>
    <x v="1"/>
    <x v="0"/>
    <x v="0"/>
    <s v="LHL"/>
    <x v="3"/>
  </r>
  <r>
    <s v="Customer-581"/>
    <x v="2"/>
    <d v="2025-11-19T00:00:00"/>
    <n v="43"/>
    <n v="3"/>
    <n v="12930000"/>
    <x v="0"/>
    <x v="0"/>
    <x v="0"/>
    <s v="HHL"/>
    <x v="0"/>
  </r>
  <r>
    <s v="Customer-582"/>
    <x v="1"/>
    <d v="2025-09-11T00:00:00"/>
    <n v="112"/>
    <n v="1"/>
    <n v="13650000"/>
    <x v="1"/>
    <x v="1"/>
    <x v="0"/>
    <s v="LLL"/>
    <x v="2"/>
  </r>
  <r>
    <s v="Customer-585"/>
    <x v="0"/>
    <d v="2025-05-28T00:00:00"/>
    <n v="218"/>
    <n v="1"/>
    <n v="7700000"/>
    <x v="1"/>
    <x v="1"/>
    <x v="0"/>
    <s v="LLL"/>
    <x v="2"/>
  </r>
  <r>
    <s v="Customer-586"/>
    <x v="4"/>
    <d v="2025-11-13T00:00:00"/>
    <n v="49"/>
    <n v="3"/>
    <n v="12380000"/>
    <x v="0"/>
    <x v="0"/>
    <x v="0"/>
    <s v="HHL"/>
    <x v="0"/>
  </r>
  <r>
    <s v="Customer-587"/>
    <x v="3"/>
    <d v="2025-07-23T00:00:00"/>
    <n v="162"/>
    <n v="1"/>
    <n v="4200000"/>
    <x v="1"/>
    <x v="1"/>
    <x v="0"/>
    <s v="LLL"/>
    <x v="2"/>
  </r>
  <r>
    <s v="Customer-588"/>
    <x v="0"/>
    <d v="2025-11-17T00:00:00"/>
    <n v="45"/>
    <n v="4"/>
    <n v="19950000"/>
    <x v="0"/>
    <x v="0"/>
    <x v="0"/>
    <s v="HHL"/>
    <x v="0"/>
  </r>
  <r>
    <s v="Customer-589"/>
    <x v="2"/>
    <d v="2025-12-19T00:00:00"/>
    <n v="13"/>
    <n v="1"/>
    <n v="1100000"/>
    <x v="0"/>
    <x v="1"/>
    <x v="0"/>
    <s v="HLL"/>
    <x v="6"/>
  </r>
  <r>
    <s v="Customer-591"/>
    <x v="1"/>
    <d v="2025-05-05T00:00:00"/>
    <n v="241"/>
    <n v="1"/>
    <n v="4800000"/>
    <x v="1"/>
    <x v="1"/>
    <x v="0"/>
    <s v="LLL"/>
    <x v="2"/>
  </r>
  <r>
    <s v="Customer-592"/>
    <x v="4"/>
    <d v="2025-11-07T00:00:00"/>
    <n v="55"/>
    <n v="2"/>
    <n v="10560000"/>
    <x v="0"/>
    <x v="1"/>
    <x v="0"/>
    <s v="HLL"/>
    <x v="6"/>
  </r>
  <r>
    <s v="Customer-593"/>
    <x v="0"/>
    <d v="2025-11-11T00:00:00"/>
    <n v="51"/>
    <n v="2"/>
    <n v="21400000"/>
    <x v="0"/>
    <x v="1"/>
    <x v="0"/>
    <s v="HLL"/>
    <x v="6"/>
  </r>
  <r>
    <s v="Customer-594"/>
    <x v="2"/>
    <d v="2025-05-28T00:00:00"/>
    <n v="218"/>
    <n v="1"/>
    <n v="8400000"/>
    <x v="1"/>
    <x v="1"/>
    <x v="0"/>
    <s v="LLL"/>
    <x v="2"/>
  </r>
  <r>
    <s v="Customer-595"/>
    <x v="2"/>
    <d v="2025-09-30T00:00:00"/>
    <n v="93"/>
    <n v="3"/>
    <n v="4595000"/>
    <x v="1"/>
    <x v="0"/>
    <x v="0"/>
    <s v="LHL"/>
    <x v="3"/>
  </r>
  <r>
    <s v="Customer-596"/>
    <x v="0"/>
    <d v="2025-07-14T00:00:00"/>
    <n v="171"/>
    <n v="3"/>
    <n v="35350000"/>
    <x v="1"/>
    <x v="0"/>
    <x v="0"/>
    <s v="LHL"/>
    <x v="3"/>
  </r>
  <r>
    <s v="Customer-597"/>
    <x v="3"/>
    <d v="2025-11-05T00:00:00"/>
    <n v="57"/>
    <n v="3"/>
    <n v="38520000"/>
    <x v="0"/>
    <x v="0"/>
    <x v="0"/>
    <s v="HHL"/>
    <x v="0"/>
  </r>
  <r>
    <s v="Customer-598"/>
    <x v="3"/>
    <d v="2025-09-18T00:00:00"/>
    <n v="105"/>
    <n v="1"/>
    <n v="14250000"/>
    <x v="1"/>
    <x v="1"/>
    <x v="0"/>
    <s v="LLL"/>
    <x v="2"/>
  </r>
  <r>
    <s v="Customer-599"/>
    <x v="3"/>
    <d v="2025-07-24T00:00:00"/>
    <n v="161"/>
    <n v="1"/>
    <n v="800000"/>
    <x v="1"/>
    <x v="1"/>
    <x v="0"/>
    <s v="LLL"/>
    <x v="2"/>
  </r>
  <r>
    <s v="Customer-601"/>
    <x v="3"/>
    <d v="2025-10-07T00:00:00"/>
    <n v="86"/>
    <n v="2"/>
    <n v="15100000"/>
    <x v="1"/>
    <x v="1"/>
    <x v="0"/>
    <s v="LLL"/>
    <x v="2"/>
  </r>
  <r>
    <s v="Customer-603"/>
    <x v="0"/>
    <d v="2025-12-22T00:00:00"/>
    <n v="10"/>
    <n v="7"/>
    <n v="56820000"/>
    <x v="0"/>
    <x v="0"/>
    <x v="1"/>
    <s v="HHH"/>
    <x v="1"/>
  </r>
  <r>
    <s v="Customer-604"/>
    <x v="1"/>
    <d v="2025-04-15T00:00:00"/>
    <n v="261"/>
    <n v="2"/>
    <n v="25530000"/>
    <x v="1"/>
    <x v="1"/>
    <x v="0"/>
    <s v="LLL"/>
    <x v="2"/>
  </r>
  <r>
    <s v="Customer-606"/>
    <x v="1"/>
    <d v="2025-08-19T00:00:00"/>
    <n v="135"/>
    <n v="2"/>
    <n v="10260000"/>
    <x v="1"/>
    <x v="1"/>
    <x v="0"/>
    <s v="LLL"/>
    <x v="2"/>
  </r>
  <r>
    <s v="Customer-607"/>
    <x v="1"/>
    <d v="2025-05-28T00:00:00"/>
    <n v="218"/>
    <n v="2"/>
    <n v="9120000"/>
    <x v="1"/>
    <x v="1"/>
    <x v="0"/>
    <s v="LLL"/>
    <x v="2"/>
  </r>
  <r>
    <s v="Customer-608"/>
    <x v="0"/>
    <d v="2025-04-03T00:00:00"/>
    <n v="273"/>
    <n v="3"/>
    <n v="74250000"/>
    <x v="1"/>
    <x v="0"/>
    <x v="1"/>
    <s v="LHH"/>
    <x v="5"/>
  </r>
  <r>
    <s v="Customer-609"/>
    <x v="0"/>
    <d v="2025-11-11T00:00:00"/>
    <n v="51"/>
    <n v="2"/>
    <n v="19600000"/>
    <x v="0"/>
    <x v="1"/>
    <x v="0"/>
    <s v="HLL"/>
    <x v="6"/>
  </r>
  <r>
    <s v="Customer-610"/>
    <x v="0"/>
    <d v="2025-10-31T00:00:00"/>
    <n v="62"/>
    <n v="1"/>
    <n v="4860000"/>
    <x v="1"/>
    <x v="1"/>
    <x v="0"/>
    <s v="LLL"/>
    <x v="2"/>
  </r>
  <r>
    <s v="Customer-611"/>
    <x v="0"/>
    <d v="2025-05-22T00:00:00"/>
    <n v="224"/>
    <n v="1"/>
    <n v="1200000"/>
    <x v="1"/>
    <x v="1"/>
    <x v="0"/>
    <s v="LLL"/>
    <x v="2"/>
  </r>
  <r>
    <s v="Customer-614"/>
    <x v="4"/>
    <d v="2025-05-19T00:00:00"/>
    <n v="227"/>
    <n v="2"/>
    <n v="53050000"/>
    <x v="1"/>
    <x v="1"/>
    <x v="1"/>
    <s v="LLH"/>
    <x v="7"/>
  </r>
  <r>
    <s v="Customer-615"/>
    <x v="1"/>
    <d v="2025-12-04T00:00:00"/>
    <n v="28"/>
    <n v="1"/>
    <n v="7020000"/>
    <x v="0"/>
    <x v="1"/>
    <x v="0"/>
    <s v="HLL"/>
    <x v="6"/>
  </r>
  <r>
    <s v="Customer-616"/>
    <x v="4"/>
    <d v="2025-07-11T00:00:00"/>
    <n v="174"/>
    <n v="2"/>
    <n v="31100000"/>
    <x v="1"/>
    <x v="1"/>
    <x v="0"/>
    <s v="LLL"/>
    <x v="2"/>
  </r>
  <r>
    <s v="Customer-617"/>
    <x v="0"/>
    <d v="2025-11-18T00:00:00"/>
    <n v="44"/>
    <n v="4"/>
    <n v="77330000"/>
    <x v="0"/>
    <x v="0"/>
    <x v="1"/>
    <s v="HHH"/>
    <x v="1"/>
  </r>
  <r>
    <s v="Customer-618"/>
    <x v="2"/>
    <d v="2025-04-01T00:00:00"/>
    <n v="275"/>
    <n v="2"/>
    <n v="9160000"/>
    <x v="1"/>
    <x v="1"/>
    <x v="0"/>
    <s v="LLL"/>
    <x v="2"/>
  </r>
  <r>
    <s v="Customer-619"/>
    <x v="2"/>
    <d v="2025-12-31T00:00:00"/>
    <n v="1"/>
    <n v="3"/>
    <n v="17800000"/>
    <x v="0"/>
    <x v="0"/>
    <x v="0"/>
    <s v="HHL"/>
    <x v="0"/>
  </r>
  <r>
    <s v="Customer-620"/>
    <x v="1"/>
    <d v="2025-11-07T00:00:00"/>
    <n v="55"/>
    <n v="6"/>
    <n v="1357000000"/>
    <x v="0"/>
    <x v="0"/>
    <x v="1"/>
    <s v="HHH"/>
    <x v="1"/>
  </r>
  <r>
    <s v="Customer-621"/>
    <x v="3"/>
    <d v="2025-09-11T00:00:00"/>
    <n v="112"/>
    <n v="2"/>
    <n v="24750000"/>
    <x v="1"/>
    <x v="1"/>
    <x v="0"/>
    <s v="LLL"/>
    <x v="2"/>
  </r>
  <r>
    <s v="Customer-624"/>
    <x v="0"/>
    <d v="2025-11-04T00:00:00"/>
    <n v="58"/>
    <n v="2"/>
    <n v="26440000"/>
    <x v="0"/>
    <x v="1"/>
    <x v="0"/>
    <s v="HLL"/>
    <x v="6"/>
  </r>
  <r>
    <s v="Customer-625"/>
    <x v="0"/>
    <d v="2025-09-04T00:00:00"/>
    <n v="119"/>
    <n v="6"/>
    <n v="30100000"/>
    <x v="1"/>
    <x v="0"/>
    <x v="0"/>
    <s v="LHL"/>
    <x v="3"/>
  </r>
  <r>
    <s v="Customer-626"/>
    <x v="0"/>
    <d v="2025-09-12T00:00:00"/>
    <n v="111"/>
    <n v="6"/>
    <n v="46155000"/>
    <x v="1"/>
    <x v="0"/>
    <x v="0"/>
    <s v="LHL"/>
    <x v="3"/>
  </r>
  <r>
    <s v="Customer-628"/>
    <x v="0"/>
    <d v="2025-12-16T00:00:00"/>
    <n v="16"/>
    <n v="5"/>
    <n v="34375000"/>
    <x v="0"/>
    <x v="0"/>
    <x v="0"/>
    <s v="HHL"/>
    <x v="0"/>
  </r>
  <r>
    <s v="Customer-630"/>
    <x v="2"/>
    <d v="2025-11-05T00:00:00"/>
    <n v="57"/>
    <n v="1"/>
    <n v="8600000"/>
    <x v="0"/>
    <x v="1"/>
    <x v="0"/>
    <s v="HLL"/>
    <x v="6"/>
  </r>
  <r>
    <s v="Customer-631"/>
    <x v="1"/>
    <d v="2025-05-22T00:00:00"/>
    <n v="224"/>
    <n v="1"/>
    <n v="29450000"/>
    <x v="1"/>
    <x v="1"/>
    <x v="0"/>
    <s v="LLL"/>
    <x v="2"/>
  </r>
  <r>
    <s v="Customer-632"/>
    <x v="1"/>
    <d v="2025-08-19T00:00:00"/>
    <n v="135"/>
    <n v="4"/>
    <n v="39250000"/>
    <x v="1"/>
    <x v="0"/>
    <x v="0"/>
    <s v="LHL"/>
    <x v="3"/>
  </r>
  <r>
    <s v="Customer-633"/>
    <x v="3"/>
    <d v="2025-10-10T00:00:00"/>
    <n v="83"/>
    <n v="2"/>
    <n v="7740000"/>
    <x v="1"/>
    <x v="1"/>
    <x v="0"/>
    <s v="LLL"/>
    <x v="2"/>
  </r>
  <r>
    <s v="Customer-634"/>
    <x v="1"/>
    <d v="2025-11-26T00:00:00"/>
    <n v="36"/>
    <n v="2"/>
    <n v="20700000"/>
    <x v="0"/>
    <x v="1"/>
    <x v="0"/>
    <s v="HLL"/>
    <x v="6"/>
  </r>
  <r>
    <s v="Customer-635"/>
    <x v="3"/>
    <d v="2025-12-16T00:00:00"/>
    <n v="16"/>
    <n v="2"/>
    <n v="10940000"/>
    <x v="0"/>
    <x v="1"/>
    <x v="0"/>
    <s v="HLL"/>
    <x v="6"/>
  </r>
  <r>
    <s v="Customer-636"/>
    <x v="3"/>
    <d v="2025-09-24T00:00:00"/>
    <n v="99"/>
    <n v="2"/>
    <n v="11710000"/>
    <x v="1"/>
    <x v="1"/>
    <x v="0"/>
    <s v="LLL"/>
    <x v="2"/>
  </r>
  <r>
    <s v="Customer-638"/>
    <x v="2"/>
    <d v="2025-05-08T00:00:00"/>
    <n v="238"/>
    <n v="1"/>
    <n v="6300000"/>
    <x v="1"/>
    <x v="1"/>
    <x v="0"/>
    <s v="LLL"/>
    <x v="2"/>
  </r>
  <r>
    <s v="Customer-639"/>
    <x v="2"/>
    <d v="2025-03-31T00:00:00"/>
    <n v="276"/>
    <n v="1"/>
    <n v="9400000"/>
    <x v="1"/>
    <x v="1"/>
    <x v="0"/>
    <s v="LLL"/>
    <x v="2"/>
  </r>
  <r>
    <s v="Customer-640"/>
    <x v="2"/>
    <d v="2025-07-10T00:00:00"/>
    <n v="175"/>
    <n v="4"/>
    <n v="59500000"/>
    <x v="1"/>
    <x v="0"/>
    <x v="1"/>
    <s v="LHH"/>
    <x v="5"/>
  </r>
  <r>
    <s v="Customer-642"/>
    <x v="3"/>
    <d v="2025-11-18T00:00:00"/>
    <n v="44"/>
    <n v="1"/>
    <n v="9900000"/>
    <x v="0"/>
    <x v="1"/>
    <x v="0"/>
    <s v="HLL"/>
    <x v="6"/>
  </r>
  <r>
    <s v="Customer-644"/>
    <x v="3"/>
    <d v="2025-12-08T00:00:00"/>
    <n v="24"/>
    <n v="2"/>
    <n v="5160000"/>
    <x v="0"/>
    <x v="1"/>
    <x v="0"/>
    <s v="HLL"/>
    <x v="6"/>
  </r>
  <r>
    <s v="Customer-646"/>
    <x v="1"/>
    <d v="2025-06-11T00:00:00"/>
    <n v="204"/>
    <n v="2"/>
    <n v="40800000"/>
    <x v="1"/>
    <x v="1"/>
    <x v="0"/>
    <s v="LLL"/>
    <x v="2"/>
  </r>
  <r>
    <s v="Customer-649"/>
    <x v="1"/>
    <d v="2025-07-02T00:00:00"/>
    <n v="183"/>
    <n v="1"/>
    <n v="10250000"/>
    <x v="1"/>
    <x v="1"/>
    <x v="0"/>
    <s v="LLL"/>
    <x v="2"/>
  </r>
  <r>
    <s v="Customer-650"/>
    <x v="0"/>
    <d v="2025-11-06T00:00:00"/>
    <n v="56"/>
    <n v="3"/>
    <n v="6990000"/>
    <x v="0"/>
    <x v="0"/>
    <x v="0"/>
    <s v="HHL"/>
    <x v="0"/>
  </r>
  <r>
    <s v="Customer-651"/>
    <x v="0"/>
    <d v="2025-09-19T00:00:00"/>
    <n v="104"/>
    <n v="3"/>
    <n v="23375000"/>
    <x v="1"/>
    <x v="0"/>
    <x v="0"/>
    <s v="LHL"/>
    <x v="3"/>
  </r>
  <r>
    <s v="Customer-652"/>
    <x v="0"/>
    <d v="2025-06-13T00:00:00"/>
    <n v="202"/>
    <n v="1"/>
    <n v="1080000"/>
    <x v="1"/>
    <x v="1"/>
    <x v="0"/>
    <s v="LLL"/>
    <x v="2"/>
  </r>
  <r>
    <s v="Customer-653"/>
    <x v="1"/>
    <d v="2025-12-05T00:00:00"/>
    <n v="27"/>
    <n v="4"/>
    <n v="41675000"/>
    <x v="0"/>
    <x v="0"/>
    <x v="0"/>
    <s v="HHL"/>
    <x v="0"/>
  </r>
  <r>
    <s v="Customer-654"/>
    <x v="0"/>
    <d v="2025-09-05T00:00:00"/>
    <n v="118"/>
    <n v="4"/>
    <n v="48300000"/>
    <x v="1"/>
    <x v="0"/>
    <x v="0"/>
    <s v="LHL"/>
    <x v="3"/>
  </r>
  <r>
    <s v="Customer-655"/>
    <x v="1"/>
    <d v="2025-10-20T00:00:00"/>
    <n v="73"/>
    <n v="2"/>
    <n v="40290000"/>
    <x v="1"/>
    <x v="1"/>
    <x v="0"/>
    <s v="LLL"/>
    <x v="2"/>
  </r>
  <r>
    <s v="Customer-657"/>
    <x v="2"/>
    <d v="2025-09-05T00:00:00"/>
    <n v="118"/>
    <n v="3"/>
    <n v="30100000"/>
    <x v="1"/>
    <x v="0"/>
    <x v="0"/>
    <s v="LHL"/>
    <x v="3"/>
  </r>
  <r>
    <s v="Customer-658"/>
    <x v="2"/>
    <d v="2025-08-06T00:00:00"/>
    <n v="148"/>
    <n v="3"/>
    <n v="28160000"/>
    <x v="1"/>
    <x v="0"/>
    <x v="0"/>
    <s v="LHL"/>
    <x v="3"/>
  </r>
  <r>
    <s v="Customer-659"/>
    <x v="1"/>
    <d v="2025-11-24T00:00:00"/>
    <n v="38"/>
    <n v="2"/>
    <n v="2800000"/>
    <x v="0"/>
    <x v="1"/>
    <x v="0"/>
    <s v="HLL"/>
    <x v="6"/>
  </r>
  <r>
    <s v="Customer-661"/>
    <x v="1"/>
    <d v="2025-05-28T00:00:00"/>
    <n v="218"/>
    <n v="2"/>
    <n v="11775000"/>
    <x v="1"/>
    <x v="1"/>
    <x v="0"/>
    <s v="LLL"/>
    <x v="2"/>
  </r>
  <r>
    <s v="Customer-663"/>
    <x v="2"/>
    <d v="2025-08-26T00:00:00"/>
    <n v="128"/>
    <n v="5"/>
    <n v="400750000"/>
    <x v="1"/>
    <x v="0"/>
    <x v="1"/>
    <s v="LHH"/>
    <x v="5"/>
  </r>
  <r>
    <s v="Customer-664"/>
    <x v="0"/>
    <d v="2025-10-07T00:00:00"/>
    <n v="86"/>
    <n v="1"/>
    <n v="3780000"/>
    <x v="1"/>
    <x v="1"/>
    <x v="0"/>
    <s v="LLL"/>
    <x v="2"/>
  </r>
  <r>
    <s v="Customer-665"/>
    <x v="1"/>
    <d v="2025-12-24T00:00:00"/>
    <n v="8"/>
    <n v="3"/>
    <n v="6175000"/>
    <x v="0"/>
    <x v="0"/>
    <x v="0"/>
    <s v="HHL"/>
    <x v="0"/>
  </r>
  <r>
    <s v="Customer-666"/>
    <x v="1"/>
    <d v="2025-01-01T00:00:00"/>
    <n v="365"/>
    <n v="1"/>
    <n v="1750000"/>
    <x v="1"/>
    <x v="1"/>
    <x v="0"/>
    <s v="LLL"/>
    <x v="2"/>
  </r>
  <r>
    <s v="Customer-667"/>
    <x v="1"/>
    <d v="2025-12-08T00:00:00"/>
    <n v="24"/>
    <n v="8"/>
    <n v="1017000000"/>
    <x v="0"/>
    <x v="0"/>
    <x v="1"/>
    <s v="HHH"/>
    <x v="1"/>
  </r>
  <r>
    <s v="Customer-668"/>
    <x v="1"/>
    <d v="2025-12-03T00:00:00"/>
    <n v="29"/>
    <n v="1"/>
    <n v="9500000"/>
    <x v="0"/>
    <x v="1"/>
    <x v="0"/>
    <s v="HLL"/>
    <x v="6"/>
  </r>
  <r>
    <s v="Customer-669"/>
    <x v="0"/>
    <d v="2025-09-24T00:00:00"/>
    <n v="99"/>
    <n v="9"/>
    <n v="62530000"/>
    <x v="1"/>
    <x v="0"/>
    <x v="1"/>
    <s v="LHH"/>
    <x v="5"/>
  </r>
  <r>
    <s v="Customer-670"/>
    <x v="1"/>
    <d v="2025-12-22T00:00:00"/>
    <n v="10"/>
    <n v="10"/>
    <n v="59100000"/>
    <x v="0"/>
    <x v="0"/>
    <x v="1"/>
    <s v="HHH"/>
    <x v="1"/>
  </r>
  <r>
    <s v="Customer-671"/>
    <x v="3"/>
    <d v="2025-01-20T00:00:00"/>
    <n v="346"/>
    <n v="1"/>
    <n v="2500000"/>
    <x v="1"/>
    <x v="1"/>
    <x v="0"/>
    <s v="LLL"/>
    <x v="2"/>
  </r>
  <r>
    <s v="Customer-673"/>
    <x v="1"/>
    <d v="2025-03-26T00:00:00"/>
    <n v="281"/>
    <n v="2"/>
    <n v="14775000"/>
    <x v="1"/>
    <x v="1"/>
    <x v="0"/>
    <s v="LLL"/>
    <x v="2"/>
  </r>
  <r>
    <s v="Customer-674"/>
    <x v="1"/>
    <d v="2025-01-03T00:00:00"/>
    <n v="363"/>
    <n v="1"/>
    <n v="15750000"/>
    <x v="1"/>
    <x v="1"/>
    <x v="0"/>
    <s v="LLL"/>
    <x v="2"/>
  </r>
  <r>
    <s v="Customer-675"/>
    <x v="3"/>
    <d v="2025-09-11T00:00:00"/>
    <n v="112"/>
    <n v="1"/>
    <n v="10350000"/>
    <x v="1"/>
    <x v="1"/>
    <x v="0"/>
    <s v="LLL"/>
    <x v="2"/>
  </r>
  <r>
    <s v="Customer-676"/>
    <x v="1"/>
    <d v="2025-12-23T00:00:00"/>
    <n v="9"/>
    <n v="2"/>
    <n v="10680000"/>
    <x v="0"/>
    <x v="1"/>
    <x v="0"/>
    <s v="HLL"/>
    <x v="6"/>
  </r>
  <r>
    <s v="Customer-677"/>
    <x v="4"/>
    <d v="2025-12-01T00:00:00"/>
    <n v="31"/>
    <n v="2"/>
    <n v="6280000"/>
    <x v="0"/>
    <x v="1"/>
    <x v="0"/>
    <s v="HLL"/>
    <x v="6"/>
  </r>
  <r>
    <s v="Customer-678"/>
    <x v="2"/>
    <d v="2025-12-24T00:00:00"/>
    <n v="8"/>
    <n v="4"/>
    <n v="404900000"/>
    <x v="0"/>
    <x v="0"/>
    <x v="1"/>
    <s v="HHH"/>
    <x v="1"/>
  </r>
  <r>
    <s v="Customer-680"/>
    <x v="3"/>
    <d v="2025-01-09T00:00:00"/>
    <n v="357"/>
    <n v="1"/>
    <n v="45600000"/>
    <x v="1"/>
    <x v="1"/>
    <x v="0"/>
    <s v="LLL"/>
    <x v="2"/>
  </r>
  <r>
    <s v="Customer-681"/>
    <x v="3"/>
    <d v="2025-11-21T00:00:00"/>
    <n v="41"/>
    <n v="2"/>
    <n v="22050000"/>
    <x v="0"/>
    <x v="1"/>
    <x v="0"/>
    <s v="HLL"/>
    <x v="6"/>
  </r>
  <r>
    <s v="Customer-682"/>
    <x v="3"/>
    <d v="2025-11-21T00:00:00"/>
    <n v="41"/>
    <n v="4"/>
    <n v="47700000"/>
    <x v="0"/>
    <x v="0"/>
    <x v="0"/>
    <s v="HHL"/>
    <x v="0"/>
  </r>
  <r>
    <s v="Customer-683"/>
    <x v="3"/>
    <d v="2025-05-30T00:00:00"/>
    <n v="216"/>
    <n v="1"/>
    <n v="4320000"/>
    <x v="1"/>
    <x v="1"/>
    <x v="0"/>
    <s v="LLL"/>
    <x v="2"/>
  </r>
  <r>
    <s v="Customer-684"/>
    <x v="4"/>
    <d v="2025-04-16T00:00:00"/>
    <n v="260"/>
    <n v="3"/>
    <n v="18600000"/>
    <x v="1"/>
    <x v="0"/>
    <x v="0"/>
    <s v="LHL"/>
    <x v="3"/>
  </r>
  <r>
    <s v="Customer-685"/>
    <x v="4"/>
    <d v="2025-10-21T00:00:00"/>
    <n v="72"/>
    <n v="2"/>
    <n v="9650000"/>
    <x v="1"/>
    <x v="1"/>
    <x v="0"/>
    <s v="LLL"/>
    <x v="2"/>
  </r>
  <r>
    <s v="Customer-686"/>
    <x v="3"/>
    <d v="2025-11-27T00:00:00"/>
    <n v="35"/>
    <n v="2"/>
    <n v="7400000"/>
    <x v="0"/>
    <x v="1"/>
    <x v="0"/>
    <s v="HLL"/>
    <x v="6"/>
  </r>
  <r>
    <s v="Customer-687"/>
    <x v="1"/>
    <d v="2025-10-22T00:00:00"/>
    <n v="71"/>
    <n v="4"/>
    <n v="28660000"/>
    <x v="1"/>
    <x v="0"/>
    <x v="0"/>
    <s v="LHL"/>
    <x v="3"/>
  </r>
  <r>
    <s v="Customer-688"/>
    <x v="1"/>
    <d v="2025-05-01T00:00:00"/>
    <n v="245"/>
    <n v="2"/>
    <n v="8975000"/>
    <x v="1"/>
    <x v="1"/>
    <x v="0"/>
    <s v="LLL"/>
    <x v="2"/>
  </r>
  <r>
    <s v="Customer-689"/>
    <x v="1"/>
    <d v="2025-11-18T00:00:00"/>
    <n v="44"/>
    <n v="3"/>
    <n v="72100000"/>
    <x v="0"/>
    <x v="0"/>
    <x v="1"/>
    <s v="HHH"/>
    <x v="1"/>
  </r>
  <r>
    <s v="Customer-690"/>
    <x v="2"/>
    <d v="2025-10-08T00:00:00"/>
    <n v="85"/>
    <n v="4"/>
    <n v="19340000"/>
    <x v="1"/>
    <x v="0"/>
    <x v="0"/>
    <s v="LHL"/>
    <x v="3"/>
  </r>
  <r>
    <s v="Customer-692"/>
    <x v="0"/>
    <d v="2025-12-17T00:00:00"/>
    <n v="15"/>
    <n v="3"/>
    <n v="22040000"/>
    <x v="0"/>
    <x v="0"/>
    <x v="0"/>
    <s v="HHL"/>
    <x v="0"/>
  </r>
  <r>
    <s v="Customer-693"/>
    <x v="3"/>
    <d v="2025-04-03T00:00:00"/>
    <n v="273"/>
    <n v="1"/>
    <n v="15600000"/>
    <x v="1"/>
    <x v="1"/>
    <x v="0"/>
    <s v="LLL"/>
    <x v="2"/>
  </r>
  <r>
    <s v="Customer-694"/>
    <x v="0"/>
    <d v="2025-04-07T00:00:00"/>
    <n v="269"/>
    <n v="4"/>
    <n v="24460000"/>
    <x v="1"/>
    <x v="0"/>
    <x v="0"/>
    <s v="LHL"/>
    <x v="3"/>
  </r>
  <r>
    <s v="Customer-695"/>
    <x v="1"/>
    <d v="2025-12-19T00:00:00"/>
    <n v="13"/>
    <n v="3"/>
    <n v="24250000"/>
    <x v="0"/>
    <x v="0"/>
    <x v="0"/>
    <s v="HHL"/>
    <x v="0"/>
  </r>
  <r>
    <s v="Customer-696"/>
    <x v="4"/>
    <d v="2025-03-06T00:00:00"/>
    <n v="301"/>
    <n v="1"/>
    <n v="975000"/>
    <x v="1"/>
    <x v="1"/>
    <x v="0"/>
    <s v="LLL"/>
    <x v="2"/>
  </r>
  <r>
    <s v="Customer-697"/>
    <x v="4"/>
    <d v="2025-04-22T00:00:00"/>
    <n v="254"/>
    <n v="1"/>
    <n v="8400000"/>
    <x v="1"/>
    <x v="1"/>
    <x v="0"/>
    <s v="LLL"/>
    <x v="2"/>
  </r>
  <r>
    <s v="Customer-698"/>
    <x v="0"/>
    <d v="2025-11-26T00:00:00"/>
    <n v="36"/>
    <n v="1"/>
    <n v="8820000"/>
    <x v="0"/>
    <x v="1"/>
    <x v="0"/>
    <s v="HLL"/>
    <x v="6"/>
  </r>
  <r>
    <s v="Customer-699"/>
    <x v="0"/>
    <d v="2025-01-06T00:00:00"/>
    <n v="360"/>
    <n v="1"/>
    <n v="4440000"/>
    <x v="1"/>
    <x v="1"/>
    <x v="0"/>
    <s v="LLL"/>
    <x v="2"/>
  </r>
  <r>
    <s v="Customer-700"/>
    <x v="1"/>
    <d v="2025-07-04T00:00:00"/>
    <n v="181"/>
    <n v="2"/>
    <n v="16420000"/>
    <x v="1"/>
    <x v="1"/>
    <x v="0"/>
    <s v="LLL"/>
    <x v="2"/>
  </r>
  <r>
    <s v="Customer-702"/>
    <x v="0"/>
    <d v="2025-12-09T00:00:00"/>
    <n v="23"/>
    <n v="4"/>
    <n v="33080000"/>
    <x v="0"/>
    <x v="0"/>
    <x v="0"/>
    <s v="HHL"/>
    <x v="0"/>
  </r>
  <r>
    <s v="Customer-703"/>
    <x v="0"/>
    <d v="2025-10-10T00:00:00"/>
    <n v="83"/>
    <n v="3"/>
    <n v="47880000"/>
    <x v="1"/>
    <x v="0"/>
    <x v="0"/>
    <s v="LHL"/>
    <x v="3"/>
  </r>
  <r>
    <s v="Customer-704"/>
    <x v="1"/>
    <d v="2025-03-26T00:00:00"/>
    <n v="281"/>
    <n v="1"/>
    <n v="23000000"/>
    <x v="1"/>
    <x v="1"/>
    <x v="0"/>
    <s v="LLL"/>
    <x v="2"/>
  </r>
  <r>
    <s v="Customer-705"/>
    <x v="0"/>
    <d v="2025-10-30T00:00:00"/>
    <n v="63"/>
    <n v="3"/>
    <n v="40750000"/>
    <x v="1"/>
    <x v="0"/>
    <x v="0"/>
    <s v="LHL"/>
    <x v="3"/>
  </r>
  <r>
    <s v="Customer-708"/>
    <x v="1"/>
    <d v="2025-12-09T00:00:00"/>
    <n v="23"/>
    <n v="2"/>
    <n v="18100000"/>
    <x v="0"/>
    <x v="1"/>
    <x v="0"/>
    <s v="HLL"/>
    <x v="6"/>
  </r>
  <r>
    <s v="Customer-709"/>
    <x v="1"/>
    <d v="2025-05-13T00:00:00"/>
    <n v="233"/>
    <n v="2"/>
    <n v="38650000"/>
    <x v="1"/>
    <x v="1"/>
    <x v="0"/>
    <s v="LLL"/>
    <x v="2"/>
  </r>
  <r>
    <s v="Customer-710"/>
    <x v="2"/>
    <d v="2025-11-04T00:00:00"/>
    <n v="58"/>
    <n v="4"/>
    <n v="872000000"/>
    <x v="0"/>
    <x v="0"/>
    <x v="1"/>
    <s v="HHH"/>
    <x v="1"/>
  </r>
  <r>
    <s v="Customer-711"/>
    <x v="0"/>
    <d v="2025-10-22T00:00:00"/>
    <n v="71"/>
    <n v="2"/>
    <n v="28500000"/>
    <x v="1"/>
    <x v="1"/>
    <x v="0"/>
    <s v="LLL"/>
    <x v="2"/>
  </r>
  <r>
    <s v="Customer-712"/>
    <x v="2"/>
    <d v="2025-12-24T00:00:00"/>
    <n v="8"/>
    <n v="1"/>
    <n v="11700000"/>
    <x v="0"/>
    <x v="1"/>
    <x v="0"/>
    <s v="HLL"/>
    <x v="6"/>
  </r>
  <r>
    <s v="Customer-713"/>
    <x v="2"/>
    <d v="2025-10-14T00:00:00"/>
    <n v="79"/>
    <n v="2"/>
    <n v="24450000"/>
    <x v="1"/>
    <x v="1"/>
    <x v="0"/>
    <s v="LLL"/>
    <x v="2"/>
  </r>
  <r>
    <s v="Customer-714"/>
    <x v="3"/>
    <d v="2025-10-21T00:00:00"/>
    <n v="72"/>
    <n v="3"/>
    <n v="14380000"/>
    <x v="1"/>
    <x v="0"/>
    <x v="0"/>
    <s v="LHL"/>
    <x v="3"/>
  </r>
  <r>
    <s v="Customer-716"/>
    <x v="3"/>
    <d v="2025-05-02T00:00:00"/>
    <n v="244"/>
    <n v="2"/>
    <n v="28550000"/>
    <x v="1"/>
    <x v="1"/>
    <x v="0"/>
    <s v="LLL"/>
    <x v="2"/>
  </r>
  <r>
    <s v="Customer-717"/>
    <x v="3"/>
    <d v="2025-12-17T00:00:00"/>
    <n v="15"/>
    <n v="1"/>
    <n v="4200000"/>
    <x v="0"/>
    <x v="1"/>
    <x v="0"/>
    <s v="HLL"/>
    <x v="6"/>
  </r>
  <r>
    <s v="Customer-718"/>
    <x v="1"/>
    <d v="2025-12-17T00:00:00"/>
    <n v="15"/>
    <n v="1"/>
    <n v="17100000"/>
    <x v="0"/>
    <x v="1"/>
    <x v="0"/>
    <s v="HLL"/>
    <x v="6"/>
  </r>
  <r>
    <s v="Customer-719"/>
    <x v="3"/>
    <d v="2025-12-26T00:00:00"/>
    <n v="6"/>
    <n v="3"/>
    <n v="28850000"/>
    <x v="0"/>
    <x v="0"/>
    <x v="0"/>
    <s v="HHL"/>
    <x v="0"/>
  </r>
  <r>
    <s v="Customer-720"/>
    <x v="4"/>
    <d v="2025-01-06T00:00:00"/>
    <n v="360"/>
    <n v="1"/>
    <n v="9250000"/>
    <x v="1"/>
    <x v="1"/>
    <x v="0"/>
    <s v="LLL"/>
    <x v="2"/>
  </r>
  <r>
    <s v="Customer-721"/>
    <x v="3"/>
    <d v="2025-10-13T00:00:00"/>
    <n v="80"/>
    <n v="1"/>
    <n v="5580000"/>
    <x v="1"/>
    <x v="1"/>
    <x v="0"/>
    <s v="LLL"/>
    <x v="2"/>
  </r>
  <r>
    <s v="Customer-722"/>
    <x v="4"/>
    <d v="2025-06-12T00:00:00"/>
    <n v="203"/>
    <n v="1"/>
    <n v="1175000"/>
    <x v="1"/>
    <x v="1"/>
    <x v="0"/>
    <s v="LLL"/>
    <x v="2"/>
  </r>
  <r>
    <s v="Customer-723"/>
    <x v="3"/>
    <d v="2025-12-30T00:00:00"/>
    <n v="2"/>
    <n v="2"/>
    <n v="13920000"/>
    <x v="0"/>
    <x v="1"/>
    <x v="0"/>
    <s v="HLL"/>
    <x v="6"/>
  </r>
  <r>
    <s v="Customer-724"/>
    <x v="2"/>
    <d v="2025-10-01T00:00:00"/>
    <n v="92"/>
    <n v="1"/>
    <n v="9200000"/>
    <x v="1"/>
    <x v="1"/>
    <x v="0"/>
    <s v="LLL"/>
    <x v="2"/>
  </r>
  <r>
    <s v="Customer-725"/>
    <x v="1"/>
    <d v="2025-10-17T00:00:00"/>
    <n v="76"/>
    <n v="8"/>
    <n v="889200000"/>
    <x v="1"/>
    <x v="0"/>
    <x v="1"/>
    <s v="LHH"/>
    <x v="5"/>
  </r>
  <r>
    <s v="Customer-727"/>
    <x v="1"/>
    <d v="2025-10-14T00:00:00"/>
    <n v="79"/>
    <n v="3"/>
    <n v="60540000"/>
    <x v="1"/>
    <x v="0"/>
    <x v="1"/>
    <s v="LHH"/>
    <x v="5"/>
  </r>
  <r>
    <s v="Customer-728"/>
    <x v="0"/>
    <d v="2025-06-13T00:00:00"/>
    <n v="202"/>
    <n v="1"/>
    <n v="650000"/>
    <x v="1"/>
    <x v="1"/>
    <x v="0"/>
    <s v="LLL"/>
    <x v="2"/>
  </r>
  <r>
    <s v="Customer-729"/>
    <x v="2"/>
    <d v="2025-01-03T00:00:00"/>
    <n v="363"/>
    <n v="1"/>
    <n v="8750000"/>
    <x v="1"/>
    <x v="1"/>
    <x v="0"/>
    <s v="LLL"/>
    <x v="2"/>
  </r>
  <r>
    <s v="Customer-730"/>
    <x v="3"/>
    <d v="2025-08-25T00:00:00"/>
    <n v="129"/>
    <n v="2"/>
    <n v="34600000"/>
    <x v="1"/>
    <x v="1"/>
    <x v="0"/>
    <s v="LLL"/>
    <x v="2"/>
  </r>
  <r>
    <s v="Customer-731"/>
    <x v="0"/>
    <d v="2025-11-19T00:00:00"/>
    <n v="43"/>
    <n v="2"/>
    <n v="11025000"/>
    <x v="0"/>
    <x v="1"/>
    <x v="0"/>
    <s v="HLL"/>
    <x v="6"/>
  </r>
  <r>
    <s v="Customer-732"/>
    <x v="3"/>
    <d v="2025-11-27T00:00:00"/>
    <n v="35"/>
    <n v="6"/>
    <n v="1516250000"/>
    <x v="0"/>
    <x v="0"/>
    <x v="1"/>
    <s v="HHH"/>
    <x v="1"/>
  </r>
  <r>
    <s v="Customer-733"/>
    <x v="1"/>
    <d v="2025-10-30T00:00:00"/>
    <n v="63"/>
    <n v="1"/>
    <n v="4560000"/>
    <x v="1"/>
    <x v="1"/>
    <x v="0"/>
    <s v="LLL"/>
    <x v="2"/>
  </r>
  <r>
    <s v="Customer-734"/>
    <x v="1"/>
    <d v="2025-12-22T00:00:00"/>
    <n v="10"/>
    <n v="2"/>
    <n v="12000000"/>
    <x v="0"/>
    <x v="1"/>
    <x v="0"/>
    <s v="HLL"/>
    <x v="6"/>
  </r>
  <r>
    <s v="Customer-735"/>
    <x v="1"/>
    <d v="2025-09-22T00:00:00"/>
    <n v="101"/>
    <n v="2"/>
    <n v="41200000"/>
    <x v="1"/>
    <x v="1"/>
    <x v="0"/>
    <s v="LLL"/>
    <x v="2"/>
  </r>
  <r>
    <s v="Customer-737"/>
    <x v="2"/>
    <d v="2025-03-17T00:00:00"/>
    <n v="290"/>
    <n v="2"/>
    <n v="38450000"/>
    <x v="1"/>
    <x v="1"/>
    <x v="0"/>
    <s v="LLL"/>
    <x v="2"/>
  </r>
  <r>
    <s v="Customer-738"/>
    <x v="1"/>
    <d v="2025-06-13T00:00:00"/>
    <n v="202"/>
    <n v="3"/>
    <n v="19130000"/>
    <x v="1"/>
    <x v="0"/>
    <x v="0"/>
    <s v="LHL"/>
    <x v="3"/>
  </r>
  <r>
    <s v="Customer-739"/>
    <x v="1"/>
    <d v="2025-12-26T00:00:00"/>
    <n v="6"/>
    <n v="2"/>
    <n v="15340000"/>
    <x v="0"/>
    <x v="1"/>
    <x v="0"/>
    <s v="HLL"/>
    <x v="6"/>
  </r>
  <r>
    <s v="Customer-740"/>
    <x v="0"/>
    <d v="2025-12-01T00:00:00"/>
    <n v="31"/>
    <n v="2"/>
    <n v="24100000"/>
    <x v="0"/>
    <x v="1"/>
    <x v="0"/>
    <s v="HLL"/>
    <x v="6"/>
  </r>
  <r>
    <s v="Customer-742"/>
    <x v="3"/>
    <d v="2025-12-05T00:00:00"/>
    <n v="27"/>
    <n v="4"/>
    <n v="53750000"/>
    <x v="0"/>
    <x v="0"/>
    <x v="1"/>
    <s v="HHH"/>
    <x v="1"/>
  </r>
  <r>
    <s v="Customer-744"/>
    <x v="3"/>
    <d v="2025-11-17T00:00:00"/>
    <n v="45"/>
    <n v="5"/>
    <n v="40235000"/>
    <x v="0"/>
    <x v="0"/>
    <x v="0"/>
    <s v="HHL"/>
    <x v="0"/>
  </r>
  <r>
    <s v="Customer-745"/>
    <x v="4"/>
    <d v="2025-09-18T00:00:00"/>
    <n v="105"/>
    <n v="2"/>
    <n v="25500000"/>
    <x v="1"/>
    <x v="1"/>
    <x v="0"/>
    <s v="LLL"/>
    <x v="2"/>
  </r>
  <r>
    <s v="Customer-746"/>
    <x v="2"/>
    <d v="2025-10-24T00:00:00"/>
    <n v="69"/>
    <n v="3"/>
    <n v="34450000"/>
    <x v="1"/>
    <x v="0"/>
    <x v="0"/>
    <s v="LHL"/>
    <x v="3"/>
  </r>
  <r>
    <s v="Customer-747"/>
    <x v="3"/>
    <d v="2025-12-12T00:00:00"/>
    <n v="20"/>
    <n v="2"/>
    <n v="33120000"/>
    <x v="0"/>
    <x v="1"/>
    <x v="0"/>
    <s v="HLL"/>
    <x v="6"/>
  </r>
  <r>
    <s v="Customer-748"/>
    <x v="2"/>
    <d v="2025-11-11T00:00:00"/>
    <n v="51"/>
    <n v="3"/>
    <n v="5055000"/>
    <x v="0"/>
    <x v="0"/>
    <x v="0"/>
    <s v="HHL"/>
    <x v="0"/>
  </r>
  <r>
    <s v="Customer-749"/>
    <x v="0"/>
    <d v="2025-03-05T00:00:00"/>
    <n v="302"/>
    <n v="1"/>
    <n v="4000000"/>
    <x v="1"/>
    <x v="1"/>
    <x v="0"/>
    <s v="LLL"/>
    <x v="2"/>
  </r>
  <r>
    <s v="Customer-750"/>
    <x v="4"/>
    <d v="2025-10-31T00:00:00"/>
    <n v="62"/>
    <n v="1"/>
    <n v="15750000"/>
    <x v="1"/>
    <x v="1"/>
    <x v="0"/>
    <s v="LLL"/>
    <x v="2"/>
  </r>
  <r>
    <s v="Customer-751"/>
    <x v="3"/>
    <d v="2025-04-11T00:00:00"/>
    <n v="265"/>
    <n v="1"/>
    <n v="7560000"/>
    <x v="1"/>
    <x v="1"/>
    <x v="0"/>
    <s v="LLL"/>
    <x v="2"/>
  </r>
  <r>
    <s v="Customer-752"/>
    <x v="2"/>
    <d v="2025-07-02T00:00:00"/>
    <n v="183"/>
    <n v="4"/>
    <n v="72570000"/>
    <x v="1"/>
    <x v="0"/>
    <x v="1"/>
    <s v="LHH"/>
    <x v="5"/>
  </r>
  <r>
    <s v="Customer-753"/>
    <x v="1"/>
    <d v="2025-08-15T00:00:00"/>
    <n v="139"/>
    <n v="1"/>
    <n v="39900000"/>
    <x v="1"/>
    <x v="1"/>
    <x v="0"/>
    <s v="LLL"/>
    <x v="2"/>
  </r>
  <r>
    <s v="Customer-754"/>
    <x v="3"/>
    <d v="2025-05-30T00:00:00"/>
    <n v="216"/>
    <n v="2"/>
    <n v="53500000"/>
    <x v="1"/>
    <x v="1"/>
    <x v="1"/>
    <s v="LLH"/>
    <x v="7"/>
  </r>
  <r>
    <s v="Customer-755"/>
    <x v="4"/>
    <d v="2025-10-29T00:00:00"/>
    <n v="64"/>
    <n v="2"/>
    <n v="37400000"/>
    <x v="1"/>
    <x v="1"/>
    <x v="0"/>
    <s v="LLL"/>
    <x v="2"/>
  </r>
  <r>
    <s v="Customer-756"/>
    <x v="0"/>
    <d v="2025-11-06T00:00:00"/>
    <n v="56"/>
    <n v="7"/>
    <n v="41695000"/>
    <x v="0"/>
    <x v="0"/>
    <x v="0"/>
    <s v="HHL"/>
    <x v="0"/>
  </r>
  <r>
    <s v="Customer-757"/>
    <x v="3"/>
    <d v="2025-10-21T00:00:00"/>
    <n v="72"/>
    <n v="4"/>
    <n v="48400000"/>
    <x v="1"/>
    <x v="0"/>
    <x v="0"/>
    <s v="LHL"/>
    <x v="3"/>
  </r>
  <r>
    <s v="Customer-758"/>
    <x v="1"/>
    <d v="2025-10-07T00:00:00"/>
    <n v="86"/>
    <n v="5"/>
    <n v="50300000"/>
    <x v="1"/>
    <x v="0"/>
    <x v="1"/>
    <s v="LHH"/>
    <x v="5"/>
  </r>
  <r>
    <s v="Customer-759"/>
    <x v="3"/>
    <d v="2025-02-28T00:00:00"/>
    <n v="307"/>
    <n v="1"/>
    <n v="15200000"/>
    <x v="1"/>
    <x v="1"/>
    <x v="0"/>
    <s v="LLL"/>
    <x v="2"/>
  </r>
  <r>
    <s v="Customer-760"/>
    <x v="3"/>
    <d v="2025-10-20T00:00:00"/>
    <n v="73"/>
    <n v="2"/>
    <n v="13300000"/>
    <x v="1"/>
    <x v="1"/>
    <x v="0"/>
    <s v="LLL"/>
    <x v="2"/>
  </r>
  <r>
    <s v="Customer-761"/>
    <x v="0"/>
    <d v="2025-09-18T00:00:00"/>
    <n v="105"/>
    <n v="5"/>
    <n v="45175000"/>
    <x v="1"/>
    <x v="0"/>
    <x v="0"/>
    <s v="LHL"/>
    <x v="3"/>
  </r>
  <r>
    <s v="Customer-762"/>
    <x v="2"/>
    <d v="2025-10-20T00:00:00"/>
    <n v="73"/>
    <n v="3"/>
    <n v="53070000"/>
    <x v="1"/>
    <x v="0"/>
    <x v="1"/>
    <s v="LHH"/>
    <x v="5"/>
  </r>
  <r>
    <s v="Customer-764"/>
    <x v="1"/>
    <d v="2025-10-20T00:00:00"/>
    <n v="73"/>
    <n v="2"/>
    <n v="34000000"/>
    <x v="1"/>
    <x v="1"/>
    <x v="0"/>
    <s v="LLL"/>
    <x v="2"/>
  </r>
  <r>
    <s v="Customer-766"/>
    <x v="3"/>
    <d v="2025-05-01T00:00:00"/>
    <n v="245"/>
    <n v="1"/>
    <n v="19000000"/>
    <x v="1"/>
    <x v="1"/>
    <x v="0"/>
    <s v="LLL"/>
    <x v="2"/>
  </r>
  <r>
    <s v="Customer-767"/>
    <x v="3"/>
    <d v="2025-09-10T00:00:00"/>
    <n v="113"/>
    <n v="1"/>
    <n v="9000000"/>
    <x v="1"/>
    <x v="1"/>
    <x v="0"/>
    <s v="LLL"/>
    <x v="2"/>
  </r>
  <r>
    <s v="Customer-769"/>
    <x v="1"/>
    <d v="2025-12-12T00:00:00"/>
    <n v="20"/>
    <n v="4"/>
    <n v="39980000"/>
    <x v="0"/>
    <x v="0"/>
    <x v="0"/>
    <s v="HHL"/>
    <x v="0"/>
  </r>
  <r>
    <s v="Customer-770"/>
    <x v="0"/>
    <d v="2025-12-26T00:00:00"/>
    <n v="6"/>
    <n v="4"/>
    <n v="30450000"/>
    <x v="0"/>
    <x v="0"/>
    <x v="0"/>
    <s v="HHL"/>
    <x v="0"/>
  </r>
  <r>
    <s v="Customer-771"/>
    <x v="2"/>
    <d v="2025-07-17T00:00:00"/>
    <n v="168"/>
    <n v="5"/>
    <n v="40730000"/>
    <x v="1"/>
    <x v="0"/>
    <x v="0"/>
    <s v="LHL"/>
    <x v="3"/>
  </r>
  <r>
    <s v="Customer-772"/>
    <x v="1"/>
    <d v="2025-10-30T00:00:00"/>
    <n v="63"/>
    <n v="1"/>
    <n v="4320000"/>
    <x v="1"/>
    <x v="1"/>
    <x v="0"/>
    <s v="LLL"/>
    <x v="2"/>
  </r>
  <r>
    <s v="Customer-773"/>
    <x v="2"/>
    <d v="2025-09-29T00:00:00"/>
    <n v="94"/>
    <n v="1"/>
    <n v="9500000"/>
    <x v="1"/>
    <x v="1"/>
    <x v="0"/>
    <s v="LLL"/>
    <x v="2"/>
  </r>
  <r>
    <s v="Customer-774"/>
    <x v="4"/>
    <d v="2025-10-20T00:00:00"/>
    <n v="73"/>
    <n v="4"/>
    <n v="69800000"/>
    <x v="1"/>
    <x v="0"/>
    <x v="1"/>
    <s v="LHH"/>
    <x v="5"/>
  </r>
  <r>
    <s v="Customer-775"/>
    <x v="3"/>
    <d v="2025-09-19T00:00:00"/>
    <n v="104"/>
    <n v="2"/>
    <n v="46560000"/>
    <x v="1"/>
    <x v="1"/>
    <x v="0"/>
    <s v="LLL"/>
    <x v="2"/>
  </r>
  <r>
    <s v="Customer-776"/>
    <x v="0"/>
    <d v="2025-09-17T00:00:00"/>
    <n v="106"/>
    <n v="5"/>
    <n v="62575000"/>
    <x v="1"/>
    <x v="0"/>
    <x v="1"/>
    <s v="LHH"/>
    <x v="5"/>
  </r>
  <r>
    <s v="Customer-777"/>
    <x v="1"/>
    <d v="2025-12-23T00:00:00"/>
    <n v="9"/>
    <n v="4"/>
    <n v="45210000"/>
    <x v="0"/>
    <x v="0"/>
    <x v="0"/>
    <s v="HHL"/>
    <x v="0"/>
  </r>
  <r>
    <s v="Customer-778"/>
    <x v="0"/>
    <d v="2025-01-20T00:00:00"/>
    <n v="346"/>
    <n v="1"/>
    <n v="31350000"/>
    <x v="1"/>
    <x v="1"/>
    <x v="0"/>
    <s v="LLL"/>
    <x v="2"/>
  </r>
  <r>
    <s v="Customer-781"/>
    <x v="0"/>
    <d v="2025-11-04T00:00:00"/>
    <n v="58"/>
    <n v="4"/>
    <n v="30725000"/>
    <x v="0"/>
    <x v="0"/>
    <x v="0"/>
    <s v="HHL"/>
    <x v="0"/>
  </r>
  <r>
    <s v="Customer-782"/>
    <x v="4"/>
    <d v="2025-10-24T00:00:00"/>
    <n v="69"/>
    <n v="1"/>
    <n v="22000000"/>
    <x v="1"/>
    <x v="1"/>
    <x v="0"/>
    <s v="LLL"/>
    <x v="2"/>
  </r>
  <r>
    <s v="Customer-783"/>
    <x v="1"/>
    <d v="2025-09-15T00:00:00"/>
    <n v="108"/>
    <n v="3"/>
    <n v="5890000"/>
    <x v="1"/>
    <x v="0"/>
    <x v="0"/>
    <s v="LHL"/>
    <x v="3"/>
  </r>
  <r>
    <s v="Customer-784"/>
    <x v="0"/>
    <d v="2025-11-17T00:00:00"/>
    <n v="45"/>
    <n v="6"/>
    <n v="833400000"/>
    <x v="0"/>
    <x v="0"/>
    <x v="1"/>
    <s v="HHH"/>
    <x v="1"/>
  </r>
  <r>
    <s v="Customer-785"/>
    <x v="1"/>
    <d v="2025-12-31T00:00:00"/>
    <n v="1"/>
    <n v="6"/>
    <n v="53990000"/>
    <x v="0"/>
    <x v="0"/>
    <x v="1"/>
    <s v="HHH"/>
    <x v="1"/>
  </r>
  <r>
    <s v="Customer-786"/>
    <x v="0"/>
    <d v="2025-04-25T00:00:00"/>
    <n v="251"/>
    <n v="2"/>
    <n v="34750000"/>
    <x v="1"/>
    <x v="1"/>
    <x v="0"/>
    <s v="LLL"/>
    <x v="2"/>
  </r>
  <r>
    <s v="Customer-787"/>
    <x v="0"/>
    <d v="2025-10-24T00:00:00"/>
    <n v="69"/>
    <n v="1"/>
    <n v="5000000"/>
    <x v="1"/>
    <x v="1"/>
    <x v="0"/>
    <s v="LLL"/>
    <x v="2"/>
  </r>
  <r>
    <s v="Customer-788"/>
    <x v="2"/>
    <d v="2025-06-09T00:00:00"/>
    <n v="206"/>
    <n v="1"/>
    <n v="3240000"/>
    <x v="1"/>
    <x v="1"/>
    <x v="0"/>
    <s v="LLL"/>
    <x v="2"/>
  </r>
  <r>
    <s v="Customer-789"/>
    <x v="1"/>
    <d v="2025-12-08T00:00:00"/>
    <n v="24"/>
    <n v="9"/>
    <n v="51855000"/>
    <x v="0"/>
    <x v="0"/>
    <x v="1"/>
    <s v="HHH"/>
    <x v="1"/>
  </r>
  <r>
    <s v="Customer-790"/>
    <x v="3"/>
    <d v="2025-10-01T00:00:00"/>
    <n v="92"/>
    <n v="1"/>
    <n v="3500000"/>
    <x v="1"/>
    <x v="1"/>
    <x v="0"/>
    <s v="LLL"/>
    <x v="2"/>
  </r>
  <r>
    <s v="Customer-791"/>
    <x v="4"/>
    <d v="2025-04-15T00:00:00"/>
    <n v="261"/>
    <n v="1"/>
    <n v="1125000"/>
    <x v="1"/>
    <x v="1"/>
    <x v="0"/>
    <s v="LLL"/>
    <x v="2"/>
  </r>
  <r>
    <s v="Customer-792"/>
    <x v="4"/>
    <d v="2025-11-25T00:00:00"/>
    <n v="37"/>
    <n v="2"/>
    <n v="13950000"/>
    <x v="0"/>
    <x v="1"/>
    <x v="0"/>
    <s v="HLL"/>
    <x v="6"/>
  </r>
  <r>
    <s v="Customer-794"/>
    <x v="1"/>
    <d v="2025-09-29T00:00:00"/>
    <n v="94"/>
    <n v="1"/>
    <n v="11000000"/>
    <x v="1"/>
    <x v="1"/>
    <x v="0"/>
    <s v="LLL"/>
    <x v="2"/>
  </r>
  <r>
    <s v="Customer-795"/>
    <x v="2"/>
    <d v="2025-01-16T00:00:00"/>
    <n v="350"/>
    <n v="1"/>
    <n v="1920000"/>
    <x v="1"/>
    <x v="1"/>
    <x v="0"/>
    <s v="LLL"/>
    <x v="2"/>
  </r>
  <r>
    <s v="Customer-796"/>
    <x v="4"/>
    <d v="2025-11-26T00:00:00"/>
    <n v="36"/>
    <n v="3"/>
    <n v="16575000"/>
    <x v="0"/>
    <x v="0"/>
    <x v="0"/>
    <s v="HHL"/>
    <x v="0"/>
  </r>
  <r>
    <s v="Customer-797"/>
    <x v="2"/>
    <d v="2025-07-25T00:00:00"/>
    <n v="160"/>
    <n v="1"/>
    <n v="475000"/>
    <x v="1"/>
    <x v="1"/>
    <x v="0"/>
    <s v="LLL"/>
    <x v="2"/>
  </r>
  <r>
    <s v="Customer-799"/>
    <x v="2"/>
    <d v="2025-12-30T00:00:00"/>
    <n v="2"/>
    <n v="2"/>
    <n v="56100000"/>
    <x v="0"/>
    <x v="1"/>
    <x v="1"/>
    <s v="HLH"/>
    <x v="4"/>
  </r>
  <r>
    <s v="Customer-800"/>
    <x v="3"/>
    <d v="2025-10-22T00:00:00"/>
    <n v="71"/>
    <n v="2"/>
    <n v="18275000"/>
    <x v="1"/>
    <x v="1"/>
    <x v="0"/>
    <s v="LLL"/>
    <x v="2"/>
  </r>
  <r>
    <s v="Customer-801"/>
    <x v="2"/>
    <d v="2025-01-01T00:00:00"/>
    <n v="365"/>
    <n v="1"/>
    <n v="5040000"/>
    <x v="1"/>
    <x v="1"/>
    <x v="0"/>
    <s v="LLL"/>
    <x v="2"/>
  </r>
  <r>
    <s v="Customer-802"/>
    <x v="0"/>
    <d v="2025-12-16T00:00:00"/>
    <n v="16"/>
    <n v="7"/>
    <n v="943400000"/>
    <x v="0"/>
    <x v="0"/>
    <x v="1"/>
    <s v="HHH"/>
    <x v="1"/>
  </r>
  <r>
    <s v="Customer-803"/>
    <x v="4"/>
    <d v="2025-12-05T00:00:00"/>
    <n v="27"/>
    <n v="7"/>
    <n v="49740000"/>
    <x v="0"/>
    <x v="0"/>
    <x v="1"/>
    <s v="HHH"/>
    <x v="1"/>
  </r>
  <r>
    <s v="Customer-804"/>
    <x v="1"/>
    <d v="2025-12-23T00:00:00"/>
    <n v="9"/>
    <n v="8"/>
    <n v="1001000000"/>
    <x v="0"/>
    <x v="0"/>
    <x v="1"/>
    <s v="HHH"/>
    <x v="1"/>
  </r>
  <r>
    <s v="Customer-805"/>
    <x v="2"/>
    <d v="2025-07-10T00:00:00"/>
    <n v="175"/>
    <n v="1"/>
    <n v="1400000"/>
    <x v="1"/>
    <x v="1"/>
    <x v="0"/>
    <s v="LLL"/>
    <x v="2"/>
  </r>
  <r>
    <s v="Customer-806"/>
    <x v="3"/>
    <d v="2025-12-26T00:00:00"/>
    <n v="6"/>
    <n v="7"/>
    <n v="1045300000"/>
    <x v="0"/>
    <x v="0"/>
    <x v="1"/>
    <s v="HHH"/>
    <x v="1"/>
  </r>
  <r>
    <s v="Customer-807"/>
    <x v="3"/>
    <d v="2025-01-09T00:00:00"/>
    <n v="357"/>
    <n v="1"/>
    <n v="19950000"/>
    <x v="1"/>
    <x v="1"/>
    <x v="0"/>
    <s v="LLL"/>
    <x v="2"/>
  </r>
  <r>
    <s v="Customer-808"/>
    <x v="3"/>
    <d v="2025-08-15T00:00:00"/>
    <n v="139"/>
    <n v="4"/>
    <n v="13885000"/>
    <x v="1"/>
    <x v="0"/>
    <x v="0"/>
    <s v="LHL"/>
    <x v="3"/>
  </r>
  <r>
    <s v="Customer-809"/>
    <x v="4"/>
    <d v="2025-11-26T00:00:00"/>
    <n v="36"/>
    <n v="2"/>
    <n v="26275000"/>
    <x v="0"/>
    <x v="1"/>
    <x v="0"/>
    <s v="HLL"/>
    <x v="6"/>
  </r>
  <r>
    <s v="Customer-810"/>
    <x v="2"/>
    <d v="2025-10-29T00:00:00"/>
    <n v="64"/>
    <n v="1"/>
    <n v="1400000"/>
    <x v="1"/>
    <x v="1"/>
    <x v="0"/>
    <s v="LLL"/>
    <x v="2"/>
  </r>
  <r>
    <s v="Customer-812"/>
    <x v="0"/>
    <d v="2025-10-01T00:00:00"/>
    <n v="92"/>
    <n v="4"/>
    <n v="10130000"/>
    <x v="1"/>
    <x v="0"/>
    <x v="0"/>
    <s v="LHL"/>
    <x v="3"/>
  </r>
  <r>
    <s v="Customer-813"/>
    <x v="0"/>
    <d v="2025-04-28T00:00:00"/>
    <n v="248"/>
    <n v="1"/>
    <n v="3000000"/>
    <x v="1"/>
    <x v="1"/>
    <x v="0"/>
    <s v="LLL"/>
    <x v="2"/>
  </r>
  <r>
    <s v="Customer-816"/>
    <x v="1"/>
    <d v="2025-12-22T00:00:00"/>
    <n v="10"/>
    <n v="7"/>
    <n v="1093500000"/>
    <x v="0"/>
    <x v="0"/>
    <x v="1"/>
    <s v="HHH"/>
    <x v="1"/>
  </r>
  <r>
    <s v="Customer-817"/>
    <x v="3"/>
    <d v="2025-12-31T00:00:00"/>
    <n v="1"/>
    <n v="3"/>
    <n v="32600000"/>
    <x v="0"/>
    <x v="0"/>
    <x v="0"/>
    <s v="HHL"/>
    <x v="0"/>
  </r>
  <r>
    <s v="Customer-818"/>
    <x v="1"/>
    <d v="2025-03-10T00:00:00"/>
    <n v="297"/>
    <n v="1"/>
    <n v="11900000"/>
    <x v="1"/>
    <x v="1"/>
    <x v="0"/>
    <s v="LLL"/>
    <x v="2"/>
  </r>
  <r>
    <s v="Customer-819"/>
    <x v="1"/>
    <d v="2025-12-24T00:00:00"/>
    <n v="8"/>
    <n v="2"/>
    <n v="34050000"/>
    <x v="0"/>
    <x v="1"/>
    <x v="0"/>
    <s v="HLL"/>
    <x v="6"/>
  </r>
  <r>
    <s v="Customer-820"/>
    <x v="4"/>
    <d v="2025-09-04T00:00:00"/>
    <n v="119"/>
    <n v="2"/>
    <n v="8000000"/>
    <x v="1"/>
    <x v="1"/>
    <x v="0"/>
    <s v="LLL"/>
    <x v="2"/>
  </r>
  <r>
    <s v="Customer-821"/>
    <x v="3"/>
    <d v="2025-05-28T00:00:00"/>
    <n v="218"/>
    <n v="1"/>
    <n v="5000000"/>
    <x v="1"/>
    <x v="1"/>
    <x v="0"/>
    <s v="LLL"/>
    <x v="2"/>
  </r>
  <r>
    <s v="Customer-822"/>
    <x v="3"/>
    <d v="2025-07-28T00:00:00"/>
    <n v="157"/>
    <n v="2"/>
    <n v="42100000"/>
    <x v="1"/>
    <x v="1"/>
    <x v="0"/>
    <s v="LLL"/>
    <x v="2"/>
  </r>
  <r>
    <s v="Customer-823"/>
    <x v="2"/>
    <d v="2025-01-21T00:00:00"/>
    <n v="345"/>
    <n v="1"/>
    <n v="22050000"/>
    <x v="1"/>
    <x v="1"/>
    <x v="0"/>
    <s v="LLL"/>
    <x v="2"/>
  </r>
  <r>
    <s v="Customer-824"/>
    <x v="0"/>
    <d v="2025-11-19T00:00:00"/>
    <n v="43"/>
    <n v="3"/>
    <n v="21990000"/>
    <x v="0"/>
    <x v="0"/>
    <x v="0"/>
    <s v="HHL"/>
    <x v="0"/>
  </r>
  <r>
    <s v="Customer-825"/>
    <x v="1"/>
    <d v="2025-10-17T00:00:00"/>
    <n v="76"/>
    <n v="2"/>
    <n v="63450000"/>
    <x v="1"/>
    <x v="1"/>
    <x v="1"/>
    <s v="LLH"/>
    <x v="7"/>
  </r>
  <r>
    <s v="Customer-826"/>
    <x v="4"/>
    <d v="2025-12-26T00:00:00"/>
    <n v="6"/>
    <n v="3"/>
    <n v="75150000"/>
    <x v="0"/>
    <x v="0"/>
    <x v="1"/>
    <s v="HHH"/>
    <x v="1"/>
  </r>
  <r>
    <s v="Customer-827"/>
    <x v="3"/>
    <d v="2025-12-23T00:00:00"/>
    <n v="9"/>
    <n v="6"/>
    <n v="79200000"/>
    <x v="0"/>
    <x v="0"/>
    <x v="1"/>
    <s v="HHH"/>
    <x v="1"/>
  </r>
  <r>
    <s v="Customer-828"/>
    <x v="0"/>
    <d v="2025-05-30T00:00:00"/>
    <n v="216"/>
    <n v="1"/>
    <n v="6650000"/>
    <x v="1"/>
    <x v="1"/>
    <x v="0"/>
    <s v="LLL"/>
    <x v="2"/>
  </r>
  <r>
    <s v="Customer-829"/>
    <x v="3"/>
    <d v="2025-12-17T00:00:00"/>
    <n v="15"/>
    <n v="2"/>
    <n v="16790000"/>
    <x v="0"/>
    <x v="1"/>
    <x v="0"/>
    <s v="HLL"/>
    <x v="6"/>
  </r>
  <r>
    <s v="Customer-831"/>
    <x v="4"/>
    <d v="2025-02-26T00:00:00"/>
    <n v="309"/>
    <n v="1"/>
    <n v="650000"/>
    <x v="1"/>
    <x v="1"/>
    <x v="0"/>
    <s v="LLL"/>
    <x v="2"/>
  </r>
  <r>
    <s v="Customer-832"/>
    <x v="2"/>
    <d v="2025-12-25T00:00:00"/>
    <n v="7"/>
    <n v="2"/>
    <n v="24650000"/>
    <x v="0"/>
    <x v="1"/>
    <x v="0"/>
    <s v="HLL"/>
    <x v="6"/>
  </r>
  <r>
    <s v="Customer-833"/>
    <x v="0"/>
    <d v="2025-04-25T00:00:00"/>
    <n v="251"/>
    <n v="2"/>
    <n v="26150000"/>
    <x v="1"/>
    <x v="1"/>
    <x v="0"/>
    <s v="LLL"/>
    <x v="2"/>
  </r>
  <r>
    <s v="Customer-834"/>
    <x v="1"/>
    <d v="2025-09-08T00:00:00"/>
    <n v="115"/>
    <n v="3"/>
    <n v="27950000"/>
    <x v="1"/>
    <x v="0"/>
    <x v="0"/>
    <s v="LHL"/>
    <x v="3"/>
  </r>
  <r>
    <s v="Customer-835"/>
    <x v="0"/>
    <d v="2025-01-15T00:00:00"/>
    <n v="351"/>
    <n v="1"/>
    <n v="11750000"/>
    <x v="1"/>
    <x v="1"/>
    <x v="0"/>
    <s v="LLL"/>
    <x v="2"/>
  </r>
  <r>
    <s v="Customer-836"/>
    <x v="1"/>
    <d v="2025-11-06T00:00:00"/>
    <n v="56"/>
    <n v="3"/>
    <n v="26920000"/>
    <x v="0"/>
    <x v="0"/>
    <x v="0"/>
    <s v="HHL"/>
    <x v="0"/>
  </r>
  <r>
    <s v="Customer-837"/>
    <x v="3"/>
    <d v="2025-04-30T00:00:00"/>
    <n v="246"/>
    <n v="2"/>
    <n v="4300000"/>
    <x v="1"/>
    <x v="1"/>
    <x v="0"/>
    <s v="LLL"/>
    <x v="2"/>
  </r>
  <r>
    <s v="Customer-839"/>
    <x v="0"/>
    <d v="2025-06-04T00:00:00"/>
    <n v="211"/>
    <n v="3"/>
    <n v="63820000"/>
    <x v="1"/>
    <x v="0"/>
    <x v="1"/>
    <s v="LHH"/>
    <x v="5"/>
  </r>
  <r>
    <s v="Customer-840"/>
    <x v="0"/>
    <d v="2025-10-29T00:00:00"/>
    <n v="64"/>
    <n v="3"/>
    <n v="28990000"/>
    <x v="1"/>
    <x v="0"/>
    <x v="0"/>
    <s v="LHL"/>
    <x v="3"/>
  </r>
  <r>
    <s v="Customer-842"/>
    <x v="3"/>
    <d v="2025-09-10T00:00:00"/>
    <n v="113"/>
    <n v="1"/>
    <n v="25000000"/>
    <x v="1"/>
    <x v="1"/>
    <x v="0"/>
    <s v="LLL"/>
    <x v="2"/>
  </r>
  <r>
    <s v="Customer-844"/>
    <x v="4"/>
    <d v="2025-12-05T00:00:00"/>
    <n v="27"/>
    <n v="4"/>
    <n v="19075000"/>
    <x v="0"/>
    <x v="0"/>
    <x v="0"/>
    <s v="HHL"/>
    <x v="0"/>
  </r>
  <r>
    <s v="Customer-845"/>
    <x v="2"/>
    <d v="2025-10-10T00:00:00"/>
    <n v="83"/>
    <n v="3"/>
    <n v="26615000"/>
    <x v="1"/>
    <x v="0"/>
    <x v="0"/>
    <s v="LHL"/>
    <x v="3"/>
  </r>
  <r>
    <s v="Customer-846"/>
    <x v="1"/>
    <d v="2025-12-16T00:00:00"/>
    <n v="16"/>
    <n v="4"/>
    <n v="23060000"/>
    <x v="0"/>
    <x v="0"/>
    <x v="0"/>
    <s v="HHL"/>
    <x v="0"/>
  </r>
  <r>
    <s v="Customer-849"/>
    <x v="1"/>
    <d v="2025-10-29T00:00:00"/>
    <n v="64"/>
    <n v="3"/>
    <n v="48500000"/>
    <x v="1"/>
    <x v="0"/>
    <x v="0"/>
    <s v="LHL"/>
    <x v="3"/>
  </r>
  <r>
    <s v="Customer-851"/>
    <x v="1"/>
    <d v="2025-11-07T00:00:00"/>
    <n v="55"/>
    <n v="3"/>
    <n v="9580000"/>
    <x v="0"/>
    <x v="0"/>
    <x v="0"/>
    <s v="HHL"/>
    <x v="0"/>
  </r>
  <r>
    <s v="Customer-853"/>
    <x v="2"/>
    <d v="2025-12-23T00:00:00"/>
    <n v="9"/>
    <n v="3"/>
    <n v="22240000"/>
    <x v="0"/>
    <x v="0"/>
    <x v="0"/>
    <s v="HHL"/>
    <x v="0"/>
  </r>
  <r>
    <s v="Customer-854"/>
    <x v="1"/>
    <d v="2025-11-26T00:00:00"/>
    <n v="36"/>
    <n v="1"/>
    <n v="3750000"/>
    <x v="0"/>
    <x v="1"/>
    <x v="0"/>
    <s v="HLL"/>
    <x v="6"/>
  </r>
  <r>
    <s v="Customer-856"/>
    <x v="3"/>
    <d v="2025-11-18T00:00:00"/>
    <n v="44"/>
    <n v="1"/>
    <n v="8600000"/>
    <x v="0"/>
    <x v="1"/>
    <x v="0"/>
    <s v="HLL"/>
    <x v="6"/>
  </r>
  <r>
    <s v="Customer-857"/>
    <x v="4"/>
    <d v="2025-11-27T00:00:00"/>
    <n v="35"/>
    <n v="3"/>
    <n v="35500000"/>
    <x v="0"/>
    <x v="0"/>
    <x v="0"/>
    <s v="HHL"/>
    <x v="0"/>
  </r>
  <r>
    <s v="Customer-858"/>
    <x v="2"/>
    <d v="2025-11-05T00:00:00"/>
    <n v="57"/>
    <n v="4"/>
    <n v="24040000"/>
    <x v="0"/>
    <x v="0"/>
    <x v="0"/>
    <s v="HHL"/>
    <x v="0"/>
  </r>
  <r>
    <s v="Customer-860"/>
    <x v="1"/>
    <d v="2025-10-07T00:00:00"/>
    <n v="86"/>
    <n v="2"/>
    <n v="11750000"/>
    <x v="1"/>
    <x v="1"/>
    <x v="0"/>
    <s v="LLL"/>
    <x v="2"/>
  </r>
  <r>
    <s v="Customer-861"/>
    <x v="4"/>
    <d v="2025-09-26T00:00:00"/>
    <n v="97"/>
    <n v="1"/>
    <n v="2500000"/>
    <x v="1"/>
    <x v="1"/>
    <x v="0"/>
    <s v="LLL"/>
    <x v="2"/>
  </r>
  <r>
    <s v="Customer-863"/>
    <x v="2"/>
    <d v="2025-08-13T00:00:00"/>
    <n v="141"/>
    <n v="4"/>
    <n v="58520000"/>
    <x v="1"/>
    <x v="0"/>
    <x v="1"/>
    <s v="LHH"/>
    <x v="5"/>
  </r>
  <r>
    <s v="Customer-864"/>
    <x v="3"/>
    <d v="2025-12-24T00:00:00"/>
    <n v="8"/>
    <n v="2"/>
    <n v="24850000"/>
    <x v="0"/>
    <x v="1"/>
    <x v="0"/>
    <s v="HLL"/>
    <x v="6"/>
  </r>
  <r>
    <s v="Customer-865"/>
    <x v="0"/>
    <d v="2025-11-19T00:00:00"/>
    <n v="43"/>
    <n v="2"/>
    <n v="6400000"/>
    <x v="0"/>
    <x v="1"/>
    <x v="0"/>
    <s v="HLL"/>
    <x v="6"/>
  </r>
  <r>
    <s v="Customer-866"/>
    <x v="1"/>
    <d v="2025-11-11T00:00:00"/>
    <n v="51"/>
    <n v="1"/>
    <n v="4440000"/>
    <x v="0"/>
    <x v="1"/>
    <x v="0"/>
    <s v="HLL"/>
    <x v="6"/>
  </r>
  <r>
    <s v="Customer-867"/>
    <x v="3"/>
    <d v="2025-02-10T00:00:00"/>
    <n v="325"/>
    <n v="1"/>
    <n v="4680000"/>
    <x v="1"/>
    <x v="1"/>
    <x v="0"/>
    <s v="LLL"/>
    <x v="2"/>
  </r>
  <r>
    <s v="Customer-868"/>
    <x v="4"/>
    <d v="2025-09-08T00:00:00"/>
    <n v="115"/>
    <n v="1"/>
    <n v="6400000"/>
    <x v="1"/>
    <x v="1"/>
    <x v="0"/>
    <s v="LLL"/>
    <x v="2"/>
  </r>
  <r>
    <s v="Customer-869"/>
    <x v="3"/>
    <d v="2025-09-24T00:00:00"/>
    <n v="99"/>
    <n v="2"/>
    <n v="1475000"/>
    <x v="1"/>
    <x v="1"/>
    <x v="0"/>
    <s v="LLL"/>
    <x v="2"/>
  </r>
  <r>
    <s v="Customer-870"/>
    <x v="1"/>
    <d v="2025-12-01T00:00:00"/>
    <n v="31"/>
    <n v="6"/>
    <n v="29610000"/>
    <x v="0"/>
    <x v="0"/>
    <x v="0"/>
    <s v="HHL"/>
    <x v="0"/>
  </r>
  <r>
    <s v="Customer-871"/>
    <x v="1"/>
    <d v="2025-12-03T00:00:00"/>
    <n v="29"/>
    <n v="4"/>
    <n v="977000000"/>
    <x v="0"/>
    <x v="0"/>
    <x v="1"/>
    <s v="HHH"/>
    <x v="1"/>
  </r>
  <r>
    <s v="Customer-872"/>
    <x v="0"/>
    <d v="2025-12-01T00:00:00"/>
    <n v="31"/>
    <n v="5"/>
    <n v="1033750000"/>
    <x v="0"/>
    <x v="0"/>
    <x v="1"/>
    <s v="HHH"/>
    <x v="1"/>
  </r>
  <r>
    <s v="Customer-873"/>
    <x v="3"/>
    <d v="2025-06-11T00:00:00"/>
    <n v="204"/>
    <n v="2"/>
    <n v="7660000"/>
    <x v="1"/>
    <x v="1"/>
    <x v="0"/>
    <s v="LLL"/>
    <x v="2"/>
  </r>
  <r>
    <s v="Customer-874"/>
    <x v="1"/>
    <d v="2025-11-07T00:00:00"/>
    <n v="55"/>
    <n v="1"/>
    <n v="1250000"/>
    <x v="0"/>
    <x v="1"/>
    <x v="0"/>
    <s v="HLL"/>
    <x v="6"/>
  </r>
  <r>
    <s v="Customer-876"/>
    <x v="0"/>
    <d v="2025-03-31T00:00:00"/>
    <n v="276"/>
    <n v="1"/>
    <n v="4750000"/>
    <x v="1"/>
    <x v="1"/>
    <x v="0"/>
    <s v="LLL"/>
    <x v="2"/>
  </r>
  <r>
    <s v="Customer-879"/>
    <x v="0"/>
    <d v="2025-12-04T00:00:00"/>
    <n v="28"/>
    <n v="3"/>
    <n v="25450000"/>
    <x v="0"/>
    <x v="0"/>
    <x v="0"/>
    <s v="HHL"/>
    <x v="0"/>
  </r>
  <r>
    <s v="Customer-880"/>
    <x v="2"/>
    <d v="2025-01-16T00:00:00"/>
    <n v="350"/>
    <n v="1"/>
    <n v="9250000"/>
    <x v="1"/>
    <x v="1"/>
    <x v="0"/>
    <s v="LLL"/>
    <x v="2"/>
  </r>
  <r>
    <s v="Customer-881"/>
    <x v="0"/>
    <d v="2025-12-24T00:00:00"/>
    <n v="8"/>
    <n v="4"/>
    <n v="28500000"/>
    <x v="0"/>
    <x v="0"/>
    <x v="0"/>
    <s v="HHL"/>
    <x v="0"/>
  </r>
  <r>
    <s v="Customer-882"/>
    <x v="1"/>
    <d v="2025-10-29T00:00:00"/>
    <n v="64"/>
    <n v="3"/>
    <n v="37850000"/>
    <x v="1"/>
    <x v="0"/>
    <x v="0"/>
    <s v="LHL"/>
    <x v="3"/>
  </r>
  <r>
    <s v="Customer-883"/>
    <x v="3"/>
    <d v="2025-06-17T00:00:00"/>
    <n v="198"/>
    <n v="1"/>
    <n v="2500000"/>
    <x v="1"/>
    <x v="1"/>
    <x v="0"/>
    <s v="LLL"/>
    <x v="2"/>
  </r>
  <r>
    <s v="Customer-884"/>
    <x v="2"/>
    <d v="2025-03-12T00:00:00"/>
    <n v="295"/>
    <n v="1"/>
    <n v="16650000"/>
    <x v="1"/>
    <x v="1"/>
    <x v="0"/>
    <s v="LLL"/>
    <x v="2"/>
  </r>
  <r>
    <s v="Customer-885"/>
    <x v="0"/>
    <d v="2025-12-31T00:00:00"/>
    <n v="1"/>
    <n v="4"/>
    <n v="57450000"/>
    <x v="0"/>
    <x v="0"/>
    <x v="1"/>
    <s v="HHH"/>
    <x v="1"/>
  </r>
  <r>
    <s v="Customer-886"/>
    <x v="0"/>
    <d v="2025-11-07T00:00:00"/>
    <n v="55"/>
    <n v="2"/>
    <n v="13950000"/>
    <x v="0"/>
    <x v="1"/>
    <x v="0"/>
    <s v="HLL"/>
    <x v="6"/>
  </r>
  <r>
    <s v="Customer-887"/>
    <x v="0"/>
    <d v="2025-12-22T00:00:00"/>
    <n v="10"/>
    <n v="2"/>
    <n v="34550000"/>
    <x v="0"/>
    <x v="1"/>
    <x v="0"/>
    <s v="HLL"/>
    <x v="6"/>
  </r>
  <r>
    <s v="Customer-888"/>
    <x v="2"/>
    <d v="2025-11-17T00:00:00"/>
    <n v="45"/>
    <n v="7"/>
    <n v="938250000"/>
    <x v="0"/>
    <x v="0"/>
    <x v="1"/>
    <s v="HHH"/>
    <x v="1"/>
  </r>
  <r>
    <s v="Customer-889"/>
    <x v="0"/>
    <d v="2025-12-08T00:00:00"/>
    <n v="24"/>
    <n v="5"/>
    <n v="55800000"/>
    <x v="0"/>
    <x v="0"/>
    <x v="1"/>
    <s v="HHH"/>
    <x v="1"/>
  </r>
  <r>
    <s v="Customer-890"/>
    <x v="1"/>
    <d v="2025-08-05T00:00:00"/>
    <n v="149"/>
    <n v="2"/>
    <n v="13610000"/>
    <x v="1"/>
    <x v="1"/>
    <x v="0"/>
    <s v="LLL"/>
    <x v="2"/>
  </r>
  <r>
    <s v="Customer-891"/>
    <x v="2"/>
    <d v="2025-12-24T00:00:00"/>
    <n v="8"/>
    <n v="3"/>
    <n v="31475000"/>
    <x v="0"/>
    <x v="0"/>
    <x v="0"/>
    <s v="HHL"/>
    <x v="0"/>
  </r>
  <r>
    <s v="Customer-892"/>
    <x v="0"/>
    <d v="2025-10-30T00:00:00"/>
    <n v="63"/>
    <n v="4"/>
    <n v="17900000"/>
    <x v="1"/>
    <x v="0"/>
    <x v="0"/>
    <s v="LHL"/>
    <x v="3"/>
  </r>
  <r>
    <s v="Customer-893"/>
    <x v="3"/>
    <d v="2025-07-11T00:00:00"/>
    <n v="174"/>
    <n v="1"/>
    <n v="425000"/>
    <x v="1"/>
    <x v="1"/>
    <x v="0"/>
    <s v="LLL"/>
    <x v="2"/>
  </r>
  <r>
    <s v="Customer-895"/>
    <x v="3"/>
    <d v="2025-04-07T00:00:00"/>
    <n v="269"/>
    <n v="2"/>
    <n v="64080000"/>
    <x v="1"/>
    <x v="1"/>
    <x v="1"/>
    <s v="LLH"/>
    <x v="7"/>
  </r>
  <r>
    <s v="Customer-896"/>
    <x v="3"/>
    <d v="2025-09-12T00:00:00"/>
    <n v="111"/>
    <n v="3"/>
    <n v="14270000"/>
    <x v="1"/>
    <x v="0"/>
    <x v="0"/>
    <s v="LHL"/>
    <x v="3"/>
  </r>
  <r>
    <s v="Customer-897"/>
    <x v="4"/>
    <d v="2025-12-25T00:00:00"/>
    <n v="7"/>
    <n v="3"/>
    <n v="21390000"/>
    <x v="0"/>
    <x v="0"/>
    <x v="0"/>
    <s v="HHL"/>
    <x v="0"/>
  </r>
  <r>
    <s v="Customer-898"/>
    <x v="0"/>
    <d v="2025-10-31T00:00:00"/>
    <n v="62"/>
    <n v="3"/>
    <n v="26690000"/>
    <x v="1"/>
    <x v="0"/>
    <x v="0"/>
    <s v="LHL"/>
    <x v="3"/>
  </r>
  <r>
    <s v="Customer-900"/>
    <x v="0"/>
    <d v="2025-11-21T00:00:00"/>
    <n v="41"/>
    <n v="5"/>
    <n v="48750000"/>
    <x v="0"/>
    <x v="0"/>
    <x v="0"/>
    <s v="HHL"/>
    <x v="0"/>
  </r>
  <r>
    <s v="Customer-901"/>
    <x v="0"/>
    <d v="2025-10-22T00:00:00"/>
    <n v="71"/>
    <n v="1"/>
    <n v="1750000"/>
    <x v="1"/>
    <x v="1"/>
    <x v="0"/>
    <s v="LLL"/>
    <x v="2"/>
  </r>
  <r>
    <s v="Customer-902"/>
    <x v="0"/>
    <d v="2025-09-05T00:00:00"/>
    <n v="118"/>
    <n v="2"/>
    <n v="25670000"/>
    <x v="1"/>
    <x v="1"/>
    <x v="0"/>
    <s v="LLL"/>
    <x v="2"/>
  </r>
  <r>
    <s v="Customer-904"/>
    <x v="0"/>
    <d v="2025-01-02T00:00:00"/>
    <n v="364"/>
    <n v="1"/>
    <n v="7000000"/>
    <x v="1"/>
    <x v="1"/>
    <x v="0"/>
    <s v="LLL"/>
    <x v="2"/>
  </r>
  <r>
    <s v="Customer-905"/>
    <x v="0"/>
    <d v="2025-10-20T00:00:00"/>
    <n v="73"/>
    <n v="2"/>
    <n v="19700000"/>
    <x v="1"/>
    <x v="1"/>
    <x v="0"/>
    <s v="LLL"/>
    <x v="2"/>
  </r>
  <r>
    <s v="Customer-907"/>
    <x v="3"/>
    <d v="2025-05-12T00:00:00"/>
    <n v="234"/>
    <n v="2"/>
    <n v="15125000"/>
    <x v="1"/>
    <x v="1"/>
    <x v="0"/>
    <s v="LLL"/>
    <x v="2"/>
  </r>
  <r>
    <s v="Customer-908"/>
    <x v="2"/>
    <d v="2025-11-17T00:00:00"/>
    <n v="45"/>
    <n v="1"/>
    <n v="7650000"/>
    <x v="0"/>
    <x v="1"/>
    <x v="0"/>
    <s v="HLL"/>
    <x v="6"/>
  </r>
  <r>
    <s v="Customer-909"/>
    <x v="0"/>
    <d v="2025-06-23T00:00:00"/>
    <n v="192"/>
    <n v="2"/>
    <n v="52600000"/>
    <x v="1"/>
    <x v="1"/>
    <x v="1"/>
    <s v="LLH"/>
    <x v="7"/>
  </r>
  <r>
    <s v="Customer-910"/>
    <x v="1"/>
    <d v="2025-04-21T00:00:00"/>
    <n v="255"/>
    <n v="1"/>
    <n v="8750000"/>
    <x v="1"/>
    <x v="1"/>
    <x v="0"/>
    <s v="LLL"/>
    <x v="2"/>
  </r>
  <r>
    <s v="Customer-911"/>
    <x v="2"/>
    <d v="2025-12-31T00:00:00"/>
    <n v="1"/>
    <n v="4"/>
    <n v="62000000"/>
    <x v="0"/>
    <x v="0"/>
    <x v="1"/>
    <s v="HHH"/>
    <x v="1"/>
  </r>
  <r>
    <s v="Customer-912"/>
    <x v="1"/>
    <d v="2025-07-02T00:00:00"/>
    <n v="183"/>
    <n v="4"/>
    <n v="29430000"/>
    <x v="1"/>
    <x v="0"/>
    <x v="0"/>
    <s v="LHL"/>
    <x v="3"/>
  </r>
  <r>
    <s v="Customer-913"/>
    <x v="1"/>
    <d v="2025-12-03T00:00:00"/>
    <n v="29"/>
    <n v="4"/>
    <n v="57550000"/>
    <x v="0"/>
    <x v="0"/>
    <x v="1"/>
    <s v="HHH"/>
    <x v="1"/>
  </r>
  <r>
    <s v="Customer-914"/>
    <x v="2"/>
    <d v="2025-10-22T00:00:00"/>
    <n v="71"/>
    <n v="1"/>
    <n v="8500000"/>
    <x v="1"/>
    <x v="1"/>
    <x v="0"/>
    <s v="LLL"/>
    <x v="2"/>
  </r>
  <r>
    <s v="Customer-915"/>
    <x v="1"/>
    <d v="2025-12-16T00:00:00"/>
    <n v="16"/>
    <n v="3"/>
    <n v="396500000"/>
    <x v="0"/>
    <x v="0"/>
    <x v="1"/>
    <s v="HHH"/>
    <x v="1"/>
  </r>
  <r>
    <s v="Customer-916"/>
    <x v="1"/>
    <d v="2025-12-16T00:00:00"/>
    <n v="16"/>
    <n v="4"/>
    <n v="40500000"/>
    <x v="0"/>
    <x v="0"/>
    <x v="0"/>
    <s v="HHL"/>
    <x v="0"/>
  </r>
  <r>
    <s v="Customer-917"/>
    <x v="3"/>
    <d v="2025-07-25T00:00:00"/>
    <n v="160"/>
    <n v="1"/>
    <n v="9500000"/>
    <x v="1"/>
    <x v="1"/>
    <x v="0"/>
    <s v="LLL"/>
    <x v="2"/>
  </r>
  <r>
    <s v="Customer-918"/>
    <x v="1"/>
    <d v="2025-12-01T00:00:00"/>
    <n v="31"/>
    <n v="10"/>
    <n v="412500000"/>
    <x v="0"/>
    <x v="0"/>
    <x v="1"/>
    <s v="HHH"/>
    <x v="1"/>
  </r>
  <r>
    <s v="Customer-919"/>
    <x v="0"/>
    <d v="2025-11-21T00:00:00"/>
    <n v="41"/>
    <n v="8"/>
    <n v="76200000"/>
    <x v="0"/>
    <x v="0"/>
    <x v="1"/>
    <s v="HHH"/>
    <x v="1"/>
  </r>
  <r>
    <s v="Customer-920"/>
    <x v="0"/>
    <d v="2025-12-24T00:00:00"/>
    <n v="8"/>
    <n v="3"/>
    <n v="39560000"/>
    <x v="0"/>
    <x v="0"/>
    <x v="0"/>
    <s v="HHL"/>
    <x v="0"/>
  </r>
  <r>
    <s v="Customer-921"/>
    <x v="4"/>
    <d v="2025-07-09T00:00:00"/>
    <n v="176"/>
    <n v="2"/>
    <n v="28700000"/>
    <x v="1"/>
    <x v="1"/>
    <x v="0"/>
    <s v="LLL"/>
    <x v="2"/>
  </r>
  <r>
    <s v="Customer-922"/>
    <x v="3"/>
    <d v="2025-09-26T00:00:00"/>
    <n v="97"/>
    <n v="2"/>
    <n v="27020000"/>
    <x v="1"/>
    <x v="1"/>
    <x v="0"/>
    <s v="LLL"/>
    <x v="2"/>
  </r>
  <r>
    <s v="Customer-923"/>
    <x v="1"/>
    <d v="2025-03-24T00:00:00"/>
    <n v="283"/>
    <n v="1"/>
    <n v="54000000"/>
    <x v="1"/>
    <x v="1"/>
    <x v="1"/>
    <s v="LLH"/>
    <x v="7"/>
  </r>
  <r>
    <s v="Customer-924"/>
    <x v="4"/>
    <d v="2025-10-31T00:00:00"/>
    <n v="62"/>
    <n v="3"/>
    <n v="31200000"/>
    <x v="1"/>
    <x v="0"/>
    <x v="0"/>
    <s v="LHL"/>
    <x v="3"/>
  </r>
  <r>
    <s v="Customer-925"/>
    <x v="0"/>
    <d v="2025-11-17T00:00:00"/>
    <n v="45"/>
    <n v="3"/>
    <n v="58200000"/>
    <x v="0"/>
    <x v="0"/>
    <x v="1"/>
    <s v="HHH"/>
    <x v="1"/>
  </r>
  <r>
    <s v="Customer-926"/>
    <x v="3"/>
    <d v="2025-08-05T00:00:00"/>
    <n v="149"/>
    <n v="3"/>
    <n v="8505000"/>
    <x v="1"/>
    <x v="0"/>
    <x v="0"/>
    <s v="LHL"/>
    <x v="3"/>
  </r>
  <r>
    <s v="Customer-927"/>
    <x v="4"/>
    <d v="2025-09-22T00:00:00"/>
    <n v="101"/>
    <n v="6"/>
    <n v="62550000"/>
    <x v="1"/>
    <x v="0"/>
    <x v="1"/>
    <s v="LHH"/>
    <x v="5"/>
  </r>
  <r>
    <s v="Customer-928"/>
    <x v="0"/>
    <d v="2025-07-16T00:00:00"/>
    <n v="169"/>
    <n v="5"/>
    <n v="37575000"/>
    <x v="1"/>
    <x v="0"/>
    <x v="0"/>
    <s v="LHL"/>
    <x v="3"/>
  </r>
  <r>
    <s v="Customer-929"/>
    <x v="0"/>
    <d v="2025-09-30T00:00:00"/>
    <n v="93"/>
    <n v="1"/>
    <n v="1750000"/>
    <x v="1"/>
    <x v="1"/>
    <x v="0"/>
    <s v="LLL"/>
    <x v="2"/>
  </r>
  <r>
    <s v="Customer-931"/>
    <x v="1"/>
    <d v="2025-01-02T00:00:00"/>
    <n v="364"/>
    <n v="1"/>
    <n v="7350000"/>
    <x v="1"/>
    <x v="1"/>
    <x v="0"/>
    <s v="LLL"/>
    <x v="2"/>
  </r>
  <r>
    <s v="Customer-932"/>
    <x v="4"/>
    <d v="2025-12-05T00:00:00"/>
    <n v="27"/>
    <n v="1"/>
    <n v="20900000"/>
    <x v="0"/>
    <x v="1"/>
    <x v="0"/>
    <s v="HLL"/>
    <x v="6"/>
  </r>
  <r>
    <s v="Customer-933"/>
    <x v="4"/>
    <d v="2025-02-11T00:00:00"/>
    <n v="324"/>
    <n v="1"/>
    <n v="38950000"/>
    <x v="1"/>
    <x v="1"/>
    <x v="0"/>
    <s v="LLL"/>
    <x v="2"/>
  </r>
  <r>
    <s v="Customer-934"/>
    <x v="4"/>
    <d v="2025-05-22T00:00:00"/>
    <n v="224"/>
    <n v="1"/>
    <n v="720000"/>
    <x v="1"/>
    <x v="1"/>
    <x v="0"/>
    <s v="LLL"/>
    <x v="2"/>
  </r>
  <r>
    <s v="Customer-935"/>
    <x v="1"/>
    <d v="2025-06-27T00:00:00"/>
    <n v="188"/>
    <n v="1"/>
    <n v="8640000"/>
    <x v="1"/>
    <x v="1"/>
    <x v="0"/>
    <s v="LLL"/>
    <x v="2"/>
  </r>
  <r>
    <s v="Customer-936"/>
    <x v="0"/>
    <d v="2025-08-05T00:00:00"/>
    <n v="149"/>
    <n v="3"/>
    <n v="19200000"/>
    <x v="1"/>
    <x v="0"/>
    <x v="0"/>
    <s v="LHL"/>
    <x v="3"/>
  </r>
  <r>
    <s v="Customer-937"/>
    <x v="2"/>
    <d v="2025-11-17T00:00:00"/>
    <n v="45"/>
    <n v="2"/>
    <n v="47450000"/>
    <x v="0"/>
    <x v="1"/>
    <x v="0"/>
    <s v="HLL"/>
    <x v="6"/>
  </r>
  <r>
    <s v="Customer-938"/>
    <x v="2"/>
    <d v="2025-04-17T00:00:00"/>
    <n v="259"/>
    <n v="1"/>
    <n v="7600000"/>
    <x v="1"/>
    <x v="1"/>
    <x v="0"/>
    <s v="LLL"/>
    <x v="2"/>
  </r>
  <r>
    <s v="Customer-939"/>
    <x v="1"/>
    <d v="2025-08-14T00:00:00"/>
    <n v="140"/>
    <n v="1"/>
    <n v="7740000"/>
    <x v="1"/>
    <x v="1"/>
    <x v="0"/>
    <s v="LLL"/>
    <x v="2"/>
  </r>
  <r>
    <s v="Customer-940"/>
    <x v="4"/>
    <d v="2025-08-14T00:00:00"/>
    <n v="140"/>
    <n v="3"/>
    <n v="37850000"/>
    <x v="1"/>
    <x v="0"/>
    <x v="0"/>
    <s v="LHL"/>
    <x v="3"/>
  </r>
  <r>
    <s v="Customer-941"/>
    <x v="3"/>
    <d v="2025-11-13T00:00:00"/>
    <n v="49"/>
    <n v="3"/>
    <n v="23400000"/>
    <x v="0"/>
    <x v="0"/>
    <x v="0"/>
    <s v="HHL"/>
    <x v="0"/>
  </r>
  <r>
    <s v="Customer-942"/>
    <x v="4"/>
    <d v="2025-11-06T00:00:00"/>
    <n v="56"/>
    <n v="1"/>
    <n v="8550000"/>
    <x v="0"/>
    <x v="1"/>
    <x v="0"/>
    <s v="HLL"/>
    <x v="6"/>
  </r>
  <r>
    <s v="Customer-943"/>
    <x v="2"/>
    <d v="2025-03-24T00:00:00"/>
    <n v="283"/>
    <n v="1"/>
    <n v="22050000"/>
    <x v="1"/>
    <x v="1"/>
    <x v="0"/>
    <s v="LLL"/>
    <x v="2"/>
  </r>
  <r>
    <s v="Customer-944"/>
    <x v="1"/>
    <d v="2025-10-29T00:00:00"/>
    <n v="64"/>
    <n v="3"/>
    <n v="44300000"/>
    <x v="1"/>
    <x v="0"/>
    <x v="0"/>
    <s v="LHL"/>
    <x v="3"/>
  </r>
  <r>
    <s v="Customer-945"/>
    <x v="1"/>
    <d v="2025-11-25T00:00:00"/>
    <n v="37"/>
    <n v="1"/>
    <n v="5500000"/>
    <x v="0"/>
    <x v="1"/>
    <x v="0"/>
    <s v="HLL"/>
    <x v="6"/>
  </r>
  <r>
    <s v="Customer-946"/>
    <x v="4"/>
    <d v="2025-08-06T00:00:00"/>
    <n v="148"/>
    <n v="4"/>
    <n v="30720000"/>
    <x v="1"/>
    <x v="0"/>
    <x v="0"/>
    <s v="LHL"/>
    <x v="3"/>
  </r>
  <r>
    <s v="Customer-947"/>
    <x v="3"/>
    <d v="2025-09-11T00:00:00"/>
    <n v="112"/>
    <n v="3"/>
    <n v="7370000"/>
    <x v="1"/>
    <x v="0"/>
    <x v="0"/>
    <s v="LHL"/>
    <x v="3"/>
  </r>
  <r>
    <s v="Customer-948"/>
    <x v="1"/>
    <d v="2025-12-17T00:00:00"/>
    <n v="15"/>
    <n v="8"/>
    <n v="73675000"/>
    <x v="0"/>
    <x v="0"/>
    <x v="1"/>
    <s v="HHH"/>
    <x v="1"/>
  </r>
  <r>
    <s v="Customer-949"/>
    <x v="2"/>
    <d v="2025-09-24T00:00:00"/>
    <n v="99"/>
    <n v="4"/>
    <n v="40700000"/>
    <x v="1"/>
    <x v="0"/>
    <x v="0"/>
    <s v="LHL"/>
    <x v="3"/>
  </r>
  <r>
    <s v="Customer-950"/>
    <x v="4"/>
    <d v="2025-10-10T00:00:00"/>
    <n v="83"/>
    <n v="2"/>
    <n v="47150000"/>
    <x v="1"/>
    <x v="1"/>
    <x v="0"/>
    <s v="LLL"/>
    <x v="2"/>
  </r>
  <r>
    <s v="Customer-951"/>
    <x v="2"/>
    <d v="2025-06-25T00:00:00"/>
    <n v="190"/>
    <n v="2"/>
    <n v="17250000"/>
    <x v="1"/>
    <x v="1"/>
    <x v="0"/>
    <s v="LLL"/>
    <x v="2"/>
  </r>
  <r>
    <s v="Customer-954"/>
    <x v="2"/>
    <d v="2025-05-30T00:00:00"/>
    <n v="216"/>
    <n v="1"/>
    <n v="7350000"/>
    <x v="1"/>
    <x v="1"/>
    <x v="0"/>
    <s v="LLL"/>
    <x v="2"/>
  </r>
  <r>
    <s v="Customer-955"/>
    <x v="3"/>
    <d v="2025-01-16T00:00:00"/>
    <n v="350"/>
    <n v="1"/>
    <n v="6000000"/>
    <x v="1"/>
    <x v="1"/>
    <x v="0"/>
    <s v="LLL"/>
    <x v="2"/>
  </r>
  <r>
    <s v="Customer-957"/>
    <x v="1"/>
    <d v="2025-12-09T00:00:00"/>
    <n v="23"/>
    <n v="2"/>
    <n v="25290000"/>
    <x v="0"/>
    <x v="1"/>
    <x v="0"/>
    <s v="HLL"/>
    <x v="6"/>
  </r>
  <r>
    <s v="Customer-958"/>
    <x v="0"/>
    <d v="2025-12-03T00:00:00"/>
    <n v="29"/>
    <n v="6"/>
    <n v="50400000"/>
    <x v="0"/>
    <x v="0"/>
    <x v="1"/>
    <s v="HHH"/>
    <x v="1"/>
  </r>
  <r>
    <s v="Customer-959"/>
    <x v="4"/>
    <d v="2025-08-12T00:00:00"/>
    <n v="142"/>
    <n v="2"/>
    <n v="6595000"/>
    <x v="1"/>
    <x v="1"/>
    <x v="0"/>
    <s v="LLL"/>
    <x v="2"/>
  </r>
  <r>
    <s v="Customer-961"/>
    <x v="0"/>
    <d v="2025-09-17T00:00:00"/>
    <n v="106"/>
    <n v="6"/>
    <n v="52460000"/>
    <x v="1"/>
    <x v="0"/>
    <x v="1"/>
    <s v="LHH"/>
    <x v="5"/>
  </r>
  <r>
    <s v="Customer-962"/>
    <x v="0"/>
    <d v="2025-11-27T00:00:00"/>
    <n v="35"/>
    <n v="5"/>
    <n v="31805000"/>
    <x v="0"/>
    <x v="0"/>
    <x v="0"/>
    <s v="HHL"/>
    <x v="0"/>
  </r>
  <r>
    <s v="Customer-963"/>
    <x v="1"/>
    <d v="2025-10-08T00:00:00"/>
    <n v="85"/>
    <n v="1"/>
    <n v="6500000"/>
    <x v="1"/>
    <x v="1"/>
    <x v="0"/>
    <s v="LLL"/>
    <x v="2"/>
  </r>
  <r>
    <s v="Customer-964"/>
    <x v="0"/>
    <d v="2025-12-24T00:00:00"/>
    <n v="8"/>
    <n v="6"/>
    <n v="32765000"/>
    <x v="0"/>
    <x v="0"/>
    <x v="0"/>
    <s v="HHL"/>
    <x v="0"/>
  </r>
  <r>
    <s v="Customer-966"/>
    <x v="1"/>
    <d v="2025-09-09T00:00:00"/>
    <n v="114"/>
    <n v="1"/>
    <n v="16100000"/>
    <x v="1"/>
    <x v="1"/>
    <x v="0"/>
    <s v="LLL"/>
    <x v="2"/>
  </r>
  <r>
    <s v="Customer-967"/>
    <x v="2"/>
    <d v="2025-09-22T00:00:00"/>
    <n v="101"/>
    <n v="1"/>
    <n v="8200000"/>
    <x v="1"/>
    <x v="1"/>
    <x v="0"/>
    <s v="LLL"/>
    <x v="2"/>
  </r>
  <r>
    <s v="Customer-968"/>
    <x v="4"/>
    <d v="2025-12-31T00:00:00"/>
    <n v="1"/>
    <n v="4"/>
    <n v="33050000"/>
    <x v="0"/>
    <x v="0"/>
    <x v="0"/>
    <s v="HHL"/>
    <x v="0"/>
  </r>
  <r>
    <s v="Customer-969"/>
    <x v="0"/>
    <d v="2025-12-01T00:00:00"/>
    <n v="31"/>
    <n v="7"/>
    <n v="412000000"/>
    <x v="0"/>
    <x v="0"/>
    <x v="1"/>
    <s v="HHH"/>
    <x v="1"/>
  </r>
  <r>
    <s v="Customer-970"/>
    <x v="0"/>
    <d v="2025-12-04T00:00:00"/>
    <n v="28"/>
    <n v="4"/>
    <n v="42910000"/>
    <x v="0"/>
    <x v="0"/>
    <x v="0"/>
    <s v="HHL"/>
    <x v="0"/>
  </r>
  <r>
    <s v="Customer-971"/>
    <x v="3"/>
    <d v="2025-04-03T00:00:00"/>
    <n v="273"/>
    <n v="1"/>
    <n v="5000000"/>
    <x v="1"/>
    <x v="1"/>
    <x v="0"/>
    <s v="LLL"/>
    <x v="2"/>
  </r>
  <r>
    <s v="Customer-972"/>
    <x v="3"/>
    <d v="2025-07-04T00:00:00"/>
    <n v="181"/>
    <n v="2"/>
    <n v="37200000"/>
    <x v="1"/>
    <x v="1"/>
    <x v="0"/>
    <s v="LLL"/>
    <x v="2"/>
  </r>
  <r>
    <s v="Customer-974"/>
    <x v="0"/>
    <d v="2025-12-22T00:00:00"/>
    <n v="10"/>
    <n v="3"/>
    <n v="60150000"/>
    <x v="0"/>
    <x v="0"/>
    <x v="1"/>
    <s v="HHH"/>
    <x v="1"/>
  </r>
  <r>
    <s v="Customer-976"/>
    <x v="4"/>
    <d v="2025-12-25T00:00:00"/>
    <n v="7"/>
    <n v="3"/>
    <n v="10260000"/>
    <x v="0"/>
    <x v="0"/>
    <x v="0"/>
    <s v="HHL"/>
    <x v="0"/>
  </r>
  <r>
    <s v="Customer-977"/>
    <x v="4"/>
    <d v="2025-10-24T00:00:00"/>
    <n v="69"/>
    <n v="4"/>
    <n v="1161100000"/>
    <x v="1"/>
    <x v="0"/>
    <x v="1"/>
    <s v="LHH"/>
    <x v="5"/>
  </r>
  <r>
    <s v="Customer-978"/>
    <x v="1"/>
    <d v="2025-06-19T00:00:00"/>
    <n v="196"/>
    <n v="4"/>
    <n v="15585000"/>
    <x v="1"/>
    <x v="0"/>
    <x v="0"/>
    <s v="LHL"/>
    <x v="3"/>
  </r>
  <r>
    <s v="Customer-979"/>
    <x v="4"/>
    <d v="2025-05-22T00:00:00"/>
    <n v="224"/>
    <n v="2"/>
    <n v="15600000"/>
    <x v="1"/>
    <x v="1"/>
    <x v="0"/>
    <s v="LLL"/>
    <x v="2"/>
  </r>
  <r>
    <s v="Customer-980"/>
    <x v="3"/>
    <d v="2025-10-21T00:00:00"/>
    <n v="72"/>
    <n v="4"/>
    <n v="35375000"/>
    <x v="1"/>
    <x v="0"/>
    <x v="0"/>
    <s v="LHL"/>
    <x v="3"/>
  </r>
  <r>
    <s v="Customer-981"/>
    <x v="0"/>
    <d v="2025-07-10T00:00:00"/>
    <n v="175"/>
    <n v="3"/>
    <n v="56300000"/>
    <x v="1"/>
    <x v="0"/>
    <x v="1"/>
    <s v="LHH"/>
    <x v="5"/>
  </r>
  <r>
    <s v="Customer-983"/>
    <x v="4"/>
    <d v="2025-02-13T00:00:00"/>
    <n v="322"/>
    <n v="1"/>
    <n v="2250000"/>
    <x v="1"/>
    <x v="1"/>
    <x v="0"/>
    <s v="LLL"/>
    <x v="2"/>
  </r>
  <r>
    <s v="Customer-984"/>
    <x v="4"/>
    <d v="2025-02-28T00:00:00"/>
    <n v="307"/>
    <n v="1"/>
    <n v="7740000"/>
    <x v="1"/>
    <x v="1"/>
    <x v="0"/>
    <s v="LLL"/>
    <x v="2"/>
  </r>
  <r>
    <s v="Customer-985"/>
    <x v="2"/>
    <d v="2025-12-08T00:00:00"/>
    <n v="24"/>
    <n v="5"/>
    <n v="1105000000"/>
    <x v="0"/>
    <x v="0"/>
    <x v="1"/>
    <s v="HHH"/>
    <x v="1"/>
  </r>
  <r>
    <s v="Customer-986"/>
    <x v="2"/>
    <d v="2025-03-10T00:00:00"/>
    <n v="297"/>
    <n v="1"/>
    <n v="17100000"/>
    <x v="1"/>
    <x v="1"/>
    <x v="0"/>
    <s v="LLL"/>
    <x v="2"/>
  </r>
  <r>
    <s v="Customer-988"/>
    <x v="2"/>
    <d v="2025-09-18T00:00:00"/>
    <n v="105"/>
    <n v="2"/>
    <n v="16500000"/>
    <x v="1"/>
    <x v="1"/>
    <x v="0"/>
    <s v="LLL"/>
    <x v="2"/>
  </r>
  <r>
    <s v="Customer-990"/>
    <x v="1"/>
    <d v="2025-02-10T00:00:00"/>
    <n v="325"/>
    <n v="1"/>
    <n v="16200000"/>
    <x v="1"/>
    <x v="1"/>
    <x v="0"/>
    <s v="LLL"/>
    <x v="2"/>
  </r>
  <r>
    <s v="Customer-991"/>
    <x v="1"/>
    <d v="2025-08-06T00:00:00"/>
    <n v="148"/>
    <n v="2"/>
    <n v="2595000"/>
    <x v="1"/>
    <x v="1"/>
    <x v="0"/>
    <s v="LLL"/>
    <x v="2"/>
  </r>
  <r>
    <s v="Customer-992"/>
    <x v="0"/>
    <d v="2025-12-17T00:00:00"/>
    <n v="15"/>
    <n v="3"/>
    <n v="21250000"/>
    <x v="0"/>
    <x v="0"/>
    <x v="0"/>
    <s v="HHL"/>
    <x v="0"/>
  </r>
  <r>
    <s v="Customer-993"/>
    <x v="1"/>
    <d v="2025-07-23T00:00:00"/>
    <n v="162"/>
    <n v="3"/>
    <n v="18075000"/>
    <x v="1"/>
    <x v="0"/>
    <x v="0"/>
    <s v="LHL"/>
    <x v="3"/>
  </r>
  <r>
    <s v="Customer-995"/>
    <x v="2"/>
    <d v="2025-12-23T00:00:00"/>
    <n v="9"/>
    <n v="2"/>
    <n v="6900000"/>
    <x v="0"/>
    <x v="1"/>
    <x v="0"/>
    <s v="HLL"/>
    <x v="6"/>
  </r>
  <r>
    <s v="Customer-996"/>
    <x v="1"/>
    <d v="2025-09-18T00:00:00"/>
    <n v="105"/>
    <n v="3"/>
    <n v="14870000"/>
    <x v="1"/>
    <x v="0"/>
    <x v="0"/>
    <s v="LHL"/>
    <x v="3"/>
  </r>
  <r>
    <s v="Customer-997"/>
    <x v="0"/>
    <d v="2025-09-18T00:00:00"/>
    <n v="105"/>
    <n v="3"/>
    <n v="58470000"/>
    <x v="1"/>
    <x v="0"/>
    <x v="1"/>
    <s v="LHH"/>
    <x v="5"/>
  </r>
  <r>
    <s v="Customer-998"/>
    <x v="0"/>
    <d v="2025-10-13T00:00:00"/>
    <n v="80"/>
    <n v="5"/>
    <n v="852750000"/>
    <x v="1"/>
    <x v="0"/>
    <x v="1"/>
    <s v="LHH"/>
    <x v="5"/>
  </r>
  <r>
    <s v="Customer-999"/>
    <x v="3"/>
    <d v="2025-07-17T00:00:00"/>
    <n v="168"/>
    <n v="2"/>
    <n v="10800000"/>
    <x v="1"/>
    <x v="1"/>
    <x v="0"/>
    <s v="LLL"/>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
  <r>
    <s v="Customer-002"/>
    <s v="Mandalay"/>
    <d v="2025-12-25T00:00:00"/>
    <n v="7"/>
    <n v="3"/>
    <n v="17425000"/>
    <s v="High"/>
    <s v="High"/>
    <s v="Low"/>
    <s v="HHL"/>
    <x v="0"/>
  </r>
  <r>
    <s v="Customer-004"/>
    <s v="Yangon"/>
    <d v="2025-11-04T00:00:00"/>
    <n v="58"/>
    <n v="5"/>
    <n v="69590000"/>
    <s v="High"/>
    <s v="High"/>
    <s v="High"/>
    <s v="HHH"/>
    <x v="1"/>
  </r>
  <r>
    <s v="Customer-005"/>
    <s v="Mandalay"/>
    <d v="2025-09-22T00:00:00"/>
    <n v="101"/>
    <n v="2"/>
    <n v="22950000"/>
    <s v="Low"/>
    <s v="Low"/>
    <s v="High"/>
    <s v="LLH"/>
    <x v="2"/>
  </r>
  <r>
    <s v="Customer-006"/>
    <s v="Bago"/>
    <d v="2025-03-06T00:00:00"/>
    <n v="301"/>
    <n v="1"/>
    <n v="39900000"/>
    <s v="Low"/>
    <s v="Low"/>
    <s v="High"/>
    <s v="LLH"/>
    <x v="2"/>
  </r>
  <r>
    <s v="Customer-007"/>
    <s v="Bago"/>
    <d v="2025-06-26T00:00:00"/>
    <n v="189"/>
    <n v="1"/>
    <n v="250000"/>
    <s v="Low"/>
    <s v="Low"/>
    <s v="Low"/>
    <s v="LLL"/>
    <x v="3"/>
  </r>
  <r>
    <s v="Customer-008"/>
    <s v="Bago"/>
    <d v="2025-03-11T00:00:00"/>
    <n v="296"/>
    <n v="1"/>
    <n v="19000000"/>
    <s v="Low"/>
    <s v="Low"/>
    <s v="High"/>
    <s v="LLH"/>
    <x v="2"/>
  </r>
  <r>
    <s v="Customer-009"/>
    <s v="Mandalay"/>
    <d v="2025-04-21T00:00:00"/>
    <n v="255"/>
    <n v="2"/>
    <n v="11700000"/>
    <s v="Low"/>
    <s v="Low"/>
    <s v="Low"/>
    <s v="LLL"/>
    <x v="3"/>
  </r>
  <r>
    <s v="Customer-012"/>
    <s v="Mandalay"/>
    <d v="2025-10-20T00:00:00"/>
    <n v="73"/>
    <n v="3"/>
    <n v="10230000"/>
    <s v="High"/>
    <s v="High"/>
    <s v="Low"/>
    <s v="HHL"/>
    <x v="0"/>
  </r>
  <r>
    <s v="Customer-013"/>
    <s v="Yangon"/>
    <d v="2025-11-17T00:00:00"/>
    <n v="45"/>
    <n v="3"/>
    <n v="60960000"/>
    <s v="High"/>
    <s v="High"/>
    <s v="High"/>
    <s v="HHH"/>
    <x v="1"/>
  </r>
  <r>
    <s v="Customer-014"/>
    <s v="Mandalay"/>
    <d v="2025-09-24T00:00:00"/>
    <n v="99"/>
    <n v="1"/>
    <n v="18450000"/>
    <s v="Low"/>
    <s v="Low"/>
    <s v="High"/>
    <s v="LLH"/>
    <x v="2"/>
  </r>
  <r>
    <s v="Customer-015"/>
    <s v="Naypyitaw"/>
    <d v="2025-07-16T00:00:00"/>
    <n v="169"/>
    <n v="1"/>
    <n v="18500000"/>
    <s v="Low"/>
    <s v="Low"/>
    <s v="High"/>
    <s v="LLH"/>
    <x v="2"/>
  </r>
  <r>
    <s v="Customer-016"/>
    <s v="Taunggyi"/>
    <d v="2025-09-04T00:00:00"/>
    <n v="119"/>
    <n v="3"/>
    <n v="43550000"/>
    <s v="Low"/>
    <s v="High"/>
    <s v="High"/>
    <s v="LHH"/>
    <x v="4"/>
  </r>
  <r>
    <s v="Customer-017"/>
    <s v="Yangon"/>
    <d v="2025-05-13T00:00:00"/>
    <n v="233"/>
    <n v="3"/>
    <n v="22350000"/>
    <s v="Low"/>
    <s v="High"/>
    <s v="High"/>
    <s v="LHH"/>
    <x v="4"/>
  </r>
  <r>
    <s v="Customer-019"/>
    <s v="Bago"/>
    <d v="2025-10-10T00:00:00"/>
    <n v="83"/>
    <n v="3"/>
    <n v="5825000"/>
    <s v="High"/>
    <s v="High"/>
    <s v="Low"/>
    <s v="HHL"/>
    <x v="0"/>
  </r>
  <r>
    <s v="Customer-020"/>
    <s v="Yangon"/>
    <d v="2025-11-25T00:00:00"/>
    <n v="37"/>
    <n v="5"/>
    <n v="38710000"/>
    <s v="High"/>
    <s v="High"/>
    <s v="High"/>
    <s v="HHH"/>
    <x v="1"/>
  </r>
  <r>
    <s v="Customer-021"/>
    <s v="Taunggyi"/>
    <d v="2025-12-24T00:00:00"/>
    <n v="8"/>
    <n v="2"/>
    <n v="57550000"/>
    <s v="High"/>
    <s v="Low"/>
    <s v="High"/>
    <s v="HLH"/>
    <x v="5"/>
  </r>
  <r>
    <s v="Customer-023"/>
    <s v="Mandalay"/>
    <d v="2025-10-07T00:00:00"/>
    <n v="86"/>
    <n v="3"/>
    <n v="11100000"/>
    <s v="High"/>
    <s v="High"/>
    <s v="Low"/>
    <s v="HHL"/>
    <x v="0"/>
  </r>
  <r>
    <s v="Customer-024"/>
    <s v="Yangon"/>
    <d v="2025-10-13T00:00:00"/>
    <n v="80"/>
    <n v="2"/>
    <n v="16200000"/>
    <s v="High"/>
    <s v="Low"/>
    <s v="Low"/>
    <s v="HLL"/>
    <x v="6"/>
  </r>
  <r>
    <s v="Customer-025"/>
    <s v="Bago"/>
    <d v="2025-01-16T00:00:00"/>
    <n v="350"/>
    <n v="1"/>
    <n v="17500000"/>
    <s v="Low"/>
    <s v="Low"/>
    <s v="Low"/>
    <s v="LLL"/>
    <x v="3"/>
  </r>
  <r>
    <s v="Customer-026"/>
    <s v="Naypyitaw"/>
    <d v="2025-12-30T00:00:00"/>
    <n v="2"/>
    <n v="3"/>
    <n v="15880000"/>
    <s v="High"/>
    <s v="High"/>
    <s v="Low"/>
    <s v="HHL"/>
    <x v="0"/>
  </r>
  <r>
    <s v="Customer-027"/>
    <s v="Mandalay"/>
    <d v="2025-03-28T00:00:00"/>
    <n v="279"/>
    <n v="1"/>
    <n v="8550000"/>
    <s v="Low"/>
    <s v="Low"/>
    <s v="Low"/>
    <s v="LLL"/>
    <x v="3"/>
  </r>
  <r>
    <s v="Customer-028"/>
    <s v="Bago"/>
    <d v="2025-03-17T00:00:00"/>
    <n v="290"/>
    <n v="2"/>
    <n v="10525000"/>
    <s v="Low"/>
    <s v="Low"/>
    <s v="Low"/>
    <s v="LLL"/>
    <x v="3"/>
  </r>
  <r>
    <s v="Customer-029"/>
    <s v="Bago"/>
    <d v="2025-10-24T00:00:00"/>
    <n v="69"/>
    <n v="1"/>
    <n v="17100000"/>
    <s v="High"/>
    <s v="Low"/>
    <s v="Low"/>
    <s v="HLL"/>
    <x v="6"/>
  </r>
  <r>
    <s v="Customer-031"/>
    <s v="Taunggyi"/>
    <d v="2025-08-27T00:00:00"/>
    <n v="127"/>
    <n v="2"/>
    <n v="9200000"/>
    <s v="Low"/>
    <s v="Low"/>
    <s v="Low"/>
    <s v="LLL"/>
    <x v="3"/>
  </r>
  <r>
    <s v="Customer-032"/>
    <s v="Mandalay"/>
    <d v="2025-10-31T00:00:00"/>
    <n v="62"/>
    <n v="4"/>
    <n v="31125000"/>
    <s v="High"/>
    <s v="High"/>
    <s v="High"/>
    <s v="HHH"/>
    <x v="1"/>
  </r>
  <r>
    <s v="Customer-033"/>
    <s v="Mandalay"/>
    <d v="2025-07-25T00:00:00"/>
    <n v="160"/>
    <n v="2"/>
    <n v="11625000"/>
    <s v="Low"/>
    <s v="Low"/>
    <s v="Low"/>
    <s v="LLL"/>
    <x v="3"/>
  </r>
  <r>
    <s v="Customer-035"/>
    <s v="Bago"/>
    <d v="2025-09-29T00:00:00"/>
    <n v="94"/>
    <n v="3"/>
    <n v="46210000"/>
    <s v="Low"/>
    <s v="High"/>
    <s v="High"/>
    <s v="LHH"/>
    <x v="4"/>
  </r>
  <r>
    <s v="Customer-037"/>
    <s v="Bago"/>
    <d v="2025-08-15T00:00:00"/>
    <n v="139"/>
    <n v="3"/>
    <n v="73950000"/>
    <s v="Low"/>
    <s v="High"/>
    <s v="High"/>
    <s v="LHH"/>
    <x v="4"/>
  </r>
  <r>
    <s v="Customer-038"/>
    <s v="Naypyitaw"/>
    <d v="2025-05-16T00:00:00"/>
    <n v="230"/>
    <n v="2"/>
    <n v="15300000"/>
    <s v="Low"/>
    <s v="Low"/>
    <s v="Low"/>
    <s v="LLL"/>
    <x v="3"/>
  </r>
  <r>
    <s v="Customer-040"/>
    <s v="Yangon"/>
    <d v="2025-11-27T00:00:00"/>
    <n v="35"/>
    <n v="5"/>
    <n v="59350000"/>
    <s v="High"/>
    <s v="High"/>
    <s v="High"/>
    <s v="HHH"/>
    <x v="1"/>
  </r>
  <r>
    <s v="Customer-041"/>
    <s v="Mandalay"/>
    <d v="2025-01-28T00:00:00"/>
    <n v="338"/>
    <n v="1"/>
    <n v="19950000"/>
    <s v="Low"/>
    <s v="Low"/>
    <s v="High"/>
    <s v="LLH"/>
    <x v="2"/>
  </r>
  <r>
    <s v="Customer-042"/>
    <s v="Yangon"/>
    <d v="2025-01-16T00:00:00"/>
    <n v="350"/>
    <n v="2"/>
    <n v="14670000"/>
    <s v="Low"/>
    <s v="Low"/>
    <s v="Low"/>
    <s v="LLL"/>
    <x v="3"/>
  </r>
  <r>
    <s v="Customer-043"/>
    <s v="Yangon"/>
    <d v="2025-11-06T00:00:00"/>
    <n v="56"/>
    <n v="2"/>
    <n v="32150000"/>
    <s v="High"/>
    <s v="Low"/>
    <s v="High"/>
    <s v="HLH"/>
    <x v="5"/>
  </r>
  <r>
    <s v="Customer-044"/>
    <s v="Bago"/>
    <d v="2025-10-21T00:00:00"/>
    <n v="72"/>
    <n v="4"/>
    <n v="1165500000"/>
    <s v="High"/>
    <s v="High"/>
    <s v="High"/>
    <s v="HHH"/>
    <x v="1"/>
  </r>
  <r>
    <s v="Customer-046"/>
    <s v="Taunggyi"/>
    <d v="2025-06-12T00:00:00"/>
    <n v="203"/>
    <n v="1"/>
    <n v="14850000"/>
    <s v="Low"/>
    <s v="Low"/>
    <s v="Low"/>
    <s v="LLL"/>
    <x v="3"/>
  </r>
  <r>
    <s v="Customer-047"/>
    <s v="Bago"/>
    <d v="2025-06-04T00:00:00"/>
    <n v="211"/>
    <n v="1"/>
    <n v="5520000"/>
    <s v="Low"/>
    <s v="Low"/>
    <s v="Low"/>
    <s v="LLL"/>
    <x v="3"/>
  </r>
  <r>
    <s v="Customer-049"/>
    <s v="Naypyitaw"/>
    <d v="2025-11-04T00:00:00"/>
    <n v="58"/>
    <n v="2"/>
    <n v="10400000"/>
    <s v="High"/>
    <s v="Low"/>
    <s v="Low"/>
    <s v="HLL"/>
    <x v="6"/>
  </r>
  <r>
    <s v="Customer-050"/>
    <s v="Mandalay"/>
    <d v="2025-12-30T00:00:00"/>
    <n v="2"/>
    <n v="2"/>
    <n v="18875000"/>
    <s v="High"/>
    <s v="Low"/>
    <s v="High"/>
    <s v="HLH"/>
    <x v="5"/>
  </r>
  <r>
    <s v="Customer-051"/>
    <s v="Bago"/>
    <d v="2025-11-18T00:00:00"/>
    <n v="44"/>
    <n v="5"/>
    <n v="949500000"/>
    <s v="High"/>
    <s v="High"/>
    <s v="High"/>
    <s v="HHH"/>
    <x v="1"/>
  </r>
  <r>
    <s v="Customer-052"/>
    <s v="Taunggyi"/>
    <d v="2025-03-13T00:00:00"/>
    <n v="294"/>
    <n v="2"/>
    <n v="29950000"/>
    <s v="Low"/>
    <s v="Low"/>
    <s v="High"/>
    <s v="LLH"/>
    <x v="2"/>
  </r>
  <r>
    <s v="Customer-053"/>
    <s v="Yangon"/>
    <d v="2025-09-08T00:00:00"/>
    <n v="115"/>
    <n v="3"/>
    <n v="13200000"/>
    <s v="Low"/>
    <s v="High"/>
    <s v="Low"/>
    <s v="LHL"/>
    <x v="7"/>
  </r>
  <r>
    <s v="Customer-054"/>
    <s v="Mandalay"/>
    <d v="2025-01-03T00:00:00"/>
    <n v="363"/>
    <n v="1"/>
    <n v="5200000"/>
    <s v="Low"/>
    <s v="Low"/>
    <s v="Low"/>
    <s v="LLL"/>
    <x v="3"/>
  </r>
  <r>
    <s v="Customer-055"/>
    <s v="Bago"/>
    <d v="2025-09-05T00:00:00"/>
    <n v="118"/>
    <n v="1"/>
    <n v="18000000"/>
    <s v="Low"/>
    <s v="Low"/>
    <s v="Low"/>
    <s v="LLL"/>
    <x v="3"/>
  </r>
  <r>
    <s v="Customer-056"/>
    <s v="Yangon"/>
    <d v="2025-10-01T00:00:00"/>
    <n v="92"/>
    <n v="1"/>
    <n v="8640000"/>
    <s v="High"/>
    <s v="Low"/>
    <s v="Low"/>
    <s v="HLL"/>
    <x v="6"/>
  </r>
  <r>
    <s v="Customer-058"/>
    <s v="Naypyitaw"/>
    <d v="2025-09-30T00:00:00"/>
    <n v="93"/>
    <n v="1"/>
    <n v="1920000"/>
    <s v="High"/>
    <s v="Low"/>
    <s v="Low"/>
    <s v="HLL"/>
    <x v="6"/>
  </r>
  <r>
    <s v="Customer-061"/>
    <s v="Naypyitaw"/>
    <d v="2025-08-26T00:00:00"/>
    <n v="128"/>
    <n v="1"/>
    <n v="22500000"/>
    <s v="Low"/>
    <s v="Low"/>
    <s v="High"/>
    <s v="LLH"/>
    <x v="2"/>
  </r>
  <r>
    <s v="Customer-062"/>
    <s v="Taunggyi"/>
    <d v="2025-08-05T00:00:00"/>
    <n v="149"/>
    <n v="1"/>
    <n v="12500000"/>
    <s v="Low"/>
    <s v="Low"/>
    <s v="Low"/>
    <s v="LLL"/>
    <x v="3"/>
  </r>
  <r>
    <s v="Customer-063"/>
    <s v="Naypyitaw"/>
    <d v="2025-07-25T00:00:00"/>
    <n v="160"/>
    <n v="6"/>
    <n v="40555000"/>
    <s v="Low"/>
    <s v="High"/>
    <s v="High"/>
    <s v="LHH"/>
    <x v="4"/>
  </r>
  <r>
    <s v="Customer-064"/>
    <s v="Taunggyi"/>
    <d v="2025-07-25T00:00:00"/>
    <n v="160"/>
    <n v="3"/>
    <n v="34360000"/>
    <s v="Low"/>
    <s v="High"/>
    <s v="High"/>
    <s v="LHH"/>
    <x v="4"/>
  </r>
  <r>
    <s v="Customer-065"/>
    <s v="Bago"/>
    <d v="2025-08-20T00:00:00"/>
    <n v="134"/>
    <n v="3"/>
    <n v="59460000"/>
    <s v="Low"/>
    <s v="High"/>
    <s v="High"/>
    <s v="LHH"/>
    <x v="4"/>
  </r>
  <r>
    <s v="Customer-066"/>
    <s v="Bago"/>
    <d v="2025-11-24T00:00:00"/>
    <n v="38"/>
    <n v="2"/>
    <n v="45850000"/>
    <s v="High"/>
    <s v="Low"/>
    <s v="High"/>
    <s v="HLH"/>
    <x v="5"/>
  </r>
  <r>
    <s v="Customer-067"/>
    <s v="Mandalay"/>
    <d v="2025-09-18T00:00:00"/>
    <n v="105"/>
    <n v="1"/>
    <n v="300000"/>
    <s v="Low"/>
    <s v="Low"/>
    <s v="Low"/>
    <s v="LLL"/>
    <x v="3"/>
  </r>
  <r>
    <s v="Customer-068"/>
    <s v="Taunggyi"/>
    <d v="2025-05-30T00:00:00"/>
    <n v="216"/>
    <n v="2"/>
    <n v="6060000"/>
    <s v="Low"/>
    <s v="Low"/>
    <s v="Low"/>
    <s v="LLL"/>
    <x v="3"/>
  </r>
  <r>
    <s v="Customer-069"/>
    <s v="Taunggyi"/>
    <d v="2025-04-17T00:00:00"/>
    <n v="259"/>
    <n v="2"/>
    <n v="15600000"/>
    <s v="Low"/>
    <s v="Low"/>
    <s v="Low"/>
    <s v="LLL"/>
    <x v="3"/>
  </r>
  <r>
    <s v="Customer-071"/>
    <s v="Taunggyi"/>
    <d v="2025-10-09T00:00:00"/>
    <n v="84"/>
    <n v="1"/>
    <n v="1200000"/>
    <s v="High"/>
    <s v="Low"/>
    <s v="Low"/>
    <s v="HLL"/>
    <x v="6"/>
  </r>
  <r>
    <s v="Customer-072"/>
    <s v="Mandalay"/>
    <d v="2025-12-03T00:00:00"/>
    <n v="29"/>
    <n v="7"/>
    <n v="22205000"/>
    <s v="High"/>
    <s v="High"/>
    <s v="High"/>
    <s v="HHH"/>
    <x v="1"/>
  </r>
  <r>
    <s v="Customer-074"/>
    <s v="Bago"/>
    <d v="2025-08-12T00:00:00"/>
    <n v="142"/>
    <n v="3"/>
    <n v="1027500000"/>
    <s v="Low"/>
    <s v="High"/>
    <s v="High"/>
    <s v="LHH"/>
    <x v="4"/>
  </r>
  <r>
    <s v="Customer-075"/>
    <s v="Bago"/>
    <d v="2025-02-28T00:00:00"/>
    <n v="307"/>
    <n v="1"/>
    <n v="3400000"/>
    <s v="Low"/>
    <s v="Low"/>
    <s v="Low"/>
    <s v="LLL"/>
    <x v="3"/>
  </r>
  <r>
    <s v="Customer-076"/>
    <s v="Mandalay"/>
    <d v="2025-09-12T00:00:00"/>
    <n v="111"/>
    <n v="2"/>
    <n v="8720000"/>
    <s v="Low"/>
    <s v="Low"/>
    <s v="Low"/>
    <s v="LLL"/>
    <x v="3"/>
  </r>
  <r>
    <s v="Customer-077"/>
    <s v="Yangon"/>
    <d v="2025-12-23T00:00:00"/>
    <n v="9"/>
    <n v="1"/>
    <n v="35150000"/>
    <s v="High"/>
    <s v="Low"/>
    <s v="High"/>
    <s v="HLH"/>
    <x v="5"/>
  </r>
  <r>
    <s v="Customer-078"/>
    <s v="Yangon"/>
    <d v="2025-11-25T00:00:00"/>
    <n v="37"/>
    <n v="5"/>
    <n v="993000000"/>
    <s v="High"/>
    <s v="High"/>
    <s v="High"/>
    <s v="HHH"/>
    <x v="1"/>
  </r>
  <r>
    <s v="Customer-080"/>
    <s v="Taunggyi"/>
    <d v="2025-08-14T00:00:00"/>
    <n v="140"/>
    <n v="2"/>
    <n v="6965000"/>
    <s v="Low"/>
    <s v="Low"/>
    <s v="Low"/>
    <s v="LLL"/>
    <x v="3"/>
  </r>
  <r>
    <s v="Customer-081"/>
    <s v="Mandalay"/>
    <d v="2025-04-21T00:00:00"/>
    <n v="255"/>
    <n v="1"/>
    <n v="475000"/>
    <s v="Low"/>
    <s v="Low"/>
    <s v="Low"/>
    <s v="LLL"/>
    <x v="3"/>
  </r>
  <r>
    <s v="Customer-082"/>
    <s v="Mandalay"/>
    <d v="2025-12-22T00:00:00"/>
    <n v="10"/>
    <n v="1"/>
    <n v="8600000"/>
    <s v="High"/>
    <s v="Low"/>
    <s v="Low"/>
    <s v="HLL"/>
    <x v="6"/>
  </r>
  <r>
    <s v="Customer-083"/>
    <s v="Naypyitaw"/>
    <d v="2025-01-08T00:00:00"/>
    <n v="358"/>
    <n v="1"/>
    <n v="32300000"/>
    <s v="Low"/>
    <s v="Low"/>
    <s v="High"/>
    <s v="LLH"/>
    <x v="2"/>
  </r>
  <r>
    <s v="Customer-084"/>
    <s v="Yangon"/>
    <d v="2025-08-05T00:00:00"/>
    <n v="149"/>
    <n v="1"/>
    <n v="4200000"/>
    <s v="Low"/>
    <s v="Low"/>
    <s v="Low"/>
    <s v="LLL"/>
    <x v="3"/>
  </r>
  <r>
    <s v="Customer-085"/>
    <s v="Yangon"/>
    <d v="2025-07-02T00:00:00"/>
    <n v="183"/>
    <n v="3"/>
    <n v="7990000"/>
    <s v="Low"/>
    <s v="High"/>
    <s v="Low"/>
    <s v="LHL"/>
    <x v="7"/>
  </r>
  <r>
    <s v="Customer-086"/>
    <s v="Naypyitaw"/>
    <d v="2025-07-25T00:00:00"/>
    <n v="160"/>
    <n v="1"/>
    <n v="6300000"/>
    <s v="Low"/>
    <s v="Low"/>
    <s v="Low"/>
    <s v="LLL"/>
    <x v="3"/>
  </r>
  <r>
    <s v="Customer-087"/>
    <s v="Yangon"/>
    <d v="2025-04-16T00:00:00"/>
    <n v="260"/>
    <n v="1"/>
    <n v="14500000"/>
    <s v="Low"/>
    <s v="Low"/>
    <s v="Low"/>
    <s v="LLL"/>
    <x v="3"/>
  </r>
  <r>
    <s v="Customer-088"/>
    <s v="Mandalay"/>
    <d v="2025-10-13T00:00:00"/>
    <n v="80"/>
    <n v="3"/>
    <n v="11625000"/>
    <s v="High"/>
    <s v="High"/>
    <s v="Low"/>
    <s v="HHL"/>
    <x v="0"/>
  </r>
  <r>
    <s v="Customer-089"/>
    <s v="Yangon"/>
    <d v="2025-09-12T00:00:00"/>
    <n v="111"/>
    <n v="1"/>
    <n v="11250000"/>
    <s v="Low"/>
    <s v="Low"/>
    <s v="Low"/>
    <s v="LLL"/>
    <x v="3"/>
  </r>
  <r>
    <s v="Customer-090"/>
    <s v="Mandalay"/>
    <d v="2025-06-26T00:00:00"/>
    <n v="189"/>
    <n v="1"/>
    <n v="2200000"/>
    <s v="Low"/>
    <s v="Low"/>
    <s v="Low"/>
    <s v="LLL"/>
    <x v="3"/>
  </r>
  <r>
    <s v="Customer-091"/>
    <s v="Yangon"/>
    <d v="2025-01-10T00:00:00"/>
    <n v="356"/>
    <n v="1"/>
    <n v="3240000"/>
    <s v="Low"/>
    <s v="Low"/>
    <s v="Low"/>
    <s v="LLL"/>
    <x v="3"/>
  </r>
  <r>
    <s v="Customer-092"/>
    <s v="Naypyitaw"/>
    <d v="2025-10-17T00:00:00"/>
    <n v="76"/>
    <n v="2"/>
    <n v="21800000"/>
    <s v="High"/>
    <s v="Low"/>
    <s v="High"/>
    <s v="HLH"/>
    <x v="5"/>
  </r>
  <r>
    <s v="Customer-093"/>
    <s v="Bago"/>
    <d v="2025-06-09T00:00:00"/>
    <n v="206"/>
    <n v="1"/>
    <n v="13650000"/>
    <s v="Low"/>
    <s v="Low"/>
    <s v="Low"/>
    <s v="LLL"/>
    <x v="3"/>
  </r>
  <r>
    <s v="Customer-094"/>
    <s v="Naypyitaw"/>
    <d v="2025-10-09T00:00:00"/>
    <n v="84"/>
    <n v="1"/>
    <n v="12250000"/>
    <s v="High"/>
    <s v="Low"/>
    <s v="Low"/>
    <s v="HLL"/>
    <x v="6"/>
  </r>
  <r>
    <s v="Customer-095"/>
    <s v="Yangon"/>
    <d v="2025-12-05T00:00:00"/>
    <n v="27"/>
    <n v="4"/>
    <n v="22350000"/>
    <s v="High"/>
    <s v="High"/>
    <s v="High"/>
    <s v="HHH"/>
    <x v="1"/>
  </r>
  <r>
    <s v="Customer-096"/>
    <s v="Mandalay"/>
    <d v="2025-11-27T00:00:00"/>
    <n v="35"/>
    <n v="1"/>
    <n v="1560000"/>
    <s v="High"/>
    <s v="Low"/>
    <s v="Low"/>
    <s v="HLL"/>
    <x v="6"/>
  </r>
  <r>
    <s v="Customer-097"/>
    <s v="Bago"/>
    <d v="2025-05-13T00:00:00"/>
    <n v="233"/>
    <n v="1"/>
    <n v="11000000"/>
    <s v="Low"/>
    <s v="Low"/>
    <s v="Low"/>
    <s v="LLL"/>
    <x v="3"/>
  </r>
  <r>
    <s v="Customer-099"/>
    <s v="Taunggyi"/>
    <d v="2025-05-21T00:00:00"/>
    <n v="225"/>
    <n v="3"/>
    <n v="15010000"/>
    <s v="Low"/>
    <s v="High"/>
    <s v="Low"/>
    <s v="LHL"/>
    <x v="7"/>
  </r>
  <r>
    <s v="Customer-1000"/>
    <s v="Bago"/>
    <d v="2025-12-01T00:00:00"/>
    <n v="31"/>
    <n v="1"/>
    <n v="10500000"/>
    <s v="High"/>
    <s v="Low"/>
    <s v="Low"/>
    <s v="HLL"/>
    <x v="6"/>
  </r>
  <r>
    <s v="Customer-101"/>
    <s v="Taunggyi"/>
    <d v="2025-09-25T00:00:00"/>
    <n v="98"/>
    <n v="3"/>
    <n v="45960000"/>
    <s v="Low"/>
    <s v="High"/>
    <s v="High"/>
    <s v="LHH"/>
    <x v="4"/>
  </r>
  <r>
    <s v="Customer-102"/>
    <s v="Mandalay"/>
    <d v="2025-11-19T00:00:00"/>
    <n v="43"/>
    <n v="4"/>
    <n v="29580000"/>
    <s v="High"/>
    <s v="High"/>
    <s v="High"/>
    <s v="HHH"/>
    <x v="1"/>
  </r>
  <r>
    <s v="Customer-103"/>
    <s v="Yangon"/>
    <d v="2025-12-22T00:00:00"/>
    <n v="10"/>
    <n v="3"/>
    <n v="31280000"/>
    <s v="High"/>
    <s v="High"/>
    <s v="High"/>
    <s v="HHH"/>
    <x v="1"/>
  </r>
  <r>
    <s v="Customer-104"/>
    <s v="Naypyitaw"/>
    <d v="2025-07-23T00:00:00"/>
    <n v="162"/>
    <n v="1"/>
    <n v="1400000"/>
    <s v="Low"/>
    <s v="Low"/>
    <s v="Low"/>
    <s v="LLL"/>
    <x v="3"/>
  </r>
  <r>
    <s v="Customer-105"/>
    <s v="Bago"/>
    <d v="2025-12-19T00:00:00"/>
    <n v="13"/>
    <n v="4"/>
    <n v="24470000"/>
    <s v="High"/>
    <s v="High"/>
    <s v="High"/>
    <s v="HHH"/>
    <x v="1"/>
  </r>
  <r>
    <s v="Customer-106"/>
    <s v="Naypyitaw"/>
    <d v="2025-08-15T00:00:00"/>
    <n v="139"/>
    <n v="1"/>
    <n v="5950000"/>
    <s v="Low"/>
    <s v="Low"/>
    <s v="Low"/>
    <s v="LLL"/>
    <x v="3"/>
  </r>
  <r>
    <s v="Customer-107"/>
    <s v="Yangon"/>
    <d v="2025-10-08T00:00:00"/>
    <n v="85"/>
    <n v="2"/>
    <n v="12250000"/>
    <s v="High"/>
    <s v="Low"/>
    <s v="Low"/>
    <s v="HLL"/>
    <x v="6"/>
  </r>
  <r>
    <s v="Customer-109"/>
    <s v="Bago"/>
    <d v="2025-11-26T00:00:00"/>
    <n v="36"/>
    <n v="3"/>
    <n v="27020000"/>
    <s v="High"/>
    <s v="High"/>
    <s v="High"/>
    <s v="HHH"/>
    <x v="1"/>
  </r>
  <r>
    <s v="Customer-110"/>
    <s v="Mandalay"/>
    <d v="2025-12-25T00:00:00"/>
    <n v="7"/>
    <n v="2"/>
    <n v="37525000"/>
    <s v="High"/>
    <s v="Low"/>
    <s v="High"/>
    <s v="HLH"/>
    <x v="5"/>
  </r>
  <r>
    <s v="Customer-111"/>
    <s v="Mandalay"/>
    <d v="2025-09-24T00:00:00"/>
    <n v="99"/>
    <n v="3"/>
    <n v="13880000"/>
    <s v="Low"/>
    <s v="High"/>
    <s v="Low"/>
    <s v="LHL"/>
    <x v="7"/>
  </r>
  <r>
    <s v="Customer-112"/>
    <s v="Taunggyi"/>
    <d v="2025-12-25T00:00:00"/>
    <n v="7"/>
    <n v="5"/>
    <n v="46465000"/>
    <s v="High"/>
    <s v="High"/>
    <s v="High"/>
    <s v="HHH"/>
    <x v="1"/>
  </r>
  <r>
    <s v="Customer-113"/>
    <s v="Yangon"/>
    <d v="2025-12-12T00:00:00"/>
    <n v="20"/>
    <n v="6"/>
    <n v="44780000"/>
    <s v="High"/>
    <s v="High"/>
    <s v="High"/>
    <s v="HHH"/>
    <x v="1"/>
  </r>
  <r>
    <s v="Customer-114"/>
    <s v="Taunggyi"/>
    <d v="2025-08-25T00:00:00"/>
    <n v="129"/>
    <n v="1"/>
    <n v="4860000"/>
    <s v="Low"/>
    <s v="Low"/>
    <s v="Low"/>
    <s v="LLL"/>
    <x v="3"/>
  </r>
  <r>
    <s v="Customer-115"/>
    <s v="Naypyitaw"/>
    <d v="2025-11-07T00:00:00"/>
    <n v="55"/>
    <n v="3"/>
    <n v="56600000"/>
    <s v="High"/>
    <s v="High"/>
    <s v="High"/>
    <s v="HHH"/>
    <x v="1"/>
  </r>
  <r>
    <s v="Customer-117"/>
    <s v="Mandalay"/>
    <d v="2025-10-30T00:00:00"/>
    <n v="63"/>
    <n v="1"/>
    <n v="5640000"/>
    <s v="High"/>
    <s v="Low"/>
    <s v="Low"/>
    <s v="HLL"/>
    <x v="6"/>
  </r>
  <r>
    <s v="Customer-118"/>
    <s v="Naypyitaw"/>
    <d v="2025-08-25T00:00:00"/>
    <n v="129"/>
    <n v="3"/>
    <n v="22650000"/>
    <s v="Low"/>
    <s v="High"/>
    <s v="High"/>
    <s v="LHH"/>
    <x v="4"/>
  </r>
  <r>
    <s v="Customer-119"/>
    <s v="Yangon"/>
    <d v="2025-10-13T00:00:00"/>
    <n v="80"/>
    <n v="2"/>
    <n v="14850000"/>
    <s v="High"/>
    <s v="Low"/>
    <s v="Low"/>
    <s v="HLL"/>
    <x v="6"/>
  </r>
  <r>
    <s v="Customer-120"/>
    <s v="Yangon"/>
    <d v="2025-10-08T00:00:00"/>
    <n v="85"/>
    <n v="3"/>
    <n v="18300000"/>
    <s v="High"/>
    <s v="High"/>
    <s v="Low"/>
    <s v="HHL"/>
    <x v="0"/>
  </r>
  <r>
    <s v="Customer-121"/>
    <s v="Taunggyi"/>
    <d v="2025-10-22T00:00:00"/>
    <n v="71"/>
    <n v="2"/>
    <n v="79200000"/>
    <s v="High"/>
    <s v="Low"/>
    <s v="High"/>
    <s v="HLH"/>
    <x v="5"/>
  </r>
  <r>
    <s v="Customer-122"/>
    <s v="Bago"/>
    <d v="2025-04-24T00:00:00"/>
    <n v="252"/>
    <n v="1"/>
    <n v="4440000"/>
    <s v="Low"/>
    <s v="Low"/>
    <s v="Low"/>
    <s v="LLL"/>
    <x v="3"/>
  </r>
  <r>
    <s v="Customer-123"/>
    <s v="Mandalay"/>
    <d v="2025-08-21T00:00:00"/>
    <n v="133"/>
    <n v="1"/>
    <n v="2400000"/>
    <s v="Low"/>
    <s v="Low"/>
    <s v="Low"/>
    <s v="LLL"/>
    <x v="3"/>
  </r>
  <r>
    <s v="Customer-124"/>
    <s v="Yangon"/>
    <d v="2025-11-27T00:00:00"/>
    <n v="35"/>
    <n v="3"/>
    <n v="6000000"/>
    <s v="High"/>
    <s v="High"/>
    <s v="Low"/>
    <s v="HHL"/>
    <x v="0"/>
  </r>
  <r>
    <s v="Customer-125"/>
    <s v="Mandalay"/>
    <d v="2025-12-23T00:00:00"/>
    <n v="9"/>
    <n v="3"/>
    <n v="20825000"/>
    <s v="High"/>
    <s v="High"/>
    <s v="High"/>
    <s v="HHH"/>
    <x v="1"/>
  </r>
  <r>
    <s v="Customer-126"/>
    <s v="Yangon"/>
    <d v="2025-12-31T00:00:00"/>
    <n v="1"/>
    <n v="2"/>
    <n v="7550000"/>
    <s v="High"/>
    <s v="Low"/>
    <s v="Low"/>
    <s v="HLL"/>
    <x v="6"/>
  </r>
  <r>
    <s v="Customer-127"/>
    <s v="Yangon"/>
    <d v="2025-10-13T00:00:00"/>
    <n v="80"/>
    <n v="3"/>
    <n v="24040000"/>
    <s v="High"/>
    <s v="High"/>
    <s v="High"/>
    <s v="HHH"/>
    <x v="1"/>
  </r>
  <r>
    <s v="Customer-128"/>
    <s v="Yangon"/>
    <d v="2025-11-11T00:00:00"/>
    <n v="51"/>
    <n v="2"/>
    <n v="12725000"/>
    <s v="High"/>
    <s v="Low"/>
    <s v="Low"/>
    <s v="HLL"/>
    <x v="6"/>
  </r>
  <r>
    <s v="Customer-129"/>
    <s v="Taunggyi"/>
    <d v="2025-06-27T00:00:00"/>
    <n v="188"/>
    <n v="3"/>
    <n v="65470000"/>
    <s v="Low"/>
    <s v="High"/>
    <s v="High"/>
    <s v="LHH"/>
    <x v="4"/>
  </r>
  <r>
    <s v="Customer-130"/>
    <s v="Taunggyi"/>
    <d v="2025-01-30T00:00:00"/>
    <n v="336"/>
    <n v="1"/>
    <n v="2600000"/>
    <s v="Low"/>
    <s v="Low"/>
    <s v="Low"/>
    <s v="LLL"/>
    <x v="3"/>
  </r>
  <r>
    <s v="Customer-131"/>
    <s v="Taunggyi"/>
    <d v="2025-11-21T00:00:00"/>
    <n v="41"/>
    <n v="2"/>
    <n v="16450000"/>
    <s v="High"/>
    <s v="Low"/>
    <s v="Low"/>
    <s v="HLL"/>
    <x v="6"/>
  </r>
  <r>
    <s v="Customer-132"/>
    <s v="Naypyitaw"/>
    <d v="2025-10-01T00:00:00"/>
    <n v="92"/>
    <n v="1"/>
    <n v="15500000"/>
    <s v="High"/>
    <s v="Low"/>
    <s v="Low"/>
    <s v="HLL"/>
    <x v="6"/>
  </r>
  <r>
    <s v="Customer-133"/>
    <s v="Mandalay"/>
    <d v="2025-08-06T00:00:00"/>
    <n v="148"/>
    <n v="4"/>
    <n v="28970000"/>
    <s v="Low"/>
    <s v="High"/>
    <s v="High"/>
    <s v="LHH"/>
    <x v="4"/>
  </r>
  <r>
    <s v="Customer-136"/>
    <s v="Mandalay"/>
    <d v="2025-12-25T00:00:00"/>
    <n v="7"/>
    <n v="9"/>
    <n v="914250000"/>
    <s v="High"/>
    <s v="High"/>
    <s v="High"/>
    <s v="HHH"/>
    <x v="1"/>
  </r>
  <r>
    <s v="Customer-137"/>
    <s v="Mandalay"/>
    <d v="2025-11-26T00:00:00"/>
    <n v="36"/>
    <n v="2"/>
    <n v="41300000"/>
    <s v="High"/>
    <s v="Low"/>
    <s v="High"/>
    <s v="HLH"/>
    <x v="5"/>
  </r>
  <r>
    <s v="Customer-138"/>
    <s v="Taunggyi"/>
    <d v="2025-08-14T00:00:00"/>
    <n v="140"/>
    <n v="1"/>
    <n v="16800000"/>
    <s v="Low"/>
    <s v="Low"/>
    <s v="Low"/>
    <s v="LLL"/>
    <x v="3"/>
  </r>
  <r>
    <s v="Customer-139"/>
    <s v="Taunggyi"/>
    <d v="2025-10-15T00:00:00"/>
    <n v="78"/>
    <n v="4"/>
    <n v="72850000"/>
    <s v="High"/>
    <s v="High"/>
    <s v="High"/>
    <s v="HHH"/>
    <x v="1"/>
  </r>
  <r>
    <s v="Customer-140"/>
    <s v="Mandalay"/>
    <d v="2025-12-23T00:00:00"/>
    <n v="9"/>
    <n v="4"/>
    <n v="53990000"/>
    <s v="High"/>
    <s v="High"/>
    <s v="High"/>
    <s v="HHH"/>
    <x v="1"/>
  </r>
  <r>
    <s v="Customer-141"/>
    <s v="Mandalay"/>
    <d v="2025-07-11T00:00:00"/>
    <n v="174"/>
    <n v="3"/>
    <n v="11150000"/>
    <s v="Low"/>
    <s v="High"/>
    <s v="Low"/>
    <s v="LHL"/>
    <x v="7"/>
  </r>
  <r>
    <s v="Customer-142"/>
    <s v="Taunggyi"/>
    <d v="2025-12-24T00:00:00"/>
    <n v="8"/>
    <n v="2"/>
    <n v="6480000"/>
    <s v="High"/>
    <s v="Low"/>
    <s v="Low"/>
    <s v="HLL"/>
    <x v="6"/>
  </r>
  <r>
    <s v="Customer-143"/>
    <s v="Bago"/>
    <d v="2025-06-23T00:00:00"/>
    <n v="192"/>
    <n v="3"/>
    <n v="21700000"/>
    <s v="Low"/>
    <s v="High"/>
    <s v="High"/>
    <s v="LHH"/>
    <x v="4"/>
  </r>
  <r>
    <s v="Customer-144"/>
    <s v="Naypyitaw"/>
    <d v="2025-12-30T00:00:00"/>
    <n v="2"/>
    <n v="2"/>
    <n v="49000000"/>
    <s v="High"/>
    <s v="Low"/>
    <s v="High"/>
    <s v="HLH"/>
    <x v="5"/>
  </r>
  <r>
    <s v="Customer-146"/>
    <s v="Yangon"/>
    <d v="2025-05-28T00:00:00"/>
    <n v="218"/>
    <n v="1"/>
    <n v="575000"/>
    <s v="Low"/>
    <s v="Low"/>
    <s v="Low"/>
    <s v="LLL"/>
    <x v="3"/>
  </r>
  <r>
    <s v="Customer-147"/>
    <s v="Mandalay"/>
    <d v="2025-12-09T00:00:00"/>
    <n v="23"/>
    <n v="3"/>
    <n v="30910000"/>
    <s v="High"/>
    <s v="High"/>
    <s v="High"/>
    <s v="HHH"/>
    <x v="1"/>
  </r>
  <r>
    <s v="Customer-148"/>
    <s v="Naypyitaw"/>
    <d v="2025-11-06T00:00:00"/>
    <n v="56"/>
    <n v="7"/>
    <n v="846150000"/>
    <s v="High"/>
    <s v="High"/>
    <s v="High"/>
    <s v="HHH"/>
    <x v="1"/>
  </r>
  <r>
    <s v="Customer-149"/>
    <s v="Taunggyi"/>
    <d v="2025-04-21T00:00:00"/>
    <n v="255"/>
    <n v="1"/>
    <n v="675000"/>
    <s v="Low"/>
    <s v="Low"/>
    <s v="Low"/>
    <s v="LLL"/>
    <x v="3"/>
  </r>
  <r>
    <s v="Customer-150"/>
    <s v="Yangon"/>
    <d v="2025-09-12T00:00:00"/>
    <n v="111"/>
    <n v="4"/>
    <n v="971100000"/>
    <s v="Low"/>
    <s v="High"/>
    <s v="High"/>
    <s v="LHH"/>
    <x v="4"/>
  </r>
  <r>
    <s v="Customer-151"/>
    <s v="Mandalay"/>
    <d v="2025-01-17T00:00:00"/>
    <n v="349"/>
    <n v="2"/>
    <n v="11060000"/>
    <s v="Low"/>
    <s v="Low"/>
    <s v="Low"/>
    <s v="LLL"/>
    <x v="3"/>
  </r>
  <r>
    <s v="Customer-152"/>
    <s v="Mandalay"/>
    <d v="2025-12-04T00:00:00"/>
    <n v="28"/>
    <n v="2"/>
    <n v="24000000"/>
    <s v="High"/>
    <s v="Low"/>
    <s v="High"/>
    <s v="HLH"/>
    <x v="5"/>
  </r>
  <r>
    <s v="Customer-153"/>
    <s v="Mandalay"/>
    <d v="2025-11-27T00:00:00"/>
    <n v="35"/>
    <n v="1"/>
    <n v="18000000"/>
    <s v="High"/>
    <s v="Low"/>
    <s v="Low"/>
    <s v="HLL"/>
    <x v="6"/>
  </r>
  <r>
    <s v="Customer-154"/>
    <s v="Naypyitaw"/>
    <d v="2025-09-25T00:00:00"/>
    <n v="98"/>
    <n v="2"/>
    <n v="21400000"/>
    <s v="Low"/>
    <s v="Low"/>
    <s v="High"/>
    <s v="LLH"/>
    <x v="2"/>
  </r>
  <r>
    <s v="Customer-156"/>
    <s v="Taunggyi"/>
    <d v="2025-12-04T00:00:00"/>
    <n v="28"/>
    <n v="1"/>
    <n v="13650000"/>
    <s v="High"/>
    <s v="Low"/>
    <s v="Low"/>
    <s v="HLL"/>
    <x v="6"/>
  </r>
  <r>
    <s v="Customer-157"/>
    <s v="Mandalay"/>
    <d v="2025-09-11T00:00:00"/>
    <n v="112"/>
    <n v="2"/>
    <n v="15450000"/>
    <s v="Low"/>
    <s v="Low"/>
    <s v="Low"/>
    <s v="LLL"/>
    <x v="3"/>
  </r>
  <r>
    <s v="Customer-159"/>
    <s v="Mandalay"/>
    <d v="2025-12-01T00:00:00"/>
    <n v="31"/>
    <n v="6"/>
    <n v="947500000"/>
    <s v="High"/>
    <s v="High"/>
    <s v="High"/>
    <s v="HHH"/>
    <x v="1"/>
  </r>
  <r>
    <s v="Customer-160"/>
    <s v="Mandalay"/>
    <d v="2025-05-21T00:00:00"/>
    <n v="225"/>
    <n v="1"/>
    <n v="20400000"/>
    <s v="Low"/>
    <s v="Low"/>
    <s v="High"/>
    <s v="LLH"/>
    <x v="2"/>
  </r>
  <r>
    <s v="Customer-161"/>
    <s v="Bago"/>
    <d v="2025-04-17T00:00:00"/>
    <n v="259"/>
    <n v="1"/>
    <n v="12000000"/>
    <s v="Low"/>
    <s v="Low"/>
    <s v="Low"/>
    <s v="LLL"/>
    <x v="3"/>
  </r>
  <r>
    <s v="Customer-162"/>
    <s v="Naypyitaw"/>
    <d v="2025-04-11T00:00:00"/>
    <n v="265"/>
    <n v="1"/>
    <n v="43700000"/>
    <s v="Low"/>
    <s v="Low"/>
    <s v="High"/>
    <s v="LLH"/>
    <x v="2"/>
  </r>
  <r>
    <s v="Customer-163"/>
    <s v="Yangon"/>
    <d v="2025-04-17T00:00:00"/>
    <n v="259"/>
    <n v="4"/>
    <n v="51600000"/>
    <s v="Low"/>
    <s v="High"/>
    <s v="High"/>
    <s v="LHH"/>
    <x v="4"/>
  </r>
  <r>
    <s v="Customer-165"/>
    <s v="Mandalay"/>
    <d v="2025-06-16T00:00:00"/>
    <n v="199"/>
    <n v="1"/>
    <n v="8600000"/>
    <s v="Low"/>
    <s v="Low"/>
    <s v="Low"/>
    <s v="LLL"/>
    <x v="3"/>
  </r>
  <r>
    <s v="Customer-168"/>
    <s v="Mandalay"/>
    <d v="2025-12-30T00:00:00"/>
    <n v="2"/>
    <n v="2"/>
    <n v="45300000"/>
    <s v="High"/>
    <s v="Low"/>
    <s v="High"/>
    <s v="HLH"/>
    <x v="5"/>
  </r>
  <r>
    <s v="Customer-170"/>
    <s v="Mandalay"/>
    <d v="2025-10-31T00:00:00"/>
    <n v="62"/>
    <n v="3"/>
    <n v="62040000"/>
    <s v="High"/>
    <s v="High"/>
    <s v="High"/>
    <s v="HHH"/>
    <x v="1"/>
  </r>
  <r>
    <s v="Customer-171"/>
    <s v="Bago"/>
    <d v="2025-01-30T00:00:00"/>
    <n v="336"/>
    <n v="1"/>
    <n v="35150000"/>
    <s v="Low"/>
    <s v="Low"/>
    <s v="High"/>
    <s v="LLH"/>
    <x v="2"/>
  </r>
  <r>
    <s v="Customer-172"/>
    <s v="Bago"/>
    <d v="2025-11-05T00:00:00"/>
    <n v="57"/>
    <n v="2"/>
    <n v="17530000"/>
    <s v="High"/>
    <s v="Low"/>
    <s v="Low"/>
    <s v="HLL"/>
    <x v="6"/>
  </r>
  <r>
    <s v="Customer-173"/>
    <s v="Mandalay"/>
    <d v="2025-11-21T00:00:00"/>
    <n v="41"/>
    <n v="7"/>
    <n v="58275000"/>
    <s v="High"/>
    <s v="High"/>
    <s v="High"/>
    <s v="HHH"/>
    <x v="1"/>
  </r>
  <r>
    <s v="Customer-174"/>
    <s v="Mandalay"/>
    <d v="2025-05-13T00:00:00"/>
    <n v="233"/>
    <n v="1"/>
    <n v="8460000"/>
    <s v="Low"/>
    <s v="Low"/>
    <s v="Low"/>
    <s v="LLL"/>
    <x v="3"/>
  </r>
  <r>
    <s v="Customer-175"/>
    <s v="Taunggyi"/>
    <d v="2025-12-01T00:00:00"/>
    <n v="31"/>
    <n v="1"/>
    <n v="1320000"/>
    <s v="High"/>
    <s v="Low"/>
    <s v="Low"/>
    <s v="HLL"/>
    <x v="6"/>
  </r>
  <r>
    <s v="Customer-176"/>
    <s v="Bago"/>
    <d v="2025-11-21T00:00:00"/>
    <n v="41"/>
    <n v="2"/>
    <n v="18400000"/>
    <s v="High"/>
    <s v="Low"/>
    <s v="High"/>
    <s v="HLH"/>
    <x v="5"/>
  </r>
  <r>
    <s v="Customer-179"/>
    <s v="Yangon"/>
    <d v="2025-10-22T00:00:00"/>
    <n v="71"/>
    <n v="4"/>
    <n v="54850000"/>
    <s v="High"/>
    <s v="High"/>
    <s v="High"/>
    <s v="HHH"/>
    <x v="1"/>
  </r>
  <r>
    <s v="Customer-180"/>
    <s v="Mandalay"/>
    <d v="2025-07-11T00:00:00"/>
    <n v="174"/>
    <n v="9"/>
    <n v="1079600000"/>
    <s v="Low"/>
    <s v="High"/>
    <s v="High"/>
    <s v="LHH"/>
    <x v="4"/>
  </r>
  <r>
    <s v="Customer-181"/>
    <s v="Bago"/>
    <d v="2025-10-22T00:00:00"/>
    <n v="71"/>
    <n v="1"/>
    <n v="14350000"/>
    <s v="High"/>
    <s v="Low"/>
    <s v="Low"/>
    <s v="HLL"/>
    <x v="6"/>
  </r>
  <r>
    <s v="Customer-182"/>
    <s v="Taunggyi"/>
    <d v="2025-06-11T00:00:00"/>
    <n v="204"/>
    <n v="2"/>
    <n v="16820000"/>
    <s v="Low"/>
    <s v="Low"/>
    <s v="Low"/>
    <s v="LLL"/>
    <x v="3"/>
  </r>
  <r>
    <s v="Customer-183"/>
    <s v="Naypyitaw"/>
    <d v="2025-10-21T00:00:00"/>
    <n v="72"/>
    <n v="2"/>
    <n v="46225000"/>
    <s v="High"/>
    <s v="Low"/>
    <s v="High"/>
    <s v="HLH"/>
    <x v="5"/>
  </r>
  <r>
    <s v="Customer-184"/>
    <s v="Yangon"/>
    <d v="2025-12-23T00:00:00"/>
    <n v="9"/>
    <n v="2"/>
    <n v="4050000"/>
    <s v="High"/>
    <s v="Low"/>
    <s v="Low"/>
    <s v="HLL"/>
    <x v="6"/>
  </r>
  <r>
    <s v="Customer-185"/>
    <s v="Yangon"/>
    <d v="2025-10-30T00:00:00"/>
    <n v="63"/>
    <n v="1"/>
    <n v="9800000"/>
    <s v="High"/>
    <s v="Low"/>
    <s v="Low"/>
    <s v="HLL"/>
    <x v="6"/>
  </r>
  <r>
    <s v="Customer-186"/>
    <s v="Yangon"/>
    <d v="2025-10-30T00:00:00"/>
    <n v="63"/>
    <n v="3"/>
    <n v="31850000"/>
    <s v="High"/>
    <s v="High"/>
    <s v="High"/>
    <s v="HHH"/>
    <x v="1"/>
  </r>
  <r>
    <s v="Customer-187"/>
    <s v="Taunggyi"/>
    <d v="2025-08-13T00:00:00"/>
    <n v="141"/>
    <n v="4"/>
    <n v="56060000"/>
    <s v="Low"/>
    <s v="High"/>
    <s v="High"/>
    <s v="LHH"/>
    <x v="4"/>
  </r>
  <r>
    <s v="Customer-188"/>
    <s v="Yangon"/>
    <d v="2025-09-12T00:00:00"/>
    <n v="111"/>
    <n v="2"/>
    <n v="18900000"/>
    <s v="Low"/>
    <s v="Low"/>
    <s v="High"/>
    <s v="LLH"/>
    <x v="2"/>
  </r>
  <r>
    <s v="Customer-189"/>
    <s v="Mandalay"/>
    <d v="2025-10-15T00:00:00"/>
    <n v="78"/>
    <n v="3"/>
    <n v="16200000"/>
    <s v="High"/>
    <s v="High"/>
    <s v="Low"/>
    <s v="HHL"/>
    <x v="0"/>
  </r>
  <r>
    <s v="Customer-190"/>
    <s v="Yangon"/>
    <d v="2025-08-25T00:00:00"/>
    <n v="129"/>
    <n v="2"/>
    <n v="5825000"/>
    <s v="Low"/>
    <s v="Low"/>
    <s v="Low"/>
    <s v="LLL"/>
    <x v="3"/>
  </r>
  <r>
    <s v="Customer-191"/>
    <s v="Naypyitaw"/>
    <d v="2025-08-15T00:00:00"/>
    <n v="139"/>
    <n v="3"/>
    <n v="18075000"/>
    <s v="Low"/>
    <s v="High"/>
    <s v="Low"/>
    <s v="LHL"/>
    <x v="7"/>
  </r>
  <r>
    <s v="Customer-192"/>
    <s v="Taunggyi"/>
    <d v="2025-06-17T00:00:00"/>
    <n v="198"/>
    <n v="1"/>
    <n v="4680000"/>
    <s v="Low"/>
    <s v="Low"/>
    <s v="Low"/>
    <s v="LLL"/>
    <x v="3"/>
  </r>
  <r>
    <s v="Customer-193"/>
    <s v="Yangon"/>
    <d v="2025-12-26T00:00:00"/>
    <n v="6"/>
    <n v="6"/>
    <n v="1332050000"/>
    <s v="High"/>
    <s v="High"/>
    <s v="High"/>
    <s v="HHH"/>
    <x v="1"/>
  </r>
  <r>
    <s v="Customer-195"/>
    <s v="Yangon"/>
    <d v="2025-10-20T00:00:00"/>
    <n v="73"/>
    <n v="2"/>
    <n v="11430000"/>
    <s v="High"/>
    <s v="Low"/>
    <s v="Low"/>
    <s v="HLL"/>
    <x v="6"/>
  </r>
  <r>
    <s v="Customer-196"/>
    <s v="Naypyitaw"/>
    <d v="2025-02-05T00:00:00"/>
    <n v="330"/>
    <n v="1"/>
    <n v="3500000"/>
    <s v="Low"/>
    <s v="Low"/>
    <s v="Low"/>
    <s v="LLL"/>
    <x v="3"/>
  </r>
  <r>
    <s v="Customer-197"/>
    <s v="Yangon"/>
    <d v="2025-03-25T00:00:00"/>
    <n v="282"/>
    <n v="2"/>
    <n v="17000000"/>
    <s v="Low"/>
    <s v="Low"/>
    <s v="Low"/>
    <s v="LLL"/>
    <x v="3"/>
  </r>
  <r>
    <s v="Customer-198"/>
    <s v="Naypyitaw"/>
    <d v="2025-06-19T00:00:00"/>
    <n v="196"/>
    <n v="2"/>
    <n v="42650000"/>
    <s v="Low"/>
    <s v="Low"/>
    <s v="High"/>
    <s v="LLH"/>
    <x v="2"/>
  </r>
  <r>
    <s v="Customer-199"/>
    <s v="Yangon"/>
    <d v="2025-06-09T00:00:00"/>
    <n v="206"/>
    <n v="3"/>
    <n v="30225000"/>
    <s v="Low"/>
    <s v="High"/>
    <s v="High"/>
    <s v="LHH"/>
    <x v="4"/>
  </r>
  <r>
    <s v="Customer-203"/>
    <s v="Bago"/>
    <d v="2025-08-20T00:00:00"/>
    <n v="134"/>
    <n v="1"/>
    <n v="21000000"/>
    <s v="Low"/>
    <s v="Low"/>
    <s v="High"/>
    <s v="LLH"/>
    <x v="2"/>
  </r>
  <r>
    <s v="Customer-204"/>
    <s v="Taunggyi"/>
    <d v="2025-07-17T00:00:00"/>
    <n v="168"/>
    <n v="2"/>
    <n v="13100000"/>
    <s v="Low"/>
    <s v="Low"/>
    <s v="Low"/>
    <s v="LLL"/>
    <x v="3"/>
  </r>
  <r>
    <s v="Customer-205"/>
    <s v="Naypyitaw"/>
    <d v="2025-10-21T00:00:00"/>
    <n v="72"/>
    <n v="2"/>
    <n v="15000000"/>
    <s v="High"/>
    <s v="Low"/>
    <s v="Low"/>
    <s v="HLL"/>
    <x v="6"/>
  </r>
  <r>
    <s v="Customer-206"/>
    <s v="Yangon"/>
    <d v="2025-08-25T00:00:00"/>
    <n v="129"/>
    <n v="4"/>
    <n v="23500000"/>
    <s v="Low"/>
    <s v="High"/>
    <s v="High"/>
    <s v="LHH"/>
    <x v="4"/>
  </r>
  <r>
    <s v="Customer-207"/>
    <s v="Yangon"/>
    <d v="2025-06-04T00:00:00"/>
    <n v="211"/>
    <n v="2"/>
    <n v="7900000"/>
    <s v="Low"/>
    <s v="Low"/>
    <s v="Low"/>
    <s v="LLL"/>
    <x v="3"/>
  </r>
  <r>
    <s v="Customer-208"/>
    <s v="Mandalay"/>
    <d v="2025-02-28T00:00:00"/>
    <n v="307"/>
    <n v="1"/>
    <n v="1000000"/>
    <s v="Low"/>
    <s v="Low"/>
    <s v="Low"/>
    <s v="LLL"/>
    <x v="3"/>
  </r>
  <r>
    <s v="Customer-209"/>
    <s v="Yangon"/>
    <d v="2025-04-03T00:00:00"/>
    <n v="273"/>
    <n v="2"/>
    <n v="9070000"/>
    <s v="Low"/>
    <s v="Low"/>
    <s v="Low"/>
    <s v="LLL"/>
    <x v="3"/>
  </r>
  <r>
    <s v="Customer-210"/>
    <s v="Mandalay"/>
    <d v="2025-06-04T00:00:00"/>
    <n v="211"/>
    <n v="2"/>
    <n v="11680000"/>
    <s v="Low"/>
    <s v="Low"/>
    <s v="Low"/>
    <s v="LLL"/>
    <x v="3"/>
  </r>
  <r>
    <s v="Customer-211"/>
    <s v="Taunggyi"/>
    <d v="2025-05-21T00:00:00"/>
    <n v="225"/>
    <n v="1"/>
    <n v="36100000"/>
    <s v="Low"/>
    <s v="Low"/>
    <s v="High"/>
    <s v="LLH"/>
    <x v="2"/>
  </r>
  <r>
    <s v="Customer-213"/>
    <s v="Bago"/>
    <d v="2025-09-30T00:00:00"/>
    <n v="93"/>
    <n v="1"/>
    <n v="9000000"/>
    <s v="High"/>
    <s v="Low"/>
    <s v="Low"/>
    <s v="HLL"/>
    <x v="6"/>
  </r>
  <r>
    <s v="Customer-214"/>
    <s v="Yangon"/>
    <d v="2025-06-25T00:00:00"/>
    <n v="190"/>
    <n v="2"/>
    <n v="38825000"/>
    <s v="Low"/>
    <s v="Low"/>
    <s v="High"/>
    <s v="LLH"/>
    <x v="2"/>
  </r>
  <r>
    <s v="Customer-217"/>
    <s v="Taunggyi"/>
    <d v="2025-04-21T00:00:00"/>
    <n v="255"/>
    <n v="1"/>
    <n v="13500000"/>
    <s v="Low"/>
    <s v="Low"/>
    <s v="Low"/>
    <s v="LLL"/>
    <x v="3"/>
  </r>
  <r>
    <s v="Customer-219"/>
    <s v="Naypyitaw"/>
    <d v="2025-12-09T00:00:00"/>
    <n v="23"/>
    <n v="1"/>
    <n v="27550000"/>
    <s v="High"/>
    <s v="Low"/>
    <s v="High"/>
    <s v="HLH"/>
    <x v="5"/>
  </r>
  <r>
    <s v="Customer-223"/>
    <s v="Naypyitaw"/>
    <d v="2025-04-28T00:00:00"/>
    <n v="248"/>
    <n v="1"/>
    <n v="26400000"/>
    <s v="Low"/>
    <s v="Low"/>
    <s v="High"/>
    <s v="LLH"/>
    <x v="2"/>
  </r>
  <r>
    <s v="Customer-224"/>
    <s v="Yangon"/>
    <d v="2025-09-30T00:00:00"/>
    <n v="93"/>
    <n v="3"/>
    <n v="71525000"/>
    <s v="High"/>
    <s v="High"/>
    <s v="High"/>
    <s v="HHH"/>
    <x v="1"/>
  </r>
  <r>
    <s v="Customer-225"/>
    <s v="Bago"/>
    <d v="2025-11-05T00:00:00"/>
    <n v="57"/>
    <n v="2"/>
    <n v="40800000"/>
    <s v="High"/>
    <s v="Low"/>
    <s v="High"/>
    <s v="HLH"/>
    <x v="5"/>
  </r>
  <r>
    <s v="Customer-226"/>
    <s v="Naypyitaw"/>
    <d v="2025-12-03T00:00:00"/>
    <n v="29"/>
    <n v="1"/>
    <n v="19800000"/>
    <s v="High"/>
    <s v="Low"/>
    <s v="High"/>
    <s v="HLH"/>
    <x v="5"/>
  </r>
  <r>
    <s v="Customer-227"/>
    <s v="Yangon"/>
    <d v="2025-05-21T00:00:00"/>
    <n v="225"/>
    <n v="1"/>
    <n v="10800000"/>
    <s v="Low"/>
    <s v="Low"/>
    <s v="Low"/>
    <s v="LLL"/>
    <x v="3"/>
  </r>
  <r>
    <s v="Customer-228"/>
    <s v="Naypyitaw"/>
    <d v="2025-09-17T00:00:00"/>
    <n v="106"/>
    <n v="2"/>
    <n v="8550000"/>
    <s v="Low"/>
    <s v="Low"/>
    <s v="Low"/>
    <s v="LLL"/>
    <x v="3"/>
  </r>
  <r>
    <s v="Customer-229"/>
    <s v="Naypyitaw"/>
    <d v="2025-12-30T00:00:00"/>
    <n v="2"/>
    <n v="1"/>
    <n v="12250000"/>
    <s v="High"/>
    <s v="Low"/>
    <s v="Low"/>
    <s v="HLL"/>
    <x v="6"/>
  </r>
  <r>
    <s v="Customer-230"/>
    <s v="Yangon"/>
    <d v="2025-11-21T00:00:00"/>
    <n v="41"/>
    <n v="2"/>
    <n v="54350000"/>
    <s v="High"/>
    <s v="Low"/>
    <s v="High"/>
    <s v="HLH"/>
    <x v="5"/>
  </r>
  <r>
    <s v="Customer-231"/>
    <s v="Mandalay"/>
    <d v="2025-09-18T00:00:00"/>
    <n v="105"/>
    <n v="2"/>
    <n v="49400000"/>
    <s v="Low"/>
    <s v="Low"/>
    <s v="High"/>
    <s v="LLH"/>
    <x v="2"/>
  </r>
  <r>
    <s v="Customer-232"/>
    <s v="Yangon"/>
    <d v="2025-10-13T00:00:00"/>
    <n v="80"/>
    <n v="2"/>
    <n v="11575000"/>
    <s v="High"/>
    <s v="Low"/>
    <s v="Low"/>
    <s v="HLL"/>
    <x v="6"/>
  </r>
  <r>
    <s v="Customer-233"/>
    <s v="Naypyitaw"/>
    <d v="2025-11-13T00:00:00"/>
    <n v="49"/>
    <n v="1"/>
    <n v="60000000"/>
    <s v="High"/>
    <s v="Low"/>
    <s v="High"/>
    <s v="HLH"/>
    <x v="5"/>
  </r>
  <r>
    <s v="Customer-234"/>
    <s v="Naypyitaw"/>
    <d v="2025-05-12T00:00:00"/>
    <n v="234"/>
    <n v="1"/>
    <n v="4050000"/>
    <s v="Low"/>
    <s v="Low"/>
    <s v="Low"/>
    <s v="LLL"/>
    <x v="3"/>
  </r>
  <r>
    <s v="Customer-236"/>
    <s v="Mandalay"/>
    <d v="2025-06-25T00:00:00"/>
    <n v="190"/>
    <n v="1"/>
    <n v="14500000"/>
    <s v="Low"/>
    <s v="Low"/>
    <s v="Low"/>
    <s v="LLL"/>
    <x v="3"/>
  </r>
  <r>
    <s v="Customer-237"/>
    <s v="Naypyitaw"/>
    <d v="2025-07-30T00:00:00"/>
    <n v="155"/>
    <n v="3"/>
    <n v="77200000"/>
    <s v="Low"/>
    <s v="High"/>
    <s v="High"/>
    <s v="LHH"/>
    <x v="4"/>
  </r>
  <r>
    <s v="Customer-238"/>
    <s v="Bago"/>
    <d v="2025-11-19T00:00:00"/>
    <n v="43"/>
    <n v="2"/>
    <n v="9750000"/>
    <s v="High"/>
    <s v="Low"/>
    <s v="Low"/>
    <s v="HLL"/>
    <x v="6"/>
  </r>
  <r>
    <s v="Customer-239"/>
    <s v="Naypyitaw"/>
    <d v="2025-10-21T00:00:00"/>
    <n v="72"/>
    <n v="1"/>
    <n v="9500000"/>
    <s v="High"/>
    <s v="Low"/>
    <s v="Low"/>
    <s v="HLL"/>
    <x v="6"/>
  </r>
  <r>
    <s v="Customer-240"/>
    <s v="Naypyitaw"/>
    <d v="2025-12-08T00:00:00"/>
    <n v="24"/>
    <n v="1"/>
    <n v="960000"/>
    <s v="High"/>
    <s v="Low"/>
    <s v="Low"/>
    <s v="HLL"/>
    <x v="6"/>
  </r>
  <r>
    <s v="Customer-241"/>
    <s v="Yangon"/>
    <d v="2025-11-26T00:00:00"/>
    <n v="36"/>
    <n v="7"/>
    <n v="1151500000"/>
    <s v="High"/>
    <s v="High"/>
    <s v="High"/>
    <s v="HHH"/>
    <x v="1"/>
  </r>
  <r>
    <s v="Customer-242"/>
    <s v="Naypyitaw"/>
    <d v="2025-05-13T00:00:00"/>
    <n v="233"/>
    <n v="3"/>
    <n v="76150000"/>
    <s v="Low"/>
    <s v="High"/>
    <s v="High"/>
    <s v="LHH"/>
    <x v="4"/>
  </r>
  <r>
    <s v="Customer-243"/>
    <s v="Mandalay"/>
    <d v="2025-09-09T00:00:00"/>
    <n v="114"/>
    <n v="4"/>
    <n v="846250000"/>
    <s v="Low"/>
    <s v="High"/>
    <s v="High"/>
    <s v="LHH"/>
    <x v="4"/>
  </r>
  <r>
    <s v="Customer-246"/>
    <s v="Yangon"/>
    <d v="2025-11-26T00:00:00"/>
    <n v="36"/>
    <n v="6"/>
    <n v="1135000000"/>
    <s v="High"/>
    <s v="High"/>
    <s v="High"/>
    <s v="HHH"/>
    <x v="1"/>
  </r>
  <r>
    <s v="Customer-248"/>
    <s v="Bago"/>
    <d v="2025-11-13T00:00:00"/>
    <n v="49"/>
    <n v="1"/>
    <n v="4320000"/>
    <s v="High"/>
    <s v="Low"/>
    <s v="Low"/>
    <s v="HLL"/>
    <x v="6"/>
  </r>
  <r>
    <s v="Customer-250"/>
    <s v="Naypyitaw"/>
    <d v="2025-01-06T00:00:00"/>
    <n v="360"/>
    <n v="1"/>
    <n v="6000000"/>
    <s v="Low"/>
    <s v="Low"/>
    <s v="Low"/>
    <s v="LLL"/>
    <x v="3"/>
  </r>
  <r>
    <s v="Customer-251"/>
    <s v="Yangon"/>
    <d v="2025-10-22T00:00:00"/>
    <n v="71"/>
    <n v="6"/>
    <n v="1214250000"/>
    <s v="High"/>
    <s v="High"/>
    <s v="High"/>
    <s v="HHH"/>
    <x v="1"/>
  </r>
  <r>
    <s v="Customer-252"/>
    <s v="Yangon"/>
    <d v="2025-06-23T00:00:00"/>
    <n v="192"/>
    <n v="1"/>
    <n v="13500000"/>
    <s v="Low"/>
    <s v="Low"/>
    <s v="Low"/>
    <s v="LLL"/>
    <x v="3"/>
  </r>
  <r>
    <s v="Customer-253"/>
    <s v="Mandalay"/>
    <d v="2025-09-10T00:00:00"/>
    <n v="113"/>
    <n v="1"/>
    <n v="46800000"/>
    <s v="Low"/>
    <s v="Low"/>
    <s v="High"/>
    <s v="LLH"/>
    <x v="2"/>
  </r>
  <r>
    <s v="Customer-254"/>
    <s v="Mandalay"/>
    <d v="2025-09-10T00:00:00"/>
    <n v="113"/>
    <n v="1"/>
    <n v="6750000"/>
    <s v="Low"/>
    <s v="Low"/>
    <s v="Low"/>
    <s v="LLL"/>
    <x v="3"/>
  </r>
  <r>
    <s v="Customer-255"/>
    <s v="Yangon"/>
    <d v="2025-12-08T00:00:00"/>
    <n v="24"/>
    <n v="3"/>
    <n v="15030000"/>
    <s v="High"/>
    <s v="High"/>
    <s v="Low"/>
    <s v="HHL"/>
    <x v="0"/>
  </r>
  <r>
    <s v="Customer-256"/>
    <s v="Naypyitaw"/>
    <d v="2025-08-20T00:00:00"/>
    <n v="134"/>
    <n v="1"/>
    <n v="2520000"/>
    <s v="Low"/>
    <s v="Low"/>
    <s v="Low"/>
    <s v="LLL"/>
    <x v="3"/>
  </r>
  <r>
    <s v="Customer-258"/>
    <s v="Mandalay"/>
    <d v="2025-12-19T00:00:00"/>
    <n v="13"/>
    <n v="6"/>
    <n v="944000000"/>
    <s v="High"/>
    <s v="High"/>
    <s v="High"/>
    <s v="HHH"/>
    <x v="1"/>
  </r>
  <r>
    <s v="Customer-259"/>
    <s v="Mandalay"/>
    <d v="2025-07-24T00:00:00"/>
    <n v="161"/>
    <n v="1"/>
    <n v="8400000"/>
    <s v="Low"/>
    <s v="Low"/>
    <s v="Low"/>
    <s v="LLL"/>
    <x v="3"/>
  </r>
  <r>
    <s v="Customer-261"/>
    <s v="Yangon"/>
    <d v="2025-12-22T00:00:00"/>
    <n v="10"/>
    <n v="3"/>
    <n v="37490000"/>
    <s v="High"/>
    <s v="High"/>
    <s v="High"/>
    <s v="HHH"/>
    <x v="1"/>
  </r>
  <r>
    <s v="Customer-262"/>
    <s v="Naypyitaw"/>
    <d v="2025-10-20T00:00:00"/>
    <n v="73"/>
    <n v="5"/>
    <n v="59520000"/>
    <s v="High"/>
    <s v="High"/>
    <s v="High"/>
    <s v="HHH"/>
    <x v="1"/>
  </r>
  <r>
    <s v="Customer-263"/>
    <s v="Taunggyi"/>
    <d v="2025-10-09T00:00:00"/>
    <n v="84"/>
    <n v="2"/>
    <n v="8960000"/>
    <s v="High"/>
    <s v="Low"/>
    <s v="Low"/>
    <s v="HLL"/>
    <x v="6"/>
  </r>
  <r>
    <s v="Customer-264"/>
    <s v="Taunggyi"/>
    <d v="2025-12-26T00:00:00"/>
    <n v="6"/>
    <n v="7"/>
    <n v="29775000"/>
    <s v="High"/>
    <s v="High"/>
    <s v="High"/>
    <s v="HHH"/>
    <x v="1"/>
  </r>
  <r>
    <s v="Customer-265"/>
    <s v="Mandalay"/>
    <d v="2025-06-30T00:00:00"/>
    <n v="185"/>
    <n v="4"/>
    <n v="57080000"/>
    <s v="Low"/>
    <s v="High"/>
    <s v="High"/>
    <s v="LHH"/>
    <x v="4"/>
  </r>
  <r>
    <s v="Customer-266"/>
    <s v="Bago"/>
    <d v="2025-07-02T00:00:00"/>
    <n v="183"/>
    <n v="2"/>
    <n v="34200000"/>
    <s v="Low"/>
    <s v="Low"/>
    <s v="High"/>
    <s v="LLH"/>
    <x v="2"/>
  </r>
  <r>
    <s v="Customer-267"/>
    <s v="Yangon"/>
    <d v="2025-10-07T00:00:00"/>
    <n v="86"/>
    <n v="4"/>
    <n v="39180000"/>
    <s v="High"/>
    <s v="High"/>
    <s v="High"/>
    <s v="HHH"/>
    <x v="1"/>
  </r>
  <r>
    <s v="Customer-268"/>
    <s v="Yangon"/>
    <d v="2025-05-28T00:00:00"/>
    <n v="218"/>
    <n v="1"/>
    <n v="3600000"/>
    <s v="Low"/>
    <s v="Low"/>
    <s v="Low"/>
    <s v="LLL"/>
    <x v="3"/>
  </r>
  <r>
    <s v="Customer-269"/>
    <s v="Taunggyi"/>
    <d v="2025-08-15T00:00:00"/>
    <n v="139"/>
    <n v="1"/>
    <n v="37050000"/>
    <s v="Low"/>
    <s v="Low"/>
    <s v="High"/>
    <s v="LLH"/>
    <x v="2"/>
  </r>
  <r>
    <s v="Customer-272"/>
    <s v="Naypyitaw"/>
    <d v="2025-05-05T00:00:00"/>
    <n v="241"/>
    <n v="2"/>
    <n v="23750000"/>
    <s v="Low"/>
    <s v="Low"/>
    <s v="High"/>
    <s v="LLH"/>
    <x v="2"/>
  </r>
  <r>
    <s v="Customer-273"/>
    <s v="Mandalay"/>
    <d v="2025-12-04T00:00:00"/>
    <n v="28"/>
    <n v="4"/>
    <n v="19960000"/>
    <s v="High"/>
    <s v="High"/>
    <s v="High"/>
    <s v="HHH"/>
    <x v="1"/>
  </r>
  <r>
    <s v="Customer-274"/>
    <s v="Mandalay"/>
    <d v="2025-07-24T00:00:00"/>
    <n v="161"/>
    <n v="3"/>
    <n v="41900000"/>
    <s v="Low"/>
    <s v="High"/>
    <s v="High"/>
    <s v="LHH"/>
    <x v="4"/>
  </r>
  <r>
    <s v="Customer-275"/>
    <s v="Mandalay"/>
    <d v="2025-07-04T00:00:00"/>
    <n v="181"/>
    <n v="2"/>
    <n v="20300000"/>
    <s v="Low"/>
    <s v="Low"/>
    <s v="High"/>
    <s v="LLH"/>
    <x v="2"/>
  </r>
  <r>
    <s v="Customer-276"/>
    <s v="Mandalay"/>
    <d v="2025-11-04T00:00:00"/>
    <n v="58"/>
    <n v="6"/>
    <n v="65860000"/>
    <s v="High"/>
    <s v="High"/>
    <s v="High"/>
    <s v="HHH"/>
    <x v="1"/>
  </r>
  <r>
    <s v="Customer-277"/>
    <s v="Bago"/>
    <d v="2025-06-25T00:00:00"/>
    <n v="190"/>
    <n v="1"/>
    <n v="4680000"/>
    <s v="Low"/>
    <s v="Low"/>
    <s v="Low"/>
    <s v="LLL"/>
    <x v="3"/>
  </r>
  <r>
    <s v="Customer-278"/>
    <s v="Mandalay"/>
    <d v="2025-03-31T00:00:00"/>
    <n v="276"/>
    <n v="1"/>
    <n v="43700000"/>
    <s v="Low"/>
    <s v="Low"/>
    <s v="High"/>
    <s v="LLH"/>
    <x v="2"/>
  </r>
  <r>
    <s v="Customer-279"/>
    <s v="Yangon"/>
    <d v="2025-12-12T00:00:00"/>
    <n v="20"/>
    <n v="7"/>
    <n v="67990000"/>
    <s v="High"/>
    <s v="High"/>
    <s v="High"/>
    <s v="HHH"/>
    <x v="1"/>
  </r>
  <r>
    <s v="Customer-280"/>
    <s v="Taunggyi"/>
    <d v="2025-07-24T00:00:00"/>
    <n v="161"/>
    <n v="1"/>
    <n v="7740000"/>
    <s v="Low"/>
    <s v="Low"/>
    <s v="Low"/>
    <s v="LLL"/>
    <x v="3"/>
  </r>
  <r>
    <s v="Customer-281"/>
    <s v="Mandalay"/>
    <d v="2025-09-26T00:00:00"/>
    <n v="97"/>
    <n v="1"/>
    <n v="1000000"/>
    <s v="Low"/>
    <s v="Low"/>
    <s v="Low"/>
    <s v="LLL"/>
    <x v="3"/>
  </r>
  <r>
    <s v="Customer-282"/>
    <s v="Yangon"/>
    <d v="2025-12-30T00:00:00"/>
    <n v="2"/>
    <n v="7"/>
    <n v="1186900000"/>
    <s v="High"/>
    <s v="High"/>
    <s v="High"/>
    <s v="HHH"/>
    <x v="1"/>
  </r>
  <r>
    <s v="Customer-283"/>
    <s v="Yangon"/>
    <d v="2025-09-10T00:00:00"/>
    <n v="113"/>
    <n v="3"/>
    <n v="46100000"/>
    <s v="Low"/>
    <s v="High"/>
    <s v="High"/>
    <s v="LHH"/>
    <x v="4"/>
  </r>
  <r>
    <s v="Customer-284"/>
    <s v="Naypyitaw"/>
    <d v="2025-10-29T00:00:00"/>
    <n v="64"/>
    <n v="1"/>
    <n v="4500000"/>
    <s v="High"/>
    <s v="Low"/>
    <s v="Low"/>
    <s v="HLL"/>
    <x v="6"/>
  </r>
  <r>
    <s v="Customer-287"/>
    <s v="Yangon"/>
    <d v="2025-05-28T00:00:00"/>
    <n v="218"/>
    <n v="2"/>
    <n v="51750000"/>
    <s v="Low"/>
    <s v="Low"/>
    <s v="High"/>
    <s v="LLH"/>
    <x v="2"/>
  </r>
  <r>
    <s v="Customer-288"/>
    <s v="Naypyitaw"/>
    <d v="2025-10-08T00:00:00"/>
    <n v="85"/>
    <n v="2"/>
    <n v="4430000"/>
    <s v="High"/>
    <s v="Low"/>
    <s v="Low"/>
    <s v="HLL"/>
    <x v="6"/>
  </r>
  <r>
    <s v="Customer-289"/>
    <s v="Bago"/>
    <d v="2025-03-10T00:00:00"/>
    <n v="297"/>
    <n v="2"/>
    <n v="24900000"/>
    <s v="Low"/>
    <s v="Low"/>
    <s v="High"/>
    <s v="LLH"/>
    <x v="2"/>
  </r>
  <r>
    <s v="Customer-290"/>
    <s v="Yangon"/>
    <d v="2025-12-03T00:00:00"/>
    <n v="29"/>
    <n v="2"/>
    <n v="49090000"/>
    <s v="High"/>
    <s v="Low"/>
    <s v="High"/>
    <s v="HLH"/>
    <x v="5"/>
  </r>
  <r>
    <s v="Customer-291"/>
    <s v="Naypyitaw"/>
    <d v="2025-11-25T00:00:00"/>
    <n v="37"/>
    <n v="4"/>
    <n v="25935000"/>
    <s v="High"/>
    <s v="High"/>
    <s v="High"/>
    <s v="HHH"/>
    <x v="1"/>
  </r>
  <r>
    <s v="Customer-292"/>
    <s v="Naypyitaw"/>
    <d v="2025-11-21T00:00:00"/>
    <n v="41"/>
    <n v="3"/>
    <n v="19315000"/>
    <s v="High"/>
    <s v="High"/>
    <s v="High"/>
    <s v="HHH"/>
    <x v="1"/>
  </r>
  <r>
    <s v="Customer-293"/>
    <s v="Naypyitaw"/>
    <d v="2025-02-24T00:00:00"/>
    <n v="311"/>
    <n v="1"/>
    <n v="20500000"/>
    <s v="Low"/>
    <s v="Low"/>
    <s v="High"/>
    <s v="LLH"/>
    <x v="2"/>
  </r>
  <r>
    <s v="Customer-294"/>
    <s v="Yangon"/>
    <d v="2025-11-21T00:00:00"/>
    <n v="41"/>
    <n v="7"/>
    <n v="19000000"/>
    <s v="High"/>
    <s v="High"/>
    <s v="High"/>
    <s v="HHH"/>
    <x v="1"/>
  </r>
  <r>
    <s v="Customer-295"/>
    <s v="Mandalay"/>
    <d v="2025-06-25T00:00:00"/>
    <n v="190"/>
    <n v="2"/>
    <n v="3400000"/>
    <s v="Low"/>
    <s v="Low"/>
    <s v="Low"/>
    <s v="LLL"/>
    <x v="3"/>
  </r>
  <r>
    <s v="Customer-296"/>
    <s v="Naypyitaw"/>
    <d v="2025-08-27T00:00:00"/>
    <n v="127"/>
    <n v="2"/>
    <n v="19200000"/>
    <s v="Low"/>
    <s v="Low"/>
    <s v="High"/>
    <s v="LLH"/>
    <x v="2"/>
  </r>
  <r>
    <s v="Customer-297"/>
    <s v="Naypyitaw"/>
    <d v="2025-06-12T00:00:00"/>
    <n v="203"/>
    <n v="1"/>
    <n v="5750000"/>
    <s v="Low"/>
    <s v="Low"/>
    <s v="Low"/>
    <s v="LLL"/>
    <x v="3"/>
  </r>
  <r>
    <s v="Customer-299"/>
    <s v="Naypyitaw"/>
    <d v="2025-06-16T00:00:00"/>
    <n v="199"/>
    <n v="2"/>
    <n v="9900000"/>
    <s v="Low"/>
    <s v="Low"/>
    <s v="Low"/>
    <s v="LLL"/>
    <x v="3"/>
  </r>
  <r>
    <s v="Customer-300"/>
    <s v="Bago"/>
    <d v="2025-07-04T00:00:00"/>
    <n v="181"/>
    <n v="1"/>
    <n v="4140000"/>
    <s v="Low"/>
    <s v="Low"/>
    <s v="Low"/>
    <s v="LLL"/>
    <x v="3"/>
  </r>
  <r>
    <s v="Customer-301"/>
    <s v="Taunggyi"/>
    <d v="2025-12-17T00:00:00"/>
    <n v="15"/>
    <n v="3"/>
    <n v="18720000"/>
    <s v="High"/>
    <s v="High"/>
    <s v="High"/>
    <s v="HHH"/>
    <x v="1"/>
  </r>
  <r>
    <s v="Customer-302"/>
    <s v="Taunggyi"/>
    <d v="2025-01-20T00:00:00"/>
    <n v="346"/>
    <n v="1"/>
    <n v="2000000"/>
    <s v="Low"/>
    <s v="Low"/>
    <s v="Low"/>
    <s v="LLL"/>
    <x v="3"/>
  </r>
  <r>
    <s v="Customer-303"/>
    <s v="Yangon"/>
    <d v="2025-02-27T00:00:00"/>
    <n v="308"/>
    <n v="1"/>
    <n v="7000000"/>
    <s v="Low"/>
    <s v="Low"/>
    <s v="Low"/>
    <s v="LLL"/>
    <x v="3"/>
  </r>
  <r>
    <s v="Customer-305"/>
    <s v="Taunggyi"/>
    <d v="2025-12-31T00:00:00"/>
    <n v="1"/>
    <n v="2"/>
    <n v="7430000"/>
    <s v="High"/>
    <s v="Low"/>
    <s v="Low"/>
    <s v="HLL"/>
    <x v="6"/>
  </r>
  <r>
    <s v="Customer-306"/>
    <s v="Yangon"/>
    <d v="2025-10-15T00:00:00"/>
    <n v="78"/>
    <n v="1"/>
    <n v="18000000"/>
    <s v="High"/>
    <s v="Low"/>
    <s v="Low"/>
    <s v="HLL"/>
    <x v="6"/>
  </r>
  <r>
    <s v="Customer-307"/>
    <s v="Mandalay"/>
    <d v="2025-12-03T00:00:00"/>
    <n v="29"/>
    <n v="3"/>
    <n v="20550000"/>
    <s v="High"/>
    <s v="High"/>
    <s v="High"/>
    <s v="HHH"/>
    <x v="1"/>
  </r>
  <r>
    <s v="Customer-308"/>
    <s v="Naypyitaw"/>
    <d v="2025-03-28T00:00:00"/>
    <n v="279"/>
    <n v="2"/>
    <n v="32750000"/>
    <s v="Low"/>
    <s v="Low"/>
    <s v="High"/>
    <s v="LLH"/>
    <x v="2"/>
  </r>
  <r>
    <s v="Customer-309"/>
    <s v="Mandalay"/>
    <d v="2025-06-11T00:00:00"/>
    <n v="204"/>
    <n v="1"/>
    <n v="18000000"/>
    <s v="Low"/>
    <s v="Low"/>
    <s v="Low"/>
    <s v="LLL"/>
    <x v="3"/>
  </r>
  <r>
    <s v="Customer-311"/>
    <s v="Yangon"/>
    <d v="2025-06-23T00:00:00"/>
    <n v="192"/>
    <n v="1"/>
    <n v="275000"/>
    <s v="Low"/>
    <s v="Low"/>
    <s v="Low"/>
    <s v="LLL"/>
    <x v="3"/>
  </r>
  <r>
    <s v="Customer-312"/>
    <s v="Mandalay"/>
    <d v="2025-12-26T00:00:00"/>
    <n v="6"/>
    <n v="5"/>
    <n v="910250000"/>
    <s v="High"/>
    <s v="High"/>
    <s v="High"/>
    <s v="HHH"/>
    <x v="1"/>
  </r>
  <r>
    <s v="Customer-313"/>
    <s v="Mandalay"/>
    <d v="2025-08-27T00:00:00"/>
    <n v="127"/>
    <n v="3"/>
    <n v="62950000"/>
    <s v="Low"/>
    <s v="High"/>
    <s v="High"/>
    <s v="LHH"/>
    <x v="4"/>
  </r>
  <r>
    <s v="Customer-314"/>
    <s v="Bago"/>
    <d v="2025-12-16T00:00:00"/>
    <n v="16"/>
    <n v="3"/>
    <n v="26125000"/>
    <s v="High"/>
    <s v="High"/>
    <s v="High"/>
    <s v="HHH"/>
    <x v="1"/>
  </r>
  <r>
    <s v="Customer-315"/>
    <s v="Naypyitaw"/>
    <d v="2025-09-05T00:00:00"/>
    <n v="118"/>
    <n v="1"/>
    <n v="12600000"/>
    <s v="Low"/>
    <s v="Low"/>
    <s v="Low"/>
    <s v="LLL"/>
    <x v="3"/>
  </r>
  <r>
    <s v="Customer-316"/>
    <s v="Mandalay"/>
    <d v="2025-09-10T00:00:00"/>
    <n v="113"/>
    <n v="2"/>
    <n v="12025000"/>
    <s v="Low"/>
    <s v="Low"/>
    <s v="Low"/>
    <s v="LLL"/>
    <x v="3"/>
  </r>
  <r>
    <s v="Customer-317"/>
    <s v="Yangon"/>
    <d v="2025-11-17T00:00:00"/>
    <n v="45"/>
    <n v="3"/>
    <n v="41350000"/>
    <s v="High"/>
    <s v="High"/>
    <s v="High"/>
    <s v="HHH"/>
    <x v="1"/>
  </r>
  <r>
    <s v="Customer-318"/>
    <s v="Taunggyi"/>
    <d v="2025-08-21T00:00:00"/>
    <n v="133"/>
    <n v="3"/>
    <n v="14590000"/>
    <s v="Low"/>
    <s v="High"/>
    <s v="Low"/>
    <s v="LHL"/>
    <x v="7"/>
  </r>
  <r>
    <s v="Customer-320"/>
    <s v="Naypyitaw"/>
    <d v="2025-08-25T00:00:00"/>
    <n v="129"/>
    <n v="2"/>
    <n v="13700000"/>
    <s v="Low"/>
    <s v="Low"/>
    <s v="Low"/>
    <s v="LLL"/>
    <x v="3"/>
  </r>
  <r>
    <s v="Customer-321"/>
    <s v="Mandalay"/>
    <d v="2025-09-24T00:00:00"/>
    <n v="99"/>
    <n v="6"/>
    <n v="817500000"/>
    <s v="Low"/>
    <s v="High"/>
    <s v="High"/>
    <s v="LHH"/>
    <x v="4"/>
  </r>
  <r>
    <s v="Customer-322"/>
    <s v="Naypyitaw"/>
    <d v="2025-07-09T00:00:00"/>
    <n v="176"/>
    <n v="2"/>
    <n v="30650000"/>
    <s v="Low"/>
    <s v="Low"/>
    <s v="High"/>
    <s v="LLH"/>
    <x v="2"/>
  </r>
  <r>
    <s v="Customer-324"/>
    <s v="Yangon"/>
    <d v="2025-12-08T00:00:00"/>
    <n v="24"/>
    <n v="6"/>
    <n v="32730000"/>
    <s v="High"/>
    <s v="High"/>
    <s v="High"/>
    <s v="HHH"/>
    <x v="1"/>
  </r>
  <r>
    <s v="Customer-325"/>
    <s v="Yangon"/>
    <d v="2025-10-31T00:00:00"/>
    <n v="62"/>
    <n v="4"/>
    <n v="53550000"/>
    <s v="High"/>
    <s v="High"/>
    <s v="High"/>
    <s v="HHH"/>
    <x v="1"/>
  </r>
  <r>
    <s v="Customer-326"/>
    <s v="Mandalay"/>
    <d v="2025-12-12T00:00:00"/>
    <n v="20"/>
    <n v="3"/>
    <n v="25975000"/>
    <s v="High"/>
    <s v="High"/>
    <s v="High"/>
    <s v="HHH"/>
    <x v="1"/>
  </r>
  <r>
    <s v="Customer-327"/>
    <s v="Yangon"/>
    <d v="2025-08-19T00:00:00"/>
    <n v="135"/>
    <n v="2"/>
    <n v="19200000"/>
    <s v="Low"/>
    <s v="Low"/>
    <s v="High"/>
    <s v="LLH"/>
    <x v="2"/>
  </r>
  <r>
    <s v="Customer-328"/>
    <s v="Yangon"/>
    <d v="2025-09-12T00:00:00"/>
    <n v="111"/>
    <n v="3"/>
    <n v="18625000"/>
    <s v="Low"/>
    <s v="High"/>
    <s v="High"/>
    <s v="LHH"/>
    <x v="4"/>
  </r>
  <r>
    <s v="Customer-330"/>
    <s v="Bago"/>
    <d v="2025-11-27T00:00:00"/>
    <n v="35"/>
    <n v="1"/>
    <n v="2400000"/>
    <s v="High"/>
    <s v="Low"/>
    <s v="Low"/>
    <s v="HLL"/>
    <x v="6"/>
  </r>
  <r>
    <s v="Customer-331"/>
    <s v="Mandalay"/>
    <d v="2025-08-21T00:00:00"/>
    <n v="133"/>
    <n v="2"/>
    <n v="24050000"/>
    <s v="Low"/>
    <s v="Low"/>
    <s v="High"/>
    <s v="LLH"/>
    <x v="2"/>
  </r>
  <r>
    <s v="Customer-332"/>
    <s v="Naypyitaw"/>
    <d v="2025-01-16T00:00:00"/>
    <n v="350"/>
    <n v="1"/>
    <n v="11200000"/>
    <s v="Low"/>
    <s v="Low"/>
    <s v="Low"/>
    <s v="LLL"/>
    <x v="3"/>
  </r>
  <r>
    <s v="Customer-334"/>
    <s v="Yangon"/>
    <d v="2025-08-27T00:00:00"/>
    <n v="127"/>
    <n v="4"/>
    <n v="44690000"/>
    <s v="Low"/>
    <s v="High"/>
    <s v="High"/>
    <s v="LHH"/>
    <x v="4"/>
  </r>
  <r>
    <s v="Customer-335"/>
    <s v="Yangon"/>
    <d v="2025-11-27T00:00:00"/>
    <n v="35"/>
    <n v="3"/>
    <n v="16700000"/>
    <s v="High"/>
    <s v="High"/>
    <s v="Low"/>
    <s v="HHL"/>
    <x v="0"/>
  </r>
  <r>
    <s v="Customer-336"/>
    <s v="Naypyitaw"/>
    <d v="2025-01-21T00:00:00"/>
    <n v="345"/>
    <n v="2"/>
    <n v="17500000"/>
    <s v="Low"/>
    <s v="Low"/>
    <s v="Low"/>
    <s v="LLL"/>
    <x v="3"/>
  </r>
  <r>
    <s v="Customer-337"/>
    <s v="Mandalay"/>
    <d v="2025-12-19T00:00:00"/>
    <n v="13"/>
    <n v="5"/>
    <n v="55330000"/>
    <s v="High"/>
    <s v="High"/>
    <s v="High"/>
    <s v="HHH"/>
    <x v="1"/>
  </r>
  <r>
    <s v="Customer-338"/>
    <s v="Mandalay"/>
    <d v="2025-11-05T00:00:00"/>
    <n v="57"/>
    <n v="1"/>
    <n v="4000000"/>
    <s v="High"/>
    <s v="Low"/>
    <s v="Low"/>
    <s v="HLL"/>
    <x v="6"/>
  </r>
  <r>
    <s v="Customer-339"/>
    <s v="Yangon"/>
    <d v="2025-10-29T00:00:00"/>
    <n v="64"/>
    <n v="2"/>
    <n v="51720000"/>
    <s v="High"/>
    <s v="Low"/>
    <s v="High"/>
    <s v="HLH"/>
    <x v="5"/>
  </r>
  <r>
    <s v="Customer-340"/>
    <s v="Mandalay"/>
    <d v="2025-07-10T00:00:00"/>
    <n v="175"/>
    <n v="1"/>
    <n v="11700000"/>
    <s v="Low"/>
    <s v="Low"/>
    <s v="Low"/>
    <s v="LLL"/>
    <x v="3"/>
  </r>
  <r>
    <s v="Customer-344"/>
    <s v="Naypyitaw"/>
    <d v="2025-08-21T00:00:00"/>
    <n v="133"/>
    <n v="2"/>
    <n v="54250000"/>
    <s v="Low"/>
    <s v="Low"/>
    <s v="High"/>
    <s v="LLH"/>
    <x v="2"/>
  </r>
  <r>
    <s v="Customer-345"/>
    <s v="Bago"/>
    <d v="2025-09-12T00:00:00"/>
    <n v="111"/>
    <n v="1"/>
    <n v="1225000"/>
    <s v="Low"/>
    <s v="Low"/>
    <s v="Low"/>
    <s v="LLL"/>
    <x v="3"/>
  </r>
  <r>
    <s v="Customer-347"/>
    <s v="Bago"/>
    <d v="2025-11-17T00:00:00"/>
    <n v="45"/>
    <n v="2"/>
    <n v="8660000"/>
    <s v="High"/>
    <s v="Low"/>
    <s v="Low"/>
    <s v="HLL"/>
    <x v="6"/>
  </r>
  <r>
    <s v="Customer-349"/>
    <s v="Naypyitaw"/>
    <d v="2025-12-31T00:00:00"/>
    <n v="1"/>
    <n v="3"/>
    <n v="14490000"/>
    <s v="High"/>
    <s v="High"/>
    <s v="Low"/>
    <s v="HHL"/>
    <x v="0"/>
  </r>
  <r>
    <s v="Customer-351"/>
    <s v="Bago"/>
    <d v="2025-06-12T00:00:00"/>
    <n v="203"/>
    <n v="2"/>
    <n v="5940000"/>
    <s v="Low"/>
    <s v="Low"/>
    <s v="Low"/>
    <s v="LLL"/>
    <x v="3"/>
  </r>
  <r>
    <s v="Customer-352"/>
    <s v="Mandalay"/>
    <d v="2025-01-09T00:00:00"/>
    <n v="357"/>
    <n v="1"/>
    <n v="10800000"/>
    <s v="Low"/>
    <s v="Low"/>
    <s v="Low"/>
    <s v="LLL"/>
    <x v="3"/>
  </r>
  <r>
    <s v="Customer-355"/>
    <s v="Yangon"/>
    <d v="2025-09-19T00:00:00"/>
    <n v="104"/>
    <n v="1"/>
    <n v="2450000"/>
    <s v="Low"/>
    <s v="Low"/>
    <s v="Low"/>
    <s v="LLL"/>
    <x v="3"/>
  </r>
  <r>
    <s v="Customer-356"/>
    <s v="Bago"/>
    <d v="2025-04-17T00:00:00"/>
    <n v="259"/>
    <n v="3"/>
    <n v="24700000"/>
    <s v="Low"/>
    <s v="High"/>
    <s v="High"/>
    <s v="LHH"/>
    <x v="4"/>
  </r>
  <r>
    <s v="Customer-357"/>
    <s v="Yangon"/>
    <d v="2025-04-24T00:00:00"/>
    <n v="252"/>
    <n v="1"/>
    <n v="7200000"/>
    <s v="Low"/>
    <s v="Low"/>
    <s v="Low"/>
    <s v="LLL"/>
    <x v="3"/>
  </r>
  <r>
    <s v="Customer-359"/>
    <s v="Yangon"/>
    <d v="2025-09-10T00:00:00"/>
    <n v="113"/>
    <n v="3"/>
    <n v="14000000"/>
    <s v="Low"/>
    <s v="High"/>
    <s v="Low"/>
    <s v="LHL"/>
    <x v="7"/>
  </r>
  <r>
    <s v="Customer-360"/>
    <s v="Taunggyi"/>
    <d v="2025-12-31T00:00:00"/>
    <n v="1"/>
    <n v="3"/>
    <n v="26050000"/>
    <s v="High"/>
    <s v="High"/>
    <s v="High"/>
    <s v="HHH"/>
    <x v="1"/>
  </r>
  <r>
    <s v="Customer-361"/>
    <s v="Mandalay"/>
    <d v="2025-12-05T00:00:00"/>
    <n v="27"/>
    <n v="4"/>
    <n v="29770000"/>
    <s v="High"/>
    <s v="High"/>
    <s v="High"/>
    <s v="HHH"/>
    <x v="1"/>
  </r>
  <r>
    <s v="Customer-362"/>
    <s v="Yangon"/>
    <d v="2025-12-03T00:00:00"/>
    <n v="29"/>
    <n v="3"/>
    <n v="20875000"/>
    <s v="High"/>
    <s v="High"/>
    <s v="High"/>
    <s v="HHH"/>
    <x v="1"/>
  </r>
  <r>
    <s v="Customer-363"/>
    <s v="Taunggyi"/>
    <d v="2025-12-31T00:00:00"/>
    <n v="1"/>
    <n v="2"/>
    <n v="12000000"/>
    <s v="High"/>
    <s v="Low"/>
    <s v="Low"/>
    <s v="HLL"/>
    <x v="6"/>
  </r>
  <r>
    <s v="Customer-364"/>
    <s v="Taunggyi"/>
    <d v="2025-04-03T00:00:00"/>
    <n v="273"/>
    <n v="3"/>
    <n v="17420000"/>
    <s v="Low"/>
    <s v="High"/>
    <s v="Low"/>
    <s v="LHL"/>
    <x v="7"/>
  </r>
  <r>
    <s v="Customer-367"/>
    <s v="Bago"/>
    <d v="2025-09-12T00:00:00"/>
    <n v="111"/>
    <n v="1"/>
    <n v="14000000"/>
    <s v="Low"/>
    <s v="Low"/>
    <s v="Low"/>
    <s v="LLL"/>
    <x v="3"/>
  </r>
  <r>
    <s v="Customer-368"/>
    <s v="Yangon"/>
    <d v="2025-01-15T00:00:00"/>
    <n v="351"/>
    <n v="1"/>
    <n v="11200000"/>
    <s v="Low"/>
    <s v="Low"/>
    <s v="Low"/>
    <s v="LLL"/>
    <x v="3"/>
  </r>
  <r>
    <s v="Customer-369"/>
    <s v="Naypyitaw"/>
    <d v="2025-07-10T00:00:00"/>
    <n v="175"/>
    <n v="3"/>
    <n v="46400000"/>
    <s v="Low"/>
    <s v="High"/>
    <s v="High"/>
    <s v="LHH"/>
    <x v="4"/>
  </r>
  <r>
    <s v="Customer-372"/>
    <s v="Mandalay"/>
    <d v="2025-11-26T00:00:00"/>
    <n v="36"/>
    <n v="3"/>
    <n v="6960000"/>
    <s v="High"/>
    <s v="High"/>
    <s v="Low"/>
    <s v="HHL"/>
    <x v="0"/>
  </r>
  <r>
    <s v="Customer-374"/>
    <s v="Bago"/>
    <d v="2025-05-01T00:00:00"/>
    <n v="245"/>
    <n v="2"/>
    <n v="32100000"/>
    <s v="Low"/>
    <s v="Low"/>
    <s v="High"/>
    <s v="LLH"/>
    <x v="2"/>
  </r>
  <r>
    <s v="Customer-375"/>
    <s v="Taunggyi"/>
    <d v="2025-09-23T00:00:00"/>
    <n v="100"/>
    <n v="1"/>
    <n v="5000000"/>
    <s v="Low"/>
    <s v="Low"/>
    <s v="Low"/>
    <s v="LLL"/>
    <x v="3"/>
  </r>
  <r>
    <s v="Customer-376"/>
    <s v="Mandalay"/>
    <d v="2025-03-13T00:00:00"/>
    <n v="294"/>
    <n v="1"/>
    <n v="9900000"/>
    <s v="Low"/>
    <s v="Low"/>
    <s v="Low"/>
    <s v="LLL"/>
    <x v="3"/>
  </r>
  <r>
    <s v="Customer-377"/>
    <s v="Taunggyi"/>
    <d v="2025-12-19T00:00:00"/>
    <n v="13"/>
    <n v="1"/>
    <n v="400000"/>
    <s v="High"/>
    <s v="Low"/>
    <s v="Low"/>
    <s v="HLL"/>
    <x v="6"/>
  </r>
  <r>
    <s v="Customer-378"/>
    <s v="Taunggyi"/>
    <d v="2025-11-18T00:00:00"/>
    <n v="44"/>
    <n v="2"/>
    <n v="29740000"/>
    <s v="High"/>
    <s v="Low"/>
    <s v="High"/>
    <s v="HLH"/>
    <x v="5"/>
  </r>
  <r>
    <s v="Customer-380"/>
    <s v="Mandalay"/>
    <d v="2025-07-04T00:00:00"/>
    <n v="181"/>
    <n v="1"/>
    <n v="45600000"/>
    <s v="Low"/>
    <s v="Low"/>
    <s v="High"/>
    <s v="LLH"/>
    <x v="2"/>
  </r>
  <r>
    <s v="Customer-381"/>
    <s v="Bago"/>
    <d v="2025-05-02T00:00:00"/>
    <n v="244"/>
    <n v="1"/>
    <n v="20400000"/>
    <s v="Low"/>
    <s v="Low"/>
    <s v="High"/>
    <s v="LLH"/>
    <x v="2"/>
  </r>
  <r>
    <s v="Customer-382"/>
    <s v="Mandalay"/>
    <d v="2025-08-05T00:00:00"/>
    <n v="149"/>
    <n v="2"/>
    <n v="47700000"/>
    <s v="Low"/>
    <s v="Low"/>
    <s v="High"/>
    <s v="LLH"/>
    <x v="2"/>
  </r>
  <r>
    <s v="Customer-383"/>
    <s v="Yangon"/>
    <d v="2025-09-12T00:00:00"/>
    <n v="111"/>
    <n v="2"/>
    <n v="7380000"/>
    <s v="Low"/>
    <s v="Low"/>
    <s v="Low"/>
    <s v="LLL"/>
    <x v="3"/>
  </r>
  <r>
    <s v="Customer-385"/>
    <s v="Bago"/>
    <d v="2025-12-26T00:00:00"/>
    <n v="6"/>
    <n v="1"/>
    <n v="3780000"/>
    <s v="High"/>
    <s v="Low"/>
    <s v="Low"/>
    <s v="HLL"/>
    <x v="6"/>
  </r>
  <r>
    <s v="Customer-387"/>
    <s v="Yangon"/>
    <d v="2025-08-06T00:00:00"/>
    <n v="148"/>
    <n v="6"/>
    <n v="25385000"/>
    <s v="Low"/>
    <s v="High"/>
    <s v="High"/>
    <s v="LHH"/>
    <x v="4"/>
  </r>
  <r>
    <s v="Customer-388"/>
    <s v="Mandalay"/>
    <d v="2025-12-16T00:00:00"/>
    <n v="16"/>
    <n v="4"/>
    <n v="28950000"/>
    <s v="High"/>
    <s v="High"/>
    <s v="High"/>
    <s v="HHH"/>
    <x v="1"/>
  </r>
  <r>
    <s v="Customer-389"/>
    <s v="Taunggyi"/>
    <d v="2025-12-23T00:00:00"/>
    <n v="9"/>
    <n v="3"/>
    <n v="66170000"/>
    <s v="High"/>
    <s v="High"/>
    <s v="High"/>
    <s v="HHH"/>
    <x v="1"/>
  </r>
  <r>
    <s v="Customer-390"/>
    <s v="Bago"/>
    <d v="2025-09-10T00:00:00"/>
    <n v="113"/>
    <n v="1"/>
    <n v="7200000"/>
    <s v="Low"/>
    <s v="Low"/>
    <s v="Low"/>
    <s v="LLL"/>
    <x v="3"/>
  </r>
  <r>
    <s v="Customer-392"/>
    <s v="Mandalay"/>
    <d v="2025-09-09T00:00:00"/>
    <n v="114"/>
    <n v="2"/>
    <n v="8250000"/>
    <s v="Low"/>
    <s v="Low"/>
    <s v="Low"/>
    <s v="LLL"/>
    <x v="3"/>
  </r>
  <r>
    <s v="Customer-393"/>
    <s v="Bago"/>
    <d v="2025-01-30T00:00:00"/>
    <n v="336"/>
    <n v="1"/>
    <n v="18450000"/>
    <s v="Low"/>
    <s v="Low"/>
    <s v="High"/>
    <s v="LLH"/>
    <x v="2"/>
  </r>
  <r>
    <s v="Customer-394"/>
    <s v="Bago"/>
    <d v="2025-08-05T00:00:00"/>
    <n v="149"/>
    <n v="3"/>
    <n v="23000000"/>
    <s v="Low"/>
    <s v="High"/>
    <s v="High"/>
    <s v="LHH"/>
    <x v="4"/>
  </r>
  <r>
    <s v="Customer-397"/>
    <s v="Yangon"/>
    <d v="2025-09-22T00:00:00"/>
    <n v="101"/>
    <n v="1"/>
    <n v="7000000"/>
    <s v="Low"/>
    <s v="Low"/>
    <s v="Low"/>
    <s v="LLL"/>
    <x v="3"/>
  </r>
  <r>
    <s v="Customer-398"/>
    <s v="Taunggyi"/>
    <d v="2025-11-06T00:00:00"/>
    <n v="56"/>
    <n v="3"/>
    <n v="15275000"/>
    <s v="High"/>
    <s v="High"/>
    <s v="Low"/>
    <s v="HHL"/>
    <x v="0"/>
  </r>
  <r>
    <s v="Customer-399"/>
    <s v="Bago"/>
    <d v="2025-12-31T00:00:00"/>
    <n v="1"/>
    <n v="1"/>
    <n v="19350000"/>
    <s v="High"/>
    <s v="Low"/>
    <s v="High"/>
    <s v="HLH"/>
    <x v="5"/>
  </r>
  <r>
    <s v="Customer-402"/>
    <s v="Bago"/>
    <d v="2025-11-11T00:00:00"/>
    <n v="51"/>
    <n v="3"/>
    <n v="15475000"/>
    <s v="High"/>
    <s v="High"/>
    <s v="Low"/>
    <s v="HHL"/>
    <x v="0"/>
  </r>
  <r>
    <s v="Customer-403"/>
    <s v="Yangon"/>
    <d v="2025-09-18T00:00:00"/>
    <n v="105"/>
    <n v="5"/>
    <n v="61350000"/>
    <s v="Low"/>
    <s v="High"/>
    <s v="High"/>
    <s v="LHH"/>
    <x v="4"/>
  </r>
  <r>
    <s v="Customer-404"/>
    <s v="Mandalay"/>
    <d v="2025-08-06T00:00:00"/>
    <n v="148"/>
    <n v="1"/>
    <n v="1000000"/>
    <s v="Low"/>
    <s v="Low"/>
    <s v="Low"/>
    <s v="LLL"/>
    <x v="3"/>
  </r>
  <r>
    <s v="Customer-405"/>
    <s v="Mandalay"/>
    <d v="2025-02-11T00:00:00"/>
    <n v="324"/>
    <n v="1"/>
    <n v="7200000"/>
    <s v="Low"/>
    <s v="Low"/>
    <s v="Low"/>
    <s v="LLL"/>
    <x v="3"/>
  </r>
  <r>
    <s v="Customer-406"/>
    <s v="Mandalay"/>
    <d v="2025-12-23T00:00:00"/>
    <n v="9"/>
    <n v="3"/>
    <n v="23100000"/>
    <s v="High"/>
    <s v="High"/>
    <s v="High"/>
    <s v="HHH"/>
    <x v="1"/>
  </r>
  <r>
    <s v="Customer-407"/>
    <s v="Naypyitaw"/>
    <d v="2025-02-26T00:00:00"/>
    <n v="309"/>
    <n v="1"/>
    <n v="11250000"/>
    <s v="Low"/>
    <s v="Low"/>
    <s v="Low"/>
    <s v="LLL"/>
    <x v="3"/>
  </r>
  <r>
    <s v="Customer-409"/>
    <s v="Yangon"/>
    <d v="2025-02-05T00:00:00"/>
    <n v="330"/>
    <n v="1"/>
    <n v="11250000"/>
    <s v="Low"/>
    <s v="Low"/>
    <s v="Low"/>
    <s v="LLL"/>
    <x v="3"/>
  </r>
  <r>
    <s v="Customer-410"/>
    <s v="Yangon"/>
    <d v="2025-10-30T00:00:00"/>
    <n v="63"/>
    <n v="7"/>
    <n v="1138500000"/>
    <s v="High"/>
    <s v="High"/>
    <s v="High"/>
    <s v="HHH"/>
    <x v="1"/>
  </r>
  <r>
    <s v="Customer-411"/>
    <s v="Yangon"/>
    <d v="2025-11-13T00:00:00"/>
    <n v="49"/>
    <n v="4"/>
    <n v="13490000"/>
    <s v="High"/>
    <s v="High"/>
    <s v="Low"/>
    <s v="HHL"/>
    <x v="0"/>
  </r>
  <r>
    <s v="Customer-412"/>
    <s v="Mandalay"/>
    <d v="2025-10-07T00:00:00"/>
    <n v="86"/>
    <n v="4"/>
    <n v="46100000"/>
    <s v="High"/>
    <s v="High"/>
    <s v="High"/>
    <s v="HHH"/>
    <x v="1"/>
  </r>
  <r>
    <s v="Customer-413"/>
    <s v="Naypyitaw"/>
    <d v="2025-11-17T00:00:00"/>
    <n v="45"/>
    <n v="4"/>
    <n v="23010000"/>
    <s v="High"/>
    <s v="High"/>
    <s v="High"/>
    <s v="HHH"/>
    <x v="1"/>
  </r>
  <r>
    <s v="Customer-414"/>
    <s v="Yangon"/>
    <d v="2025-12-12T00:00:00"/>
    <n v="20"/>
    <n v="2"/>
    <n v="22680000"/>
    <s v="High"/>
    <s v="Low"/>
    <s v="High"/>
    <s v="HLH"/>
    <x v="5"/>
  </r>
  <r>
    <s v="Customer-415"/>
    <s v="Mandalay"/>
    <d v="2025-05-16T00:00:00"/>
    <n v="230"/>
    <n v="2"/>
    <n v="24150000"/>
    <s v="Low"/>
    <s v="Low"/>
    <s v="High"/>
    <s v="LLH"/>
    <x v="2"/>
  </r>
  <r>
    <s v="Customer-417"/>
    <s v="Yangon"/>
    <d v="2025-10-01T00:00:00"/>
    <n v="92"/>
    <n v="1"/>
    <n v="3250000"/>
    <s v="High"/>
    <s v="Low"/>
    <s v="Low"/>
    <s v="HLL"/>
    <x v="6"/>
  </r>
  <r>
    <s v="Customer-418"/>
    <s v="Mandalay"/>
    <d v="2025-04-22T00:00:00"/>
    <n v="254"/>
    <n v="1"/>
    <n v="9500000"/>
    <s v="Low"/>
    <s v="Low"/>
    <s v="Low"/>
    <s v="LLL"/>
    <x v="3"/>
  </r>
  <r>
    <s v="Customer-419"/>
    <s v="Naypyitaw"/>
    <d v="2025-12-03T00:00:00"/>
    <n v="29"/>
    <n v="2"/>
    <n v="15820000"/>
    <s v="High"/>
    <s v="Low"/>
    <s v="Low"/>
    <s v="HLL"/>
    <x v="6"/>
  </r>
  <r>
    <s v="Customer-420"/>
    <s v="Yangon"/>
    <d v="2025-11-13T00:00:00"/>
    <n v="49"/>
    <n v="2"/>
    <n v="4260000"/>
    <s v="High"/>
    <s v="Low"/>
    <s v="Low"/>
    <s v="HLL"/>
    <x v="6"/>
  </r>
  <r>
    <s v="Customer-421"/>
    <s v="Yangon"/>
    <d v="2025-10-15T00:00:00"/>
    <n v="78"/>
    <n v="2"/>
    <n v="13230000"/>
    <s v="High"/>
    <s v="Low"/>
    <s v="Low"/>
    <s v="HLL"/>
    <x v="6"/>
  </r>
  <r>
    <s v="Customer-422"/>
    <s v="Taunggyi"/>
    <d v="2025-10-21T00:00:00"/>
    <n v="72"/>
    <n v="2"/>
    <n v="20990000"/>
    <s v="High"/>
    <s v="Low"/>
    <s v="High"/>
    <s v="HLH"/>
    <x v="5"/>
  </r>
  <r>
    <s v="Customer-423"/>
    <s v="Bago"/>
    <d v="2025-02-26T00:00:00"/>
    <n v="309"/>
    <n v="1"/>
    <n v="7200000"/>
    <s v="Low"/>
    <s v="Low"/>
    <s v="Low"/>
    <s v="LLL"/>
    <x v="3"/>
  </r>
  <r>
    <s v="Customer-424"/>
    <s v="Mandalay"/>
    <d v="2025-10-01T00:00:00"/>
    <n v="92"/>
    <n v="1"/>
    <n v="11000000"/>
    <s v="High"/>
    <s v="Low"/>
    <s v="Low"/>
    <s v="HLL"/>
    <x v="6"/>
  </r>
  <r>
    <s v="Customer-426"/>
    <s v="Mandalay"/>
    <d v="2025-12-16T00:00:00"/>
    <n v="16"/>
    <n v="6"/>
    <n v="58820000"/>
    <s v="High"/>
    <s v="High"/>
    <s v="High"/>
    <s v="HHH"/>
    <x v="1"/>
  </r>
  <r>
    <s v="Customer-427"/>
    <s v="Naypyitaw"/>
    <d v="2025-11-07T00:00:00"/>
    <n v="55"/>
    <n v="1"/>
    <n v="22500000"/>
    <s v="High"/>
    <s v="Low"/>
    <s v="High"/>
    <s v="HLH"/>
    <x v="5"/>
  </r>
  <r>
    <s v="Customer-428"/>
    <s v="Naypyitaw"/>
    <d v="2025-12-30T00:00:00"/>
    <n v="2"/>
    <n v="1"/>
    <n v="50400000"/>
    <s v="High"/>
    <s v="Low"/>
    <s v="High"/>
    <s v="HLH"/>
    <x v="5"/>
  </r>
  <r>
    <s v="Customer-429"/>
    <s v="Mandalay"/>
    <d v="2025-09-11T00:00:00"/>
    <n v="112"/>
    <n v="2"/>
    <n v="7800000"/>
    <s v="Low"/>
    <s v="Low"/>
    <s v="Low"/>
    <s v="LLL"/>
    <x v="3"/>
  </r>
  <r>
    <s v="Customer-430"/>
    <s v="Taunggyi"/>
    <d v="2025-11-18T00:00:00"/>
    <n v="44"/>
    <n v="2"/>
    <n v="24150000"/>
    <s v="High"/>
    <s v="Low"/>
    <s v="High"/>
    <s v="HLH"/>
    <x v="5"/>
  </r>
  <r>
    <s v="Customer-431"/>
    <s v="Yangon"/>
    <d v="2025-09-25T00:00:00"/>
    <n v="98"/>
    <n v="2"/>
    <n v="41400000"/>
    <s v="Low"/>
    <s v="Low"/>
    <s v="High"/>
    <s v="LLH"/>
    <x v="2"/>
  </r>
  <r>
    <s v="Customer-432"/>
    <s v="Bago"/>
    <d v="2025-11-18T00:00:00"/>
    <n v="44"/>
    <n v="1"/>
    <n v="57600000"/>
    <s v="High"/>
    <s v="Low"/>
    <s v="High"/>
    <s v="HLH"/>
    <x v="5"/>
  </r>
  <r>
    <s v="Customer-433"/>
    <s v="Taunggyi"/>
    <d v="2025-04-01T00:00:00"/>
    <n v="275"/>
    <n v="1"/>
    <n v="9800000"/>
    <s v="Low"/>
    <s v="Low"/>
    <s v="Low"/>
    <s v="LLL"/>
    <x v="3"/>
  </r>
  <r>
    <s v="Customer-437"/>
    <s v="Taunggyi"/>
    <d v="2025-09-10T00:00:00"/>
    <n v="113"/>
    <n v="1"/>
    <n v="18000000"/>
    <s v="Low"/>
    <s v="Low"/>
    <s v="Low"/>
    <s v="LLL"/>
    <x v="3"/>
  </r>
  <r>
    <s v="Customer-438"/>
    <s v="Bago"/>
    <d v="2025-12-12T00:00:00"/>
    <n v="20"/>
    <n v="3"/>
    <n v="13920000"/>
    <s v="High"/>
    <s v="High"/>
    <s v="Low"/>
    <s v="HHL"/>
    <x v="0"/>
  </r>
  <r>
    <s v="Customer-440"/>
    <s v="Mandalay"/>
    <d v="2025-10-10T00:00:00"/>
    <n v="83"/>
    <n v="2"/>
    <n v="21990000"/>
    <s v="High"/>
    <s v="Low"/>
    <s v="High"/>
    <s v="HLH"/>
    <x v="5"/>
  </r>
  <r>
    <s v="Customer-441"/>
    <s v="Yangon"/>
    <d v="2025-11-21T00:00:00"/>
    <n v="41"/>
    <n v="3"/>
    <n v="10950000"/>
    <s v="High"/>
    <s v="High"/>
    <s v="Low"/>
    <s v="HHL"/>
    <x v="0"/>
  </r>
  <r>
    <s v="Customer-442"/>
    <s v="Taunggyi"/>
    <d v="2025-07-11T00:00:00"/>
    <n v="174"/>
    <n v="1"/>
    <n v="1200000"/>
    <s v="Low"/>
    <s v="Low"/>
    <s v="Low"/>
    <s v="LLL"/>
    <x v="3"/>
  </r>
  <r>
    <s v="Customer-443"/>
    <s v="Naypyitaw"/>
    <d v="2025-10-01T00:00:00"/>
    <n v="92"/>
    <n v="1"/>
    <n v="7200000"/>
    <s v="High"/>
    <s v="Low"/>
    <s v="Low"/>
    <s v="HLL"/>
    <x v="6"/>
  </r>
  <r>
    <s v="Customer-444"/>
    <s v="Taunggyi"/>
    <d v="2025-07-10T00:00:00"/>
    <n v="175"/>
    <n v="1"/>
    <n v="5950000"/>
    <s v="Low"/>
    <s v="Low"/>
    <s v="Low"/>
    <s v="LLL"/>
    <x v="3"/>
  </r>
  <r>
    <s v="Customer-445"/>
    <s v="Mandalay"/>
    <d v="2025-12-25T00:00:00"/>
    <n v="7"/>
    <n v="4"/>
    <n v="26025000"/>
    <s v="High"/>
    <s v="High"/>
    <s v="High"/>
    <s v="HHH"/>
    <x v="1"/>
  </r>
  <r>
    <s v="Customer-446"/>
    <s v="Yangon"/>
    <d v="2025-11-07T00:00:00"/>
    <n v="55"/>
    <n v="6"/>
    <n v="64800000"/>
    <s v="High"/>
    <s v="High"/>
    <s v="High"/>
    <s v="HHH"/>
    <x v="1"/>
  </r>
  <r>
    <s v="Customer-447"/>
    <s v="Naypyitaw"/>
    <d v="2025-01-06T00:00:00"/>
    <n v="360"/>
    <n v="1"/>
    <n v="475000"/>
    <s v="Low"/>
    <s v="Low"/>
    <s v="Low"/>
    <s v="LLL"/>
    <x v="3"/>
  </r>
  <r>
    <s v="Customer-448"/>
    <s v="Mandalay"/>
    <d v="2025-08-14T00:00:00"/>
    <n v="140"/>
    <n v="3"/>
    <n v="42025000"/>
    <s v="Low"/>
    <s v="High"/>
    <s v="High"/>
    <s v="LHH"/>
    <x v="4"/>
  </r>
  <r>
    <s v="Customer-450"/>
    <s v="Yangon"/>
    <d v="2025-04-30T00:00:00"/>
    <n v="246"/>
    <n v="3"/>
    <n v="27450000"/>
    <s v="Low"/>
    <s v="High"/>
    <s v="High"/>
    <s v="LHH"/>
    <x v="4"/>
  </r>
  <r>
    <s v="Customer-452"/>
    <s v="Mandalay"/>
    <d v="2025-05-22T00:00:00"/>
    <n v="224"/>
    <n v="2"/>
    <n v="12500000"/>
    <s v="Low"/>
    <s v="Low"/>
    <s v="Low"/>
    <s v="LLL"/>
    <x v="3"/>
  </r>
  <r>
    <s v="Customer-453"/>
    <s v="Bago"/>
    <d v="2025-10-20T00:00:00"/>
    <n v="73"/>
    <n v="3"/>
    <n v="37800000"/>
    <s v="High"/>
    <s v="High"/>
    <s v="High"/>
    <s v="HHH"/>
    <x v="1"/>
  </r>
  <r>
    <s v="Customer-454"/>
    <s v="Bago"/>
    <d v="2025-04-01T00:00:00"/>
    <n v="275"/>
    <n v="1"/>
    <n v="4860000"/>
    <s v="Low"/>
    <s v="Low"/>
    <s v="Low"/>
    <s v="LLL"/>
    <x v="3"/>
  </r>
  <r>
    <s v="Customer-455"/>
    <s v="Yangon"/>
    <d v="2025-01-10T00:00:00"/>
    <n v="356"/>
    <n v="1"/>
    <n v="4320000"/>
    <s v="Low"/>
    <s v="Low"/>
    <s v="Low"/>
    <s v="LLL"/>
    <x v="3"/>
  </r>
  <r>
    <s v="Customer-456"/>
    <s v="Mandalay"/>
    <d v="2025-07-10T00:00:00"/>
    <n v="175"/>
    <n v="2"/>
    <n v="25200000"/>
    <s v="Low"/>
    <s v="Low"/>
    <s v="High"/>
    <s v="LLH"/>
    <x v="2"/>
  </r>
  <r>
    <s v="Customer-457"/>
    <s v="Bago"/>
    <d v="2025-12-12T00:00:00"/>
    <n v="20"/>
    <n v="1"/>
    <n v="5280000"/>
    <s v="High"/>
    <s v="Low"/>
    <s v="Low"/>
    <s v="HLL"/>
    <x v="6"/>
  </r>
  <r>
    <s v="Customer-458"/>
    <s v="Taunggyi"/>
    <d v="2025-10-31T00:00:00"/>
    <n v="62"/>
    <n v="3"/>
    <n v="9825000"/>
    <s v="High"/>
    <s v="High"/>
    <s v="Low"/>
    <s v="HHL"/>
    <x v="0"/>
  </r>
  <r>
    <s v="Customer-459"/>
    <s v="Yangon"/>
    <d v="2025-09-29T00:00:00"/>
    <n v="94"/>
    <n v="3"/>
    <n v="22100000"/>
    <s v="Low"/>
    <s v="High"/>
    <s v="High"/>
    <s v="LHH"/>
    <x v="4"/>
  </r>
  <r>
    <s v="Customer-460"/>
    <s v="Naypyitaw"/>
    <d v="2025-11-07T00:00:00"/>
    <n v="55"/>
    <n v="4"/>
    <n v="31585000"/>
    <s v="High"/>
    <s v="High"/>
    <s v="High"/>
    <s v="HHH"/>
    <x v="1"/>
  </r>
  <r>
    <s v="Customer-461"/>
    <s v="Taunggyi"/>
    <d v="2025-03-14T00:00:00"/>
    <n v="293"/>
    <n v="1"/>
    <n v="5950000"/>
    <s v="Low"/>
    <s v="Low"/>
    <s v="Low"/>
    <s v="LLL"/>
    <x v="3"/>
  </r>
  <r>
    <s v="Customer-462"/>
    <s v="Bago"/>
    <d v="2025-04-21T00:00:00"/>
    <n v="255"/>
    <n v="1"/>
    <n v="5220000"/>
    <s v="Low"/>
    <s v="Low"/>
    <s v="Low"/>
    <s v="LLL"/>
    <x v="3"/>
  </r>
  <r>
    <s v="Customer-467"/>
    <s v="Taunggyi"/>
    <d v="2025-08-27T00:00:00"/>
    <n v="127"/>
    <n v="1"/>
    <n v="10500000"/>
    <s v="Low"/>
    <s v="Low"/>
    <s v="Low"/>
    <s v="LLL"/>
    <x v="3"/>
  </r>
  <r>
    <s v="Customer-468"/>
    <s v="Yangon"/>
    <d v="2025-10-07T00:00:00"/>
    <n v="86"/>
    <n v="1"/>
    <n v="9000000"/>
    <s v="High"/>
    <s v="Low"/>
    <s v="Low"/>
    <s v="HLL"/>
    <x v="6"/>
  </r>
  <r>
    <s v="Customer-469"/>
    <s v="Taunggyi"/>
    <d v="2025-12-12T00:00:00"/>
    <n v="20"/>
    <n v="3"/>
    <n v="41940000"/>
    <s v="High"/>
    <s v="High"/>
    <s v="High"/>
    <s v="HHH"/>
    <x v="1"/>
  </r>
  <r>
    <s v="Customer-471"/>
    <s v="Yangon"/>
    <d v="2025-10-17T00:00:00"/>
    <n v="76"/>
    <n v="3"/>
    <n v="25150000"/>
    <s v="High"/>
    <s v="High"/>
    <s v="High"/>
    <s v="HHH"/>
    <x v="1"/>
  </r>
  <r>
    <s v="Customer-472"/>
    <s v="Bago"/>
    <d v="2025-09-23T00:00:00"/>
    <n v="100"/>
    <n v="3"/>
    <n v="12910000"/>
    <s v="Low"/>
    <s v="High"/>
    <s v="Low"/>
    <s v="LHL"/>
    <x v="7"/>
  </r>
  <r>
    <s v="Customer-473"/>
    <s v="Taunggyi"/>
    <d v="2025-06-04T00:00:00"/>
    <n v="211"/>
    <n v="1"/>
    <n v="6250000"/>
    <s v="Low"/>
    <s v="Low"/>
    <s v="Low"/>
    <s v="LLL"/>
    <x v="3"/>
  </r>
  <r>
    <s v="Customer-474"/>
    <s v="Yangon"/>
    <d v="2025-12-04T00:00:00"/>
    <n v="28"/>
    <n v="4"/>
    <n v="20450000"/>
    <s v="High"/>
    <s v="High"/>
    <s v="High"/>
    <s v="HHH"/>
    <x v="1"/>
  </r>
  <r>
    <s v="Customer-475"/>
    <s v="Yangon"/>
    <d v="2025-12-01T00:00:00"/>
    <n v="31"/>
    <n v="2"/>
    <n v="6450000"/>
    <s v="High"/>
    <s v="Low"/>
    <s v="Low"/>
    <s v="HLL"/>
    <x v="6"/>
  </r>
  <r>
    <s v="Customer-476"/>
    <s v="Yangon"/>
    <d v="2025-08-25T00:00:00"/>
    <n v="129"/>
    <n v="3"/>
    <n v="29990000"/>
    <s v="Low"/>
    <s v="High"/>
    <s v="High"/>
    <s v="LHH"/>
    <x v="4"/>
  </r>
  <r>
    <s v="Customer-477"/>
    <s v="Taunggyi"/>
    <d v="2025-11-25T00:00:00"/>
    <n v="37"/>
    <n v="2"/>
    <n v="11250000"/>
    <s v="High"/>
    <s v="Low"/>
    <s v="Low"/>
    <s v="HLL"/>
    <x v="6"/>
  </r>
  <r>
    <s v="Customer-478"/>
    <s v="Naypyitaw"/>
    <d v="2025-07-25T00:00:00"/>
    <n v="160"/>
    <n v="1"/>
    <n v="56400000"/>
    <s v="Low"/>
    <s v="Low"/>
    <s v="High"/>
    <s v="LLH"/>
    <x v="2"/>
  </r>
  <r>
    <s v="Customer-479"/>
    <s v="Taunggyi"/>
    <d v="2025-08-21T00:00:00"/>
    <n v="133"/>
    <n v="1"/>
    <n v="9000000"/>
    <s v="Low"/>
    <s v="Low"/>
    <s v="Low"/>
    <s v="LLL"/>
    <x v="3"/>
  </r>
  <r>
    <s v="Customer-481"/>
    <s v="Bago"/>
    <d v="2025-10-22T00:00:00"/>
    <n v="71"/>
    <n v="1"/>
    <n v="2500000"/>
    <s v="High"/>
    <s v="Low"/>
    <s v="Low"/>
    <s v="HLL"/>
    <x v="6"/>
  </r>
  <r>
    <s v="Customer-482"/>
    <s v="Mandalay"/>
    <d v="2025-12-22T00:00:00"/>
    <n v="10"/>
    <n v="7"/>
    <n v="39215000"/>
    <s v="High"/>
    <s v="High"/>
    <s v="High"/>
    <s v="HHH"/>
    <x v="1"/>
  </r>
  <r>
    <s v="Customer-485"/>
    <s v="Taunggyi"/>
    <d v="2025-05-22T00:00:00"/>
    <n v="224"/>
    <n v="2"/>
    <n v="33900000"/>
    <s v="Low"/>
    <s v="Low"/>
    <s v="High"/>
    <s v="LLH"/>
    <x v="2"/>
  </r>
  <r>
    <s v="Customer-486"/>
    <s v="Yangon"/>
    <d v="2025-04-15T00:00:00"/>
    <n v="261"/>
    <n v="2"/>
    <n v="19760000"/>
    <s v="Low"/>
    <s v="Low"/>
    <s v="High"/>
    <s v="LLH"/>
    <x v="2"/>
  </r>
  <r>
    <s v="Customer-488"/>
    <s v="Mandalay"/>
    <d v="2025-12-19T00:00:00"/>
    <n v="13"/>
    <n v="1"/>
    <n v="475000"/>
    <s v="High"/>
    <s v="Low"/>
    <s v="Low"/>
    <s v="HLL"/>
    <x v="6"/>
  </r>
  <r>
    <s v="Customer-489"/>
    <s v="Naypyitaw"/>
    <d v="2025-12-12T00:00:00"/>
    <n v="20"/>
    <n v="1"/>
    <n v="52800000"/>
    <s v="High"/>
    <s v="Low"/>
    <s v="High"/>
    <s v="HLH"/>
    <x v="5"/>
  </r>
  <r>
    <s v="Customer-490"/>
    <s v="Naypyitaw"/>
    <d v="2025-10-30T00:00:00"/>
    <n v="63"/>
    <n v="2"/>
    <n v="11650000"/>
    <s v="High"/>
    <s v="Low"/>
    <s v="Low"/>
    <s v="HLL"/>
    <x v="6"/>
  </r>
  <r>
    <s v="Customer-491"/>
    <s v="Taunggyi"/>
    <d v="2025-11-04T00:00:00"/>
    <n v="58"/>
    <n v="2"/>
    <n v="44000000"/>
    <s v="High"/>
    <s v="Low"/>
    <s v="High"/>
    <s v="HLH"/>
    <x v="5"/>
  </r>
  <r>
    <s v="Customer-492"/>
    <s v="Yangon"/>
    <d v="2025-09-24T00:00:00"/>
    <n v="99"/>
    <n v="2"/>
    <n v="11350000"/>
    <s v="Low"/>
    <s v="Low"/>
    <s v="Low"/>
    <s v="LLL"/>
    <x v="3"/>
  </r>
  <r>
    <s v="Customer-494"/>
    <s v="Naypyitaw"/>
    <d v="2025-11-07T00:00:00"/>
    <n v="55"/>
    <n v="1"/>
    <n v="2880000"/>
    <s v="High"/>
    <s v="Low"/>
    <s v="Low"/>
    <s v="HLL"/>
    <x v="6"/>
  </r>
  <r>
    <s v="Customer-495"/>
    <s v="Mandalay"/>
    <d v="2025-11-18T00:00:00"/>
    <n v="44"/>
    <n v="6"/>
    <n v="1137600000"/>
    <s v="High"/>
    <s v="High"/>
    <s v="High"/>
    <s v="HHH"/>
    <x v="1"/>
  </r>
  <r>
    <s v="Customer-496"/>
    <s v="Yangon"/>
    <d v="2025-10-31T00:00:00"/>
    <n v="62"/>
    <n v="1"/>
    <n v="8200000"/>
    <s v="High"/>
    <s v="Low"/>
    <s v="Low"/>
    <s v="HLL"/>
    <x v="6"/>
  </r>
  <r>
    <s v="Customer-497"/>
    <s v="Mandalay"/>
    <d v="2025-09-10T00:00:00"/>
    <n v="113"/>
    <n v="2"/>
    <n v="29050000"/>
    <s v="Low"/>
    <s v="Low"/>
    <s v="High"/>
    <s v="LLH"/>
    <x v="2"/>
  </r>
  <r>
    <s v="Customer-499"/>
    <s v="Yangon"/>
    <d v="2025-09-10T00:00:00"/>
    <n v="113"/>
    <n v="9"/>
    <n v="1265250000"/>
    <s v="Low"/>
    <s v="High"/>
    <s v="High"/>
    <s v="LHH"/>
    <x v="4"/>
  </r>
  <r>
    <s v="Customer-500"/>
    <s v="Taunggyi"/>
    <d v="2025-04-08T00:00:00"/>
    <n v="268"/>
    <n v="1"/>
    <n v="5500000"/>
    <s v="Low"/>
    <s v="Low"/>
    <s v="Low"/>
    <s v="LLL"/>
    <x v="3"/>
  </r>
  <r>
    <s v="Customer-501"/>
    <s v="Bago"/>
    <d v="2025-04-30T00:00:00"/>
    <n v="246"/>
    <n v="2"/>
    <n v="5510000"/>
    <s v="Low"/>
    <s v="Low"/>
    <s v="Low"/>
    <s v="LLL"/>
    <x v="3"/>
  </r>
  <r>
    <s v="Customer-503"/>
    <s v="Mandalay"/>
    <d v="2025-10-01T00:00:00"/>
    <n v="92"/>
    <n v="3"/>
    <n v="8960000"/>
    <s v="High"/>
    <s v="High"/>
    <s v="Low"/>
    <s v="HHL"/>
    <x v="0"/>
  </r>
  <r>
    <s v="Customer-504"/>
    <s v="Bago"/>
    <d v="2025-08-05T00:00:00"/>
    <n v="149"/>
    <n v="1"/>
    <n v="13200000"/>
    <s v="Low"/>
    <s v="Low"/>
    <s v="Low"/>
    <s v="LLL"/>
    <x v="3"/>
  </r>
  <r>
    <s v="Customer-505"/>
    <s v="Taunggyi"/>
    <d v="2025-10-10T00:00:00"/>
    <n v="83"/>
    <n v="4"/>
    <n v="35575000"/>
    <s v="High"/>
    <s v="High"/>
    <s v="High"/>
    <s v="HHH"/>
    <x v="1"/>
  </r>
  <r>
    <s v="Customer-506"/>
    <s v="Taunggyi"/>
    <d v="2025-12-09T00:00:00"/>
    <n v="23"/>
    <n v="1"/>
    <n v="4920000"/>
    <s v="High"/>
    <s v="Low"/>
    <s v="Low"/>
    <s v="HLL"/>
    <x v="6"/>
  </r>
  <r>
    <s v="Customer-508"/>
    <s v="Mandalay"/>
    <d v="2025-08-05T00:00:00"/>
    <n v="149"/>
    <n v="1"/>
    <n v="6250000"/>
    <s v="Low"/>
    <s v="Low"/>
    <s v="Low"/>
    <s v="LLL"/>
    <x v="3"/>
  </r>
  <r>
    <s v="Customer-509"/>
    <s v="Mandalay"/>
    <d v="2025-11-19T00:00:00"/>
    <n v="43"/>
    <n v="3"/>
    <n v="18200000"/>
    <s v="High"/>
    <s v="High"/>
    <s v="Low"/>
    <s v="HHL"/>
    <x v="0"/>
  </r>
  <r>
    <s v="Customer-510"/>
    <s v="Mandalay"/>
    <d v="2025-09-29T00:00:00"/>
    <n v="94"/>
    <n v="2"/>
    <n v="11250000"/>
    <s v="Low"/>
    <s v="Low"/>
    <s v="Low"/>
    <s v="LLL"/>
    <x v="3"/>
  </r>
  <r>
    <s v="Customer-511"/>
    <s v="Bago"/>
    <d v="2025-05-21T00:00:00"/>
    <n v="225"/>
    <n v="2"/>
    <n v="2975000"/>
    <s v="Low"/>
    <s v="Low"/>
    <s v="Low"/>
    <s v="LLL"/>
    <x v="3"/>
  </r>
  <r>
    <s v="Customer-512"/>
    <s v="Yangon"/>
    <d v="2025-05-19T00:00:00"/>
    <n v="227"/>
    <n v="2"/>
    <n v="49600000"/>
    <s v="Low"/>
    <s v="Low"/>
    <s v="High"/>
    <s v="LLH"/>
    <x v="2"/>
  </r>
  <r>
    <s v="Customer-513"/>
    <s v="Naypyitaw"/>
    <d v="2025-03-05T00:00:00"/>
    <n v="302"/>
    <n v="1"/>
    <n v="3800000"/>
    <s v="Low"/>
    <s v="Low"/>
    <s v="Low"/>
    <s v="LLL"/>
    <x v="3"/>
  </r>
  <r>
    <s v="Customer-514"/>
    <s v="Taunggyi"/>
    <d v="2025-06-04T00:00:00"/>
    <n v="211"/>
    <n v="1"/>
    <n v="525000"/>
    <s v="Low"/>
    <s v="Low"/>
    <s v="Low"/>
    <s v="LLL"/>
    <x v="3"/>
  </r>
  <r>
    <s v="Customer-516"/>
    <s v="Taunggyi"/>
    <d v="2025-08-26T00:00:00"/>
    <n v="128"/>
    <n v="1"/>
    <n v="7920000"/>
    <s v="Low"/>
    <s v="Low"/>
    <s v="Low"/>
    <s v="LLL"/>
    <x v="3"/>
  </r>
  <r>
    <s v="Customer-517"/>
    <s v="Yangon"/>
    <d v="2025-11-04T00:00:00"/>
    <n v="58"/>
    <n v="5"/>
    <n v="44830000"/>
    <s v="High"/>
    <s v="High"/>
    <s v="High"/>
    <s v="HHH"/>
    <x v="1"/>
  </r>
  <r>
    <s v="Customer-518"/>
    <s v="Naypyitaw"/>
    <d v="2025-08-21T00:00:00"/>
    <n v="133"/>
    <n v="4"/>
    <n v="17950000"/>
    <s v="Low"/>
    <s v="High"/>
    <s v="Low"/>
    <s v="LHL"/>
    <x v="7"/>
  </r>
  <r>
    <s v="Customer-519"/>
    <s v="Naypyitaw"/>
    <d v="2025-08-05T00:00:00"/>
    <n v="149"/>
    <n v="1"/>
    <n v="2640000"/>
    <s v="Low"/>
    <s v="Low"/>
    <s v="Low"/>
    <s v="LLL"/>
    <x v="3"/>
  </r>
  <r>
    <s v="Customer-520"/>
    <s v="Yangon"/>
    <d v="2025-11-19T00:00:00"/>
    <n v="43"/>
    <n v="3"/>
    <n v="12420000"/>
    <s v="High"/>
    <s v="High"/>
    <s v="Low"/>
    <s v="HHL"/>
    <x v="0"/>
  </r>
  <r>
    <s v="Customer-521"/>
    <s v="Naypyitaw"/>
    <d v="2025-03-25T00:00:00"/>
    <n v="282"/>
    <n v="1"/>
    <n v="750000"/>
    <s v="Low"/>
    <s v="Low"/>
    <s v="Low"/>
    <s v="LLL"/>
    <x v="3"/>
  </r>
  <r>
    <s v="Customer-522"/>
    <s v="Bago"/>
    <d v="2025-09-18T00:00:00"/>
    <n v="105"/>
    <n v="1"/>
    <n v="8100000"/>
    <s v="Low"/>
    <s v="Low"/>
    <s v="Low"/>
    <s v="LLL"/>
    <x v="3"/>
  </r>
  <r>
    <s v="Customer-523"/>
    <s v="Yangon"/>
    <d v="2025-10-31T00:00:00"/>
    <n v="62"/>
    <n v="4"/>
    <n v="51520000"/>
    <s v="High"/>
    <s v="High"/>
    <s v="High"/>
    <s v="HHH"/>
    <x v="1"/>
  </r>
  <r>
    <s v="Customer-524"/>
    <s v="Yangon"/>
    <d v="2025-06-30T00:00:00"/>
    <n v="185"/>
    <n v="1"/>
    <n v="4900000"/>
    <s v="Low"/>
    <s v="Low"/>
    <s v="Low"/>
    <s v="LLL"/>
    <x v="3"/>
  </r>
  <r>
    <s v="Customer-525"/>
    <s v="Mandalay"/>
    <d v="2025-03-24T00:00:00"/>
    <n v="283"/>
    <n v="1"/>
    <n v="4500000"/>
    <s v="Low"/>
    <s v="Low"/>
    <s v="Low"/>
    <s v="LLL"/>
    <x v="3"/>
  </r>
  <r>
    <s v="Customer-526"/>
    <s v="Taunggyi"/>
    <d v="2025-08-12T00:00:00"/>
    <n v="142"/>
    <n v="2"/>
    <n v="21000000"/>
    <s v="Low"/>
    <s v="Low"/>
    <s v="High"/>
    <s v="LLH"/>
    <x v="2"/>
  </r>
  <r>
    <s v="Customer-527"/>
    <s v="Naypyitaw"/>
    <d v="2025-10-30T00:00:00"/>
    <n v="63"/>
    <n v="1"/>
    <n v="11900000"/>
    <s v="High"/>
    <s v="Low"/>
    <s v="Low"/>
    <s v="HLL"/>
    <x v="6"/>
  </r>
  <r>
    <s v="Customer-528"/>
    <s v="Yangon"/>
    <d v="2025-03-10T00:00:00"/>
    <n v="297"/>
    <n v="1"/>
    <n v="4250000"/>
    <s v="Low"/>
    <s v="Low"/>
    <s v="Low"/>
    <s v="LLL"/>
    <x v="3"/>
  </r>
  <r>
    <s v="Customer-530"/>
    <s v="Taunggyi"/>
    <d v="2025-09-24T00:00:00"/>
    <n v="99"/>
    <n v="3"/>
    <n v="27900000"/>
    <s v="Low"/>
    <s v="High"/>
    <s v="High"/>
    <s v="LHH"/>
    <x v="4"/>
  </r>
  <r>
    <s v="Customer-532"/>
    <s v="Yangon"/>
    <d v="2025-08-25T00:00:00"/>
    <n v="129"/>
    <n v="1"/>
    <n v="4950000"/>
    <s v="Low"/>
    <s v="Low"/>
    <s v="Low"/>
    <s v="LLL"/>
    <x v="3"/>
  </r>
  <r>
    <s v="Customer-533"/>
    <s v="Taunggyi"/>
    <d v="2025-03-11T00:00:00"/>
    <n v="296"/>
    <n v="1"/>
    <n v="13500000"/>
    <s v="Low"/>
    <s v="Low"/>
    <s v="Low"/>
    <s v="LLL"/>
    <x v="3"/>
  </r>
  <r>
    <s v="Customer-534"/>
    <s v="Naypyitaw"/>
    <d v="2025-12-24T00:00:00"/>
    <n v="8"/>
    <n v="2"/>
    <n v="7065000"/>
    <s v="High"/>
    <s v="Low"/>
    <s v="Low"/>
    <s v="HLL"/>
    <x v="6"/>
  </r>
  <r>
    <s v="Customer-535"/>
    <s v="Yangon"/>
    <d v="2025-09-19T00:00:00"/>
    <n v="104"/>
    <n v="3"/>
    <n v="52740000"/>
    <s v="Low"/>
    <s v="High"/>
    <s v="High"/>
    <s v="LHH"/>
    <x v="4"/>
  </r>
  <r>
    <s v="Customer-536"/>
    <s v="Yangon"/>
    <d v="2025-12-09T00:00:00"/>
    <n v="23"/>
    <n v="4"/>
    <n v="60160000"/>
    <s v="High"/>
    <s v="High"/>
    <s v="High"/>
    <s v="HHH"/>
    <x v="1"/>
  </r>
  <r>
    <s v="Customer-537"/>
    <s v="Mandalay"/>
    <d v="2025-08-20T00:00:00"/>
    <n v="134"/>
    <n v="5"/>
    <n v="40525000"/>
    <s v="Low"/>
    <s v="High"/>
    <s v="High"/>
    <s v="LHH"/>
    <x v="4"/>
  </r>
  <r>
    <s v="Customer-538"/>
    <s v="Mandalay"/>
    <d v="2025-12-16T00:00:00"/>
    <n v="16"/>
    <n v="2"/>
    <n v="5820000"/>
    <s v="High"/>
    <s v="Low"/>
    <s v="Low"/>
    <s v="HLL"/>
    <x v="6"/>
  </r>
  <r>
    <s v="Customer-539"/>
    <s v="Bago"/>
    <d v="2025-01-10T00:00:00"/>
    <n v="356"/>
    <n v="1"/>
    <n v="14500000"/>
    <s v="Low"/>
    <s v="Low"/>
    <s v="Low"/>
    <s v="LLL"/>
    <x v="3"/>
  </r>
  <r>
    <s v="Customer-540"/>
    <s v="Naypyitaw"/>
    <d v="2025-11-11T00:00:00"/>
    <n v="51"/>
    <n v="4"/>
    <n v="20200000"/>
    <s v="High"/>
    <s v="High"/>
    <s v="High"/>
    <s v="HHH"/>
    <x v="1"/>
  </r>
  <r>
    <s v="Customer-542"/>
    <s v="Taunggyi"/>
    <d v="2025-09-25T00:00:00"/>
    <n v="98"/>
    <n v="2"/>
    <n v="46500000"/>
    <s v="Low"/>
    <s v="Low"/>
    <s v="High"/>
    <s v="LLH"/>
    <x v="2"/>
  </r>
  <r>
    <s v="Customer-543"/>
    <s v="Naypyitaw"/>
    <d v="2025-10-24T00:00:00"/>
    <n v="69"/>
    <n v="3"/>
    <n v="42550000"/>
    <s v="High"/>
    <s v="High"/>
    <s v="High"/>
    <s v="HHH"/>
    <x v="1"/>
  </r>
  <r>
    <s v="Customer-544"/>
    <s v="Bago"/>
    <d v="2025-12-22T00:00:00"/>
    <n v="10"/>
    <n v="2"/>
    <n v="8375000"/>
    <s v="High"/>
    <s v="Low"/>
    <s v="Low"/>
    <s v="HLL"/>
    <x v="6"/>
  </r>
  <r>
    <s v="Customer-545"/>
    <s v="Taunggyi"/>
    <d v="2025-05-22T00:00:00"/>
    <n v="224"/>
    <n v="1"/>
    <n v="3600000"/>
    <s v="Low"/>
    <s v="Low"/>
    <s v="Low"/>
    <s v="LLL"/>
    <x v="3"/>
  </r>
  <r>
    <s v="Customer-546"/>
    <s v="Taunggyi"/>
    <d v="2025-10-22T00:00:00"/>
    <n v="71"/>
    <n v="1"/>
    <n v="19200000"/>
    <s v="High"/>
    <s v="Low"/>
    <s v="High"/>
    <s v="HLH"/>
    <x v="5"/>
  </r>
  <r>
    <s v="Customer-547"/>
    <s v="Yangon"/>
    <d v="2025-05-21T00:00:00"/>
    <n v="225"/>
    <n v="1"/>
    <n v="840000"/>
    <s v="Low"/>
    <s v="Low"/>
    <s v="Low"/>
    <s v="LLL"/>
    <x v="3"/>
  </r>
  <r>
    <s v="Customer-548"/>
    <s v="Bago"/>
    <d v="2025-10-14T00:00:00"/>
    <n v="79"/>
    <n v="4"/>
    <n v="42350000"/>
    <s v="High"/>
    <s v="High"/>
    <s v="High"/>
    <s v="HHH"/>
    <x v="1"/>
  </r>
  <r>
    <s v="Customer-549"/>
    <s v="Bago"/>
    <d v="2025-06-09T00:00:00"/>
    <n v="206"/>
    <n v="1"/>
    <n v="26600000"/>
    <s v="Low"/>
    <s v="Low"/>
    <s v="High"/>
    <s v="LLH"/>
    <x v="2"/>
  </r>
  <r>
    <s v="Customer-550"/>
    <s v="Bago"/>
    <d v="2025-11-24T00:00:00"/>
    <n v="38"/>
    <n v="2"/>
    <n v="17300000"/>
    <s v="High"/>
    <s v="Low"/>
    <s v="Low"/>
    <s v="HLL"/>
    <x v="6"/>
  </r>
  <r>
    <s v="Customer-551"/>
    <s v="Taunggyi"/>
    <d v="2025-12-03T00:00:00"/>
    <n v="29"/>
    <n v="1"/>
    <n v="4750000"/>
    <s v="High"/>
    <s v="Low"/>
    <s v="Low"/>
    <s v="HLL"/>
    <x v="6"/>
  </r>
  <r>
    <s v="Customer-552"/>
    <s v="Mandalay"/>
    <d v="2025-04-09T00:00:00"/>
    <n v="267"/>
    <n v="1"/>
    <n v="35150000"/>
    <s v="Low"/>
    <s v="Low"/>
    <s v="High"/>
    <s v="LLH"/>
    <x v="2"/>
  </r>
  <r>
    <s v="Customer-553"/>
    <s v="Mandalay"/>
    <d v="2025-11-26T00:00:00"/>
    <n v="36"/>
    <n v="4"/>
    <n v="27320000"/>
    <s v="High"/>
    <s v="High"/>
    <s v="High"/>
    <s v="HHH"/>
    <x v="1"/>
  </r>
  <r>
    <s v="Customer-556"/>
    <s v="Mandalay"/>
    <d v="2025-01-17T00:00:00"/>
    <n v="349"/>
    <n v="1"/>
    <n v="18000000"/>
    <s v="Low"/>
    <s v="Low"/>
    <s v="Low"/>
    <s v="LLL"/>
    <x v="3"/>
  </r>
  <r>
    <s v="Customer-557"/>
    <s v="Mandalay"/>
    <d v="2025-06-05T00:00:00"/>
    <n v="210"/>
    <n v="2"/>
    <n v="7325000"/>
    <s v="Low"/>
    <s v="Low"/>
    <s v="Low"/>
    <s v="LLL"/>
    <x v="3"/>
  </r>
  <r>
    <s v="Customer-558"/>
    <s v="Yangon"/>
    <d v="2025-11-11T00:00:00"/>
    <n v="51"/>
    <n v="3"/>
    <n v="28800000"/>
    <s v="High"/>
    <s v="High"/>
    <s v="High"/>
    <s v="HHH"/>
    <x v="1"/>
  </r>
  <r>
    <s v="Customer-559"/>
    <s v="Naypyitaw"/>
    <d v="2025-12-22T00:00:00"/>
    <n v="10"/>
    <n v="4"/>
    <n v="13515000"/>
    <s v="High"/>
    <s v="High"/>
    <s v="Low"/>
    <s v="HHL"/>
    <x v="0"/>
  </r>
  <r>
    <s v="Customer-560"/>
    <s v="Mandalay"/>
    <d v="2025-12-31T00:00:00"/>
    <n v="1"/>
    <n v="3"/>
    <n v="67000000"/>
    <s v="High"/>
    <s v="High"/>
    <s v="High"/>
    <s v="HHH"/>
    <x v="1"/>
  </r>
  <r>
    <s v="Customer-561"/>
    <s v="Mandalay"/>
    <d v="2025-11-24T00:00:00"/>
    <n v="38"/>
    <n v="5"/>
    <n v="54250000"/>
    <s v="High"/>
    <s v="High"/>
    <s v="High"/>
    <s v="HHH"/>
    <x v="1"/>
  </r>
  <r>
    <s v="Customer-562"/>
    <s v="Bago"/>
    <d v="2025-12-03T00:00:00"/>
    <n v="29"/>
    <n v="2"/>
    <n v="35100000"/>
    <s v="High"/>
    <s v="Low"/>
    <s v="High"/>
    <s v="HLH"/>
    <x v="5"/>
  </r>
  <r>
    <s v="Customer-563"/>
    <s v="Yangon"/>
    <d v="2025-11-25T00:00:00"/>
    <n v="37"/>
    <n v="3"/>
    <n v="900500000"/>
    <s v="High"/>
    <s v="High"/>
    <s v="High"/>
    <s v="HHH"/>
    <x v="1"/>
  </r>
  <r>
    <s v="Customer-564"/>
    <s v="Taunggyi"/>
    <d v="2025-03-17T00:00:00"/>
    <n v="290"/>
    <n v="1"/>
    <n v="2760000"/>
    <s v="Low"/>
    <s v="Low"/>
    <s v="Low"/>
    <s v="LLL"/>
    <x v="3"/>
  </r>
  <r>
    <s v="Customer-565"/>
    <s v="Yangon"/>
    <d v="2025-09-10T00:00:00"/>
    <n v="113"/>
    <n v="1"/>
    <n v="7200000"/>
    <s v="Low"/>
    <s v="Low"/>
    <s v="Low"/>
    <s v="LLL"/>
    <x v="3"/>
  </r>
  <r>
    <s v="Customer-566"/>
    <s v="Bago"/>
    <d v="2025-10-30T00:00:00"/>
    <n v="63"/>
    <n v="1"/>
    <n v="5640000"/>
    <s v="High"/>
    <s v="Low"/>
    <s v="Low"/>
    <s v="HLL"/>
    <x v="6"/>
  </r>
  <r>
    <s v="Customer-569"/>
    <s v="Mandalay"/>
    <d v="2025-10-30T00:00:00"/>
    <n v="63"/>
    <n v="1"/>
    <n v="16800000"/>
    <s v="High"/>
    <s v="Low"/>
    <s v="Low"/>
    <s v="HLL"/>
    <x v="6"/>
  </r>
  <r>
    <s v="Customer-571"/>
    <s v="Taunggyi"/>
    <d v="2025-10-15T00:00:00"/>
    <n v="78"/>
    <n v="1"/>
    <n v="21150000"/>
    <s v="High"/>
    <s v="Low"/>
    <s v="High"/>
    <s v="HLH"/>
    <x v="5"/>
  </r>
  <r>
    <s v="Customer-572"/>
    <s v="Yangon"/>
    <d v="2025-12-09T00:00:00"/>
    <n v="23"/>
    <n v="2"/>
    <n v="19200000"/>
    <s v="High"/>
    <s v="Low"/>
    <s v="High"/>
    <s v="HLH"/>
    <x v="5"/>
  </r>
  <r>
    <s v="Customer-574"/>
    <s v="Naypyitaw"/>
    <d v="2025-10-10T00:00:00"/>
    <n v="83"/>
    <n v="5"/>
    <n v="54710000"/>
    <s v="High"/>
    <s v="High"/>
    <s v="High"/>
    <s v="HHH"/>
    <x v="1"/>
  </r>
  <r>
    <s v="Customer-575"/>
    <s v="Naypyitaw"/>
    <d v="2025-12-25T00:00:00"/>
    <n v="7"/>
    <n v="3"/>
    <n v="934000000"/>
    <s v="High"/>
    <s v="High"/>
    <s v="High"/>
    <s v="HHH"/>
    <x v="1"/>
  </r>
  <r>
    <s v="Customer-576"/>
    <s v="Mandalay"/>
    <d v="2025-12-30T00:00:00"/>
    <n v="2"/>
    <n v="5"/>
    <n v="66500000"/>
    <s v="High"/>
    <s v="High"/>
    <s v="High"/>
    <s v="HHH"/>
    <x v="1"/>
  </r>
  <r>
    <s v="Customer-577"/>
    <s v="Yangon"/>
    <d v="2025-05-19T00:00:00"/>
    <n v="227"/>
    <n v="1"/>
    <n v="6480000"/>
    <s v="Low"/>
    <s v="Low"/>
    <s v="Low"/>
    <s v="LLL"/>
    <x v="3"/>
  </r>
  <r>
    <s v="Customer-578"/>
    <s v="Naypyitaw"/>
    <d v="2025-04-21T00:00:00"/>
    <n v="255"/>
    <n v="1"/>
    <n v="9750000"/>
    <s v="Low"/>
    <s v="Low"/>
    <s v="Low"/>
    <s v="LLL"/>
    <x v="3"/>
  </r>
  <r>
    <s v="Customer-579"/>
    <s v="Taunggyi"/>
    <d v="2025-11-13T00:00:00"/>
    <n v="49"/>
    <n v="2"/>
    <n v="19250000"/>
    <s v="High"/>
    <s v="Low"/>
    <s v="High"/>
    <s v="HLH"/>
    <x v="5"/>
  </r>
  <r>
    <s v="Customer-580"/>
    <s v="Taunggyi"/>
    <d v="2025-09-23T00:00:00"/>
    <n v="100"/>
    <n v="3"/>
    <n v="44350000"/>
    <s v="Low"/>
    <s v="High"/>
    <s v="High"/>
    <s v="LHH"/>
    <x v="4"/>
  </r>
  <r>
    <s v="Customer-581"/>
    <s v="Bago"/>
    <d v="2025-11-19T00:00:00"/>
    <n v="43"/>
    <n v="3"/>
    <n v="12930000"/>
    <s v="High"/>
    <s v="High"/>
    <s v="Low"/>
    <s v="HHL"/>
    <x v="0"/>
  </r>
  <r>
    <s v="Customer-582"/>
    <s v="Yangon"/>
    <d v="2025-09-11T00:00:00"/>
    <n v="112"/>
    <n v="1"/>
    <n v="13650000"/>
    <s v="Low"/>
    <s v="Low"/>
    <s v="Low"/>
    <s v="LLL"/>
    <x v="3"/>
  </r>
  <r>
    <s v="Customer-585"/>
    <s v="Mandalay"/>
    <d v="2025-05-28T00:00:00"/>
    <n v="218"/>
    <n v="1"/>
    <n v="7700000"/>
    <s v="Low"/>
    <s v="Low"/>
    <s v="Low"/>
    <s v="LLL"/>
    <x v="3"/>
  </r>
  <r>
    <s v="Customer-586"/>
    <s v="Taunggyi"/>
    <d v="2025-11-13T00:00:00"/>
    <n v="49"/>
    <n v="3"/>
    <n v="12380000"/>
    <s v="High"/>
    <s v="High"/>
    <s v="Low"/>
    <s v="HHL"/>
    <x v="0"/>
  </r>
  <r>
    <s v="Customer-587"/>
    <s v="Naypyitaw"/>
    <d v="2025-07-23T00:00:00"/>
    <n v="162"/>
    <n v="1"/>
    <n v="4200000"/>
    <s v="Low"/>
    <s v="Low"/>
    <s v="Low"/>
    <s v="LLL"/>
    <x v="3"/>
  </r>
  <r>
    <s v="Customer-588"/>
    <s v="Mandalay"/>
    <d v="2025-11-17T00:00:00"/>
    <n v="45"/>
    <n v="4"/>
    <n v="19950000"/>
    <s v="High"/>
    <s v="High"/>
    <s v="High"/>
    <s v="HHH"/>
    <x v="1"/>
  </r>
  <r>
    <s v="Customer-589"/>
    <s v="Bago"/>
    <d v="2025-12-19T00:00:00"/>
    <n v="13"/>
    <n v="1"/>
    <n v="1100000"/>
    <s v="High"/>
    <s v="Low"/>
    <s v="Low"/>
    <s v="HLL"/>
    <x v="6"/>
  </r>
  <r>
    <s v="Customer-591"/>
    <s v="Yangon"/>
    <d v="2025-05-05T00:00:00"/>
    <n v="241"/>
    <n v="1"/>
    <n v="4800000"/>
    <s v="Low"/>
    <s v="Low"/>
    <s v="Low"/>
    <s v="LLL"/>
    <x v="3"/>
  </r>
  <r>
    <s v="Customer-592"/>
    <s v="Taunggyi"/>
    <d v="2025-11-07T00:00:00"/>
    <n v="55"/>
    <n v="2"/>
    <n v="10560000"/>
    <s v="High"/>
    <s v="Low"/>
    <s v="Low"/>
    <s v="HLL"/>
    <x v="6"/>
  </r>
  <r>
    <s v="Customer-593"/>
    <s v="Mandalay"/>
    <d v="2025-11-11T00:00:00"/>
    <n v="51"/>
    <n v="2"/>
    <n v="21400000"/>
    <s v="High"/>
    <s v="Low"/>
    <s v="High"/>
    <s v="HLH"/>
    <x v="5"/>
  </r>
  <r>
    <s v="Customer-594"/>
    <s v="Bago"/>
    <d v="2025-05-28T00:00:00"/>
    <n v="218"/>
    <n v="1"/>
    <n v="8400000"/>
    <s v="Low"/>
    <s v="Low"/>
    <s v="Low"/>
    <s v="LLL"/>
    <x v="3"/>
  </r>
  <r>
    <s v="Customer-595"/>
    <s v="Bago"/>
    <d v="2025-09-30T00:00:00"/>
    <n v="93"/>
    <n v="3"/>
    <n v="4595000"/>
    <s v="High"/>
    <s v="High"/>
    <s v="Low"/>
    <s v="HHL"/>
    <x v="0"/>
  </r>
  <r>
    <s v="Customer-596"/>
    <s v="Mandalay"/>
    <d v="2025-07-14T00:00:00"/>
    <n v="171"/>
    <n v="3"/>
    <n v="35350000"/>
    <s v="Low"/>
    <s v="High"/>
    <s v="High"/>
    <s v="LHH"/>
    <x v="4"/>
  </r>
  <r>
    <s v="Customer-597"/>
    <s v="Naypyitaw"/>
    <d v="2025-11-05T00:00:00"/>
    <n v="57"/>
    <n v="3"/>
    <n v="38520000"/>
    <s v="High"/>
    <s v="High"/>
    <s v="High"/>
    <s v="HHH"/>
    <x v="1"/>
  </r>
  <r>
    <s v="Customer-598"/>
    <s v="Naypyitaw"/>
    <d v="2025-09-18T00:00:00"/>
    <n v="105"/>
    <n v="1"/>
    <n v="14250000"/>
    <s v="Low"/>
    <s v="Low"/>
    <s v="Low"/>
    <s v="LLL"/>
    <x v="3"/>
  </r>
  <r>
    <s v="Customer-599"/>
    <s v="Naypyitaw"/>
    <d v="2025-07-24T00:00:00"/>
    <n v="161"/>
    <n v="1"/>
    <n v="800000"/>
    <s v="Low"/>
    <s v="Low"/>
    <s v="Low"/>
    <s v="LLL"/>
    <x v="3"/>
  </r>
  <r>
    <s v="Customer-601"/>
    <s v="Naypyitaw"/>
    <d v="2025-10-07T00:00:00"/>
    <n v="86"/>
    <n v="2"/>
    <n v="15100000"/>
    <s v="High"/>
    <s v="Low"/>
    <s v="Low"/>
    <s v="HLL"/>
    <x v="6"/>
  </r>
  <r>
    <s v="Customer-603"/>
    <s v="Mandalay"/>
    <d v="2025-12-22T00:00:00"/>
    <n v="10"/>
    <n v="7"/>
    <n v="56820000"/>
    <s v="High"/>
    <s v="High"/>
    <s v="High"/>
    <s v="HHH"/>
    <x v="1"/>
  </r>
  <r>
    <s v="Customer-604"/>
    <s v="Yangon"/>
    <d v="2025-04-15T00:00:00"/>
    <n v="261"/>
    <n v="2"/>
    <n v="25530000"/>
    <s v="Low"/>
    <s v="Low"/>
    <s v="High"/>
    <s v="LLH"/>
    <x v="2"/>
  </r>
  <r>
    <s v="Customer-606"/>
    <s v="Yangon"/>
    <d v="2025-08-19T00:00:00"/>
    <n v="135"/>
    <n v="2"/>
    <n v="10260000"/>
    <s v="Low"/>
    <s v="Low"/>
    <s v="Low"/>
    <s v="LLL"/>
    <x v="3"/>
  </r>
  <r>
    <s v="Customer-607"/>
    <s v="Yangon"/>
    <d v="2025-05-28T00:00:00"/>
    <n v="218"/>
    <n v="2"/>
    <n v="9120000"/>
    <s v="Low"/>
    <s v="Low"/>
    <s v="Low"/>
    <s v="LLL"/>
    <x v="3"/>
  </r>
  <r>
    <s v="Customer-608"/>
    <s v="Mandalay"/>
    <d v="2025-04-03T00:00:00"/>
    <n v="273"/>
    <n v="3"/>
    <n v="74250000"/>
    <s v="Low"/>
    <s v="High"/>
    <s v="High"/>
    <s v="LHH"/>
    <x v="4"/>
  </r>
  <r>
    <s v="Customer-609"/>
    <s v="Mandalay"/>
    <d v="2025-11-11T00:00:00"/>
    <n v="51"/>
    <n v="2"/>
    <n v="19600000"/>
    <s v="High"/>
    <s v="Low"/>
    <s v="High"/>
    <s v="HLH"/>
    <x v="5"/>
  </r>
  <r>
    <s v="Customer-610"/>
    <s v="Mandalay"/>
    <d v="2025-10-31T00:00:00"/>
    <n v="62"/>
    <n v="1"/>
    <n v="4860000"/>
    <s v="High"/>
    <s v="Low"/>
    <s v="Low"/>
    <s v="HLL"/>
    <x v="6"/>
  </r>
  <r>
    <s v="Customer-611"/>
    <s v="Mandalay"/>
    <d v="2025-05-22T00:00:00"/>
    <n v="224"/>
    <n v="1"/>
    <n v="1200000"/>
    <s v="Low"/>
    <s v="Low"/>
    <s v="Low"/>
    <s v="LLL"/>
    <x v="3"/>
  </r>
  <r>
    <s v="Customer-614"/>
    <s v="Taunggyi"/>
    <d v="2025-05-19T00:00:00"/>
    <n v="227"/>
    <n v="2"/>
    <n v="53050000"/>
    <s v="Low"/>
    <s v="Low"/>
    <s v="High"/>
    <s v="LLH"/>
    <x v="2"/>
  </r>
  <r>
    <s v="Customer-615"/>
    <s v="Yangon"/>
    <d v="2025-12-04T00:00:00"/>
    <n v="28"/>
    <n v="1"/>
    <n v="7020000"/>
    <s v="High"/>
    <s v="Low"/>
    <s v="Low"/>
    <s v="HLL"/>
    <x v="6"/>
  </r>
  <r>
    <s v="Customer-616"/>
    <s v="Taunggyi"/>
    <d v="2025-07-11T00:00:00"/>
    <n v="174"/>
    <n v="2"/>
    <n v="31100000"/>
    <s v="Low"/>
    <s v="Low"/>
    <s v="High"/>
    <s v="LLH"/>
    <x v="2"/>
  </r>
  <r>
    <s v="Customer-617"/>
    <s v="Mandalay"/>
    <d v="2025-11-18T00:00:00"/>
    <n v="44"/>
    <n v="4"/>
    <n v="77330000"/>
    <s v="High"/>
    <s v="High"/>
    <s v="High"/>
    <s v="HHH"/>
    <x v="1"/>
  </r>
  <r>
    <s v="Customer-618"/>
    <s v="Bago"/>
    <d v="2025-04-01T00:00:00"/>
    <n v="275"/>
    <n v="2"/>
    <n v="9160000"/>
    <s v="Low"/>
    <s v="Low"/>
    <s v="Low"/>
    <s v="LLL"/>
    <x v="3"/>
  </r>
  <r>
    <s v="Customer-619"/>
    <s v="Bago"/>
    <d v="2025-12-31T00:00:00"/>
    <n v="1"/>
    <n v="3"/>
    <n v="17800000"/>
    <s v="High"/>
    <s v="High"/>
    <s v="Low"/>
    <s v="HHL"/>
    <x v="0"/>
  </r>
  <r>
    <s v="Customer-620"/>
    <s v="Yangon"/>
    <d v="2025-11-07T00:00:00"/>
    <n v="55"/>
    <n v="6"/>
    <n v="1357000000"/>
    <s v="High"/>
    <s v="High"/>
    <s v="High"/>
    <s v="HHH"/>
    <x v="1"/>
  </r>
  <r>
    <s v="Customer-621"/>
    <s v="Naypyitaw"/>
    <d v="2025-09-11T00:00:00"/>
    <n v="112"/>
    <n v="2"/>
    <n v="24750000"/>
    <s v="Low"/>
    <s v="Low"/>
    <s v="High"/>
    <s v="LLH"/>
    <x v="2"/>
  </r>
  <r>
    <s v="Customer-624"/>
    <s v="Mandalay"/>
    <d v="2025-11-04T00:00:00"/>
    <n v="58"/>
    <n v="2"/>
    <n v="26440000"/>
    <s v="High"/>
    <s v="Low"/>
    <s v="High"/>
    <s v="HLH"/>
    <x v="5"/>
  </r>
  <r>
    <s v="Customer-625"/>
    <s v="Mandalay"/>
    <d v="2025-09-04T00:00:00"/>
    <n v="119"/>
    <n v="6"/>
    <n v="30100000"/>
    <s v="Low"/>
    <s v="High"/>
    <s v="High"/>
    <s v="LHH"/>
    <x v="4"/>
  </r>
  <r>
    <s v="Customer-626"/>
    <s v="Mandalay"/>
    <d v="2025-09-12T00:00:00"/>
    <n v="111"/>
    <n v="6"/>
    <n v="46155000"/>
    <s v="Low"/>
    <s v="High"/>
    <s v="High"/>
    <s v="LHH"/>
    <x v="4"/>
  </r>
  <r>
    <s v="Customer-628"/>
    <s v="Mandalay"/>
    <d v="2025-12-16T00:00:00"/>
    <n v="16"/>
    <n v="5"/>
    <n v="34375000"/>
    <s v="High"/>
    <s v="High"/>
    <s v="High"/>
    <s v="HHH"/>
    <x v="1"/>
  </r>
  <r>
    <s v="Customer-630"/>
    <s v="Bago"/>
    <d v="2025-11-05T00:00:00"/>
    <n v="57"/>
    <n v="1"/>
    <n v="8600000"/>
    <s v="High"/>
    <s v="Low"/>
    <s v="Low"/>
    <s v="HLL"/>
    <x v="6"/>
  </r>
  <r>
    <s v="Customer-631"/>
    <s v="Yangon"/>
    <d v="2025-05-22T00:00:00"/>
    <n v="224"/>
    <n v="1"/>
    <n v="29450000"/>
    <s v="Low"/>
    <s v="Low"/>
    <s v="High"/>
    <s v="LLH"/>
    <x v="2"/>
  </r>
  <r>
    <s v="Customer-632"/>
    <s v="Yangon"/>
    <d v="2025-08-19T00:00:00"/>
    <n v="135"/>
    <n v="4"/>
    <n v="39250000"/>
    <s v="Low"/>
    <s v="High"/>
    <s v="High"/>
    <s v="LHH"/>
    <x v="4"/>
  </r>
  <r>
    <s v="Customer-633"/>
    <s v="Naypyitaw"/>
    <d v="2025-10-10T00:00:00"/>
    <n v="83"/>
    <n v="2"/>
    <n v="7740000"/>
    <s v="High"/>
    <s v="Low"/>
    <s v="Low"/>
    <s v="HLL"/>
    <x v="6"/>
  </r>
  <r>
    <s v="Customer-634"/>
    <s v="Yangon"/>
    <d v="2025-11-26T00:00:00"/>
    <n v="36"/>
    <n v="2"/>
    <n v="20700000"/>
    <s v="High"/>
    <s v="Low"/>
    <s v="High"/>
    <s v="HLH"/>
    <x v="5"/>
  </r>
  <r>
    <s v="Customer-635"/>
    <s v="Naypyitaw"/>
    <d v="2025-12-16T00:00:00"/>
    <n v="16"/>
    <n v="2"/>
    <n v="10940000"/>
    <s v="High"/>
    <s v="Low"/>
    <s v="Low"/>
    <s v="HLL"/>
    <x v="6"/>
  </r>
  <r>
    <s v="Customer-636"/>
    <s v="Naypyitaw"/>
    <d v="2025-09-24T00:00:00"/>
    <n v="99"/>
    <n v="2"/>
    <n v="11710000"/>
    <s v="Low"/>
    <s v="Low"/>
    <s v="Low"/>
    <s v="LLL"/>
    <x v="3"/>
  </r>
  <r>
    <s v="Customer-638"/>
    <s v="Bago"/>
    <d v="2025-05-08T00:00:00"/>
    <n v="238"/>
    <n v="1"/>
    <n v="6300000"/>
    <s v="Low"/>
    <s v="Low"/>
    <s v="Low"/>
    <s v="LLL"/>
    <x v="3"/>
  </r>
  <r>
    <s v="Customer-639"/>
    <s v="Bago"/>
    <d v="2025-03-31T00:00:00"/>
    <n v="276"/>
    <n v="1"/>
    <n v="9400000"/>
    <s v="Low"/>
    <s v="Low"/>
    <s v="Low"/>
    <s v="LLL"/>
    <x v="3"/>
  </r>
  <r>
    <s v="Customer-640"/>
    <s v="Bago"/>
    <d v="2025-07-10T00:00:00"/>
    <n v="175"/>
    <n v="4"/>
    <n v="59500000"/>
    <s v="Low"/>
    <s v="High"/>
    <s v="High"/>
    <s v="LHH"/>
    <x v="4"/>
  </r>
  <r>
    <s v="Customer-642"/>
    <s v="Naypyitaw"/>
    <d v="2025-11-18T00:00:00"/>
    <n v="44"/>
    <n v="1"/>
    <n v="9900000"/>
    <s v="High"/>
    <s v="Low"/>
    <s v="Low"/>
    <s v="HLL"/>
    <x v="6"/>
  </r>
  <r>
    <s v="Customer-644"/>
    <s v="Naypyitaw"/>
    <d v="2025-12-08T00:00:00"/>
    <n v="24"/>
    <n v="2"/>
    <n v="5160000"/>
    <s v="High"/>
    <s v="Low"/>
    <s v="Low"/>
    <s v="HLL"/>
    <x v="6"/>
  </r>
  <r>
    <s v="Customer-646"/>
    <s v="Yangon"/>
    <d v="2025-06-11T00:00:00"/>
    <n v="204"/>
    <n v="2"/>
    <n v="40800000"/>
    <s v="Low"/>
    <s v="Low"/>
    <s v="High"/>
    <s v="LLH"/>
    <x v="2"/>
  </r>
  <r>
    <s v="Customer-649"/>
    <s v="Yangon"/>
    <d v="2025-07-02T00:00:00"/>
    <n v="183"/>
    <n v="1"/>
    <n v="10250000"/>
    <s v="Low"/>
    <s v="Low"/>
    <s v="Low"/>
    <s v="LLL"/>
    <x v="3"/>
  </r>
  <r>
    <s v="Customer-650"/>
    <s v="Mandalay"/>
    <d v="2025-11-06T00:00:00"/>
    <n v="56"/>
    <n v="3"/>
    <n v="6990000"/>
    <s v="High"/>
    <s v="High"/>
    <s v="Low"/>
    <s v="HHL"/>
    <x v="0"/>
  </r>
  <r>
    <s v="Customer-651"/>
    <s v="Mandalay"/>
    <d v="2025-09-19T00:00:00"/>
    <n v="104"/>
    <n v="3"/>
    <n v="23375000"/>
    <s v="Low"/>
    <s v="High"/>
    <s v="High"/>
    <s v="LHH"/>
    <x v="4"/>
  </r>
  <r>
    <s v="Customer-652"/>
    <s v="Mandalay"/>
    <d v="2025-06-13T00:00:00"/>
    <n v="202"/>
    <n v="1"/>
    <n v="1080000"/>
    <s v="Low"/>
    <s v="Low"/>
    <s v="Low"/>
    <s v="LLL"/>
    <x v="3"/>
  </r>
  <r>
    <s v="Customer-653"/>
    <s v="Yangon"/>
    <d v="2025-12-05T00:00:00"/>
    <n v="27"/>
    <n v="4"/>
    <n v="41675000"/>
    <s v="High"/>
    <s v="High"/>
    <s v="High"/>
    <s v="HHH"/>
    <x v="1"/>
  </r>
  <r>
    <s v="Customer-654"/>
    <s v="Mandalay"/>
    <d v="2025-09-05T00:00:00"/>
    <n v="118"/>
    <n v="4"/>
    <n v="48300000"/>
    <s v="Low"/>
    <s v="High"/>
    <s v="High"/>
    <s v="LHH"/>
    <x v="4"/>
  </r>
  <r>
    <s v="Customer-655"/>
    <s v="Yangon"/>
    <d v="2025-10-20T00:00:00"/>
    <n v="73"/>
    <n v="2"/>
    <n v="40290000"/>
    <s v="High"/>
    <s v="Low"/>
    <s v="High"/>
    <s v="HLH"/>
    <x v="5"/>
  </r>
  <r>
    <s v="Customer-657"/>
    <s v="Bago"/>
    <d v="2025-09-05T00:00:00"/>
    <n v="118"/>
    <n v="3"/>
    <n v="30100000"/>
    <s v="Low"/>
    <s v="High"/>
    <s v="High"/>
    <s v="LHH"/>
    <x v="4"/>
  </r>
  <r>
    <s v="Customer-658"/>
    <s v="Bago"/>
    <d v="2025-08-06T00:00:00"/>
    <n v="148"/>
    <n v="3"/>
    <n v="28160000"/>
    <s v="Low"/>
    <s v="High"/>
    <s v="High"/>
    <s v="LHH"/>
    <x v="4"/>
  </r>
  <r>
    <s v="Customer-659"/>
    <s v="Yangon"/>
    <d v="2025-11-24T00:00:00"/>
    <n v="38"/>
    <n v="2"/>
    <n v="2800000"/>
    <s v="High"/>
    <s v="Low"/>
    <s v="Low"/>
    <s v="HLL"/>
    <x v="6"/>
  </r>
  <r>
    <s v="Customer-661"/>
    <s v="Yangon"/>
    <d v="2025-05-28T00:00:00"/>
    <n v="218"/>
    <n v="2"/>
    <n v="11775000"/>
    <s v="Low"/>
    <s v="Low"/>
    <s v="Low"/>
    <s v="LLL"/>
    <x v="3"/>
  </r>
  <r>
    <s v="Customer-663"/>
    <s v="Bago"/>
    <d v="2025-08-26T00:00:00"/>
    <n v="128"/>
    <n v="5"/>
    <n v="400750000"/>
    <s v="Low"/>
    <s v="High"/>
    <s v="High"/>
    <s v="LHH"/>
    <x v="4"/>
  </r>
  <r>
    <s v="Customer-664"/>
    <s v="Mandalay"/>
    <d v="2025-10-07T00:00:00"/>
    <n v="86"/>
    <n v="1"/>
    <n v="3780000"/>
    <s v="High"/>
    <s v="Low"/>
    <s v="Low"/>
    <s v="HLL"/>
    <x v="6"/>
  </r>
  <r>
    <s v="Customer-665"/>
    <s v="Yangon"/>
    <d v="2025-12-24T00:00:00"/>
    <n v="8"/>
    <n v="3"/>
    <n v="6175000"/>
    <s v="High"/>
    <s v="High"/>
    <s v="Low"/>
    <s v="HHL"/>
    <x v="0"/>
  </r>
  <r>
    <s v="Customer-666"/>
    <s v="Yangon"/>
    <d v="2025-01-01T00:00:00"/>
    <n v="365"/>
    <n v="1"/>
    <n v="1750000"/>
    <s v="Low"/>
    <s v="Low"/>
    <s v="Low"/>
    <s v="LLL"/>
    <x v="3"/>
  </r>
  <r>
    <s v="Customer-667"/>
    <s v="Yangon"/>
    <d v="2025-12-08T00:00:00"/>
    <n v="24"/>
    <n v="8"/>
    <n v="1017000000"/>
    <s v="High"/>
    <s v="High"/>
    <s v="High"/>
    <s v="HHH"/>
    <x v="1"/>
  </r>
  <r>
    <s v="Customer-668"/>
    <s v="Yangon"/>
    <d v="2025-12-03T00:00:00"/>
    <n v="29"/>
    <n v="1"/>
    <n v="9500000"/>
    <s v="High"/>
    <s v="Low"/>
    <s v="Low"/>
    <s v="HLL"/>
    <x v="6"/>
  </r>
  <r>
    <s v="Customer-669"/>
    <s v="Mandalay"/>
    <d v="2025-09-24T00:00:00"/>
    <n v="99"/>
    <n v="9"/>
    <n v="62530000"/>
    <s v="Low"/>
    <s v="High"/>
    <s v="High"/>
    <s v="LHH"/>
    <x v="4"/>
  </r>
  <r>
    <s v="Customer-670"/>
    <s v="Yangon"/>
    <d v="2025-12-22T00:00:00"/>
    <n v="10"/>
    <n v="10"/>
    <n v="59100000"/>
    <s v="High"/>
    <s v="High"/>
    <s v="High"/>
    <s v="HHH"/>
    <x v="1"/>
  </r>
  <r>
    <s v="Customer-671"/>
    <s v="Naypyitaw"/>
    <d v="2025-01-20T00:00:00"/>
    <n v="346"/>
    <n v="1"/>
    <n v="2500000"/>
    <s v="Low"/>
    <s v="Low"/>
    <s v="Low"/>
    <s v="LLL"/>
    <x v="3"/>
  </r>
  <r>
    <s v="Customer-673"/>
    <s v="Yangon"/>
    <d v="2025-03-26T00:00:00"/>
    <n v="281"/>
    <n v="2"/>
    <n v="14775000"/>
    <s v="Low"/>
    <s v="Low"/>
    <s v="Low"/>
    <s v="LLL"/>
    <x v="3"/>
  </r>
  <r>
    <s v="Customer-674"/>
    <s v="Yangon"/>
    <d v="2025-01-03T00:00:00"/>
    <n v="363"/>
    <n v="1"/>
    <n v="15750000"/>
    <s v="Low"/>
    <s v="Low"/>
    <s v="Low"/>
    <s v="LLL"/>
    <x v="3"/>
  </r>
  <r>
    <s v="Customer-675"/>
    <s v="Naypyitaw"/>
    <d v="2025-09-11T00:00:00"/>
    <n v="112"/>
    <n v="1"/>
    <n v="10350000"/>
    <s v="Low"/>
    <s v="Low"/>
    <s v="Low"/>
    <s v="LLL"/>
    <x v="3"/>
  </r>
  <r>
    <s v="Customer-676"/>
    <s v="Yangon"/>
    <d v="2025-12-23T00:00:00"/>
    <n v="9"/>
    <n v="2"/>
    <n v="10680000"/>
    <s v="High"/>
    <s v="Low"/>
    <s v="Low"/>
    <s v="HLL"/>
    <x v="6"/>
  </r>
  <r>
    <s v="Customer-677"/>
    <s v="Taunggyi"/>
    <d v="2025-12-01T00:00:00"/>
    <n v="31"/>
    <n v="2"/>
    <n v="6280000"/>
    <s v="High"/>
    <s v="Low"/>
    <s v="Low"/>
    <s v="HLL"/>
    <x v="6"/>
  </r>
  <r>
    <s v="Customer-678"/>
    <s v="Bago"/>
    <d v="2025-12-24T00:00:00"/>
    <n v="8"/>
    <n v="4"/>
    <n v="404900000"/>
    <s v="High"/>
    <s v="High"/>
    <s v="High"/>
    <s v="HHH"/>
    <x v="1"/>
  </r>
  <r>
    <s v="Customer-680"/>
    <s v="Naypyitaw"/>
    <d v="2025-01-09T00:00:00"/>
    <n v="357"/>
    <n v="1"/>
    <n v="45600000"/>
    <s v="Low"/>
    <s v="Low"/>
    <s v="High"/>
    <s v="LLH"/>
    <x v="2"/>
  </r>
  <r>
    <s v="Customer-681"/>
    <s v="Naypyitaw"/>
    <d v="2025-11-21T00:00:00"/>
    <n v="41"/>
    <n v="2"/>
    <n v="22050000"/>
    <s v="High"/>
    <s v="Low"/>
    <s v="High"/>
    <s v="HLH"/>
    <x v="5"/>
  </r>
  <r>
    <s v="Customer-682"/>
    <s v="Naypyitaw"/>
    <d v="2025-11-21T00:00:00"/>
    <n v="41"/>
    <n v="4"/>
    <n v="47700000"/>
    <s v="High"/>
    <s v="High"/>
    <s v="High"/>
    <s v="HHH"/>
    <x v="1"/>
  </r>
  <r>
    <s v="Customer-683"/>
    <s v="Naypyitaw"/>
    <d v="2025-05-30T00:00:00"/>
    <n v="216"/>
    <n v="1"/>
    <n v="4320000"/>
    <s v="Low"/>
    <s v="Low"/>
    <s v="Low"/>
    <s v="LLL"/>
    <x v="3"/>
  </r>
  <r>
    <s v="Customer-684"/>
    <s v="Taunggyi"/>
    <d v="2025-04-16T00:00:00"/>
    <n v="260"/>
    <n v="3"/>
    <n v="18600000"/>
    <s v="Low"/>
    <s v="High"/>
    <s v="High"/>
    <s v="LHH"/>
    <x v="4"/>
  </r>
  <r>
    <s v="Customer-685"/>
    <s v="Taunggyi"/>
    <d v="2025-10-21T00:00:00"/>
    <n v="72"/>
    <n v="2"/>
    <n v="9650000"/>
    <s v="High"/>
    <s v="Low"/>
    <s v="Low"/>
    <s v="HLL"/>
    <x v="6"/>
  </r>
  <r>
    <s v="Customer-686"/>
    <s v="Naypyitaw"/>
    <d v="2025-11-27T00:00:00"/>
    <n v="35"/>
    <n v="2"/>
    <n v="7400000"/>
    <s v="High"/>
    <s v="Low"/>
    <s v="Low"/>
    <s v="HLL"/>
    <x v="6"/>
  </r>
  <r>
    <s v="Customer-687"/>
    <s v="Yangon"/>
    <d v="2025-10-22T00:00:00"/>
    <n v="71"/>
    <n v="4"/>
    <n v="28660000"/>
    <s v="High"/>
    <s v="High"/>
    <s v="High"/>
    <s v="HHH"/>
    <x v="1"/>
  </r>
  <r>
    <s v="Customer-688"/>
    <s v="Yangon"/>
    <d v="2025-05-01T00:00:00"/>
    <n v="245"/>
    <n v="2"/>
    <n v="8975000"/>
    <s v="Low"/>
    <s v="Low"/>
    <s v="Low"/>
    <s v="LLL"/>
    <x v="3"/>
  </r>
  <r>
    <s v="Customer-689"/>
    <s v="Yangon"/>
    <d v="2025-11-18T00:00:00"/>
    <n v="44"/>
    <n v="3"/>
    <n v="72100000"/>
    <s v="High"/>
    <s v="High"/>
    <s v="High"/>
    <s v="HHH"/>
    <x v="1"/>
  </r>
  <r>
    <s v="Customer-690"/>
    <s v="Bago"/>
    <d v="2025-10-08T00:00:00"/>
    <n v="85"/>
    <n v="4"/>
    <n v="19340000"/>
    <s v="High"/>
    <s v="High"/>
    <s v="High"/>
    <s v="HHH"/>
    <x v="1"/>
  </r>
  <r>
    <s v="Customer-692"/>
    <s v="Mandalay"/>
    <d v="2025-12-17T00:00:00"/>
    <n v="15"/>
    <n v="3"/>
    <n v="22040000"/>
    <s v="High"/>
    <s v="High"/>
    <s v="High"/>
    <s v="HHH"/>
    <x v="1"/>
  </r>
  <r>
    <s v="Customer-693"/>
    <s v="Naypyitaw"/>
    <d v="2025-04-03T00:00:00"/>
    <n v="273"/>
    <n v="1"/>
    <n v="15600000"/>
    <s v="Low"/>
    <s v="Low"/>
    <s v="Low"/>
    <s v="LLL"/>
    <x v="3"/>
  </r>
  <r>
    <s v="Customer-694"/>
    <s v="Mandalay"/>
    <d v="2025-04-07T00:00:00"/>
    <n v="269"/>
    <n v="4"/>
    <n v="24460000"/>
    <s v="Low"/>
    <s v="High"/>
    <s v="High"/>
    <s v="LHH"/>
    <x v="4"/>
  </r>
  <r>
    <s v="Customer-695"/>
    <s v="Yangon"/>
    <d v="2025-12-19T00:00:00"/>
    <n v="13"/>
    <n v="3"/>
    <n v="24250000"/>
    <s v="High"/>
    <s v="High"/>
    <s v="High"/>
    <s v="HHH"/>
    <x v="1"/>
  </r>
  <r>
    <s v="Customer-696"/>
    <s v="Taunggyi"/>
    <d v="2025-03-06T00:00:00"/>
    <n v="301"/>
    <n v="1"/>
    <n v="975000"/>
    <s v="Low"/>
    <s v="Low"/>
    <s v="Low"/>
    <s v="LLL"/>
    <x v="3"/>
  </r>
  <r>
    <s v="Customer-697"/>
    <s v="Taunggyi"/>
    <d v="2025-04-22T00:00:00"/>
    <n v="254"/>
    <n v="1"/>
    <n v="8400000"/>
    <s v="Low"/>
    <s v="Low"/>
    <s v="Low"/>
    <s v="LLL"/>
    <x v="3"/>
  </r>
  <r>
    <s v="Customer-698"/>
    <s v="Mandalay"/>
    <d v="2025-11-26T00:00:00"/>
    <n v="36"/>
    <n v="1"/>
    <n v="8820000"/>
    <s v="High"/>
    <s v="Low"/>
    <s v="Low"/>
    <s v="HLL"/>
    <x v="6"/>
  </r>
  <r>
    <s v="Customer-699"/>
    <s v="Mandalay"/>
    <d v="2025-01-06T00:00:00"/>
    <n v="360"/>
    <n v="1"/>
    <n v="4440000"/>
    <s v="Low"/>
    <s v="Low"/>
    <s v="Low"/>
    <s v="LLL"/>
    <x v="3"/>
  </r>
  <r>
    <s v="Customer-700"/>
    <s v="Yangon"/>
    <d v="2025-07-04T00:00:00"/>
    <n v="181"/>
    <n v="2"/>
    <n v="16420000"/>
    <s v="Low"/>
    <s v="Low"/>
    <s v="Low"/>
    <s v="LLL"/>
    <x v="3"/>
  </r>
  <r>
    <s v="Customer-702"/>
    <s v="Mandalay"/>
    <d v="2025-12-09T00:00:00"/>
    <n v="23"/>
    <n v="4"/>
    <n v="33080000"/>
    <s v="High"/>
    <s v="High"/>
    <s v="High"/>
    <s v="HHH"/>
    <x v="1"/>
  </r>
  <r>
    <s v="Customer-703"/>
    <s v="Mandalay"/>
    <d v="2025-10-10T00:00:00"/>
    <n v="83"/>
    <n v="3"/>
    <n v="47880000"/>
    <s v="High"/>
    <s v="High"/>
    <s v="High"/>
    <s v="HHH"/>
    <x v="1"/>
  </r>
  <r>
    <s v="Customer-704"/>
    <s v="Yangon"/>
    <d v="2025-03-26T00:00:00"/>
    <n v="281"/>
    <n v="1"/>
    <n v="23000000"/>
    <s v="Low"/>
    <s v="Low"/>
    <s v="High"/>
    <s v="LLH"/>
    <x v="2"/>
  </r>
  <r>
    <s v="Customer-705"/>
    <s v="Mandalay"/>
    <d v="2025-10-30T00:00:00"/>
    <n v="63"/>
    <n v="3"/>
    <n v="40750000"/>
    <s v="High"/>
    <s v="High"/>
    <s v="High"/>
    <s v="HHH"/>
    <x v="1"/>
  </r>
  <r>
    <s v="Customer-708"/>
    <s v="Yangon"/>
    <d v="2025-12-09T00:00:00"/>
    <n v="23"/>
    <n v="2"/>
    <n v="18100000"/>
    <s v="High"/>
    <s v="Low"/>
    <s v="Low"/>
    <s v="HLL"/>
    <x v="6"/>
  </r>
  <r>
    <s v="Customer-709"/>
    <s v="Yangon"/>
    <d v="2025-05-13T00:00:00"/>
    <n v="233"/>
    <n v="2"/>
    <n v="38650000"/>
    <s v="Low"/>
    <s v="Low"/>
    <s v="High"/>
    <s v="LLH"/>
    <x v="2"/>
  </r>
  <r>
    <s v="Customer-710"/>
    <s v="Bago"/>
    <d v="2025-11-04T00:00:00"/>
    <n v="58"/>
    <n v="4"/>
    <n v="872000000"/>
    <s v="High"/>
    <s v="High"/>
    <s v="High"/>
    <s v="HHH"/>
    <x v="1"/>
  </r>
  <r>
    <s v="Customer-711"/>
    <s v="Mandalay"/>
    <d v="2025-10-22T00:00:00"/>
    <n v="71"/>
    <n v="2"/>
    <n v="28500000"/>
    <s v="High"/>
    <s v="Low"/>
    <s v="High"/>
    <s v="HLH"/>
    <x v="5"/>
  </r>
  <r>
    <s v="Customer-712"/>
    <s v="Bago"/>
    <d v="2025-12-24T00:00:00"/>
    <n v="8"/>
    <n v="1"/>
    <n v="11700000"/>
    <s v="High"/>
    <s v="Low"/>
    <s v="Low"/>
    <s v="HLL"/>
    <x v="6"/>
  </r>
  <r>
    <s v="Customer-713"/>
    <s v="Bago"/>
    <d v="2025-10-14T00:00:00"/>
    <n v="79"/>
    <n v="2"/>
    <n v="24450000"/>
    <s v="High"/>
    <s v="Low"/>
    <s v="High"/>
    <s v="HLH"/>
    <x v="5"/>
  </r>
  <r>
    <s v="Customer-714"/>
    <s v="Naypyitaw"/>
    <d v="2025-10-21T00:00:00"/>
    <n v="72"/>
    <n v="3"/>
    <n v="14380000"/>
    <s v="High"/>
    <s v="High"/>
    <s v="Low"/>
    <s v="HHL"/>
    <x v="0"/>
  </r>
  <r>
    <s v="Customer-716"/>
    <s v="Naypyitaw"/>
    <d v="2025-05-02T00:00:00"/>
    <n v="244"/>
    <n v="2"/>
    <n v="28550000"/>
    <s v="Low"/>
    <s v="Low"/>
    <s v="High"/>
    <s v="LLH"/>
    <x v="2"/>
  </r>
  <r>
    <s v="Customer-717"/>
    <s v="Naypyitaw"/>
    <d v="2025-12-17T00:00:00"/>
    <n v="15"/>
    <n v="1"/>
    <n v="4200000"/>
    <s v="High"/>
    <s v="Low"/>
    <s v="Low"/>
    <s v="HLL"/>
    <x v="6"/>
  </r>
  <r>
    <s v="Customer-718"/>
    <s v="Yangon"/>
    <d v="2025-12-17T00:00:00"/>
    <n v="15"/>
    <n v="1"/>
    <n v="17100000"/>
    <s v="High"/>
    <s v="Low"/>
    <s v="Low"/>
    <s v="HLL"/>
    <x v="6"/>
  </r>
  <r>
    <s v="Customer-719"/>
    <s v="Naypyitaw"/>
    <d v="2025-12-26T00:00:00"/>
    <n v="6"/>
    <n v="3"/>
    <n v="28850000"/>
    <s v="High"/>
    <s v="High"/>
    <s v="High"/>
    <s v="HHH"/>
    <x v="1"/>
  </r>
  <r>
    <s v="Customer-720"/>
    <s v="Taunggyi"/>
    <d v="2025-01-06T00:00:00"/>
    <n v="360"/>
    <n v="1"/>
    <n v="9250000"/>
    <s v="Low"/>
    <s v="Low"/>
    <s v="Low"/>
    <s v="LLL"/>
    <x v="3"/>
  </r>
  <r>
    <s v="Customer-721"/>
    <s v="Naypyitaw"/>
    <d v="2025-10-13T00:00:00"/>
    <n v="80"/>
    <n v="1"/>
    <n v="5580000"/>
    <s v="High"/>
    <s v="Low"/>
    <s v="Low"/>
    <s v="HLL"/>
    <x v="6"/>
  </r>
  <r>
    <s v="Customer-722"/>
    <s v="Taunggyi"/>
    <d v="2025-06-12T00:00:00"/>
    <n v="203"/>
    <n v="1"/>
    <n v="1175000"/>
    <s v="Low"/>
    <s v="Low"/>
    <s v="Low"/>
    <s v="LLL"/>
    <x v="3"/>
  </r>
  <r>
    <s v="Customer-723"/>
    <s v="Naypyitaw"/>
    <d v="2025-12-30T00:00:00"/>
    <n v="2"/>
    <n v="2"/>
    <n v="13920000"/>
    <s v="High"/>
    <s v="Low"/>
    <s v="Low"/>
    <s v="HLL"/>
    <x v="6"/>
  </r>
  <r>
    <s v="Customer-724"/>
    <s v="Bago"/>
    <d v="2025-10-01T00:00:00"/>
    <n v="92"/>
    <n v="1"/>
    <n v="9200000"/>
    <s v="High"/>
    <s v="Low"/>
    <s v="Low"/>
    <s v="HLL"/>
    <x v="6"/>
  </r>
  <r>
    <s v="Customer-725"/>
    <s v="Yangon"/>
    <d v="2025-10-17T00:00:00"/>
    <n v="76"/>
    <n v="8"/>
    <n v="889200000"/>
    <s v="High"/>
    <s v="High"/>
    <s v="High"/>
    <s v="HHH"/>
    <x v="1"/>
  </r>
  <r>
    <s v="Customer-727"/>
    <s v="Yangon"/>
    <d v="2025-10-14T00:00:00"/>
    <n v="79"/>
    <n v="3"/>
    <n v="60540000"/>
    <s v="High"/>
    <s v="High"/>
    <s v="High"/>
    <s v="HHH"/>
    <x v="1"/>
  </r>
  <r>
    <s v="Customer-728"/>
    <s v="Mandalay"/>
    <d v="2025-06-13T00:00:00"/>
    <n v="202"/>
    <n v="1"/>
    <n v="650000"/>
    <s v="Low"/>
    <s v="Low"/>
    <s v="Low"/>
    <s v="LLL"/>
    <x v="3"/>
  </r>
  <r>
    <s v="Customer-729"/>
    <s v="Bago"/>
    <d v="2025-01-03T00:00:00"/>
    <n v="363"/>
    <n v="1"/>
    <n v="8750000"/>
    <s v="Low"/>
    <s v="Low"/>
    <s v="Low"/>
    <s v="LLL"/>
    <x v="3"/>
  </r>
  <r>
    <s v="Customer-730"/>
    <s v="Naypyitaw"/>
    <d v="2025-08-25T00:00:00"/>
    <n v="129"/>
    <n v="2"/>
    <n v="34600000"/>
    <s v="Low"/>
    <s v="Low"/>
    <s v="High"/>
    <s v="LLH"/>
    <x v="2"/>
  </r>
  <r>
    <s v="Customer-731"/>
    <s v="Mandalay"/>
    <d v="2025-11-19T00:00:00"/>
    <n v="43"/>
    <n v="2"/>
    <n v="11025000"/>
    <s v="High"/>
    <s v="Low"/>
    <s v="Low"/>
    <s v="HLL"/>
    <x v="6"/>
  </r>
  <r>
    <s v="Customer-732"/>
    <s v="Naypyitaw"/>
    <d v="2025-11-27T00:00:00"/>
    <n v="35"/>
    <n v="6"/>
    <n v="1516250000"/>
    <s v="High"/>
    <s v="High"/>
    <s v="High"/>
    <s v="HHH"/>
    <x v="1"/>
  </r>
  <r>
    <s v="Customer-733"/>
    <s v="Yangon"/>
    <d v="2025-10-30T00:00:00"/>
    <n v="63"/>
    <n v="1"/>
    <n v="4560000"/>
    <s v="High"/>
    <s v="Low"/>
    <s v="Low"/>
    <s v="HLL"/>
    <x v="6"/>
  </r>
  <r>
    <s v="Customer-734"/>
    <s v="Yangon"/>
    <d v="2025-12-22T00:00:00"/>
    <n v="10"/>
    <n v="2"/>
    <n v="12000000"/>
    <s v="High"/>
    <s v="Low"/>
    <s v="Low"/>
    <s v="HLL"/>
    <x v="6"/>
  </r>
  <r>
    <s v="Customer-735"/>
    <s v="Yangon"/>
    <d v="2025-09-22T00:00:00"/>
    <n v="101"/>
    <n v="2"/>
    <n v="41200000"/>
    <s v="Low"/>
    <s v="Low"/>
    <s v="High"/>
    <s v="LLH"/>
    <x v="2"/>
  </r>
  <r>
    <s v="Customer-737"/>
    <s v="Bago"/>
    <d v="2025-03-17T00:00:00"/>
    <n v="290"/>
    <n v="2"/>
    <n v="38450000"/>
    <s v="Low"/>
    <s v="Low"/>
    <s v="High"/>
    <s v="LLH"/>
    <x v="2"/>
  </r>
  <r>
    <s v="Customer-738"/>
    <s v="Yangon"/>
    <d v="2025-06-13T00:00:00"/>
    <n v="202"/>
    <n v="3"/>
    <n v="19130000"/>
    <s v="Low"/>
    <s v="High"/>
    <s v="High"/>
    <s v="LHH"/>
    <x v="4"/>
  </r>
  <r>
    <s v="Customer-739"/>
    <s v="Yangon"/>
    <d v="2025-12-26T00:00:00"/>
    <n v="6"/>
    <n v="2"/>
    <n v="15340000"/>
    <s v="High"/>
    <s v="Low"/>
    <s v="Low"/>
    <s v="HLL"/>
    <x v="6"/>
  </r>
  <r>
    <s v="Customer-740"/>
    <s v="Mandalay"/>
    <d v="2025-12-01T00:00:00"/>
    <n v="31"/>
    <n v="2"/>
    <n v="24100000"/>
    <s v="High"/>
    <s v="Low"/>
    <s v="High"/>
    <s v="HLH"/>
    <x v="5"/>
  </r>
  <r>
    <s v="Customer-742"/>
    <s v="Naypyitaw"/>
    <d v="2025-12-05T00:00:00"/>
    <n v="27"/>
    <n v="4"/>
    <n v="53750000"/>
    <s v="High"/>
    <s v="High"/>
    <s v="High"/>
    <s v="HHH"/>
    <x v="1"/>
  </r>
  <r>
    <s v="Customer-744"/>
    <s v="Naypyitaw"/>
    <d v="2025-11-17T00:00:00"/>
    <n v="45"/>
    <n v="5"/>
    <n v="40235000"/>
    <s v="High"/>
    <s v="High"/>
    <s v="High"/>
    <s v="HHH"/>
    <x v="1"/>
  </r>
  <r>
    <s v="Customer-745"/>
    <s v="Taunggyi"/>
    <d v="2025-09-18T00:00:00"/>
    <n v="105"/>
    <n v="2"/>
    <n v="25500000"/>
    <s v="Low"/>
    <s v="Low"/>
    <s v="High"/>
    <s v="LLH"/>
    <x v="2"/>
  </r>
  <r>
    <s v="Customer-746"/>
    <s v="Bago"/>
    <d v="2025-10-24T00:00:00"/>
    <n v="69"/>
    <n v="3"/>
    <n v="34450000"/>
    <s v="High"/>
    <s v="High"/>
    <s v="High"/>
    <s v="HHH"/>
    <x v="1"/>
  </r>
  <r>
    <s v="Customer-747"/>
    <s v="Naypyitaw"/>
    <d v="2025-12-12T00:00:00"/>
    <n v="20"/>
    <n v="2"/>
    <n v="33120000"/>
    <s v="High"/>
    <s v="Low"/>
    <s v="High"/>
    <s v="HLH"/>
    <x v="5"/>
  </r>
  <r>
    <s v="Customer-748"/>
    <s v="Bago"/>
    <d v="2025-11-11T00:00:00"/>
    <n v="51"/>
    <n v="3"/>
    <n v="5055000"/>
    <s v="High"/>
    <s v="High"/>
    <s v="Low"/>
    <s v="HHL"/>
    <x v="0"/>
  </r>
  <r>
    <s v="Customer-749"/>
    <s v="Mandalay"/>
    <d v="2025-03-05T00:00:00"/>
    <n v="302"/>
    <n v="1"/>
    <n v="4000000"/>
    <s v="Low"/>
    <s v="Low"/>
    <s v="Low"/>
    <s v="LLL"/>
    <x v="3"/>
  </r>
  <r>
    <s v="Customer-750"/>
    <s v="Taunggyi"/>
    <d v="2025-10-31T00:00:00"/>
    <n v="62"/>
    <n v="1"/>
    <n v="15750000"/>
    <s v="High"/>
    <s v="Low"/>
    <s v="Low"/>
    <s v="HLL"/>
    <x v="6"/>
  </r>
  <r>
    <s v="Customer-751"/>
    <s v="Naypyitaw"/>
    <d v="2025-04-11T00:00:00"/>
    <n v="265"/>
    <n v="1"/>
    <n v="7560000"/>
    <s v="Low"/>
    <s v="Low"/>
    <s v="Low"/>
    <s v="LLL"/>
    <x v="3"/>
  </r>
  <r>
    <s v="Customer-752"/>
    <s v="Bago"/>
    <d v="2025-07-02T00:00:00"/>
    <n v="183"/>
    <n v="4"/>
    <n v="72570000"/>
    <s v="Low"/>
    <s v="High"/>
    <s v="High"/>
    <s v="LHH"/>
    <x v="4"/>
  </r>
  <r>
    <s v="Customer-753"/>
    <s v="Yangon"/>
    <d v="2025-08-15T00:00:00"/>
    <n v="139"/>
    <n v="1"/>
    <n v="39900000"/>
    <s v="Low"/>
    <s v="Low"/>
    <s v="High"/>
    <s v="LLH"/>
    <x v="2"/>
  </r>
  <r>
    <s v="Customer-754"/>
    <s v="Naypyitaw"/>
    <d v="2025-05-30T00:00:00"/>
    <n v="216"/>
    <n v="2"/>
    <n v="53500000"/>
    <s v="Low"/>
    <s v="Low"/>
    <s v="High"/>
    <s v="LLH"/>
    <x v="2"/>
  </r>
  <r>
    <s v="Customer-755"/>
    <s v="Taunggyi"/>
    <d v="2025-10-29T00:00:00"/>
    <n v="64"/>
    <n v="2"/>
    <n v="37400000"/>
    <s v="High"/>
    <s v="Low"/>
    <s v="High"/>
    <s v="HLH"/>
    <x v="5"/>
  </r>
  <r>
    <s v="Customer-756"/>
    <s v="Mandalay"/>
    <d v="2025-11-06T00:00:00"/>
    <n v="56"/>
    <n v="7"/>
    <n v="41695000"/>
    <s v="High"/>
    <s v="High"/>
    <s v="High"/>
    <s v="HHH"/>
    <x v="1"/>
  </r>
  <r>
    <s v="Customer-757"/>
    <s v="Naypyitaw"/>
    <d v="2025-10-21T00:00:00"/>
    <n v="72"/>
    <n v="4"/>
    <n v="48400000"/>
    <s v="High"/>
    <s v="High"/>
    <s v="High"/>
    <s v="HHH"/>
    <x v="1"/>
  </r>
  <r>
    <s v="Customer-758"/>
    <s v="Yangon"/>
    <d v="2025-10-07T00:00:00"/>
    <n v="86"/>
    <n v="5"/>
    <n v="50300000"/>
    <s v="High"/>
    <s v="High"/>
    <s v="High"/>
    <s v="HHH"/>
    <x v="1"/>
  </r>
  <r>
    <s v="Customer-759"/>
    <s v="Naypyitaw"/>
    <d v="2025-02-28T00:00:00"/>
    <n v="307"/>
    <n v="1"/>
    <n v="15200000"/>
    <s v="Low"/>
    <s v="Low"/>
    <s v="Low"/>
    <s v="LLL"/>
    <x v="3"/>
  </r>
  <r>
    <s v="Customer-760"/>
    <s v="Naypyitaw"/>
    <d v="2025-10-20T00:00:00"/>
    <n v="73"/>
    <n v="2"/>
    <n v="13300000"/>
    <s v="High"/>
    <s v="Low"/>
    <s v="Low"/>
    <s v="HLL"/>
    <x v="6"/>
  </r>
  <r>
    <s v="Customer-761"/>
    <s v="Mandalay"/>
    <d v="2025-09-18T00:00:00"/>
    <n v="105"/>
    <n v="5"/>
    <n v="45175000"/>
    <s v="Low"/>
    <s v="High"/>
    <s v="High"/>
    <s v="LHH"/>
    <x v="4"/>
  </r>
  <r>
    <s v="Customer-762"/>
    <s v="Bago"/>
    <d v="2025-10-20T00:00:00"/>
    <n v="73"/>
    <n v="3"/>
    <n v="53070000"/>
    <s v="High"/>
    <s v="High"/>
    <s v="High"/>
    <s v="HHH"/>
    <x v="1"/>
  </r>
  <r>
    <s v="Customer-764"/>
    <s v="Yangon"/>
    <d v="2025-10-20T00:00:00"/>
    <n v="73"/>
    <n v="2"/>
    <n v="34000000"/>
    <s v="High"/>
    <s v="Low"/>
    <s v="High"/>
    <s v="HLH"/>
    <x v="5"/>
  </r>
  <r>
    <s v="Customer-766"/>
    <s v="Naypyitaw"/>
    <d v="2025-05-01T00:00:00"/>
    <n v="245"/>
    <n v="1"/>
    <n v="19000000"/>
    <s v="Low"/>
    <s v="Low"/>
    <s v="High"/>
    <s v="LLH"/>
    <x v="2"/>
  </r>
  <r>
    <s v="Customer-767"/>
    <s v="Naypyitaw"/>
    <d v="2025-09-10T00:00:00"/>
    <n v="113"/>
    <n v="1"/>
    <n v="9000000"/>
    <s v="Low"/>
    <s v="Low"/>
    <s v="Low"/>
    <s v="LLL"/>
    <x v="3"/>
  </r>
  <r>
    <s v="Customer-769"/>
    <s v="Yangon"/>
    <d v="2025-12-12T00:00:00"/>
    <n v="20"/>
    <n v="4"/>
    <n v="39980000"/>
    <s v="High"/>
    <s v="High"/>
    <s v="High"/>
    <s v="HHH"/>
    <x v="1"/>
  </r>
  <r>
    <s v="Customer-770"/>
    <s v="Mandalay"/>
    <d v="2025-12-26T00:00:00"/>
    <n v="6"/>
    <n v="4"/>
    <n v="30450000"/>
    <s v="High"/>
    <s v="High"/>
    <s v="High"/>
    <s v="HHH"/>
    <x v="1"/>
  </r>
  <r>
    <s v="Customer-771"/>
    <s v="Bago"/>
    <d v="2025-07-17T00:00:00"/>
    <n v="168"/>
    <n v="5"/>
    <n v="40730000"/>
    <s v="Low"/>
    <s v="High"/>
    <s v="High"/>
    <s v="LHH"/>
    <x v="4"/>
  </r>
  <r>
    <s v="Customer-772"/>
    <s v="Yangon"/>
    <d v="2025-10-30T00:00:00"/>
    <n v="63"/>
    <n v="1"/>
    <n v="4320000"/>
    <s v="High"/>
    <s v="Low"/>
    <s v="Low"/>
    <s v="HLL"/>
    <x v="6"/>
  </r>
  <r>
    <s v="Customer-773"/>
    <s v="Bago"/>
    <d v="2025-09-29T00:00:00"/>
    <n v="94"/>
    <n v="1"/>
    <n v="9500000"/>
    <s v="Low"/>
    <s v="Low"/>
    <s v="Low"/>
    <s v="LLL"/>
    <x v="3"/>
  </r>
  <r>
    <s v="Customer-774"/>
    <s v="Taunggyi"/>
    <d v="2025-10-20T00:00:00"/>
    <n v="73"/>
    <n v="4"/>
    <n v="69800000"/>
    <s v="High"/>
    <s v="High"/>
    <s v="High"/>
    <s v="HHH"/>
    <x v="1"/>
  </r>
  <r>
    <s v="Customer-775"/>
    <s v="Naypyitaw"/>
    <d v="2025-09-19T00:00:00"/>
    <n v="104"/>
    <n v="2"/>
    <n v="46560000"/>
    <s v="Low"/>
    <s v="Low"/>
    <s v="High"/>
    <s v="LLH"/>
    <x v="2"/>
  </r>
  <r>
    <s v="Customer-776"/>
    <s v="Mandalay"/>
    <d v="2025-09-17T00:00:00"/>
    <n v="106"/>
    <n v="5"/>
    <n v="62575000"/>
    <s v="Low"/>
    <s v="High"/>
    <s v="High"/>
    <s v="LHH"/>
    <x v="4"/>
  </r>
  <r>
    <s v="Customer-777"/>
    <s v="Yangon"/>
    <d v="2025-12-23T00:00:00"/>
    <n v="9"/>
    <n v="4"/>
    <n v="45210000"/>
    <s v="High"/>
    <s v="High"/>
    <s v="High"/>
    <s v="HHH"/>
    <x v="1"/>
  </r>
  <r>
    <s v="Customer-778"/>
    <s v="Mandalay"/>
    <d v="2025-01-20T00:00:00"/>
    <n v="346"/>
    <n v="1"/>
    <n v="31350000"/>
    <s v="Low"/>
    <s v="Low"/>
    <s v="High"/>
    <s v="LLH"/>
    <x v="2"/>
  </r>
  <r>
    <s v="Customer-781"/>
    <s v="Mandalay"/>
    <d v="2025-11-04T00:00:00"/>
    <n v="58"/>
    <n v="4"/>
    <n v="30725000"/>
    <s v="High"/>
    <s v="High"/>
    <s v="High"/>
    <s v="HHH"/>
    <x v="1"/>
  </r>
  <r>
    <s v="Customer-782"/>
    <s v="Taunggyi"/>
    <d v="2025-10-24T00:00:00"/>
    <n v="69"/>
    <n v="1"/>
    <n v="22000000"/>
    <s v="High"/>
    <s v="Low"/>
    <s v="High"/>
    <s v="HLH"/>
    <x v="5"/>
  </r>
  <r>
    <s v="Customer-783"/>
    <s v="Yangon"/>
    <d v="2025-09-15T00:00:00"/>
    <n v="108"/>
    <n v="3"/>
    <n v="5890000"/>
    <s v="Low"/>
    <s v="High"/>
    <s v="Low"/>
    <s v="LHL"/>
    <x v="7"/>
  </r>
  <r>
    <s v="Customer-784"/>
    <s v="Mandalay"/>
    <d v="2025-11-17T00:00:00"/>
    <n v="45"/>
    <n v="6"/>
    <n v="833400000"/>
    <s v="High"/>
    <s v="High"/>
    <s v="High"/>
    <s v="HHH"/>
    <x v="1"/>
  </r>
  <r>
    <s v="Customer-785"/>
    <s v="Yangon"/>
    <d v="2025-12-31T00:00:00"/>
    <n v="1"/>
    <n v="6"/>
    <n v="53990000"/>
    <s v="High"/>
    <s v="High"/>
    <s v="High"/>
    <s v="HHH"/>
    <x v="1"/>
  </r>
  <r>
    <s v="Customer-786"/>
    <s v="Mandalay"/>
    <d v="2025-04-25T00:00:00"/>
    <n v="251"/>
    <n v="2"/>
    <n v="34750000"/>
    <s v="Low"/>
    <s v="Low"/>
    <s v="High"/>
    <s v="LLH"/>
    <x v="2"/>
  </r>
  <r>
    <s v="Customer-787"/>
    <s v="Mandalay"/>
    <d v="2025-10-24T00:00:00"/>
    <n v="69"/>
    <n v="1"/>
    <n v="5000000"/>
    <s v="High"/>
    <s v="Low"/>
    <s v="Low"/>
    <s v="HLL"/>
    <x v="6"/>
  </r>
  <r>
    <s v="Customer-788"/>
    <s v="Bago"/>
    <d v="2025-06-09T00:00:00"/>
    <n v="206"/>
    <n v="1"/>
    <n v="3240000"/>
    <s v="Low"/>
    <s v="Low"/>
    <s v="Low"/>
    <s v="LLL"/>
    <x v="3"/>
  </r>
  <r>
    <s v="Customer-789"/>
    <s v="Yangon"/>
    <d v="2025-12-08T00:00:00"/>
    <n v="24"/>
    <n v="9"/>
    <n v="51855000"/>
    <s v="High"/>
    <s v="High"/>
    <s v="High"/>
    <s v="HHH"/>
    <x v="1"/>
  </r>
  <r>
    <s v="Customer-790"/>
    <s v="Naypyitaw"/>
    <d v="2025-10-01T00:00:00"/>
    <n v="92"/>
    <n v="1"/>
    <n v="3500000"/>
    <s v="High"/>
    <s v="Low"/>
    <s v="Low"/>
    <s v="HLL"/>
    <x v="6"/>
  </r>
  <r>
    <s v="Customer-791"/>
    <s v="Taunggyi"/>
    <d v="2025-04-15T00:00:00"/>
    <n v="261"/>
    <n v="1"/>
    <n v="1125000"/>
    <s v="Low"/>
    <s v="Low"/>
    <s v="Low"/>
    <s v="LLL"/>
    <x v="3"/>
  </r>
  <r>
    <s v="Customer-792"/>
    <s v="Taunggyi"/>
    <d v="2025-11-25T00:00:00"/>
    <n v="37"/>
    <n v="2"/>
    <n v="13950000"/>
    <s v="High"/>
    <s v="Low"/>
    <s v="Low"/>
    <s v="HLL"/>
    <x v="6"/>
  </r>
  <r>
    <s v="Customer-794"/>
    <s v="Yangon"/>
    <d v="2025-09-29T00:00:00"/>
    <n v="94"/>
    <n v="1"/>
    <n v="11000000"/>
    <s v="Low"/>
    <s v="Low"/>
    <s v="Low"/>
    <s v="LLL"/>
    <x v="3"/>
  </r>
  <r>
    <s v="Customer-795"/>
    <s v="Bago"/>
    <d v="2025-01-16T00:00:00"/>
    <n v="350"/>
    <n v="1"/>
    <n v="1920000"/>
    <s v="Low"/>
    <s v="Low"/>
    <s v="Low"/>
    <s v="LLL"/>
    <x v="3"/>
  </r>
  <r>
    <s v="Customer-796"/>
    <s v="Taunggyi"/>
    <d v="2025-11-26T00:00:00"/>
    <n v="36"/>
    <n v="3"/>
    <n v="16575000"/>
    <s v="High"/>
    <s v="High"/>
    <s v="Low"/>
    <s v="HHL"/>
    <x v="0"/>
  </r>
  <r>
    <s v="Customer-797"/>
    <s v="Bago"/>
    <d v="2025-07-25T00:00:00"/>
    <n v="160"/>
    <n v="1"/>
    <n v="475000"/>
    <s v="Low"/>
    <s v="Low"/>
    <s v="Low"/>
    <s v="LLL"/>
    <x v="3"/>
  </r>
  <r>
    <s v="Customer-799"/>
    <s v="Bago"/>
    <d v="2025-12-30T00:00:00"/>
    <n v="2"/>
    <n v="2"/>
    <n v="56100000"/>
    <s v="High"/>
    <s v="Low"/>
    <s v="High"/>
    <s v="HLH"/>
    <x v="5"/>
  </r>
  <r>
    <s v="Customer-800"/>
    <s v="Naypyitaw"/>
    <d v="2025-10-22T00:00:00"/>
    <n v="71"/>
    <n v="2"/>
    <n v="18275000"/>
    <s v="High"/>
    <s v="Low"/>
    <s v="Low"/>
    <s v="HLL"/>
    <x v="6"/>
  </r>
  <r>
    <s v="Customer-801"/>
    <s v="Bago"/>
    <d v="2025-01-01T00:00:00"/>
    <n v="365"/>
    <n v="1"/>
    <n v="5040000"/>
    <s v="Low"/>
    <s v="Low"/>
    <s v="Low"/>
    <s v="LLL"/>
    <x v="3"/>
  </r>
  <r>
    <s v="Customer-802"/>
    <s v="Mandalay"/>
    <d v="2025-12-16T00:00:00"/>
    <n v="16"/>
    <n v="7"/>
    <n v="943400000"/>
    <s v="High"/>
    <s v="High"/>
    <s v="High"/>
    <s v="HHH"/>
    <x v="1"/>
  </r>
  <r>
    <s v="Customer-803"/>
    <s v="Taunggyi"/>
    <d v="2025-12-05T00:00:00"/>
    <n v="27"/>
    <n v="7"/>
    <n v="49740000"/>
    <s v="High"/>
    <s v="High"/>
    <s v="High"/>
    <s v="HHH"/>
    <x v="1"/>
  </r>
  <r>
    <s v="Customer-804"/>
    <s v="Yangon"/>
    <d v="2025-12-23T00:00:00"/>
    <n v="9"/>
    <n v="8"/>
    <n v="1001000000"/>
    <s v="High"/>
    <s v="High"/>
    <s v="High"/>
    <s v="HHH"/>
    <x v="1"/>
  </r>
  <r>
    <s v="Customer-805"/>
    <s v="Bago"/>
    <d v="2025-07-10T00:00:00"/>
    <n v="175"/>
    <n v="1"/>
    <n v="1400000"/>
    <s v="Low"/>
    <s v="Low"/>
    <s v="Low"/>
    <s v="LLL"/>
    <x v="3"/>
  </r>
  <r>
    <s v="Customer-806"/>
    <s v="Naypyitaw"/>
    <d v="2025-12-26T00:00:00"/>
    <n v="6"/>
    <n v="7"/>
    <n v="1045300000"/>
    <s v="High"/>
    <s v="High"/>
    <s v="High"/>
    <s v="HHH"/>
    <x v="1"/>
  </r>
  <r>
    <s v="Customer-807"/>
    <s v="Naypyitaw"/>
    <d v="2025-01-09T00:00:00"/>
    <n v="357"/>
    <n v="1"/>
    <n v="19950000"/>
    <s v="Low"/>
    <s v="Low"/>
    <s v="High"/>
    <s v="LLH"/>
    <x v="2"/>
  </r>
  <r>
    <s v="Customer-808"/>
    <s v="Naypyitaw"/>
    <d v="2025-08-15T00:00:00"/>
    <n v="139"/>
    <n v="4"/>
    <n v="13885000"/>
    <s v="Low"/>
    <s v="High"/>
    <s v="Low"/>
    <s v="LHL"/>
    <x v="7"/>
  </r>
  <r>
    <s v="Customer-809"/>
    <s v="Taunggyi"/>
    <d v="2025-11-26T00:00:00"/>
    <n v="36"/>
    <n v="2"/>
    <n v="26275000"/>
    <s v="High"/>
    <s v="Low"/>
    <s v="High"/>
    <s v="HLH"/>
    <x v="5"/>
  </r>
  <r>
    <s v="Customer-810"/>
    <s v="Bago"/>
    <d v="2025-10-29T00:00:00"/>
    <n v="64"/>
    <n v="1"/>
    <n v="1400000"/>
    <s v="High"/>
    <s v="Low"/>
    <s v="Low"/>
    <s v="HLL"/>
    <x v="6"/>
  </r>
  <r>
    <s v="Customer-812"/>
    <s v="Mandalay"/>
    <d v="2025-10-01T00:00:00"/>
    <n v="92"/>
    <n v="4"/>
    <n v="10130000"/>
    <s v="High"/>
    <s v="High"/>
    <s v="Low"/>
    <s v="HHL"/>
    <x v="0"/>
  </r>
  <r>
    <s v="Customer-813"/>
    <s v="Mandalay"/>
    <d v="2025-04-28T00:00:00"/>
    <n v="248"/>
    <n v="1"/>
    <n v="3000000"/>
    <s v="Low"/>
    <s v="Low"/>
    <s v="Low"/>
    <s v="LLL"/>
    <x v="3"/>
  </r>
  <r>
    <s v="Customer-816"/>
    <s v="Yangon"/>
    <d v="2025-12-22T00:00:00"/>
    <n v="10"/>
    <n v="7"/>
    <n v="1093500000"/>
    <s v="High"/>
    <s v="High"/>
    <s v="High"/>
    <s v="HHH"/>
    <x v="1"/>
  </r>
  <r>
    <s v="Customer-817"/>
    <s v="Naypyitaw"/>
    <d v="2025-12-31T00:00:00"/>
    <n v="1"/>
    <n v="3"/>
    <n v="32600000"/>
    <s v="High"/>
    <s v="High"/>
    <s v="High"/>
    <s v="HHH"/>
    <x v="1"/>
  </r>
  <r>
    <s v="Customer-818"/>
    <s v="Yangon"/>
    <d v="2025-03-10T00:00:00"/>
    <n v="297"/>
    <n v="1"/>
    <n v="11900000"/>
    <s v="Low"/>
    <s v="Low"/>
    <s v="Low"/>
    <s v="LLL"/>
    <x v="3"/>
  </r>
  <r>
    <s v="Customer-819"/>
    <s v="Yangon"/>
    <d v="2025-12-24T00:00:00"/>
    <n v="8"/>
    <n v="2"/>
    <n v="34050000"/>
    <s v="High"/>
    <s v="Low"/>
    <s v="High"/>
    <s v="HLH"/>
    <x v="5"/>
  </r>
  <r>
    <s v="Customer-820"/>
    <s v="Taunggyi"/>
    <d v="2025-09-04T00:00:00"/>
    <n v="119"/>
    <n v="2"/>
    <n v="8000000"/>
    <s v="Low"/>
    <s v="Low"/>
    <s v="Low"/>
    <s v="LLL"/>
    <x v="3"/>
  </r>
  <r>
    <s v="Customer-821"/>
    <s v="Naypyitaw"/>
    <d v="2025-05-28T00:00:00"/>
    <n v="218"/>
    <n v="1"/>
    <n v="5000000"/>
    <s v="Low"/>
    <s v="Low"/>
    <s v="Low"/>
    <s v="LLL"/>
    <x v="3"/>
  </r>
  <r>
    <s v="Customer-822"/>
    <s v="Naypyitaw"/>
    <d v="2025-07-28T00:00:00"/>
    <n v="157"/>
    <n v="2"/>
    <n v="42100000"/>
    <s v="Low"/>
    <s v="Low"/>
    <s v="High"/>
    <s v="LLH"/>
    <x v="2"/>
  </r>
  <r>
    <s v="Customer-823"/>
    <s v="Bago"/>
    <d v="2025-01-21T00:00:00"/>
    <n v="345"/>
    <n v="1"/>
    <n v="22050000"/>
    <s v="Low"/>
    <s v="Low"/>
    <s v="High"/>
    <s v="LLH"/>
    <x v="2"/>
  </r>
  <r>
    <s v="Customer-824"/>
    <s v="Mandalay"/>
    <d v="2025-11-19T00:00:00"/>
    <n v="43"/>
    <n v="3"/>
    <n v="21990000"/>
    <s v="High"/>
    <s v="High"/>
    <s v="High"/>
    <s v="HHH"/>
    <x v="1"/>
  </r>
  <r>
    <s v="Customer-825"/>
    <s v="Yangon"/>
    <d v="2025-10-17T00:00:00"/>
    <n v="76"/>
    <n v="2"/>
    <n v="63450000"/>
    <s v="High"/>
    <s v="Low"/>
    <s v="High"/>
    <s v="HLH"/>
    <x v="5"/>
  </r>
  <r>
    <s v="Customer-826"/>
    <s v="Taunggyi"/>
    <d v="2025-12-26T00:00:00"/>
    <n v="6"/>
    <n v="3"/>
    <n v="75150000"/>
    <s v="High"/>
    <s v="High"/>
    <s v="High"/>
    <s v="HHH"/>
    <x v="1"/>
  </r>
  <r>
    <s v="Customer-827"/>
    <s v="Naypyitaw"/>
    <d v="2025-12-23T00:00:00"/>
    <n v="9"/>
    <n v="6"/>
    <n v="79200000"/>
    <s v="High"/>
    <s v="High"/>
    <s v="High"/>
    <s v="HHH"/>
    <x v="1"/>
  </r>
  <r>
    <s v="Customer-828"/>
    <s v="Mandalay"/>
    <d v="2025-05-30T00:00:00"/>
    <n v="216"/>
    <n v="1"/>
    <n v="6650000"/>
    <s v="Low"/>
    <s v="Low"/>
    <s v="Low"/>
    <s v="LLL"/>
    <x v="3"/>
  </r>
  <r>
    <s v="Customer-829"/>
    <s v="Naypyitaw"/>
    <d v="2025-12-17T00:00:00"/>
    <n v="15"/>
    <n v="2"/>
    <n v="16790000"/>
    <s v="High"/>
    <s v="Low"/>
    <s v="Low"/>
    <s v="HLL"/>
    <x v="6"/>
  </r>
  <r>
    <s v="Customer-831"/>
    <s v="Taunggyi"/>
    <d v="2025-02-26T00:00:00"/>
    <n v="309"/>
    <n v="1"/>
    <n v="650000"/>
    <s v="Low"/>
    <s v="Low"/>
    <s v="Low"/>
    <s v="LLL"/>
    <x v="3"/>
  </r>
  <r>
    <s v="Customer-832"/>
    <s v="Bago"/>
    <d v="2025-12-25T00:00:00"/>
    <n v="7"/>
    <n v="2"/>
    <n v="24650000"/>
    <s v="High"/>
    <s v="Low"/>
    <s v="High"/>
    <s v="HLH"/>
    <x v="5"/>
  </r>
  <r>
    <s v="Customer-833"/>
    <s v="Mandalay"/>
    <d v="2025-04-25T00:00:00"/>
    <n v="251"/>
    <n v="2"/>
    <n v="26150000"/>
    <s v="Low"/>
    <s v="Low"/>
    <s v="High"/>
    <s v="LLH"/>
    <x v="2"/>
  </r>
  <r>
    <s v="Customer-834"/>
    <s v="Yangon"/>
    <d v="2025-09-08T00:00:00"/>
    <n v="115"/>
    <n v="3"/>
    <n v="27950000"/>
    <s v="Low"/>
    <s v="High"/>
    <s v="High"/>
    <s v="LHH"/>
    <x v="4"/>
  </r>
  <r>
    <s v="Customer-835"/>
    <s v="Mandalay"/>
    <d v="2025-01-15T00:00:00"/>
    <n v="351"/>
    <n v="1"/>
    <n v="11750000"/>
    <s v="Low"/>
    <s v="Low"/>
    <s v="Low"/>
    <s v="LLL"/>
    <x v="3"/>
  </r>
  <r>
    <s v="Customer-836"/>
    <s v="Yangon"/>
    <d v="2025-11-06T00:00:00"/>
    <n v="56"/>
    <n v="3"/>
    <n v="26920000"/>
    <s v="High"/>
    <s v="High"/>
    <s v="High"/>
    <s v="HHH"/>
    <x v="1"/>
  </r>
  <r>
    <s v="Customer-837"/>
    <s v="Naypyitaw"/>
    <d v="2025-04-30T00:00:00"/>
    <n v="246"/>
    <n v="2"/>
    <n v="4300000"/>
    <s v="Low"/>
    <s v="Low"/>
    <s v="Low"/>
    <s v="LLL"/>
    <x v="3"/>
  </r>
  <r>
    <s v="Customer-839"/>
    <s v="Mandalay"/>
    <d v="2025-06-04T00:00:00"/>
    <n v="211"/>
    <n v="3"/>
    <n v="63820000"/>
    <s v="Low"/>
    <s v="High"/>
    <s v="High"/>
    <s v="LHH"/>
    <x v="4"/>
  </r>
  <r>
    <s v="Customer-840"/>
    <s v="Mandalay"/>
    <d v="2025-10-29T00:00:00"/>
    <n v="64"/>
    <n v="3"/>
    <n v="28990000"/>
    <s v="High"/>
    <s v="High"/>
    <s v="High"/>
    <s v="HHH"/>
    <x v="1"/>
  </r>
  <r>
    <s v="Customer-842"/>
    <s v="Naypyitaw"/>
    <d v="2025-09-10T00:00:00"/>
    <n v="113"/>
    <n v="1"/>
    <n v="25000000"/>
    <s v="Low"/>
    <s v="Low"/>
    <s v="High"/>
    <s v="LLH"/>
    <x v="2"/>
  </r>
  <r>
    <s v="Customer-844"/>
    <s v="Taunggyi"/>
    <d v="2025-12-05T00:00:00"/>
    <n v="27"/>
    <n v="4"/>
    <n v="19075000"/>
    <s v="High"/>
    <s v="High"/>
    <s v="High"/>
    <s v="HHH"/>
    <x v="1"/>
  </r>
  <r>
    <s v="Customer-845"/>
    <s v="Bago"/>
    <d v="2025-10-10T00:00:00"/>
    <n v="83"/>
    <n v="3"/>
    <n v="26615000"/>
    <s v="High"/>
    <s v="High"/>
    <s v="High"/>
    <s v="HHH"/>
    <x v="1"/>
  </r>
  <r>
    <s v="Customer-846"/>
    <s v="Yangon"/>
    <d v="2025-12-16T00:00:00"/>
    <n v="16"/>
    <n v="4"/>
    <n v="23060000"/>
    <s v="High"/>
    <s v="High"/>
    <s v="High"/>
    <s v="HHH"/>
    <x v="1"/>
  </r>
  <r>
    <s v="Customer-849"/>
    <s v="Yangon"/>
    <d v="2025-10-29T00:00:00"/>
    <n v="64"/>
    <n v="3"/>
    <n v="48500000"/>
    <s v="High"/>
    <s v="High"/>
    <s v="High"/>
    <s v="HHH"/>
    <x v="1"/>
  </r>
  <r>
    <s v="Customer-851"/>
    <s v="Yangon"/>
    <d v="2025-11-07T00:00:00"/>
    <n v="55"/>
    <n v="3"/>
    <n v="9580000"/>
    <s v="High"/>
    <s v="High"/>
    <s v="Low"/>
    <s v="HHL"/>
    <x v="0"/>
  </r>
  <r>
    <s v="Customer-853"/>
    <s v="Bago"/>
    <d v="2025-12-23T00:00:00"/>
    <n v="9"/>
    <n v="3"/>
    <n v="22240000"/>
    <s v="High"/>
    <s v="High"/>
    <s v="High"/>
    <s v="HHH"/>
    <x v="1"/>
  </r>
  <r>
    <s v="Customer-854"/>
    <s v="Yangon"/>
    <d v="2025-11-26T00:00:00"/>
    <n v="36"/>
    <n v="1"/>
    <n v="3750000"/>
    <s v="High"/>
    <s v="Low"/>
    <s v="Low"/>
    <s v="HLL"/>
    <x v="6"/>
  </r>
  <r>
    <s v="Customer-856"/>
    <s v="Naypyitaw"/>
    <d v="2025-11-18T00:00:00"/>
    <n v="44"/>
    <n v="1"/>
    <n v="8600000"/>
    <s v="High"/>
    <s v="Low"/>
    <s v="Low"/>
    <s v="HLL"/>
    <x v="6"/>
  </r>
  <r>
    <s v="Customer-857"/>
    <s v="Taunggyi"/>
    <d v="2025-11-27T00:00:00"/>
    <n v="35"/>
    <n v="3"/>
    <n v="35500000"/>
    <s v="High"/>
    <s v="High"/>
    <s v="High"/>
    <s v="HHH"/>
    <x v="1"/>
  </r>
  <r>
    <s v="Customer-858"/>
    <s v="Bago"/>
    <d v="2025-11-05T00:00:00"/>
    <n v="57"/>
    <n v="4"/>
    <n v="24040000"/>
    <s v="High"/>
    <s v="High"/>
    <s v="High"/>
    <s v="HHH"/>
    <x v="1"/>
  </r>
  <r>
    <s v="Customer-860"/>
    <s v="Yangon"/>
    <d v="2025-10-07T00:00:00"/>
    <n v="86"/>
    <n v="2"/>
    <n v="11750000"/>
    <s v="High"/>
    <s v="Low"/>
    <s v="Low"/>
    <s v="HLL"/>
    <x v="6"/>
  </r>
  <r>
    <s v="Customer-861"/>
    <s v="Taunggyi"/>
    <d v="2025-09-26T00:00:00"/>
    <n v="97"/>
    <n v="1"/>
    <n v="2500000"/>
    <s v="Low"/>
    <s v="Low"/>
    <s v="Low"/>
    <s v="LLL"/>
    <x v="3"/>
  </r>
  <r>
    <s v="Customer-863"/>
    <s v="Bago"/>
    <d v="2025-08-13T00:00:00"/>
    <n v="141"/>
    <n v="4"/>
    <n v="58520000"/>
    <s v="Low"/>
    <s v="High"/>
    <s v="High"/>
    <s v="LHH"/>
    <x v="4"/>
  </r>
  <r>
    <s v="Customer-864"/>
    <s v="Naypyitaw"/>
    <d v="2025-12-24T00:00:00"/>
    <n v="8"/>
    <n v="2"/>
    <n v="24850000"/>
    <s v="High"/>
    <s v="Low"/>
    <s v="High"/>
    <s v="HLH"/>
    <x v="5"/>
  </r>
  <r>
    <s v="Customer-865"/>
    <s v="Mandalay"/>
    <d v="2025-11-19T00:00:00"/>
    <n v="43"/>
    <n v="2"/>
    <n v="6400000"/>
    <s v="High"/>
    <s v="Low"/>
    <s v="Low"/>
    <s v="HLL"/>
    <x v="6"/>
  </r>
  <r>
    <s v="Customer-866"/>
    <s v="Yangon"/>
    <d v="2025-11-11T00:00:00"/>
    <n v="51"/>
    <n v="1"/>
    <n v="4440000"/>
    <s v="High"/>
    <s v="Low"/>
    <s v="Low"/>
    <s v="HLL"/>
    <x v="6"/>
  </r>
  <r>
    <s v="Customer-867"/>
    <s v="Naypyitaw"/>
    <d v="2025-02-10T00:00:00"/>
    <n v="325"/>
    <n v="1"/>
    <n v="4680000"/>
    <s v="Low"/>
    <s v="Low"/>
    <s v="Low"/>
    <s v="LLL"/>
    <x v="3"/>
  </r>
  <r>
    <s v="Customer-868"/>
    <s v="Taunggyi"/>
    <d v="2025-09-08T00:00:00"/>
    <n v="115"/>
    <n v="1"/>
    <n v="6400000"/>
    <s v="Low"/>
    <s v="Low"/>
    <s v="Low"/>
    <s v="LLL"/>
    <x v="3"/>
  </r>
  <r>
    <s v="Customer-869"/>
    <s v="Naypyitaw"/>
    <d v="2025-09-24T00:00:00"/>
    <n v="99"/>
    <n v="2"/>
    <n v="1475000"/>
    <s v="Low"/>
    <s v="Low"/>
    <s v="Low"/>
    <s v="LLL"/>
    <x v="3"/>
  </r>
  <r>
    <s v="Customer-870"/>
    <s v="Yangon"/>
    <d v="2025-12-01T00:00:00"/>
    <n v="31"/>
    <n v="6"/>
    <n v="29610000"/>
    <s v="High"/>
    <s v="High"/>
    <s v="High"/>
    <s v="HHH"/>
    <x v="1"/>
  </r>
  <r>
    <s v="Customer-871"/>
    <s v="Yangon"/>
    <d v="2025-12-03T00:00:00"/>
    <n v="29"/>
    <n v="4"/>
    <n v="977000000"/>
    <s v="High"/>
    <s v="High"/>
    <s v="High"/>
    <s v="HHH"/>
    <x v="1"/>
  </r>
  <r>
    <s v="Customer-872"/>
    <s v="Mandalay"/>
    <d v="2025-12-01T00:00:00"/>
    <n v="31"/>
    <n v="5"/>
    <n v="1033750000"/>
    <s v="High"/>
    <s v="High"/>
    <s v="High"/>
    <s v="HHH"/>
    <x v="1"/>
  </r>
  <r>
    <s v="Customer-873"/>
    <s v="Naypyitaw"/>
    <d v="2025-06-11T00:00:00"/>
    <n v="204"/>
    <n v="2"/>
    <n v="7660000"/>
    <s v="Low"/>
    <s v="Low"/>
    <s v="Low"/>
    <s v="LLL"/>
    <x v="3"/>
  </r>
  <r>
    <s v="Customer-874"/>
    <s v="Yangon"/>
    <d v="2025-11-07T00:00:00"/>
    <n v="55"/>
    <n v="1"/>
    <n v="1250000"/>
    <s v="High"/>
    <s v="Low"/>
    <s v="Low"/>
    <s v="HLL"/>
    <x v="6"/>
  </r>
  <r>
    <s v="Customer-876"/>
    <s v="Mandalay"/>
    <d v="2025-03-31T00:00:00"/>
    <n v="276"/>
    <n v="1"/>
    <n v="4750000"/>
    <s v="Low"/>
    <s v="Low"/>
    <s v="Low"/>
    <s v="LLL"/>
    <x v="3"/>
  </r>
  <r>
    <s v="Customer-879"/>
    <s v="Mandalay"/>
    <d v="2025-12-04T00:00:00"/>
    <n v="28"/>
    <n v="3"/>
    <n v="25450000"/>
    <s v="High"/>
    <s v="High"/>
    <s v="High"/>
    <s v="HHH"/>
    <x v="1"/>
  </r>
  <r>
    <s v="Customer-880"/>
    <s v="Bago"/>
    <d v="2025-01-16T00:00:00"/>
    <n v="350"/>
    <n v="1"/>
    <n v="9250000"/>
    <s v="Low"/>
    <s v="Low"/>
    <s v="Low"/>
    <s v="LLL"/>
    <x v="3"/>
  </r>
  <r>
    <s v="Customer-881"/>
    <s v="Mandalay"/>
    <d v="2025-12-24T00:00:00"/>
    <n v="8"/>
    <n v="4"/>
    <n v="28500000"/>
    <s v="High"/>
    <s v="High"/>
    <s v="High"/>
    <s v="HHH"/>
    <x v="1"/>
  </r>
  <r>
    <s v="Customer-882"/>
    <s v="Yangon"/>
    <d v="2025-10-29T00:00:00"/>
    <n v="64"/>
    <n v="3"/>
    <n v="37850000"/>
    <s v="High"/>
    <s v="High"/>
    <s v="High"/>
    <s v="HHH"/>
    <x v="1"/>
  </r>
  <r>
    <s v="Customer-883"/>
    <s v="Naypyitaw"/>
    <d v="2025-06-17T00:00:00"/>
    <n v="198"/>
    <n v="1"/>
    <n v="2500000"/>
    <s v="Low"/>
    <s v="Low"/>
    <s v="Low"/>
    <s v="LLL"/>
    <x v="3"/>
  </r>
  <r>
    <s v="Customer-884"/>
    <s v="Bago"/>
    <d v="2025-03-12T00:00:00"/>
    <n v="295"/>
    <n v="1"/>
    <n v="16650000"/>
    <s v="Low"/>
    <s v="Low"/>
    <s v="Low"/>
    <s v="LLL"/>
    <x v="3"/>
  </r>
  <r>
    <s v="Customer-885"/>
    <s v="Mandalay"/>
    <d v="2025-12-31T00:00:00"/>
    <n v="1"/>
    <n v="4"/>
    <n v="57450000"/>
    <s v="High"/>
    <s v="High"/>
    <s v="High"/>
    <s v="HHH"/>
    <x v="1"/>
  </r>
  <r>
    <s v="Customer-886"/>
    <s v="Mandalay"/>
    <d v="2025-11-07T00:00:00"/>
    <n v="55"/>
    <n v="2"/>
    <n v="13950000"/>
    <s v="High"/>
    <s v="Low"/>
    <s v="Low"/>
    <s v="HLL"/>
    <x v="6"/>
  </r>
  <r>
    <s v="Customer-887"/>
    <s v="Mandalay"/>
    <d v="2025-12-22T00:00:00"/>
    <n v="10"/>
    <n v="2"/>
    <n v="34550000"/>
    <s v="High"/>
    <s v="Low"/>
    <s v="High"/>
    <s v="HLH"/>
    <x v="5"/>
  </r>
  <r>
    <s v="Customer-888"/>
    <s v="Bago"/>
    <d v="2025-11-17T00:00:00"/>
    <n v="45"/>
    <n v="7"/>
    <n v="938250000"/>
    <s v="High"/>
    <s v="High"/>
    <s v="High"/>
    <s v="HHH"/>
    <x v="1"/>
  </r>
  <r>
    <s v="Customer-889"/>
    <s v="Mandalay"/>
    <d v="2025-12-08T00:00:00"/>
    <n v="24"/>
    <n v="5"/>
    <n v="55800000"/>
    <s v="High"/>
    <s v="High"/>
    <s v="High"/>
    <s v="HHH"/>
    <x v="1"/>
  </r>
  <r>
    <s v="Customer-890"/>
    <s v="Yangon"/>
    <d v="2025-08-05T00:00:00"/>
    <n v="149"/>
    <n v="2"/>
    <n v="13610000"/>
    <s v="Low"/>
    <s v="Low"/>
    <s v="Low"/>
    <s v="LLL"/>
    <x v="3"/>
  </r>
  <r>
    <s v="Customer-891"/>
    <s v="Bago"/>
    <d v="2025-12-24T00:00:00"/>
    <n v="8"/>
    <n v="3"/>
    <n v="31475000"/>
    <s v="High"/>
    <s v="High"/>
    <s v="High"/>
    <s v="HHH"/>
    <x v="1"/>
  </r>
  <r>
    <s v="Customer-892"/>
    <s v="Mandalay"/>
    <d v="2025-10-30T00:00:00"/>
    <n v="63"/>
    <n v="4"/>
    <n v="17900000"/>
    <s v="High"/>
    <s v="High"/>
    <s v="Low"/>
    <s v="HHL"/>
    <x v="0"/>
  </r>
  <r>
    <s v="Customer-893"/>
    <s v="Naypyitaw"/>
    <d v="2025-07-11T00:00:00"/>
    <n v="174"/>
    <n v="1"/>
    <n v="425000"/>
    <s v="Low"/>
    <s v="Low"/>
    <s v="Low"/>
    <s v="LLL"/>
    <x v="3"/>
  </r>
  <r>
    <s v="Customer-895"/>
    <s v="Naypyitaw"/>
    <d v="2025-04-07T00:00:00"/>
    <n v="269"/>
    <n v="2"/>
    <n v="64080000"/>
    <s v="Low"/>
    <s v="Low"/>
    <s v="High"/>
    <s v="LLH"/>
    <x v="2"/>
  </r>
  <r>
    <s v="Customer-896"/>
    <s v="Naypyitaw"/>
    <d v="2025-09-12T00:00:00"/>
    <n v="111"/>
    <n v="3"/>
    <n v="14270000"/>
    <s v="Low"/>
    <s v="High"/>
    <s v="Low"/>
    <s v="LHL"/>
    <x v="7"/>
  </r>
  <r>
    <s v="Customer-897"/>
    <s v="Taunggyi"/>
    <d v="2025-12-25T00:00:00"/>
    <n v="7"/>
    <n v="3"/>
    <n v="21390000"/>
    <s v="High"/>
    <s v="High"/>
    <s v="High"/>
    <s v="HHH"/>
    <x v="1"/>
  </r>
  <r>
    <s v="Customer-898"/>
    <s v="Mandalay"/>
    <d v="2025-10-31T00:00:00"/>
    <n v="62"/>
    <n v="3"/>
    <n v="26690000"/>
    <s v="High"/>
    <s v="High"/>
    <s v="High"/>
    <s v="HHH"/>
    <x v="1"/>
  </r>
  <r>
    <s v="Customer-900"/>
    <s v="Mandalay"/>
    <d v="2025-11-21T00:00:00"/>
    <n v="41"/>
    <n v="5"/>
    <n v="48750000"/>
    <s v="High"/>
    <s v="High"/>
    <s v="High"/>
    <s v="HHH"/>
    <x v="1"/>
  </r>
  <r>
    <s v="Customer-901"/>
    <s v="Mandalay"/>
    <d v="2025-10-22T00:00:00"/>
    <n v="71"/>
    <n v="1"/>
    <n v="1750000"/>
    <s v="High"/>
    <s v="Low"/>
    <s v="Low"/>
    <s v="HLL"/>
    <x v="6"/>
  </r>
  <r>
    <s v="Customer-902"/>
    <s v="Mandalay"/>
    <d v="2025-09-05T00:00:00"/>
    <n v="118"/>
    <n v="2"/>
    <n v="25670000"/>
    <s v="Low"/>
    <s v="Low"/>
    <s v="High"/>
    <s v="LLH"/>
    <x v="2"/>
  </r>
  <r>
    <s v="Customer-904"/>
    <s v="Mandalay"/>
    <d v="2025-01-02T00:00:00"/>
    <n v="364"/>
    <n v="1"/>
    <n v="7000000"/>
    <s v="Low"/>
    <s v="Low"/>
    <s v="Low"/>
    <s v="LLL"/>
    <x v="3"/>
  </r>
  <r>
    <s v="Customer-905"/>
    <s v="Mandalay"/>
    <d v="2025-10-20T00:00:00"/>
    <n v="73"/>
    <n v="2"/>
    <n v="19700000"/>
    <s v="High"/>
    <s v="Low"/>
    <s v="High"/>
    <s v="HLH"/>
    <x v="5"/>
  </r>
  <r>
    <s v="Customer-907"/>
    <s v="Naypyitaw"/>
    <d v="2025-05-12T00:00:00"/>
    <n v="234"/>
    <n v="2"/>
    <n v="15125000"/>
    <s v="Low"/>
    <s v="Low"/>
    <s v="Low"/>
    <s v="LLL"/>
    <x v="3"/>
  </r>
  <r>
    <s v="Customer-908"/>
    <s v="Bago"/>
    <d v="2025-11-17T00:00:00"/>
    <n v="45"/>
    <n v="1"/>
    <n v="7650000"/>
    <s v="High"/>
    <s v="Low"/>
    <s v="Low"/>
    <s v="HLL"/>
    <x v="6"/>
  </r>
  <r>
    <s v="Customer-909"/>
    <s v="Mandalay"/>
    <d v="2025-06-23T00:00:00"/>
    <n v="192"/>
    <n v="2"/>
    <n v="52600000"/>
    <s v="Low"/>
    <s v="Low"/>
    <s v="High"/>
    <s v="LLH"/>
    <x v="2"/>
  </r>
  <r>
    <s v="Customer-910"/>
    <s v="Yangon"/>
    <d v="2025-04-21T00:00:00"/>
    <n v="255"/>
    <n v="1"/>
    <n v="8750000"/>
    <s v="Low"/>
    <s v="Low"/>
    <s v="Low"/>
    <s v="LLL"/>
    <x v="3"/>
  </r>
  <r>
    <s v="Customer-911"/>
    <s v="Bago"/>
    <d v="2025-12-31T00:00:00"/>
    <n v="1"/>
    <n v="4"/>
    <n v="62000000"/>
    <s v="High"/>
    <s v="High"/>
    <s v="High"/>
    <s v="HHH"/>
    <x v="1"/>
  </r>
  <r>
    <s v="Customer-912"/>
    <s v="Yangon"/>
    <d v="2025-07-02T00:00:00"/>
    <n v="183"/>
    <n v="4"/>
    <n v="29430000"/>
    <s v="Low"/>
    <s v="High"/>
    <s v="High"/>
    <s v="LHH"/>
    <x v="4"/>
  </r>
  <r>
    <s v="Customer-913"/>
    <s v="Yangon"/>
    <d v="2025-12-03T00:00:00"/>
    <n v="29"/>
    <n v="4"/>
    <n v="57550000"/>
    <s v="High"/>
    <s v="High"/>
    <s v="High"/>
    <s v="HHH"/>
    <x v="1"/>
  </r>
  <r>
    <s v="Customer-914"/>
    <s v="Bago"/>
    <d v="2025-10-22T00:00:00"/>
    <n v="71"/>
    <n v="1"/>
    <n v="8500000"/>
    <s v="High"/>
    <s v="Low"/>
    <s v="Low"/>
    <s v="HLL"/>
    <x v="6"/>
  </r>
  <r>
    <s v="Customer-915"/>
    <s v="Yangon"/>
    <d v="2025-12-16T00:00:00"/>
    <n v="16"/>
    <n v="3"/>
    <n v="396500000"/>
    <s v="High"/>
    <s v="High"/>
    <s v="High"/>
    <s v="HHH"/>
    <x v="1"/>
  </r>
  <r>
    <s v="Customer-916"/>
    <s v="Yangon"/>
    <d v="2025-12-16T00:00:00"/>
    <n v="16"/>
    <n v="4"/>
    <n v="40500000"/>
    <s v="High"/>
    <s v="High"/>
    <s v="High"/>
    <s v="HHH"/>
    <x v="1"/>
  </r>
  <r>
    <s v="Customer-917"/>
    <s v="Naypyitaw"/>
    <d v="2025-07-25T00:00:00"/>
    <n v="160"/>
    <n v="1"/>
    <n v="9500000"/>
    <s v="Low"/>
    <s v="Low"/>
    <s v="Low"/>
    <s v="LLL"/>
    <x v="3"/>
  </r>
  <r>
    <s v="Customer-918"/>
    <s v="Yangon"/>
    <d v="2025-12-01T00:00:00"/>
    <n v="31"/>
    <n v="10"/>
    <n v="412500000"/>
    <s v="High"/>
    <s v="High"/>
    <s v="High"/>
    <s v="HHH"/>
    <x v="1"/>
  </r>
  <r>
    <s v="Customer-919"/>
    <s v="Mandalay"/>
    <d v="2025-11-21T00:00:00"/>
    <n v="41"/>
    <n v="8"/>
    <n v="76200000"/>
    <s v="High"/>
    <s v="High"/>
    <s v="High"/>
    <s v="HHH"/>
    <x v="1"/>
  </r>
  <r>
    <s v="Customer-920"/>
    <s v="Mandalay"/>
    <d v="2025-12-24T00:00:00"/>
    <n v="8"/>
    <n v="3"/>
    <n v="39560000"/>
    <s v="High"/>
    <s v="High"/>
    <s v="High"/>
    <s v="HHH"/>
    <x v="1"/>
  </r>
  <r>
    <s v="Customer-921"/>
    <s v="Taunggyi"/>
    <d v="2025-07-09T00:00:00"/>
    <n v="176"/>
    <n v="2"/>
    <n v="28700000"/>
    <s v="Low"/>
    <s v="Low"/>
    <s v="High"/>
    <s v="LLH"/>
    <x v="2"/>
  </r>
  <r>
    <s v="Customer-922"/>
    <s v="Naypyitaw"/>
    <d v="2025-09-26T00:00:00"/>
    <n v="97"/>
    <n v="2"/>
    <n v="27020000"/>
    <s v="Low"/>
    <s v="Low"/>
    <s v="High"/>
    <s v="LLH"/>
    <x v="2"/>
  </r>
  <r>
    <s v="Customer-923"/>
    <s v="Yangon"/>
    <d v="2025-03-24T00:00:00"/>
    <n v="283"/>
    <n v="1"/>
    <n v="54000000"/>
    <s v="Low"/>
    <s v="Low"/>
    <s v="High"/>
    <s v="LLH"/>
    <x v="2"/>
  </r>
  <r>
    <s v="Customer-924"/>
    <s v="Taunggyi"/>
    <d v="2025-10-31T00:00:00"/>
    <n v="62"/>
    <n v="3"/>
    <n v="31200000"/>
    <s v="High"/>
    <s v="High"/>
    <s v="High"/>
    <s v="HHH"/>
    <x v="1"/>
  </r>
  <r>
    <s v="Customer-925"/>
    <s v="Mandalay"/>
    <d v="2025-11-17T00:00:00"/>
    <n v="45"/>
    <n v="3"/>
    <n v="58200000"/>
    <s v="High"/>
    <s v="High"/>
    <s v="High"/>
    <s v="HHH"/>
    <x v="1"/>
  </r>
  <r>
    <s v="Customer-926"/>
    <s v="Naypyitaw"/>
    <d v="2025-08-05T00:00:00"/>
    <n v="149"/>
    <n v="3"/>
    <n v="8505000"/>
    <s v="Low"/>
    <s v="High"/>
    <s v="Low"/>
    <s v="LHL"/>
    <x v="7"/>
  </r>
  <r>
    <s v="Customer-927"/>
    <s v="Taunggyi"/>
    <d v="2025-09-22T00:00:00"/>
    <n v="101"/>
    <n v="6"/>
    <n v="62550000"/>
    <s v="Low"/>
    <s v="High"/>
    <s v="High"/>
    <s v="LHH"/>
    <x v="4"/>
  </r>
  <r>
    <s v="Customer-928"/>
    <s v="Mandalay"/>
    <d v="2025-07-16T00:00:00"/>
    <n v="169"/>
    <n v="5"/>
    <n v="37575000"/>
    <s v="Low"/>
    <s v="High"/>
    <s v="High"/>
    <s v="LHH"/>
    <x v="4"/>
  </r>
  <r>
    <s v="Customer-929"/>
    <s v="Mandalay"/>
    <d v="2025-09-30T00:00:00"/>
    <n v="93"/>
    <n v="1"/>
    <n v="1750000"/>
    <s v="High"/>
    <s v="Low"/>
    <s v="Low"/>
    <s v="HLL"/>
    <x v="6"/>
  </r>
  <r>
    <s v="Customer-931"/>
    <s v="Yangon"/>
    <d v="2025-01-02T00:00:00"/>
    <n v="364"/>
    <n v="1"/>
    <n v="7350000"/>
    <s v="Low"/>
    <s v="Low"/>
    <s v="Low"/>
    <s v="LLL"/>
    <x v="3"/>
  </r>
  <r>
    <s v="Customer-932"/>
    <s v="Taunggyi"/>
    <d v="2025-12-05T00:00:00"/>
    <n v="27"/>
    <n v="1"/>
    <n v="20900000"/>
    <s v="High"/>
    <s v="Low"/>
    <s v="High"/>
    <s v="HLH"/>
    <x v="5"/>
  </r>
  <r>
    <s v="Customer-933"/>
    <s v="Taunggyi"/>
    <d v="2025-02-11T00:00:00"/>
    <n v="324"/>
    <n v="1"/>
    <n v="38950000"/>
    <s v="Low"/>
    <s v="Low"/>
    <s v="High"/>
    <s v="LLH"/>
    <x v="2"/>
  </r>
  <r>
    <s v="Customer-934"/>
    <s v="Taunggyi"/>
    <d v="2025-05-22T00:00:00"/>
    <n v="224"/>
    <n v="1"/>
    <n v="720000"/>
    <s v="Low"/>
    <s v="Low"/>
    <s v="Low"/>
    <s v="LLL"/>
    <x v="3"/>
  </r>
  <r>
    <s v="Customer-935"/>
    <s v="Yangon"/>
    <d v="2025-06-27T00:00:00"/>
    <n v="188"/>
    <n v="1"/>
    <n v="8640000"/>
    <s v="Low"/>
    <s v="Low"/>
    <s v="Low"/>
    <s v="LLL"/>
    <x v="3"/>
  </r>
  <r>
    <s v="Customer-936"/>
    <s v="Mandalay"/>
    <d v="2025-08-05T00:00:00"/>
    <n v="149"/>
    <n v="3"/>
    <n v="19200000"/>
    <s v="Low"/>
    <s v="High"/>
    <s v="High"/>
    <s v="LHH"/>
    <x v="4"/>
  </r>
  <r>
    <s v="Customer-937"/>
    <s v="Bago"/>
    <d v="2025-11-17T00:00:00"/>
    <n v="45"/>
    <n v="2"/>
    <n v="47450000"/>
    <s v="High"/>
    <s v="Low"/>
    <s v="High"/>
    <s v="HLH"/>
    <x v="5"/>
  </r>
  <r>
    <s v="Customer-938"/>
    <s v="Bago"/>
    <d v="2025-04-17T00:00:00"/>
    <n v="259"/>
    <n v="1"/>
    <n v="7600000"/>
    <s v="Low"/>
    <s v="Low"/>
    <s v="Low"/>
    <s v="LLL"/>
    <x v="3"/>
  </r>
  <r>
    <s v="Customer-939"/>
    <s v="Yangon"/>
    <d v="2025-08-14T00:00:00"/>
    <n v="140"/>
    <n v="1"/>
    <n v="7740000"/>
    <s v="Low"/>
    <s v="Low"/>
    <s v="Low"/>
    <s v="LLL"/>
    <x v="3"/>
  </r>
  <r>
    <s v="Customer-940"/>
    <s v="Taunggyi"/>
    <d v="2025-08-14T00:00:00"/>
    <n v="140"/>
    <n v="3"/>
    <n v="37850000"/>
    <s v="Low"/>
    <s v="High"/>
    <s v="High"/>
    <s v="LHH"/>
    <x v="4"/>
  </r>
  <r>
    <s v="Customer-941"/>
    <s v="Naypyitaw"/>
    <d v="2025-11-13T00:00:00"/>
    <n v="49"/>
    <n v="3"/>
    <n v="23400000"/>
    <s v="High"/>
    <s v="High"/>
    <s v="High"/>
    <s v="HHH"/>
    <x v="1"/>
  </r>
  <r>
    <s v="Customer-942"/>
    <s v="Taunggyi"/>
    <d v="2025-11-06T00:00:00"/>
    <n v="56"/>
    <n v="1"/>
    <n v="8550000"/>
    <s v="High"/>
    <s v="Low"/>
    <s v="Low"/>
    <s v="HLL"/>
    <x v="6"/>
  </r>
  <r>
    <s v="Customer-943"/>
    <s v="Bago"/>
    <d v="2025-03-24T00:00:00"/>
    <n v="283"/>
    <n v="1"/>
    <n v="22050000"/>
    <s v="Low"/>
    <s v="Low"/>
    <s v="High"/>
    <s v="LLH"/>
    <x v="2"/>
  </r>
  <r>
    <s v="Customer-944"/>
    <s v="Yangon"/>
    <d v="2025-10-29T00:00:00"/>
    <n v="64"/>
    <n v="3"/>
    <n v="44300000"/>
    <s v="High"/>
    <s v="High"/>
    <s v="High"/>
    <s v="HHH"/>
    <x v="1"/>
  </r>
  <r>
    <s v="Customer-945"/>
    <s v="Yangon"/>
    <d v="2025-11-25T00:00:00"/>
    <n v="37"/>
    <n v="1"/>
    <n v="5500000"/>
    <s v="High"/>
    <s v="Low"/>
    <s v="Low"/>
    <s v="HLL"/>
    <x v="6"/>
  </r>
  <r>
    <s v="Customer-946"/>
    <s v="Taunggyi"/>
    <d v="2025-08-06T00:00:00"/>
    <n v="148"/>
    <n v="4"/>
    <n v="30720000"/>
    <s v="Low"/>
    <s v="High"/>
    <s v="High"/>
    <s v="LHH"/>
    <x v="4"/>
  </r>
  <r>
    <s v="Customer-947"/>
    <s v="Naypyitaw"/>
    <d v="2025-09-11T00:00:00"/>
    <n v="112"/>
    <n v="3"/>
    <n v="7370000"/>
    <s v="Low"/>
    <s v="High"/>
    <s v="Low"/>
    <s v="LHL"/>
    <x v="7"/>
  </r>
  <r>
    <s v="Customer-948"/>
    <s v="Yangon"/>
    <d v="2025-12-17T00:00:00"/>
    <n v="15"/>
    <n v="8"/>
    <n v="73675000"/>
    <s v="High"/>
    <s v="High"/>
    <s v="High"/>
    <s v="HHH"/>
    <x v="1"/>
  </r>
  <r>
    <s v="Customer-949"/>
    <s v="Bago"/>
    <d v="2025-09-24T00:00:00"/>
    <n v="99"/>
    <n v="4"/>
    <n v="40700000"/>
    <s v="Low"/>
    <s v="High"/>
    <s v="High"/>
    <s v="LHH"/>
    <x v="4"/>
  </r>
  <r>
    <s v="Customer-950"/>
    <s v="Taunggyi"/>
    <d v="2025-10-10T00:00:00"/>
    <n v="83"/>
    <n v="2"/>
    <n v="47150000"/>
    <s v="High"/>
    <s v="Low"/>
    <s v="High"/>
    <s v="HLH"/>
    <x v="5"/>
  </r>
  <r>
    <s v="Customer-951"/>
    <s v="Bago"/>
    <d v="2025-06-25T00:00:00"/>
    <n v="190"/>
    <n v="2"/>
    <n v="17250000"/>
    <s v="Low"/>
    <s v="Low"/>
    <s v="Low"/>
    <s v="LLL"/>
    <x v="3"/>
  </r>
  <r>
    <s v="Customer-954"/>
    <s v="Bago"/>
    <d v="2025-05-30T00:00:00"/>
    <n v="216"/>
    <n v="1"/>
    <n v="7350000"/>
    <s v="Low"/>
    <s v="Low"/>
    <s v="Low"/>
    <s v="LLL"/>
    <x v="3"/>
  </r>
  <r>
    <s v="Customer-955"/>
    <s v="Naypyitaw"/>
    <d v="2025-01-16T00:00:00"/>
    <n v="350"/>
    <n v="1"/>
    <n v="6000000"/>
    <s v="Low"/>
    <s v="Low"/>
    <s v="Low"/>
    <s v="LLL"/>
    <x v="3"/>
  </r>
  <r>
    <s v="Customer-957"/>
    <s v="Yangon"/>
    <d v="2025-12-09T00:00:00"/>
    <n v="23"/>
    <n v="2"/>
    <n v="25290000"/>
    <s v="High"/>
    <s v="Low"/>
    <s v="High"/>
    <s v="HLH"/>
    <x v="5"/>
  </r>
  <r>
    <s v="Customer-958"/>
    <s v="Mandalay"/>
    <d v="2025-12-03T00:00:00"/>
    <n v="29"/>
    <n v="6"/>
    <n v="50400000"/>
    <s v="High"/>
    <s v="High"/>
    <s v="High"/>
    <s v="HHH"/>
    <x v="1"/>
  </r>
  <r>
    <s v="Customer-959"/>
    <s v="Taunggyi"/>
    <d v="2025-08-12T00:00:00"/>
    <n v="142"/>
    <n v="2"/>
    <n v="6595000"/>
    <s v="Low"/>
    <s v="Low"/>
    <s v="Low"/>
    <s v="LLL"/>
    <x v="3"/>
  </r>
  <r>
    <s v="Customer-961"/>
    <s v="Mandalay"/>
    <d v="2025-09-17T00:00:00"/>
    <n v="106"/>
    <n v="6"/>
    <n v="52460000"/>
    <s v="Low"/>
    <s v="High"/>
    <s v="High"/>
    <s v="LHH"/>
    <x v="4"/>
  </r>
  <r>
    <s v="Customer-962"/>
    <s v="Mandalay"/>
    <d v="2025-11-27T00:00:00"/>
    <n v="35"/>
    <n v="5"/>
    <n v="31805000"/>
    <s v="High"/>
    <s v="High"/>
    <s v="High"/>
    <s v="HHH"/>
    <x v="1"/>
  </r>
  <r>
    <s v="Customer-963"/>
    <s v="Yangon"/>
    <d v="2025-10-08T00:00:00"/>
    <n v="85"/>
    <n v="1"/>
    <n v="6500000"/>
    <s v="High"/>
    <s v="Low"/>
    <s v="Low"/>
    <s v="HLL"/>
    <x v="6"/>
  </r>
  <r>
    <s v="Customer-964"/>
    <s v="Mandalay"/>
    <d v="2025-12-24T00:00:00"/>
    <n v="8"/>
    <n v="6"/>
    <n v="32765000"/>
    <s v="High"/>
    <s v="High"/>
    <s v="High"/>
    <s v="HHH"/>
    <x v="1"/>
  </r>
  <r>
    <s v="Customer-966"/>
    <s v="Yangon"/>
    <d v="2025-09-09T00:00:00"/>
    <n v="114"/>
    <n v="1"/>
    <n v="16100000"/>
    <s v="Low"/>
    <s v="Low"/>
    <s v="Low"/>
    <s v="LLL"/>
    <x v="3"/>
  </r>
  <r>
    <s v="Customer-967"/>
    <s v="Bago"/>
    <d v="2025-09-22T00:00:00"/>
    <n v="101"/>
    <n v="1"/>
    <n v="8200000"/>
    <s v="Low"/>
    <s v="Low"/>
    <s v="Low"/>
    <s v="LLL"/>
    <x v="3"/>
  </r>
  <r>
    <s v="Customer-968"/>
    <s v="Taunggyi"/>
    <d v="2025-12-31T00:00:00"/>
    <n v="1"/>
    <n v="4"/>
    <n v="33050000"/>
    <s v="High"/>
    <s v="High"/>
    <s v="High"/>
    <s v="HHH"/>
    <x v="1"/>
  </r>
  <r>
    <s v="Customer-969"/>
    <s v="Mandalay"/>
    <d v="2025-12-01T00:00:00"/>
    <n v="31"/>
    <n v="7"/>
    <n v="412000000"/>
    <s v="High"/>
    <s v="High"/>
    <s v="High"/>
    <s v="HHH"/>
    <x v="1"/>
  </r>
  <r>
    <s v="Customer-970"/>
    <s v="Mandalay"/>
    <d v="2025-12-04T00:00:00"/>
    <n v="28"/>
    <n v="4"/>
    <n v="42910000"/>
    <s v="High"/>
    <s v="High"/>
    <s v="High"/>
    <s v="HHH"/>
    <x v="1"/>
  </r>
  <r>
    <s v="Customer-971"/>
    <s v="Naypyitaw"/>
    <d v="2025-04-03T00:00:00"/>
    <n v="273"/>
    <n v="1"/>
    <n v="5000000"/>
    <s v="Low"/>
    <s v="Low"/>
    <s v="Low"/>
    <s v="LLL"/>
    <x v="3"/>
  </r>
  <r>
    <s v="Customer-972"/>
    <s v="Naypyitaw"/>
    <d v="2025-07-04T00:00:00"/>
    <n v="181"/>
    <n v="2"/>
    <n v="37200000"/>
    <s v="Low"/>
    <s v="Low"/>
    <s v="High"/>
    <s v="LLH"/>
    <x v="2"/>
  </r>
  <r>
    <s v="Customer-974"/>
    <s v="Mandalay"/>
    <d v="2025-12-22T00:00:00"/>
    <n v="10"/>
    <n v="3"/>
    <n v="60150000"/>
    <s v="High"/>
    <s v="High"/>
    <s v="High"/>
    <s v="HHH"/>
    <x v="1"/>
  </r>
  <r>
    <s v="Customer-976"/>
    <s v="Taunggyi"/>
    <d v="2025-12-25T00:00:00"/>
    <n v="7"/>
    <n v="3"/>
    <n v="10260000"/>
    <s v="High"/>
    <s v="High"/>
    <s v="Low"/>
    <s v="HHL"/>
    <x v="0"/>
  </r>
  <r>
    <s v="Customer-977"/>
    <s v="Taunggyi"/>
    <d v="2025-10-24T00:00:00"/>
    <n v="69"/>
    <n v="4"/>
    <n v="1161100000"/>
    <s v="High"/>
    <s v="High"/>
    <s v="High"/>
    <s v="HHH"/>
    <x v="1"/>
  </r>
  <r>
    <s v="Customer-978"/>
    <s v="Yangon"/>
    <d v="2025-06-19T00:00:00"/>
    <n v="196"/>
    <n v="4"/>
    <n v="15585000"/>
    <s v="Low"/>
    <s v="High"/>
    <s v="Low"/>
    <s v="LHL"/>
    <x v="7"/>
  </r>
  <r>
    <s v="Customer-979"/>
    <s v="Taunggyi"/>
    <d v="2025-05-22T00:00:00"/>
    <n v="224"/>
    <n v="2"/>
    <n v="15600000"/>
    <s v="Low"/>
    <s v="Low"/>
    <s v="Low"/>
    <s v="LLL"/>
    <x v="3"/>
  </r>
  <r>
    <s v="Customer-980"/>
    <s v="Naypyitaw"/>
    <d v="2025-10-21T00:00:00"/>
    <n v="72"/>
    <n v="4"/>
    <n v="35375000"/>
    <s v="High"/>
    <s v="High"/>
    <s v="High"/>
    <s v="HHH"/>
    <x v="1"/>
  </r>
  <r>
    <s v="Customer-981"/>
    <s v="Mandalay"/>
    <d v="2025-07-10T00:00:00"/>
    <n v="175"/>
    <n v="3"/>
    <n v="56300000"/>
    <s v="Low"/>
    <s v="High"/>
    <s v="High"/>
    <s v="LHH"/>
    <x v="4"/>
  </r>
  <r>
    <s v="Customer-983"/>
    <s v="Taunggyi"/>
    <d v="2025-02-13T00:00:00"/>
    <n v="322"/>
    <n v="1"/>
    <n v="2250000"/>
    <s v="Low"/>
    <s v="Low"/>
    <s v="Low"/>
    <s v="LLL"/>
    <x v="3"/>
  </r>
  <r>
    <s v="Customer-984"/>
    <s v="Taunggyi"/>
    <d v="2025-02-28T00:00:00"/>
    <n v="307"/>
    <n v="1"/>
    <n v="7740000"/>
    <s v="Low"/>
    <s v="Low"/>
    <s v="Low"/>
    <s v="LLL"/>
    <x v="3"/>
  </r>
  <r>
    <s v="Customer-985"/>
    <s v="Bago"/>
    <d v="2025-12-08T00:00:00"/>
    <n v="24"/>
    <n v="5"/>
    <n v="1105000000"/>
    <s v="High"/>
    <s v="High"/>
    <s v="High"/>
    <s v="HHH"/>
    <x v="1"/>
  </r>
  <r>
    <s v="Customer-986"/>
    <s v="Bago"/>
    <d v="2025-03-10T00:00:00"/>
    <n v="297"/>
    <n v="1"/>
    <n v="17100000"/>
    <s v="Low"/>
    <s v="Low"/>
    <s v="Low"/>
    <s v="LLL"/>
    <x v="3"/>
  </r>
  <r>
    <s v="Customer-988"/>
    <s v="Bago"/>
    <d v="2025-09-18T00:00:00"/>
    <n v="105"/>
    <n v="2"/>
    <n v="16500000"/>
    <s v="Low"/>
    <s v="Low"/>
    <s v="Low"/>
    <s v="LLL"/>
    <x v="3"/>
  </r>
  <r>
    <s v="Customer-990"/>
    <s v="Yangon"/>
    <d v="2025-02-10T00:00:00"/>
    <n v="325"/>
    <n v="1"/>
    <n v="16200000"/>
    <s v="Low"/>
    <s v="Low"/>
    <s v="Low"/>
    <s v="LLL"/>
    <x v="3"/>
  </r>
  <r>
    <s v="Customer-991"/>
    <s v="Yangon"/>
    <d v="2025-08-06T00:00:00"/>
    <n v="148"/>
    <n v="2"/>
    <n v="2595000"/>
    <s v="Low"/>
    <s v="Low"/>
    <s v="Low"/>
    <s v="LLL"/>
    <x v="3"/>
  </r>
  <r>
    <s v="Customer-992"/>
    <s v="Mandalay"/>
    <d v="2025-12-17T00:00:00"/>
    <n v="15"/>
    <n v="3"/>
    <n v="21250000"/>
    <s v="High"/>
    <s v="High"/>
    <s v="High"/>
    <s v="HHH"/>
    <x v="1"/>
  </r>
  <r>
    <s v="Customer-993"/>
    <s v="Yangon"/>
    <d v="2025-07-23T00:00:00"/>
    <n v="162"/>
    <n v="3"/>
    <n v="18075000"/>
    <s v="Low"/>
    <s v="High"/>
    <s v="Low"/>
    <s v="LHL"/>
    <x v="7"/>
  </r>
  <r>
    <s v="Customer-995"/>
    <s v="Bago"/>
    <d v="2025-12-23T00:00:00"/>
    <n v="9"/>
    <n v="2"/>
    <n v="6900000"/>
    <s v="High"/>
    <s v="Low"/>
    <s v="Low"/>
    <s v="HLL"/>
    <x v="6"/>
  </r>
  <r>
    <s v="Customer-996"/>
    <s v="Yangon"/>
    <d v="2025-09-18T00:00:00"/>
    <n v="105"/>
    <n v="3"/>
    <n v="14870000"/>
    <s v="Low"/>
    <s v="High"/>
    <s v="Low"/>
    <s v="LHL"/>
    <x v="7"/>
  </r>
  <r>
    <s v="Customer-997"/>
    <s v="Mandalay"/>
    <d v="2025-09-18T00:00:00"/>
    <n v="105"/>
    <n v="3"/>
    <n v="58470000"/>
    <s v="Low"/>
    <s v="High"/>
    <s v="High"/>
    <s v="LHH"/>
    <x v="4"/>
  </r>
  <r>
    <s v="Customer-998"/>
    <s v="Mandalay"/>
    <d v="2025-10-13T00:00:00"/>
    <n v="80"/>
    <n v="5"/>
    <n v="852750000"/>
    <s v="High"/>
    <s v="High"/>
    <s v="High"/>
    <s v="HHH"/>
    <x v="1"/>
  </r>
  <r>
    <s v="Customer-999"/>
    <s v="Naypyitaw"/>
    <d v="2025-07-17T00:00:00"/>
    <n v="168"/>
    <n v="2"/>
    <n v="10800000"/>
    <s v="Low"/>
    <s v="Low"/>
    <s v="Low"/>
    <s v="LLL"/>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
  <r>
    <s v="Customer-732"/>
    <x v="0"/>
    <n v="2.5333491502315727E-2"/>
    <n v="2.5333491502315727E-2"/>
    <x v="0"/>
  </r>
  <r>
    <s v="Customer-620"/>
    <x v="1"/>
    <n v="2.2672743919962039E-2"/>
    <n v="4.8006235422277763E-2"/>
    <x v="0"/>
  </r>
  <r>
    <s v="Customer-193"/>
    <x v="2"/>
    <n v="2.225587954206738E-2"/>
    <n v="7.0262114964345146E-2"/>
    <x v="0"/>
  </r>
  <r>
    <s v="Customer-499"/>
    <x v="3"/>
    <n v="2.113978573672216E-2"/>
    <n v="9.140190070106731E-2"/>
    <x v="0"/>
  </r>
  <r>
    <s v="Customer-251"/>
    <x v="4"/>
    <n v="2.0287678190725061E-2"/>
    <n v="0.11168957889179237"/>
    <x v="0"/>
  </r>
  <r>
    <s v="Customer-282"/>
    <x v="5"/>
    <n v="1.9830714634195244E-2"/>
    <n v="0.13152029352598762"/>
    <x v="0"/>
  </r>
  <r>
    <s v="Customer-044"/>
    <x v="6"/>
    <n v="1.947316362469842E-2"/>
    <n v="0.15099345715068604"/>
    <x v="0"/>
  </r>
  <r>
    <s v="Customer-977"/>
    <x v="7"/>
    <n v="1.9399648463867297E-2"/>
    <n v="0.17039310561455334"/>
    <x v="0"/>
  </r>
  <r>
    <s v="Customer-241"/>
    <x v="8"/>
    <n v="1.9239251749326669E-2"/>
    <n v="0.18963235736388001"/>
    <x v="0"/>
  </r>
  <r>
    <s v="Customer-410"/>
    <x v="9"/>
    <n v="1.9022047865052898E-2"/>
    <n v="0.20865440522893292"/>
    <x v="0"/>
  </r>
  <r>
    <s v="Customer-495"/>
    <x v="10"/>
    <n v="1.9007010673064713E-2"/>
    <n v="0.22766141590199762"/>
    <x v="0"/>
  </r>
  <r>
    <s v="Customer-246"/>
    <x v="11"/>
    <n v="1.896356989620996E-2"/>
    <n v="0.24662498579820757"/>
    <x v="0"/>
  </r>
  <r>
    <s v="Customer-985"/>
    <x v="12"/>
    <n v="1.846233016327049E-2"/>
    <n v="0.26508731596147805"/>
    <x v="0"/>
  </r>
  <r>
    <s v="Customer-816"/>
    <x v="13"/>
    <n v="1.8270188265643691E-2"/>
    <n v="0.28335750422712175"/>
    <x v="0"/>
  </r>
  <r>
    <s v="Customer-180"/>
    <x v="14"/>
    <n v="1.8037947189381738E-2"/>
    <n v="0.30139545141650348"/>
    <x v="0"/>
  </r>
  <r>
    <s v="Customer-806"/>
    <x v="15"/>
    <n v="1.7464863094720944E-2"/>
    <n v="0.31886031451122443"/>
    <x v="0"/>
  </r>
  <r>
    <s v="Customer-872"/>
    <x v="16"/>
    <n v="1.7271885797539247E-2"/>
    <n v="0.33613220030876367"/>
    <x v="0"/>
  </r>
  <r>
    <s v="Customer-074"/>
    <x v="17"/>
    <n v="1.7167460853176858E-2"/>
    <n v="0.35329966116194056"/>
    <x v="0"/>
  </r>
  <r>
    <s v="Customer-667"/>
    <x v="18"/>
    <n v="1.6992026946648042E-2"/>
    <n v="0.37029168810858859"/>
    <x v="0"/>
  </r>
  <r>
    <s v="Customer-804"/>
    <x v="19"/>
    <n v="1.6724699089080326E-2"/>
    <n v="0.3870163871976689"/>
    <x v="0"/>
  </r>
  <r>
    <s v="Customer-078"/>
    <x v="20"/>
    <n v="1.6591035160296468E-2"/>
    <n v="0.40360742235796537"/>
    <x v="0"/>
  </r>
  <r>
    <s v="Customer-871"/>
    <x v="21"/>
    <n v="1.6323707302728748E-2"/>
    <n v="0.41993112966069412"/>
    <x v="0"/>
  </r>
  <r>
    <s v="Customer-150"/>
    <x v="22"/>
    <n v="1.6225130155250653E-2"/>
    <n v="0.4361562598159448"/>
    <x v="0"/>
  </r>
  <r>
    <s v="Customer-051"/>
    <x v="23"/>
    <n v="1.5864237547534233E-2"/>
    <n v="0.45202049736347905"/>
    <x v="0"/>
  </r>
  <r>
    <s v="Customer-159"/>
    <x v="24"/>
    <n v="1.5830821565338271E-2"/>
    <n v="0.46785131892881732"/>
    <x v="0"/>
  </r>
  <r>
    <s v="Customer-258"/>
    <x v="25"/>
    <n v="1.5772343596495333E-2"/>
    <n v="0.48362366252531264"/>
    <x v="0"/>
  </r>
  <r>
    <s v="Customer-802"/>
    <x v="26"/>
    <n v="1.5762318801836542E-2"/>
    <n v="0.49938598132714918"/>
    <x v="0"/>
  </r>
  <r>
    <s v="Customer-888"/>
    <x v="27"/>
    <n v="1.5676272647681934E-2"/>
    <n v="0.51506225397483107"/>
    <x v="0"/>
  </r>
  <r>
    <s v="Customer-575"/>
    <x v="28"/>
    <n v="1.5605263685515508E-2"/>
    <n v="0.53066751766034659"/>
    <x v="0"/>
  </r>
  <r>
    <s v="Customer-136"/>
    <x v="29"/>
    <n v="1.5275280861330356E-2"/>
    <n v="0.54594279852167693"/>
    <x v="0"/>
  </r>
  <r>
    <s v="Customer-312"/>
    <x v="30"/>
    <n v="1.5208448896938427E-2"/>
    <n v="0.56115124741861533"/>
    <x v="0"/>
  </r>
  <r>
    <s v="Customer-563"/>
    <x v="31"/>
    <n v="1.5045545983733101E-2"/>
    <n v="0.57619679340234842"/>
    <x v="0"/>
  </r>
  <r>
    <s v="Customer-725"/>
    <x v="32"/>
    <n v="1.4856745684325899E-2"/>
    <n v="0.59105353908667435"/>
    <x v="0"/>
  </r>
  <r>
    <s v="Customer-710"/>
    <x v="33"/>
    <n v="1.4569368237440603E-2"/>
    <n v="0.60562290732411495"/>
    <x v="0"/>
  </r>
  <r>
    <s v="Customer-998"/>
    <x v="34"/>
    <n v="1.4247739408804442E-2"/>
    <n v="0.61987064673291936"/>
    <x v="0"/>
  </r>
  <r>
    <s v="Customer-243"/>
    <x v="35"/>
    <n v="1.4139137466667558E-2"/>
    <n v="0.63400978419958687"/>
    <x v="0"/>
  </r>
  <r>
    <s v="Customer-148"/>
    <x v="36"/>
    <n v="1.413746666755776E-2"/>
    <n v="0.64814725086714464"/>
    <x v="0"/>
  </r>
  <r>
    <s v="Customer-784"/>
    <x v="37"/>
    <n v="1.3924439781058486E-2"/>
    <n v="0.66207169064820315"/>
    <x v="0"/>
  </r>
  <r>
    <s v="Customer-321"/>
    <x v="38"/>
    <n v="1.3658782722600566E-2"/>
    <n v="0.67573047337080372"/>
    <x v="0"/>
  </r>
  <r>
    <s v="Customer-918"/>
    <x v="39"/>
    <n v="6.8920463279177162E-3"/>
    <n v="0.68262251969872145"/>
    <x v="0"/>
  </r>
  <r>
    <s v="Customer-969"/>
    <x v="40"/>
    <n v="6.8836923323687257E-3"/>
    <n v="0.68950621203109019"/>
    <x v="0"/>
  </r>
  <r>
    <s v="Customer-678"/>
    <x v="41"/>
    <n v="6.7650655955730507E-3"/>
    <n v="0.6962712776266633"/>
    <x v="0"/>
  </r>
  <r>
    <s v="Customer-663"/>
    <x v="42"/>
    <n v="6.695727432516424E-3"/>
    <n v="0.70296700505917975"/>
    <x v="0"/>
  </r>
  <r>
    <s v="Customer-915"/>
    <x v="43"/>
    <n v="6.6247184703499993E-3"/>
    <n v="0.70959172352952971"/>
    <x v="0"/>
  </r>
  <r>
    <s v="Customer-121"/>
    <x v="44"/>
    <n v="1.3232728949602016E-3"/>
    <n v="0.71091499642448985"/>
    <x v="0"/>
  </r>
  <r>
    <s v="Customer-827"/>
    <x v="44"/>
    <n v="1.3232728949602016E-3"/>
    <n v="0.71223826931945"/>
    <x v="0"/>
  </r>
  <r>
    <s v="Customer-617"/>
    <x v="45"/>
    <n v="1.2920289516069746E-3"/>
    <n v="0.71353029827105696"/>
    <x v="0"/>
  </r>
  <r>
    <s v="Customer-237"/>
    <x v="46"/>
    <n v="1.2898569127642368E-3"/>
    <n v="0.71482015518382125"/>
    <x v="0"/>
  </r>
  <r>
    <s v="Customer-919"/>
    <x v="47"/>
    <n v="1.2731489216662546E-3"/>
    <n v="0.71609330410548755"/>
    <x v="0"/>
  </r>
  <r>
    <s v="Customer-242"/>
    <x v="48"/>
    <n v="1.2723135221113554E-3"/>
    <n v="0.71736561762759887"/>
    <x v="0"/>
  </r>
  <r>
    <s v="Customer-826"/>
    <x v="49"/>
    <n v="1.2556055310133732E-3"/>
    <n v="0.71862122315861221"/>
    <x v="0"/>
  </r>
  <r>
    <s v="Customer-608"/>
    <x v="50"/>
    <n v="1.2405683390251891E-3"/>
    <n v="0.7198617914976374"/>
    <x v="0"/>
  </r>
  <r>
    <s v="Customer-037"/>
    <x v="51"/>
    <n v="1.2355559416957942E-3"/>
    <n v="0.72109734743933318"/>
    <x v="0"/>
  </r>
  <r>
    <s v="Customer-948"/>
    <x v="52"/>
    <n v="1.2309612441438491E-3"/>
    <n v="0.72232830868347708"/>
    <x v="0"/>
  </r>
  <r>
    <s v="Customer-139"/>
    <x v="53"/>
    <n v="1.2171771514880136E-3"/>
    <n v="0.72354548583496514"/>
    <x v="0"/>
  </r>
  <r>
    <s v="Customer-752"/>
    <x v="54"/>
    <n v="1.2124989139805787E-3"/>
    <n v="0.72475798474894571"/>
    <x v="0"/>
  </r>
  <r>
    <s v="Customer-689"/>
    <x v="55"/>
    <n v="1.204646158164527E-3"/>
    <n v="0.72596263090711022"/>
    <x v="0"/>
  </r>
  <r>
    <s v="Customer-224"/>
    <x v="56"/>
    <n v="1.195039063283187E-3"/>
    <n v="0.72715766997039344"/>
    <x v="0"/>
  </r>
  <r>
    <s v="Customer-774"/>
    <x v="57"/>
    <n v="1.1662177786391675E-3"/>
    <n v="0.72832388774903256"/>
    <x v="0"/>
  </r>
  <r>
    <s v="Customer-004"/>
    <x v="58"/>
    <n v="1.1627091005085913E-3"/>
    <n v="0.7294865968495412"/>
    <x v="0"/>
  </r>
  <r>
    <s v="Customer-279"/>
    <x v="59"/>
    <n v="1.1359763147518196E-3"/>
    <n v="0.73062257316429302"/>
    <x v="0"/>
  </r>
  <r>
    <s v="Customer-560"/>
    <x v="60"/>
    <n v="1.119435403564817E-3"/>
    <n v="0.73174200856785787"/>
    <x v="0"/>
  </r>
  <r>
    <s v="Customer-576"/>
    <x v="61"/>
    <n v="1.1110814080158259E-3"/>
    <n v="0.73285308997587373"/>
    <x v="0"/>
  </r>
  <r>
    <s v="Customer-389"/>
    <x v="62"/>
    <n v="1.1055677709534916E-3"/>
    <n v="0.73395865774682723"/>
    <x v="0"/>
  </r>
  <r>
    <s v="Customer-276"/>
    <x v="63"/>
    <n v="1.1003882937131171E-3"/>
    <n v="0.7350590460405404"/>
    <x v="0"/>
  </r>
  <r>
    <s v="Customer-129"/>
    <x v="64"/>
    <n v="1.093872177184904E-3"/>
    <n v="0.73615291821772533"/>
    <x v="0"/>
  </r>
  <r>
    <s v="Customer-446"/>
    <x v="65"/>
    <n v="1.0826778231492558E-3"/>
    <n v="0.73723559604087463"/>
    <x v="0"/>
  </r>
  <r>
    <s v="Customer-895"/>
    <x v="66"/>
    <n v="1.0706480695587086E-3"/>
    <n v="0.73830624411043333"/>
    <x v="0"/>
  </r>
  <r>
    <s v="Customer-839"/>
    <x v="67"/>
    <n v="1.0663039918732331E-3"/>
    <n v="0.73937254810230657"/>
    <x v="0"/>
  </r>
  <r>
    <s v="Customer-825"/>
    <x v="68"/>
    <n v="1.0601220351669797E-3"/>
    <n v="0.7404326701374736"/>
    <x v="0"/>
  </r>
  <r>
    <s v="Customer-313"/>
    <x v="69"/>
    <n v="1.0517680396179886E-3"/>
    <n v="0.74148443817709164"/>
    <x v="0"/>
  </r>
  <r>
    <s v="Customer-776"/>
    <x v="70"/>
    <n v="1.0455025429562451E-3"/>
    <n v="0.74252994072004785"/>
    <x v="0"/>
  </r>
  <r>
    <s v="Customer-927"/>
    <x v="71"/>
    <n v="1.0450848431787956E-3"/>
    <n v="0.74357502556322663"/>
    <x v="0"/>
  </r>
  <r>
    <s v="Customer-669"/>
    <x v="72"/>
    <n v="1.0447506833568359E-3"/>
    <n v="0.74461977624658349"/>
    <x v="0"/>
  </r>
  <r>
    <s v="Customer-170"/>
    <x v="73"/>
    <n v="1.0365637677188246E-3"/>
    <n v="0.74565634001430237"/>
    <x v="0"/>
  </r>
  <r>
    <s v="Customer-911"/>
    <x v="74"/>
    <n v="1.0358954480749053E-3"/>
    <n v="0.74669223546237729"/>
    <x v="0"/>
  </r>
  <r>
    <s v="Customer-403"/>
    <x v="75"/>
    <n v="1.0250352538612166E-3"/>
    <n v="0.7477172707162385"/>
    <x v="0"/>
  </r>
  <r>
    <s v="Customer-013"/>
    <x v="76"/>
    <n v="1.0185191373330035E-3"/>
    <n v="0.74873578985357148"/>
    <x v="0"/>
  </r>
  <r>
    <s v="Customer-727"/>
    <x v="77"/>
    <n v="1.011501781071851E-3"/>
    <n v="0.74974729163464338"/>
    <x v="0"/>
  </r>
  <r>
    <s v="Customer-536"/>
    <x v="78"/>
    <n v="1.0051527444546178E-3"/>
    <n v="0.75075244437909794"/>
    <x v="0"/>
  </r>
  <r>
    <s v="Customer-974"/>
    <x v="79"/>
    <n v="1.0049856645436379E-3"/>
    <n v="0.75175743004364159"/>
    <x v="0"/>
  </r>
  <r>
    <s v="Customer-233"/>
    <x v="80"/>
    <n v="1.0024794658789406E-3"/>
    <n v="0.75275990950952054"/>
    <x v="0"/>
  </r>
  <r>
    <s v="Customer-262"/>
    <x v="81"/>
    <n v="9.9445963015190901E-4"/>
    <n v="0.75375436913967242"/>
    <x v="0"/>
  </r>
  <r>
    <s v="Customer-640"/>
    <x v="82"/>
    <n v="9.9412547032994947E-4"/>
    <n v="0.75474849461000237"/>
    <x v="0"/>
  </r>
  <r>
    <s v="Customer-065"/>
    <x v="83"/>
    <n v="9.9345715068603017E-4"/>
    <n v="0.75574195176068837"/>
    <x v="0"/>
  </r>
  <r>
    <s v="Customer-040"/>
    <x v="84"/>
    <n v="9.9161927166525215E-4"/>
    <n v="0.75673357103235361"/>
    <x v="0"/>
  </r>
  <r>
    <s v="Customer-670"/>
    <x v="85"/>
    <n v="9.8744227389075648E-4"/>
    <n v="0.75772101330624442"/>
    <x v="0"/>
  </r>
  <r>
    <s v="Customer-426"/>
    <x v="86"/>
    <n v="9.8276403638332139E-4"/>
    <n v="0.75870377734262773"/>
    <x v="0"/>
  </r>
  <r>
    <s v="Customer-863"/>
    <x v="87"/>
    <n v="9.7775163905392676E-4"/>
    <n v="0.75968152898168162"/>
    <x v="0"/>
  </r>
  <r>
    <s v="Customer-997"/>
    <x v="88"/>
    <n v="9.7691623949902758E-4"/>
    <n v="0.76065844522118065"/>
    <x v="0"/>
  </r>
  <r>
    <s v="Customer-173"/>
    <x v="89"/>
    <n v="9.7365818123492103E-4"/>
    <n v="0.76163210340241561"/>
    <x v="0"/>
  </r>
  <r>
    <s v="Customer-925"/>
    <x v="90"/>
    <n v="9.7240508190257237E-4"/>
    <n v="0.76260450848431816"/>
    <x v="0"/>
  </r>
  <r>
    <s v="Customer-432"/>
    <x v="91"/>
    <n v="9.62380287243783E-4"/>
    <n v="0.76356688877156198"/>
    <x v="0"/>
  </r>
  <r>
    <s v="Customer-021"/>
    <x v="92"/>
    <n v="9.6154488768888382E-4"/>
    <n v="0.76452843365925083"/>
    <x v="0"/>
  </r>
  <r>
    <s v="Customer-913"/>
    <x v="92"/>
    <n v="9.6154488768888382E-4"/>
    <n v="0.76548997854693968"/>
    <x v="0"/>
  </r>
  <r>
    <s v="Customer-885"/>
    <x v="93"/>
    <n v="9.5987408857908557E-4"/>
    <n v="0.76644985263551879"/>
    <x v="0"/>
  </r>
  <r>
    <s v="Customer-265"/>
    <x v="94"/>
    <n v="9.5369213187283211E-4"/>
    <n v="0.76740354476739159"/>
    <x v="0"/>
  </r>
  <r>
    <s v="Customer-603"/>
    <x v="95"/>
    <n v="9.4934805418735678E-4"/>
    <n v="0.76835289282157893"/>
    <x v="0"/>
  </r>
  <r>
    <s v="Customer-115"/>
    <x v="96"/>
    <n v="9.4567229614580064E-4"/>
    <n v="0.76929856511772476"/>
    <x v="0"/>
  </r>
  <r>
    <s v="Customer-478"/>
    <x v="97"/>
    <n v="9.4233069792620415E-4"/>
    <n v="0.77024089581565092"/>
    <x v="0"/>
  </r>
  <r>
    <s v="Customer-981"/>
    <x v="98"/>
    <n v="9.406598988164059E-4"/>
    <n v="0.77118155571446734"/>
    <x v="0"/>
  </r>
  <r>
    <s v="Customer-799"/>
    <x v="99"/>
    <n v="9.3731830059680941E-4"/>
    <n v="0.77211887401506418"/>
    <x v="0"/>
  </r>
  <r>
    <s v="Customer-187"/>
    <x v="100"/>
    <n v="9.3664998095289011E-4"/>
    <n v="0.77305552399601707"/>
    <x v="0"/>
  </r>
  <r>
    <s v="Customer-889"/>
    <x v="101"/>
    <n v="9.3230590326741478E-4"/>
    <n v="0.7739878298992845"/>
    <x v="0"/>
  </r>
  <r>
    <s v="Customer-337"/>
    <x v="102"/>
    <n v="9.2445314745136307E-4"/>
    <n v="0.77491228304673587"/>
    <x v="0"/>
  </r>
  <r>
    <s v="Customer-179"/>
    <x v="103"/>
    <n v="9.1643331172433149E-4"/>
    <n v="0.77582871635846018"/>
    <x v="0"/>
  </r>
  <r>
    <s v="Customer-574"/>
    <x v="104"/>
    <n v="9.1409419297061394E-4"/>
    <n v="0.7767428105514308"/>
    <x v="0"/>
  </r>
  <r>
    <s v="Customer-230"/>
    <x v="105"/>
    <n v="9.0807931617534036E-4"/>
    <n v="0.77765088986760611"/>
    <x v="0"/>
  </r>
  <r>
    <s v="Customer-344"/>
    <x v="106"/>
    <n v="9.0640851706554212E-4"/>
    <n v="0.77855729838467169"/>
    <x v="0"/>
  </r>
  <r>
    <s v="Customer-561"/>
    <x v="106"/>
    <n v="9.0640851706554212E-4"/>
    <n v="0.77946370690173727"/>
    <x v="0"/>
  </r>
  <r>
    <s v="Customer-923"/>
    <x v="107"/>
    <n v="9.0223151929104655E-4"/>
    <n v="0.7803659384210283"/>
    <x v="0"/>
  </r>
  <r>
    <s v="Customer-140"/>
    <x v="108"/>
    <n v="9.0206443938006667E-4"/>
    <n v="0.78126800286040832"/>
    <x v="0"/>
  </r>
  <r>
    <s v="Customer-785"/>
    <x v="108"/>
    <n v="9.0206443938006667E-4"/>
    <n v="0.78217006729978833"/>
    <x v="0"/>
  </r>
  <r>
    <s v="Customer-742"/>
    <x v="109"/>
    <n v="8.9805452151655088E-4"/>
    <n v="0.78306812182130492"/>
    <x v="0"/>
  </r>
  <r>
    <s v="Customer-325"/>
    <x v="110"/>
    <n v="8.947129232969545E-4"/>
    <n v="0.78396283474460182"/>
    <x v="0"/>
  </r>
  <r>
    <s v="Customer-754"/>
    <x v="111"/>
    <n v="8.9387752374205532E-4"/>
    <n v="0.78485671226834386"/>
    <x v="0"/>
  </r>
  <r>
    <s v="Customer-762"/>
    <x v="112"/>
    <n v="8.8669308756992291E-4"/>
    <n v="0.7857434053559138"/>
    <x v="0"/>
  </r>
  <r>
    <s v="Customer-614"/>
    <x v="113"/>
    <n v="8.8635892774796326E-4"/>
    <n v="0.78662976428366171"/>
    <x v="0"/>
  </r>
  <r>
    <s v="Customer-489"/>
    <x v="114"/>
    <n v="8.821819299734677E-4"/>
    <n v="0.78751194621363518"/>
    <x v="0"/>
  </r>
  <r>
    <s v="Customer-535"/>
    <x v="115"/>
    <n v="8.8117945050758875E-4"/>
    <n v="0.78839312566414277"/>
    <x v="0"/>
  </r>
  <r>
    <s v="Customer-909"/>
    <x v="116"/>
    <n v="8.7884033175387121E-4"/>
    <n v="0.78927196599589666"/>
    <x v="0"/>
  </r>
  <r>
    <s v="Customer-961"/>
    <x v="117"/>
    <n v="8.7650121300015366E-4"/>
    <n v="0.79014846720889687"/>
    <x v="0"/>
  </r>
  <r>
    <s v="Customer-789"/>
    <x v="118"/>
    <n v="8.6639287838587435E-4"/>
    <n v="0.79101486008728272"/>
    <x v="0"/>
  </r>
  <r>
    <s v="Customer-287"/>
    <x v="119"/>
    <n v="8.6463853932058628E-4"/>
    <n v="0.79187949862660334"/>
    <x v="0"/>
  </r>
  <r>
    <s v="Customer-339"/>
    <x v="120"/>
    <n v="8.6413729958764675E-4"/>
    <n v="0.79274363592619101"/>
    <x v="0"/>
  </r>
  <r>
    <s v="Customer-163"/>
    <x v="121"/>
    <n v="8.6213234065588885E-4"/>
    <n v="0.79360576826684692"/>
    <x v="0"/>
  </r>
  <r>
    <s v="Customer-523"/>
    <x v="122"/>
    <n v="8.6079570136805036E-4"/>
    <n v="0.79446656396821502"/>
    <x v="0"/>
  </r>
  <r>
    <s v="Customer-428"/>
    <x v="123"/>
    <n v="8.4208275133831011E-4"/>
    <n v="0.79530864671955337"/>
    <x v="0"/>
  </r>
  <r>
    <s v="Customer-958"/>
    <x v="123"/>
    <n v="8.4208275133831011E-4"/>
    <n v="0.79615072947089172"/>
    <x v="0"/>
  </r>
  <r>
    <s v="Customer-758"/>
    <x v="124"/>
    <n v="8.4041195222851186E-4"/>
    <n v="0.79699114142312022"/>
    <x v="0"/>
  </r>
  <r>
    <s v="Customer-803"/>
    <x v="125"/>
    <n v="8.3105547721364179E-4"/>
    <n v="0.79782219690033385"/>
    <x v="0"/>
  </r>
  <r>
    <s v="Customer-512"/>
    <x v="126"/>
    <n v="8.2871635845992424E-4"/>
    <n v="0.79865091325879378"/>
    <x v="0"/>
  </r>
  <r>
    <s v="Customer-231"/>
    <x v="127"/>
    <n v="8.2537476024032775E-4"/>
    <n v="0.79947628801903414"/>
    <x v="0"/>
  </r>
  <r>
    <s v="Customer-290"/>
    <x v="128"/>
    <n v="8.2019528299995324E-4"/>
    <n v="0.80029648330203407"/>
    <x v="1"/>
  </r>
  <r>
    <s v="Customer-144"/>
    <x v="129"/>
    <n v="8.1869156380113477E-4"/>
    <n v="0.80111517486583517"/>
    <x v="1"/>
  </r>
  <r>
    <s v="Customer-900"/>
    <x v="130"/>
    <n v="8.145145660266392E-4"/>
    <n v="0.80192968943186183"/>
    <x v="1"/>
  </r>
  <r>
    <s v="Customer-849"/>
    <x v="131"/>
    <n v="8.1033756825214364E-4"/>
    <n v="0.80274002700011393"/>
    <x v="1"/>
  </r>
  <r>
    <s v="Customer-757"/>
    <x v="132"/>
    <n v="8.0866676914234539E-4"/>
    <n v="0.80354869376925631"/>
    <x v="1"/>
  </r>
  <r>
    <s v="Customer-654"/>
    <x v="133"/>
    <n v="8.0699597003254715E-4"/>
    <n v="0.80435568973928884"/>
    <x v="1"/>
  </r>
  <r>
    <s v="Customer-703"/>
    <x v="134"/>
    <n v="7.9997861377139462E-4"/>
    <n v="0.80515566835306018"/>
    <x v="1"/>
  </r>
  <r>
    <s v="Customer-382"/>
    <x v="135"/>
    <n v="7.9697117537375778E-4"/>
    <n v="0.80595263952843399"/>
    <x v="1"/>
  </r>
  <r>
    <s v="Customer-682"/>
    <x v="135"/>
    <n v="7.9697117537375778E-4"/>
    <n v="0.8067496107038078"/>
    <x v="1"/>
  </r>
  <r>
    <s v="Customer-937"/>
    <x v="136"/>
    <n v="7.9279417759926221E-4"/>
    <n v="0.80754240488140705"/>
    <x v="1"/>
  </r>
  <r>
    <s v="Customer-950"/>
    <x v="137"/>
    <n v="7.8778178026986747E-4"/>
    <n v="0.80833018666167689"/>
    <x v="1"/>
  </r>
  <r>
    <s v="Customer-253"/>
    <x v="138"/>
    <n v="7.8193398338557366E-4"/>
    <n v="0.80911212064506244"/>
    <x v="1"/>
  </r>
  <r>
    <s v="Customer-775"/>
    <x v="139"/>
    <n v="7.7792406552205787E-4"/>
    <n v="0.80989004471058446"/>
    <x v="1"/>
  </r>
  <r>
    <s v="Customer-542"/>
    <x v="140"/>
    <n v="7.7692158605617893E-4"/>
    <n v="0.81066696629664059"/>
    <x v="1"/>
  </r>
  <r>
    <s v="Customer-112"/>
    <x v="141"/>
    <n v="7.7633680636774957E-4"/>
    <n v="0.81144330310300838"/>
    <x v="1"/>
  </r>
  <r>
    <s v="Customer-369"/>
    <x v="142"/>
    <n v="7.7525078694638068E-4"/>
    <n v="0.81221855388995479"/>
    <x v="1"/>
  </r>
  <r>
    <s v="Customer-183"/>
    <x v="143"/>
    <n v="7.7232688850423377E-4"/>
    <n v="0.81299088077845905"/>
    <x v="1"/>
  </r>
  <r>
    <s v="Customer-035"/>
    <x v="144"/>
    <n v="7.7207626863776406E-4"/>
    <n v="0.81376295704709678"/>
    <x v="1"/>
  </r>
  <r>
    <s v="Customer-626"/>
    <x v="145"/>
    <n v="7.7115732912737506E-4"/>
    <n v="0.81453411437622414"/>
    <x v="1"/>
  </r>
  <r>
    <s v="Customer-283"/>
    <x v="146"/>
    <n v="7.7023838961698605E-4"/>
    <n v="0.81530435276584112"/>
    <x v="1"/>
  </r>
  <r>
    <s v="Customer-412"/>
    <x v="146"/>
    <n v="7.7023838961698605E-4"/>
    <n v="0.81607459115545811"/>
    <x v="1"/>
  </r>
  <r>
    <s v="Customer-101"/>
    <x v="147"/>
    <n v="7.678992708632685E-4"/>
    <n v="0.8168424904263214"/>
    <x v="1"/>
  </r>
  <r>
    <s v="Customer-066"/>
    <x v="148"/>
    <n v="7.6606139184249038E-4"/>
    <n v="0.81760855181816394"/>
    <x v="1"/>
  </r>
  <r>
    <s v="Customer-380"/>
    <x v="149"/>
    <n v="7.6188439406799481E-4"/>
    <n v="0.81837043621223193"/>
    <x v="1"/>
  </r>
  <r>
    <s v="Customer-680"/>
    <x v="149"/>
    <n v="7.6188439406799481E-4"/>
    <n v="0.81913232060629992"/>
    <x v="1"/>
  </r>
  <r>
    <s v="Customer-168"/>
    <x v="150"/>
    <n v="7.5687199673860018E-4"/>
    <n v="0.8198891926030385"/>
    <x v="1"/>
  </r>
  <r>
    <s v="Customer-777"/>
    <x v="151"/>
    <n v="7.5536827753978171E-4"/>
    <n v="0.82064456088057824"/>
    <x v="1"/>
  </r>
  <r>
    <s v="Customer-761"/>
    <x v="152"/>
    <n v="7.5478349785135235E-4"/>
    <n v="0.82139934437842954"/>
    <x v="1"/>
  </r>
  <r>
    <s v="Customer-517"/>
    <x v="153"/>
    <n v="7.4901924092254848E-4"/>
    <n v="0.82214836361935206"/>
    <x v="1"/>
  </r>
  <r>
    <s v="Customer-113"/>
    <x v="154"/>
    <n v="7.481838413676493E-4"/>
    <n v="0.82289654746071972"/>
    <x v="1"/>
  </r>
  <r>
    <s v="Customer-334"/>
    <x v="155"/>
    <n v="7.4668012216883093E-4"/>
    <n v="0.82364322758288855"/>
    <x v="1"/>
  </r>
  <r>
    <s v="Customer-580"/>
    <x v="156"/>
    <n v="7.4099940519551689E-4"/>
    <n v="0.82438422698808411"/>
    <x v="1"/>
  </r>
  <r>
    <s v="Customer-944"/>
    <x v="157"/>
    <n v="7.4016400564061783E-4"/>
    <n v="0.8251243909937247"/>
    <x v="1"/>
  </r>
  <r>
    <s v="Customer-491"/>
    <x v="158"/>
    <n v="7.3515160831122309E-4"/>
    <n v="0.82585954260203587"/>
    <x v="1"/>
  </r>
  <r>
    <s v="Customer-162"/>
    <x v="159"/>
    <n v="7.3013921098182835E-4"/>
    <n v="0.82658968181301773"/>
    <x v="1"/>
  </r>
  <r>
    <s v="Customer-278"/>
    <x v="159"/>
    <n v="7.3013921098182835E-4"/>
    <n v="0.82731982102399959"/>
    <x v="1"/>
  </r>
  <r>
    <s v="Customer-016"/>
    <x v="160"/>
    <n v="7.2763301231713103E-4"/>
    <n v="0.82804745403631674"/>
    <x v="1"/>
  </r>
  <r>
    <s v="Customer-970"/>
    <x v="161"/>
    <n v="7.1693989801442236E-4"/>
    <n v="0.82876439393433121"/>
    <x v="1"/>
  </r>
  <r>
    <s v="Customer-198"/>
    <x v="162"/>
    <n v="7.1259582032894692E-4"/>
    <n v="0.82947698975466011"/>
    <x v="1"/>
  </r>
  <r>
    <s v="Customer-543"/>
    <x v="163"/>
    <n v="7.1092502121914867E-4"/>
    <n v="0.83018791477587928"/>
    <x v="1"/>
  </r>
  <r>
    <s v="Customer-548"/>
    <x v="164"/>
    <n v="7.0758342299955218E-4"/>
    <n v="0.83089549819887887"/>
    <x v="1"/>
  </r>
  <r>
    <s v="Customer-822"/>
    <x v="165"/>
    <n v="7.0340642522505662E-4"/>
    <n v="0.83159890462410391"/>
    <x v="1"/>
  </r>
  <r>
    <s v="Customer-448"/>
    <x v="166"/>
    <n v="7.0215332589270796E-4"/>
    <n v="0.83230105794999665"/>
    <x v="1"/>
  </r>
  <r>
    <s v="Customer-469"/>
    <x v="167"/>
    <n v="7.0073314664937942E-4"/>
    <n v="0.83300179109664607"/>
    <x v="1"/>
  </r>
  <r>
    <s v="Customer-274"/>
    <x v="168"/>
    <n v="7.0006482700546012E-4"/>
    <n v="0.83370185592365154"/>
    <x v="1"/>
  </r>
  <r>
    <s v="Customer-756"/>
    <x v="169"/>
    <n v="6.966396888303738E-4"/>
    <n v="0.83439849561248192"/>
    <x v="1"/>
  </r>
  <r>
    <s v="Customer-653"/>
    <x v="170"/>
    <n v="6.9630552900841415E-4"/>
    <n v="0.83509480114149037"/>
    <x v="1"/>
  </r>
  <r>
    <s v="Customer-431"/>
    <x v="171"/>
    <n v="6.91710831456469E-4"/>
    <n v="0.83578651197294684"/>
    <x v="1"/>
  </r>
  <r>
    <s v="Customer-317"/>
    <x v="172"/>
    <n v="6.9087543190156993E-4"/>
    <n v="0.83647738740484845"/>
    <x v="1"/>
  </r>
  <r>
    <s v="Customer-137"/>
    <x v="173"/>
    <n v="6.9004003234667075E-4"/>
    <n v="0.83716742743719508"/>
    <x v="1"/>
  </r>
  <r>
    <s v="Customer-735"/>
    <x v="174"/>
    <n v="6.8836923323687251E-4"/>
    <n v="0.83785579667043197"/>
    <x v="1"/>
  </r>
  <r>
    <s v="Customer-225"/>
    <x v="175"/>
    <n v="6.8168603679767963E-4"/>
    <n v="0.83853748270722961"/>
    <x v="1"/>
  </r>
  <r>
    <s v="Customer-646"/>
    <x v="175"/>
    <n v="6.8168603679767963E-4"/>
    <n v="0.83921916874402724"/>
    <x v="1"/>
  </r>
  <r>
    <s v="Customer-705"/>
    <x v="176"/>
    <n v="6.8085063724278045E-4"/>
    <n v="0.83990001938127001"/>
    <x v="1"/>
  </r>
  <r>
    <s v="Customer-771"/>
    <x v="177"/>
    <n v="6.805164774208208E-4"/>
    <n v="0.84058053585869086"/>
    <x v="1"/>
  </r>
  <r>
    <s v="Customer-949"/>
    <x v="178"/>
    <n v="6.8001523768788138E-4"/>
    <n v="0.84126055109637876"/>
    <x v="1"/>
  </r>
  <r>
    <s v="Customer-063"/>
    <x v="179"/>
    <n v="6.775925789786739E-4"/>
    <n v="0.84193814367535746"/>
    <x v="1"/>
  </r>
  <r>
    <s v="Customer-537"/>
    <x v="180"/>
    <n v="6.7709133924573448E-4"/>
    <n v="0.84261523501460323"/>
    <x v="1"/>
  </r>
  <r>
    <s v="Customer-916"/>
    <x v="181"/>
    <n v="6.7667363946828489E-4"/>
    <n v="0.84329190865407155"/>
    <x v="1"/>
  </r>
  <r>
    <s v="Customer-655"/>
    <x v="182"/>
    <n v="6.7316496133770862E-4"/>
    <n v="0.84396507361540929"/>
    <x v="1"/>
  </r>
  <r>
    <s v="Customer-744"/>
    <x v="183"/>
    <n v="6.7224602182731962E-4"/>
    <n v="0.84463731963723665"/>
    <x v="1"/>
  </r>
  <r>
    <s v="Customer-769"/>
    <x v="184"/>
    <n v="6.6798548409733411E-4"/>
    <n v="0.84530530512133395"/>
    <x v="1"/>
  </r>
  <r>
    <s v="Customer-006"/>
    <x v="185"/>
    <n v="6.6664884480949552E-4"/>
    <n v="0.84597195396614344"/>
    <x v="1"/>
  </r>
  <r>
    <s v="Customer-753"/>
    <x v="185"/>
    <n v="6.6664884480949552E-4"/>
    <n v="0.84663860281095293"/>
    <x v="1"/>
  </r>
  <r>
    <s v="Customer-920"/>
    <x v="186"/>
    <n v="6.6096812783618148E-4"/>
    <n v="0.84729957093878916"/>
    <x v="1"/>
  </r>
  <r>
    <s v="Customer-632"/>
    <x v="187"/>
    <n v="6.5578865059580697E-4"/>
    <n v="0.84795535958938495"/>
    <x v="1"/>
  </r>
  <r>
    <s v="Customer-482"/>
    <x v="188"/>
    <n v="6.5520387090737761E-4"/>
    <n v="0.84861056346029229"/>
    <x v="1"/>
  </r>
  <r>
    <s v="Customer-267"/>
    <x v="189"/>
    <n v="6.5461909121894825E-4"/>
    <n v="0.84926518255151129"/>
    <x v="1"/>
  </r>
  <r>
    <s v="Customer-933"/>
    <x v="190"/>
    <n v="6.5077625326641223E-4"/>
    <n v="0.84991595880477766"/>
    <x v="1"/>
  </r>
  <r>
    <s v="Customer-214"/>
    <x v="191"/>
    <n v="6.486877543791645E-4"/>
    <n v="0.85056464655915687"/>
    <x v="1"/>
  </r>
  <r>
    <s v="Customer-020"/>
    <x v="192"/>
    <n v="6.4676633540289654E-4"/>
    <n v="0.85121141289455982"/>
    <x v="1"/>
  </r>
  <r>
    <s v="Customer-709"/>
    <x v="193"/>
    <n v="6.457638559370176E-4"/>
    <n v="0.85185717675049688"/>
    <x v="1"/>
  </r>
  <r>
    <s v="Customer-597"/>
    <x v="194"/>
    <n v="6.4359181709427982E-4"/>
    <n v="0.85250076856759116"/>
    <x v="1"/>
  </r>
  <r>
    <s v="Customer-737"/>
    <x v="195"/>
    <n v="6.424222577174211E-4"/>
    <n v="0.85314319082530854"/>
    <x v="1"/>
  </r>
  <r>
    <s v="Customer-882"/>
    <x v="196"/>
    <n v="6.3239746305863173E-4"/>
    <n v="0.85377558828836719"/>
    <x v="1"/>
  </r>
  <r>
    <s v="Customer-940"/>
    <x v="196"/>
    <n v="6.3239746305863173E-4"/>
    <n v="0.85440798575142585"/>
    <x v="1"/>
  </r>
  <r>
    <s v="Customer-453"/>
    <x v="197"/>
    <n v="6.3156206350373255E-4"/>
    <n v="0.85503954781492963"/>
    <x v="1"/>
  </r>
  <r>
    <s v="Customer-928"/>
    <x v="198"/>
    <n v="6.2780276550668658E-4"/>
    <n v="0.8556673505804363"/>
    <x v="1"/>
  </r>
  <r>
    <s v="Customer-110"/>
    <x v="199"/>
    <n v="6.269673659517874E-4"/>
    <n v="0.85629431794638811"/>
    <x v="1"/>
  </r>
  <r>
    <s v="Customer-261"/>
    <x v="200"/>
    <n v="6.2638258626335804E-4"/>
    <n v="0.85692070053265146"/>
    <x v="1"/>
  </r>
  <r>
    <s v="Customer-755"/>
    <x v="201"/>
    <n v="6.2487886706453968E-4"/>
    <n v="0.85754557939971598"/>
    <x v="1"/>
  </r>
  <r>
    <s v="Customer-972"/>
    <x v="202"/>
    <n v="6.2153726884494318E-4"/>
    <n v="0.85816711666856094"/>
    <x v="1"/>
  </r>
  <r>
    <s v="Customer-269"/>
    <x v="203"/>
    <n v="6.1903107018024576E-4"/>
    <n v="0.85878614773874118"/>
    <x v="1"/>
  </r>
  <r>
    <s v="Customer-211"/>
    <x v="204"/>
    <n v="6.0315847863716258E-4"/>
    <n v="0.8593893062173783"/>
    <x v="1"/>
  </r>
  <r>
    <s v="Customer-505"/>
    <x v="205"/>
    <n v="5.9438678331072187E-4"/>
    <n v="0.859983693000689"/>
    <x v="1"/>
  </r>
  <r>
    <s v="Customer-857"/>
    <x v="206"/>
    <n v="5.9313368397837321E-4"/>
    <n v="0.8605768266846674"/>
    <x v="1"/>
  </r>
  <r>
    <s v="Customer-980"/>
    <x v="207"/>
    <n v="5.9104518509112537E-4"/>
    <n v="0.86116787186975852"/>
    <x v="1"/>
  </r>
  <r>
    <s v="Customer-596"/>
    <x v="208"/>
    <n v="5.9062748531367578E-4"/>
    <n v="0.86175849935507221"/>
    <x v="1"/>
  </r>
  <r>
    <s v="Customer-077"/>
    <x v="209"/>
    <n v="5.872858870940794E-4"/>
    <n v="0.86234578524216632"/>
    <x v="1"/>
  </r>
  <r>
    <s v="Customer-171"/>
    <x v="209"/>
    <n v="5.872858870940794E-4"/>
    <n v="0.86293307112926043"/>
    <x v="1"/>
  </r>
  <r>
    <s v="Customer-552"/>
    <x v="209"/>
    <n v="5.872858870940794E-4"/>
    <n v="0.86352035701635455"/>
    <x v="1"/>
  </r>
  <r>
    <s v="Customer-562"/>
    <x v="210"/>
    <n v="5.8645048753918022E-4"/>
    <n v="0.86410680750389368"/>
    <x v="1"/>
  </r>
  <r>
    <s v="Customer-786"/>
    <x v="211"/>
    <n v="5.8060269065488641E-4"/>
    <n v="0.86468741019454853"/>
    <x v="1"/>
  </r>
  <r>
    <s v="Customer-730"/>
    <x v="212"/>
    <n v="5.780964919901891E-4"/>
    <n v="0.86526550668653868"/>
    <x v="1"/>
  </r>
  <r>
    <s v="Customer-887"/>
    <x v="213"/>
    <n v="5.7726109243528992E-4"/>
    <n v="0.86584276777897395"/>
    <x v="1"/>
  </r>
  <r>
    <s v="Customer-746"/>
    <x v="214"/>
    <n v="5.7559029332549167E-4"/>
    <n v="0.8664183580722995"/>
    <x v="1"/>
  </r>
  <r>
    <s v="Customer-628"/>
    <x v="215"/>
    <n v="5.7433719399314302E-4"/>
    <n v="0.86699269526629263"/>
    <x v="1"/>
  </r>
  <r>
    <s v="Customer-064"/>
    <x v="216"/>
    <n v="5.7408657412667331E-4"/>
    <n v="0.86756678184041935"/>
    <x v="1"/>
  </r>
  <r>
    <s v="Customer-266"/>
    <x v="217"/>
    <n v="5.7141329555099611E-4"/>
    <n v="0.86813819513597035"/>
    <x v="1"/>
  </r>
  <r>
    <s v="Customer-819"/>
    <x v="218"/>
    <n v="5.6890709688629879E-4"/>
    <n v="0.86870710223285663"/>
    <x v="1"/>
  </r>
  <r>
    <s v="Customer-764"/>
    <x v="219"/>
    <n v="5.6807169733139962E-4"/>
    <n v="0.86927517393018805"/>
    <x v="1"/>
  </r>
  <r>
    <s v="Customer-485"/>
    <x v="220"/>
    <n v="5.6640089822160148E-4"/>
    <n v="0.86984157482840962"/>
    <x v="1"/>
  </r>
  <r>
    <s v="Customer-747"/>
    <x v="221"/>
    <n v="5.5336866516517516E-4"/>
    <n v="0.87039494349357482"/>
    <x v="1"/>
  </r>
  <r>
    <s v="Customer-702"/>
    <x v="222"/>
    <n v="5.5270034552125586E-4"/>
    <n v="0.87094764383909606"/>
    <x v="1"/>
  </r>
  <r>
    <s v="Customer-968"/>
    <x v="223"/>
    <n v="5.5219910578831644E-4"/>
    <n v="0.87149984294488436"/>
    <x v="1"/>
  </r>
  <r>
    <s v="Customer-964"/>
    <x v="224"/>
    <n v="5.4743732832539152E-4"/>
    <n v="0.87204728027320977"/>
    <x v="1"/>
  </r>
  <r>
    <s v="Customer-308"/>
    <x v="225"/>
    <n v="5.471867084589217E-4"/>
    <n v="0.87259446698166865"/>
    <x v="1"/>
  </r>
  <r>
    <s v="Customer-324"/>
    <x v="226"/>
    <n v="5.4685254863696205E-4"/>
    <n v="0.8731413195303056"/>
    <x v="1"/>
  </r>
  <r>
    <s v="Customer-817"/>
    <x v="227"/>
    <n v="5.4468050979422438E-4"/>
    <n v="0.87368600004009977"/>
    <x v="1"/>
  </r>
  <r>
    <s v="Customer-083"/>
    <x v="228"/>
    <n v="5.3966811246482964E-4"/>
    <n v="0.87422566815256464"/>
    <x v="1"/>
  </r>
  <r>
    <s v="Customer-043"/>
    <x v="229"/>
    <n v="5.3716191380013233E-4"/>
    <n v="0.87476283006636479"/>
    <x v="1"/>
  </r>
  <r>
    <s v="Customer-374"/>
    <x v="230"/>
    <n v="5.3632651424523326E-4"/>
    <n v="0.87529915658060997"/>
    <x v="1"/>
  </r>
  <r>
    <s v="Customer-186"/>
    <x v="231"/>
    <n v="5.3214951647073759E-4"/>
    <n v="0.87583130609708071"/>
    <x v="1"/>
  </r>
  <r>
    <s v="Customer-962"/>
    <x v="232"/>
    <n v="5.3139765687132846E-4"/>
    <n v="0.87636270375395209"/>
    <x v="1"/>
  </r>
  <r>
    <s v="Customer-460"/>
    <x v="233"/>
    <n v="5.2772189882977231E-4"/>
    <n v="0.87689042565278186"/>
    <x v="1"/>
  </r>
  <r>
    <s v="Customer-891"/>
    <x v="234"/>
    <n v="5.258840198089943E-4"/>
    <n v="0.87741630967259088"/>
    <x v="1"/>
  </r>
  <r>
    <s v="Customer-778"/>
    <x v="235"/>
    <n v="5.2379552092174646E-4"/>
    <n v="0.87794010519351262"/>
    <x v="1"/>
  </r>
  <r>
    <s v="Customer-103"/>
    <x v="236"/>
    <n v="5.2262596154488764E-4"/>
    <n v="0.87846273115505746"/>
    <x v="1"/>
  </r>
  <r>
    <s v="Customer-924"/>
    <x v="237"/>
    <n v="5.2128932225704915E-4"/>
    <n v="0.8789840204773145"/>
    <x v="1"/>
  </r>
  <r>
    <s v="Customer-032"/>
    <x v="238"/>
    <n v="5.2003622292470038E-4"/>
    <n v="0.87950405670023923"/>
    <x v="1"/>
  </r>
  <r>
    <s v="Customer-616"/>
    <x v="239"/>
    <n v="5.196185231472509E-4"/>
    <n v="0.88002367522338654"/>
    <x v="1"/>
  </r>
  <r>
    <s v="Customer-147"/>
    <x v="240"/>
    <n v="5.1644400483863418E-4"/>
    <n v="0.88054011922822517"/>
    <x v="1"/>
  </r>
  <r>
    <s v="Customer-781"/>
    <x v="241"/>
    <n v="5.133530264855075E-4"/>
    <n v="0.88105347225471065"/>
    <x v="1"/>
  </r>
  <r>
    <s v="Customer-946"/>
    <x v="242"/>
    <n v="5.1326948653001756E-4"/>
    <n v="0.88156674174124061"/>
    <x v="1"/>
  </r>
  <r>
    <s v="Customer-322"/>
    <x v="243"/>
    <n v="5.1209992715315884E-4"/>
    <n v="0.88207884166839379"/>
    <x v="1"/>
  </r>
  <r>
    <s v="Customer-770"/>
    <x v="244"/>
    <n v="5.0875832893356235E-4"/>
    <n v="0.88258759999732739"/>
    <x v="1"/>
  </r>
  <r>
    <s v="Customer-199"/>
    <x v="245"/>
    <n v="5.0499903093651627E-4"/>
    <n v="0.88309259902826387"/>
    <x v="1"/>
  </r>
  <r>
    <s v="Customer-625"/>
    <x v="246"/>
    <n v="5.0291053204926854E-4"/>
    <n v="0.88359550956031319"/>
    <x v="1"/>
  </r>
  <r>
    <s v="Customer-657"/>
    <x v="246"/>
    <n v="5.0291053204926854E-4"/>
    <n v="0.8840984200923625"/>
    <x v="1"/>
  </r>
  <r>
    <s v="Customer-476"/>
    <x v="247"/>
    <n v="5.0107265302849042E-4"/>
    <n v="0.88459949274539096"/>
    <x v="1"/>
  </r>
  <r>
    <s v="Customer-052"/>
    <x v="248"/>
    <n v="5.0040433338457123E-4"/>
    <n v="0.88509989707877557"/>
    <x v="1"/>
  </r>
  <r>
    <s v="Customer-264"/>
    <x v="249"/>
    <n v="4.9748043494242421E-4"/>
    <n v="0.88559737751371803"/>
    <x v="1"/>
  </r>
  <r>
    <s v="Customer-361"/>
    <x v="250"/>
    <n v="4.9739689498693438E-4"/>
    <n v="0.88609477440870499"/>
    <x v="1"/>
  </r>
  <r>
    <s v="Customer-378"/>
    <x v="251"/>
    <n v="4.9689565525399485E-4"/>
    <n v="0.886591670063959"/>
    <x v="1"/>
  </r>
  <r>
    <s v="Customer-870"/>
    <x v="252"/>
    <n v="4.9472361641125719E-4"/>
    <n v="0.88708639368037023"/>
    <x v="1"/>
  </r>
  <r>
    <s v="Customer-102"/>
    <x v="253"/>
    <n v="4.9422237667831766E-4"/>
    <n v="0.88758061605704852"/>
    <x v="1"/>
  </r>
  <r>
    <s v="Customer-631"/>
    <x v="254"/>
    <n v="4.9205033783557999E-4"/>
    <n v="0.88807266639488414"/>
    <x v="1"/>
  </r>
  <r>
    <s v="Customer-912"/>
    <x v="255"/>
    <n v="4.9171617801362034E-4"/>
    <n v="0.88856438257289772"/>
    <x v="1"/>
  </r>
  <r>
    <s v="Customer-497"/>
    <x v="256"/>
    <n v="4.8536714139638706E-4"/>
    <n v="0.88904974971429407"/>
    <x v="1"/>
  </r>
  <r>
    <s v="Customer-840"/>
    <x v="257"/>
    <n v="4.8436466193050811E-4"/>
    <n v="0.88953411437622454"/>
    <x v="1"/>
  </r>
  <r>
    <s v="Customer-133"/>
    <x v="258"/>
    <n v="4.8403050210854846E-4"/>
    <n v="0.89001814487833308"/>
    <x v="1"/>
  </r>
  <r>
    <s v="Customer-388"/>
    <x v="259"/>
    <n v="4.8369634228658881E-4"/>
    <n v="0.89050184122061971"/>
    <x v="1"/>
  </r>
  <r>
    <s v="Customer-719"/>
    <x v="260"/>
    <n v="4.8202554317679062E-4"/>
    <n v="0.89098386676379648"/>
    <x v="1"/>
  </r>
  <r>
    <s v="Customer-558"/>
    <x v="261"/>
    <n v="4.811901436218915E-4"/>
    <n v="0.8914650569074184"/>
    <x v="1"/>
  </r>
  <r>
    <s v="Customer-921"/>
    <x v="262"/>
    <n v="4.7951934451209325E-4"/>
    <n v="0.89194457625193047"/>
    <x v="1"/>
  </r>
  <r>
    <s v="Customer-687"/>
    <x v="263"/>
    <n v="4.7885102486817395E-4"/>
    <n v="0.89242342727679869"/>
    <x v="1"/>
  </r>
  <r>
    <s v="Customer-716"/>
    <x v="264"/>
    <n v="4.7701314584739588E-4"/>
    <n v="0.89290044042264605"/>
    <x v="1"/>
  </r>
  <r>
    <s v="Customer-711"/>
    <x v="265"/>
    <n v="4.7617774629249676E-4"/>
    <n v="0.89337661816893854"/>
    <x v="1"/>
  </r>
  <r>
    <s v="Customer-881"/>
    <x v="265"/>
    <n v="4.7617774629249676E-4"/>
    <n v="0.89385279591523104"/>
    <x v="1"/>
  </r>
  <r>
    <s v="Customer-658"/>
    <x v="266"/>
    <n v="4.7049702931918277E-4"/>
    <n v="0.89432329294455026"/>
    <x v="1"/>
  </r>
  <r>
    <s v="Customer-834"/>
    <x v="267"/>
    <n v="4.6698835118860651E-4"/>
    <n v="0.8947902812957389"/>
    <x v="1"/>
  </r>
  <r>
    <s v="Customer-530"/>
    <x v="268"/>
    <n v="4.6615295163370739E-4"/>
    <n v="0.89525643424737256"/>
    <x v="1"/>
  </r>
  <r>
    <s v="Customer-219"/>
    <x v="269"/>
    <n v="4.6030515474941352E-4"/>
    <n v="0.89571673940212193"/>
    <x v="1"/>
  </r>
  <r>
    <s v="Customer-450"/>
    <x v="270"/>
    <n v="4.5863435563961533E-4"/>
    <n v="0.89617537375776157"/>
    <x v="1"/>
  </r>
  <r>
    <s v="Customer-553"/>
    <x v="271"/>
    <n v="4.5646231679687761E-4"/>
    <n v="0.89663183607455843"/>
    <x v="1"/>
  </r>
  <r>
    <s v="Customer-109"/>
    <x v="272"/>
    <n v="4.5144991946748293E-4"/>
    <n v="0.89708328599402587"/>
    <x v="1"/>
  </r>
  <r>
    <s v="Customer-922"/>
    <x v="272"/>
    <n v="4.5144991946748293E-4"/>
    <n v="0.89753473591349331"/>
    <x v="1"/>
  </r>
  <r>
    <s v="Customer-836"/>
    <x v="273"/>
    <n v="4.4977912035768468E-4"/>
    <n v="0.89798451503385102"/>
    <x v="1"/>
  </r>
  <r>
    <s v="Customer-898"/>
    <x v="274"/>
    <n v="4.4593628240514871E-4"/>
    <n v="0.89843045131625621"/>
    <x v="1"/>
  </r>
  <r>
    <s v="Customer-845"/>
    <x v="275"/>
    <n v="4.4468318307280005E-4"/>
    <n v="0.89887513449932899"/>
    <x v="1"/>
  </r>
  <r>
    <s v="Customer-549"/>
    <x v="276"/>
    <n v="4.4443256320633034E-4"/>
    <n v="0.89931956706253535"/>
    <x v="1"/>
  </r>
  <r>
    <s v="Customer-624"/>
    <x v="277"/>
    <n v="4.4175928463065315E-4"/>
    <n v="0.89976132634716599"/>
    <x v="1"/>
  </r>
  <r>
    <s v="Customer-223"/>
    <x v="278"/>
    <n v="4.4109096498673385E-4"/>
    <n v="0.90020241731215267"/>
    <x v="1"/>
  </r>
  <r>
    <s v="Customer-809"/>
    <x v="279"/>
    <n v="4.3900246609948607E-4"/>
    <n v="0.90064141977825218"/>
    <x v="1"/>
  </r>
  <r>
    <s v="Customer-833"/>
    <x v="280"/>
    <n v="4.3691396721223829E-4"/>
    <n v="0.90107833374546442"/>
    <x v="1"/>
  </r>
  <r>
    <s v="Customer-314"/>
    <x v="281"/>
    <n v="4.364962674347887E-4"/>
    <n v="0.90151483001289923"/>
    <x v="1"/>
  </r>
  <r>
    <s v="Customer-360"/>
    <x v="282"/>
    <n v="4.3524316810244004E-4"/>
    <n v="0.90195007318100162"/>
    <x v="1"/>
  </r>
  <r>
    <s v="Customer-445"/>
    <x v="283"/>
    <n v="4.3482546832499045E-4"/>
    <n v="0.90238489864932658"/>
    <x v="1"/>
  </r>
  <r>
    <s v="Customer-326"/>
    <x v="284"/>
    <n v="4.3399006877009138E-4"/>
    <n v="0.90281888871809668"/>
    <x v="1"/>
  </r>
  <r>
    <s v="Customer-291"/>
    <x v="285"/>
    <n v="4.3332174912617209E-4"/>
    <n v="0.90325221046722282"/>
    <x v="1"/>
  </r>
  <r>
    <s v="Customer-902"/>
    <x v="286"/>
    <n v="4.2889413148520676E-4"/>
    <n v="0.90368110459870798"/>
    <x v="1"/>
  </r>
  <r>
    <s v="Customer-604"/>
    <x v="287"/>
    <n v="4.2655501273148921E-4"/>
    <n v="0.90410765961143946"/>
    <x v="1"/>
  </r>
  <r>
    <s v="Customer-745"/>
    <x v="288"/>
    <n v="4.2605377299854974E-4"/>
    <n v="0.904533713384438"/>
    <x v="1"/>
  </r>
  <r>
    <s v="Customer-879"/>
    <x v="289"/>
    <n v="4.2521837344365062E-4"/>
    <n v="0.90495893175788167"/>
    <x v="1"/>
  </r>
  <r>
    <s v="Customer-387"/>
    <x v="290"/>
    <n v="4.2413235402228178E-4"/>
    <n v="0.90538306411190395"/>
    <x v="1"/>
  </r>
  <r>
    <s v="Customer-957"/>
    <x v="291"/>
    <n v="4.2254509486797348E-4"/>
    <n v="0.90580560920677189"/>
    <x v="1"/>
  </r>
  <r>
    <s v="Customer-456"/>
    <x v="292"/>
    <n v="4.2104137566915505E-4"/>
    <n v="0.90622665058244101"/>
    <x v="1"/>
  </r>
  <r>
    <s v="Customer-471"/>
    <x v="293"/>
    <n v="4.2020597611425593E-4"/>
    <n v="0.90664685655855526"/>
    <x v="1"/>
  </r>
  <r>
    <s v="Customer-842"/>
    <x v="294"/>
    <n v="4.1769977744955856E-4"/>
    <n v="0.9070645563360048"/>
    <x v="1"/>
  </r>
  <r>
    <s v="Customer-289"/>
    <x v="295"/>
    <n v="4.1602897833976031E-4"/>
    <n v="0.90748058531434461"/>
    <x v="1"/>
  </r>
  <r>
    <s v="Customer-864"/>
    <x v="296"/>
    <n v="4.1519357878486125E-4"/>
    <n v="0.90789577889312945"/>
    <x v="1"/>
  </r>
  <r>
    <s v="Customer-621"/>
    <x v="297"/>
    <n v="4.13522779675063E-4"/>
    <n v="0.90830930167280455"/>
    <x v="1"/>
  </r>
  <r>
    <s v="Customer-356"/>
    <x v="298"/>
    <n v="4.1268738012016388E-4"/>
    <n v="0.90872198905292467"/>
    <x v="1"/>
  </r>
  <r>
    <s v="Customer-832"/>
    <x v="299"/>
    <n v="4.1185198056526475E-4"/>
    <n v="0.90913384103348993"/>
    <x v="1"/>
  </r>
  <r>
    <s v="Customer-105"/>
    <x v="300"/>
    <n v="4.0884454216762791E-4"/>
    <n v="0.90954268557565754"/>
    <x v="1"/>
  </r>
  <r>
    <s v="Customer-694"/>
    <x v="301"/>
    <n v="4.0867746225664808E-4"/>
    <n v="0.90995136303791424"/>
    <x v="1"/>
  </r>
  <r>
    <s v="Customer-713"/>
    <x v="302"/>
    <n v="4.0851038234566826E-4"/>
    <n v="0.91035987342025992"/>
    <x v="1"/>
  </r>
  <r>
    <s v="Customer-695"/>
    <x v="303"/>
    <n v="4.0516878412607182E-4"/>
    <n v="0.91076504220438603"/>
    <x v="1"/>
  </r>
  <r>
    <s v="Customer-415"/>
    <x v="304"/>
    <n v="4.0349798501627357E-4"/>
    <n v="0.9111685401894023"/>
    <x v="1"/>
  </r>
  <r>
    <s v="Customer-430"/>
    <x v="304"/>
    <n v="4.0349798501627357E-4"/>
    <n v="0.91157203817441856"/>
    <x v="1"/>
  </r>
  <r>
    <s v="Customer-740"/>
    <x v="305"/>
    <n v="4.0266258546137445E-4"/>
    <n v="0.91197470075987996"/>
    <x v="1"/>
  </r>
  <r>
    <s v="Customer-331"/>
    <x v="306"/>
    <n v="4.0182718590647533E-4"/>
    <n v="0.91237652794578639"/>
    <x v="1"/>
  </r>
  <r>
    <s v="Customer-127"/>
    <x v="307"/>
    <n v="4.016601059954955E-4"/>
    <n v="0.9127781880517819"/>
    <x v="1"/>
  </r>
  <r>
    <s v="Customer-858"/>
    <x v="307"/>
    <n v="4.016601059954955E-4"/>
    <n v="0.91317984815777742"/>
    <x v="1"/>
  </r>
  <r>
    <s v="Customer-152"/>
    <x v="308"/>
    <n v="4.0099178635157626E-4"/>
    <n v="0.91358083994412898"/>
    <x v="1"/>
  </r>
  <r>
    <s v="Customer-272"/>
    <x v="309"/>
    <n v="3.9681478857708064E-4"/>
    <n v="0.91397765473270609"/>
    <x v="1"/>
  </r>
  <r>
    <s v="Customer-206"/>
    <x v="310"/>
    <n v="3.9263779080258508E-4"/>
    <n v="0.91437029252350865"/>
    <x v="1"/>
  </r>
  <r>
    <s v="Customer-941"/>
    <x v="311"/>
    <n v="3.9096699169278683E-4"/>
    <n v="0.91476125951520149"/>
    <x v="1"/>
  </r>
  <r>
    <s v="Customer-651"/>
    <x v="312"/>
    <n v="3.9054929191533724E-4"/>
    <n v="0.91515180880711677"/>
    <x v="1"/>
  </r>
  <r>
    <s v="Customer-406"/>
    <x v="313"/>
    <n v="3.8595459436339215E-4"/>
    <n v="0.91553776340148019"/>
    <x v="1"/>
  </r>
  <r>
    <s v="Customer-846"/>
    <x v="314"/>
    <n v="3.8528627471947285E-4"/>
    <n v="0.91592304967619964"/>
    <x v="1"/>
  </r>
  <r>
    <s v="Customer-413"/>
    <x v="315"/>
    <n v="3.8445087516457372E-4"/>
    <n v="0.91630750055136423"/>
    <x v="1"/>
  </r>
  <r>
    <s v="Customer-394"/>
    <x v="316"/>
    <n v="3.842837952535939E-4"/>
    <n v="0.9166917843466178"/>
    <x v="1"/>
  </r>
  <r>
    <s v="Customer-704"/>
    <x v="316"/>
    <n v="3.842837952535939E-4"/>
    <n v="0.91707606814187137"/>
    <x v="1"/>
  </r>
  <r>
    <s v="Customer-005"/>
    <x v="317"/>
    <n v="3.8344839569869478E-4"/>
    <n v="0.91745951653757007"/>
    <x v="1"/>
  </r>
  <r>
    <s v="Customer-414"/>
    <x v="318"/>
    <n v="3.7893723810223957E-4"/>
    <n v="0.9178384537756723"/>
    <x v="1"/>
  </r>
  <r>
    <s v="Customer-118"/>
    <x v="319"/>
    <n v="3.7843599836930009E-4"/>
    <n v="0.91821688977404159"/>
    <x v="1"/>
  </r>
  <r>
    <s v="Customer-061"/>
    <x v="320"/>
    <n v="3.7592979970460272E-4"/>
    <n v="0.91859281957374617"/>
    <x v="1"/>
  </r>
  <r>
    <s v="Customer-427"/>
    <x v="320"/>
    <n v="3.7592979970460272E-4"/>
    <n v="0.91896874937345074"/>
    <x v="1"/>
  </r>
  <r>
    <s v="Customer-017"/>
    <x v="321"/>
    <n v="3.7342360103990535E-4"/>
    <n v="0.91934217297449061"/>
    <x v="1"/>
  </r>
  <r>
    <s v="Customer-095"/>
    <x v="321"/>
    <n v="3.7342360103990535E-4"/>
    <n v="0.91971559657553048"/>
    <x v="1"/>
  </r>
  <r>
    <s v="Customer-853"/>
    <x v="322"/>
    <n v="3.7158572201912733E-4"/>
    <n v="0.9200871822975496"/>
    <x v="1"/>
  </r>
  <r>
    <s v="Customer-072"/>
    <x v="323"/>
    <n v="3.7100094233069792E-4"/>
    <n v="0.92045818323988027"/>
    <x v="1"/>
  </r>
  <r>
    <s v="Customer-459"/>
    <x v="324"/>
    <n v="3.6924660326540979E-4"/>
    <n v="0.9208274298431457"/>
    <x v="1"/>
  </r>
  <r>
    <s v="Customer-681"/>
    <x v="325"/>
    <n v="3.6841120371051067E-4"/>
    <n v="0.92119584104685626"/>
    <x v="1"/>
  </r>
  <r>
    <s v="Customer-823"/>
    <x v="325"/>
    <n v="3.6841120371051067E-4"/>
    <n v="0.92156425225056682"/>
    <x v="1"/>
  </r>
  <r>
    <s v="Customer-943"/>
    <x v="325"/>
    <n v="3.6841120371051067E-4"/>
    <n v="0.92193266345427738"/>
    <x v="1"/>
  </r>
  <r>
    <s v="Customer-692"/>
    <x v="326"/>
    <n v="3.6824412379953084E-4"/>
    <n v="0.92230090757807692"/>
    <x v="1"/>
  </r>
  <r>
    <s v="Customer-782"/>
    <x v="327"/>
    <n v="3.6757580415561154E-4"/>
    <n v="0.92266848338223251"/>
    <x v="1"/>
  </r>
  <r>
    <s v="Customer-440"/>
    <x v="328"/>
    <n v="3.6740872424463172E-4"/>
    <n v="0.92303589210647718"/>
    <x v="1"/>
  </r>
  <r>
    <s v="Customer-824"/>
    <x v="328"/>
    <n v="3.6740872424463172E-4"/>
    <n v="0.92340330083072186"/>
    <x v="1"/>
  </r>
  <r>
    <s v="Customer-092"/>
    <x v="329"/>
    <n v="3.642342059360151E-4"/>
    <n v="0.92376753503665787"/>
    <x v="1"/>
  </r>
  <r>
    <s v="Customer-143"/>
    <x v="330"/>
    <n v="3.6256340682621686E-4"/>
    <n v="0.92413009844348404"/>
    <x v="1"/>
  </r>
  <r>
    <s v="Customer-154"/>
    <x v="331"/>
    <n v="3.5755100949682212E-4"/>
    <n v="0.9244876494529809"/>
    <x v="1"/>
  </r>
  <r>
    <s v="Customer-593"/>
    <x v="331"/>
    <n v="3.5755100949682212E-4"/>
    <n v="0.92484520046247776"/>
    <x v="1"/>
  </r>
  <r>
    <s v="Customer-897"/>
    <x v="332"/>
    <n v="3.5738392958584229E-4"/>
    <n v="0.9252025843920636"/>
    <x v="1"/>
  </r>
  <r>
    <s v="Customer-992"/>
    <x v="333"/>
    <n v="3.550448108321248E-4"/>
    <n v="0.92555762920289575"/>
    <x v="1"/>
  </r>
  <r>
    <s v="Customer-571"/>
    <x v="334"/>
    <n v="3.5337401172232655E-4"/>
    <n v="0.92591100321461806"/>
    <x v="1"/>
  </r>
  <r>
    <s v="Customer-203"/>
    <x v="335"/>
    <n v="3.5086781305762919E-4"/>
    <n v="0.92626187102767565"/>
    <x v="1"/>
  </r>
  <r>
    <s v="Customer-526"/>
    <x v="335"/>
    <n v="3.5086781305762919E-4"/>
    <n v="0.92661273884073325"/>
    <x v="1"/>
  </r>
  <r>
    <s v="Customer-422"/>
    <x v="336"/>
    <n v="3.5070073314664936E-4"/>
    <n v="0.92696343957387994"/>
    <x v="1"/>
  </r>
  <r>
    <s v="Customer-932"/>
    <x v="337"/>
    <n v="3.4919701394783099E-4"/>
    <n v="0.92731263658782781"/>
    <x v="1"/>
  </r>
  <r>
    <s v="Customer-362"/>
    <x v="338"/>
    <n v="3.487793141703814E-4"/>
    <n v="0.92766141590199824"/>
    <x v="1"/>
  </r>
  <r>
    <s v="Customer-125"/>
    <x v="339"/>
    <n v="3.4794391461548228E-4"/>
    <n v="0.9280093598166137"/>
    <x v="1"/>
  </r>
  <r>
    <s v="Customer-634"/>
    <x v="340"/>
    <n v="3.458554157282345E-4"/>
    <n v="0.92835521523234188"/>
    <x v="1"/>
  </r>
  <r>
    <s v="Customer-307"/>
    <x v="341"/>
    <n v="3.4334921706353713E-4"/>
    <n v="0.92869856444940546"/>
    <x v="1"/>
  </r>
  <r>
    <s v="Customer-293"/>
    <x v="342"/>
    <n v="3.4251381750863801E-4"/>
    <n v="0.92904107826691407"/>
    <x v="1"/>
  </r>
  <r>
    <s v="Customer-474"/>
    <x v="343"/>
    <n v="3.4167841795373894E-4"/>
    <n v="0.92938275668486781"/>
    <x v="1"/>
  </r>
  <r>
    <s v="Customer-160"/>
    <x v="344"/>
    <n v="3.4084301839883981E-4"/>
    <n v="0.92972359970326668"/>
    <x v="1"/>
  </r>
  <r>
    <s v="Customer-381"/>
    <x v="344"/>
    <n v="3.4084301839883981E-4"/>
    <n v="0.93006444272166555"/>
    <x v="1"/>
  </r>
  <r>
    <s v="Customer-275"/>
    <x v="345"/>
    <n v="3.3917221928904157E-4"/>
    <n v="0.93040361494095458"/>
    <x v="1"/>
  </r>
  <r>
    <s v="Customer-540"/>
    <x v="346"/>
    <n v="3.3750142017924332E-4"/>
    <n v="0.93074111636113388"/>
    <x v="1"/>
  </r>
  <r>
    <s v="Customer-273"/>
    <x v="347"/>
    <n v="3.3349150231572758E-4"/>
    <n v="0.93107460786344964"/>
    <x v="1"/>
  </r>
  <r>
    <s v="Customer-041"/>
    <x v="348"/>
    <n v="3.3332442240474776E-4"/>
    <n v="0.93140793228585439"/>
    <x v="1"/>
  </r>
  <r>
    <s v="Customer-588"/>
    <x v="348"/>
    <n v="3.3332442240474776E-4"/>
    <n v="0.93174125670825914"/>
    <x v="1"/>
  </r>
  <r>
    <s v="Customer-807"/>
    <x v="348"/>
    <n v="3.3332442240474776E-4"/>
    <n v="0.93207458113066388"/>
    <x v="1"/>
  </r>
  <r>
    <s v="Customer-226"/>
    <x v="349"/>
    <n v="3.3081822374005039E-4"/>
    <n v="0.93240539935440392"/>
    <x v="1"/>
  </r>
  <r>
    <s v="Customer-486"/>
    <x v="350"/>
    <n v="3.3014990409613109E-4"/>
    <n v="0.9327355492585"/>
    <x v="1"/>
  </r>
  <r>
    <s v="Customer-905"/>
    <x v="351"/>
    <n v="3.2914742463025214E-4"/>
    <n v="0.9330646966831303"/>
    <x v="1"/>
  </r>
  <r>
    <s v="Customer-609"/>
    <x v="352"/>
    <n v="3.2747662552045395E-4"/>
    <n v="0.93339217330865076"/>
    <x v="1"/>
  </r>
  <r>
    <s v="Customer-399"/>
    <x v="353"/>
    <n v="3.2329962774595833E-4"/>
    <n v="0.93371547293639667"/>
    <x v="1"/>
  </r>
  <r>
    <s v="Customer-690"/>
    <x v="354"/>
    <n v="3.2313254783497851E-4"/>
    <n v="0.93403860548423168"/>
    <x v="1"/>
  </r>
  <r>
    <s v="Customer-292"/>
    <x v="355"/>
    <n v="3.2271484805752897E-4"/>
    <n v="0.93436132033228925"/>
    <x v="1"/>
  </r>
  <r>
    <s v="Customer-579"/>
    <x v="356"/>
    <n v="3.2162882863616009E-4"/>
    <n v="0.93468294916092542"/>
    <x v="1"/>
  </r>
  <r>
    <s v="Customer-296"/>
    <x v="357"/>
    <n v="3.2079342908126096E-4"/>
    <n v="0.93500374259000674"/>
    <x v="1"/>
  </r>
  <r>
    <s v="Customer-327"/>
    <x v="357"/>
    <n v="3.2079342908126096E-4"/>
    <n v="0.93532453601908805"/>
    <x v="1"/>
  </r>
  <r>
    <s v="Customer-546"/>
    <x v="357"/>
    <n v="3.2079342908126096E-4"/>
    <n v="0.93564532944816936"/>
    <x v="1"/>
  </r>
  <r>
    <s v="Customer-572"/>
    <x v="357"/>
    <n v="3.2079342908126096E-4"/>
    <n v="0.93596612287725067"/>
    <x v="1"/>
  </r>
  <r>
    <s v="Customer-936"/>
    <x v="357"/>
    <n v="3.2079342908126096E-4"/>
    <n v="0.93628691630633198"/>
    <x v="1"/>
  </r>
  <r>
    <s v="Customer-738"/>
    <x v="358"/>
    <n v="3.1962386970440224E-4"/>
    <n v="0.9366065401760364"/>
    <x v="1"/>
  </r>
  <r>
    <s v="Customer-844"/>
    <x v="359"/>
    <n v="3.1870493019401318E-4"/>
    <n v="0.93692524510623043"/>
    <x v="1"/>
  </r>
  <r>
    <s v="Customer-008"/>
    <x v="360"/>
    <n v="3.1745183086166452E-4"/>
    <n v="0.93724269693709206"/>
    <x v="1"/>
  </r>
  <r>
    <s v="Customer-294"/>
    <x v="360"/>
    <n v="3.1745183086166452E-4"/>
    <n v="0.93756014876795368"/>
    <x v="1"/>
  </r>
  <r>
    <s v="Customer-766"/>
    <x v="360"/>
    <n v="3.1745183086166452E-4"/>
    <n v="0.93787760059881531"/>
    <x v="1"/>
  </r>
  <r>
    <s v="Customer-188"/>
    <x v="361"/>
    <n v="3.1578103175186628E-4"/>
    <n v="0.9381933816305672"/>
    <x v="1"/>
  </r>
  <r>
    <s v="Customer-050"/>
    <x v="362"/>
    <n v="3.1536333197441674E-4"/>
    <n v="0.93850874496254166"/>
    <x v="1"/>
  </r>
  <r>
    <s v="Customer-301"/>
    <x v="363"/>
    <n v="3.1277359335422949E-4"/>
    <n v="0.93882151855589591"/>
    <x v="1"/>
  </r>
  <r>
    <s v="Customer-328"/>
    <x v="364"/>
    <n v="3.1118633419992113E-4"/>
    <n v="0.93913270489009582"/>
    <x v="1"/>
  </r>
  <r>
    <s v="Customer-684"/>
    <x v="365"/>
    <n v="3.1076863442247159E-4"/>
    <n v="0.93944347352451829"/>
    <x v="1"/>
  </r>
  <r>
    <s v="Customer-015"/>
    <x v="366"/>
    <n v="3.0909783531267335E-4"/>
    <n v="0.93975257135983092"/>
    <x v="1"/>
  </r>
  <r>
    <s v="Customer-014"/>
    <x v="367"/>
    <n v="3.0826243575777422E-4"/>
    <n v="0.94006083379558869"/>
    <x v="1"/>
  </r>
  <r>
    <s v="Customer-393"/>
    <x v="367"/>
    <n v="3.0826243575777422E-4"/>
    <n v="0.94036909623134646"/>
    <x v="1"/>
  </r>
  <r>
    <s v="Customer-176"/>
    <x v="368"/>
    <n v="3.074270362028751E-4"/>
    <n v="0.94067652326754936"/>
    <x v="1"/>
  </r>
  <r>
    <s v="Customer-120"/>
    <x v="369"/>
    <n v="3.0575623709307685E-4"/>
    <n v="0.94098227950464242"/>
    <x v="1"/>
  </r>
  <r>
    <s v="Customer-800"/>
    <x v="370"/>
    <n v="3.0533853731562732E-4"/>
    <n v="0.94128761804195804"/>
    <x v="1"/>
  </r>
  <r>
    <s v="Customer-509"/>
    <x v="371"/>
    <n v="3.0408543798327866E-4"/>
    <n v="0.94159170347994137"/>
    <x v="1"/>
  </r>
  <r>
    <s v="Customer-708"/>
    <x v="372"/>
    <n v="3.0241463887348041E-4"/>
    <n v="0.94189411811881485"/>
    <x v="1"/>
  </r>
  <r>
    <s v="Customer-191"/>
    <x v="373"/>
    <n v="3.0199693909603082E-4"/>
    <n v="0.9421961150579109"/>
    <x v="1"/>
  </r>
  <r>
    <s v="Customer-993"/>
    <x v="373"/>
    <n v="3.0199693909603082E-4"/>
    <n v="0.94249811199700695"/>
    <x v="1"/>
  </r>
  <r>
    <s v="Customer-055"/>
    <x v="374"/>
    <n v="3.0074383976368217E-4"/>
    <n v="0.94279885583677059"/>
    <x v="1"/>
  </r>
  <r>
    <s v="Customer-153"/>
    <x v="374"/>
    <n v="3.0074383976368217E-4"/>
    <n v="0.94309959967653423"/>
    <x v="1"/>
  </r>
  <r>
    <s v="Customer-306"/>
    <x v="374"/>
    <n v="3.0074383976368217E-4"/>
    <n v="0.94340034351629787"/>
    <x v="1"/>
  </r>
  <r>
    <s v="Customer-309"/>
    <x v="374"/>
    <n v="3.0074383976368217E-4"/>
    <n v="0.94370108735606151"/>
    <x v="1"/>
  </r>
  <r>
    <s v="Customer-437"/>
    <x v="374"/>
    <n v="3.0074383976368217E-4"/>
    <n v="0.94400183119582515"/>
    <x v="1"/>
  </r>
  <r>
    <s v="Customer-556"/>
    <x v="374"/>
    <n v="3.0074383976368217E-4"/>
    <n v="0.94430257503558879"/>
    <x v="1"/>
  </r>
  <r>
    <s v="Customer-518"/>
    <x v="375"/>
    <n v="2.9990844020878304E-4"/>
    <n v="0.94460248347579756"/>
    <x v="1"/>
  </r>
  <r>
    <s v="Customer-892"/>
    <x v="376"/>
    <n v="2.9907304065388392E-4"/>
    <n v="0.94490155651645147"/>
    <x v="1"/>
  </r>
  <r>
    <s v="Customer-619"/>
    <x v="377"/>
    <n v="2.9740224154408573E-4"/>
    <n v="0.94519895875799553"/>
    <x v="1"/>
  </r>
  <r>
    <s v="Customer-172"/>
    <x v="378"/>
    <n v="2.9289108394763046E-4"/>
    <n v="0.94549184984194312"/>
    <x v="1"/>
  </r>
  <r>
    <s v="Customer-025"/>
    <x v="379"/>
    <n v="2.9238984421469099E-4"/>
    <n v="0.94578423968615777"/>
    <x v="1"/>
  </r>
  <r>
    <s v="Customer-336"/>
    <x v="379"/>
    <n v="2.9238984421469099E-4"/>
    <n v="0.94607662953037241"/>
    <x v="1"/>
  </r>
  <r>
    <s v="Customer-002"/>
    <x v="380"/>
    <n v="2.9113674488234233E-4"/>
    <n v="0.94636776627525476"/>
    <x v="1"/>
  </r>
  <r>
    <s v="Customer-364"/>
    <x v="381"/>
    <n v="2.9105320492685239E-4"/>
    <n v="0.9466588194801816"/>
    <x v="1"/>
  </r>
  <r>
    <s v="Customer-550"/>
    <x v="382"/>
    <n v="2.8904824599509455E-4"/>
    <n v="0.94694786772617667"/>
    <x v="1"/>
  </r>
  <r>
    <s v="Customer-951"/>
    <x v="383"/>
    <n v="2.8821284644019543E-4"/>
    <n v="0.94723608057261688"/>
    <x v="1"/>
  </r>
  <r>
    <s v="Customer-029"/>
    <x v="384"/>
    <n v="2.8570664777549806E-4"/>
    <n v="0.94752178722039238"/>
    <x v="1"/>
  </r>
  <r>
    <s v="Customer-718"/>
    <x v="384"/>
    <n v="2.8570664777549806E-4"/>
    <n v="0.94780749386816787"/>
    <x v="1"/>
  </r>
  <r>
    <s v="Customer-986"/>
    <x v="384"/>
    <n v="2.8570664777549806E-4"/>
    <n v="0.94809320051594337"/>
    <x v="1"/>
  </r>
  <r>
    <s v="Customer-197"/>
    <x v="385"/>
    <n v="2.8403584866569981E-4"/>
    <n v="0.94837723636460902"/>
    <x v="1"/>
  </r>
  <r>
    <s v="Customer-182"/>
    <x v="386"/>
    <n v="2.8102841026806302E-4"/>
    <n v="0.94865826477487714"/>
    <x v="1"/>
  </r>
  <r>
    <s v="Customer-138"/>
    <x v="387"/>
    <n v="2.8069425044610337E-4"/>
    <n v="0.94893895902532321"/>
    <x v="1"/>
  </r>
  <r>
    <s v="Customer-569"/>
    <x v="387"/>
    <n v="2.8069425044610337E-4"/>
    <n v="0.94921965327576929"/>
    <x v="1"/>
  </r>
  <r>
    <s v="Customer-829"/>
    <x v="388"/>
    <n v="2.8052717053512355E-4"/>
    <n v="0.94950018044630446"/>
    <x v="1"/>
  </r>
  <r>
    <s v="Customer-335"/>
    <x v="389"/>
    <n v="2.7902345133630512E-4"/>
    <n v="0.94977920389764081"/>
    <x v="1"/>
  </r>
  <r>
    <s v="Customer-884"/>
    <x v="390"/>
    <n v="2.78188051781406E-4"/>
    <n v="0.95005739194942218"/>
    <x v="1"/>
  </r>
  <r>
    <s v="Customer-796"/>
    <x v="391"/>
    <n v="2.7693495244905734E-4"/>
    <n v="0.95033432690187125"/>
    <x v="1"/>
  </r>
  <r>
    <s v="Customer-988"/>
    <x v="392"/>
    <n v="2.7568185311670868E-4"/>
    <n v="0.95061000875498791"/>
    <x v="1"/>
  </r>
  <r>
    <s v="Customer-131"/>
    <x v="393"/>
    <n v="2.7484645356180956E-4"/>
    <n v="0.95088485520854971"/>
    <x v="1"/>
  </r>
  <r>
    <s v="Customer-700"/>
    <x v="394"/>
    <n v="2.7434521382887009E-4"/>
    <n v="0.95115920042237856"/>
    <x v="1"/>
  </r>
  <r>
    <s v="Customer-024"/>
    <x v="395"/>
    <n v="2.7066945578731394E-4"/>
    <n v="0.95142986987816591"/>
    <x v="1"/>
  </r>
  <r>
    <s v="Customer-189"/>
    <x v="395"/>
    <n v="2.7066945578731394E-4"/>
    <n v="0.95170053933395327"/>
    <x v="1"/>
  </r>
  <r>
    <s v="Customer-990"/>
    <x v="395"/>
    <n v="2.7066945578731394E-4"/>
    <n v="0.95197120878974062"/>
    <x v="1"/>
  </r>
  <r>
    <s v="Customer-966"/>
    <x v="396"/>
    <n v="2.689986566775157E-4"/>
    <n v="0.95224020744641813"/>
    <x v="1"/>
  </r>
  <r>
    <s v="Customer-026"/>
    <x v="397"/>
    <n v="2.6532289863595961E-4"/>
    <n v="0.95250553034505414"/>
    <x v="1"/>
  </r>
  <r>
    <s v="Customer-419"/>
    <x v="398"/>
    <n v="2.6432041917008066E-4"/>
    <n v="0.95276985076422427"/>
    <x v="1"/>
  </r>
  <r>
    <s v="Customer-674"/>
    <x v="399"/>
    <n v="2.6315085979322189E-4"/>
    <n v="0.9530330016240175"/>
    <x v="1"/>
  </r>
  <r>
    <s v="Customer-750"/>
    <x v="399"/>
    <n v="2.6315085979322189E-4"/>
    <n v="0.95329615248381072"/>
    <x v="1"/>
  </r>
  <r>
    <s v="Customer-069"/>
    <x v="400"/>
    <n v="2.6064466112852457E-4"/>
    <n v="0.95355679714493924"/>
    <x v="1"/>
  </r>
  <r>
    <s v="Customer-693"/>
    <x v="400"/>
    <n v="2.6064466112852457E-4"/>
    <n v="0.95381744180606776"/>
    <x v="1"/>
  </r>
  <r>
    <s v="Customer-979"/>
    <x v="400"/>
    <n v="2.6064466112852457E-4"/>
    <n v="0.95407808646719627"/>
    <x v="1"/>
  </r>
  <r>
    <s v="Customer-978"/>
    <x v="401"/>
    <n v="2.6039404126205481E-4"/>
    <n v="0.95433848050845838"/>
    <x v="1"/>
  </r>
  <r>
    <s v="Customer-132"/>
    <x v="402"/>
    <n v="2.5897386201872633E-4"/>
    <n v="0.95459745437047705"/>
    <x v="1"/>
  </r>
  <r>
    <s v="Customer-402"/>
    <x v="403"/>
    <n v="2.5855616224127674E-4"/>
    <n v="0.95485601053271829"/>
    <x v="1"/>
  </r>
  <r>
    <s v="Customer-157"/>
    <x v="404"/>
    <n v="2.581384624638272E-4"/>
    <n v="0.9551141489951821"/>
    <x v="1"/>
  </r>
  <r>
    <s v="Customer-739"/>
    <x v="405"/>
    <n v="2.5630058344304913E-4"/>
    <n v="0.95537044957862516"/>
    <x v="1"/>
  </r>
  <r>
    <s v="Customer-038"/>
    <x v="406"/>
    <n v="2.5563226379912983E-4"/>
    <n v="0.95562608184242426"/>
    <x v="1"/>
  </r>
  <r>
    <s v="Customer-398"/>
    <x v="407"/>
    <n v="2.552145640216803E-4"/>
    <n v="0.95588129640644592"/>
    <x v="1"/>
  </r>
  <r>
    <s v="Customer-759"/>
    <x v="408"/>
    <n v="2.5396146468933159E-4"/>
    <n v="0.95613525787113529"/>
    <x v="1"/>
  </r>
  <r>
    <s v="Customer-907"/>
    <x v="409"/>
    <n v="2.5270836535698293E-4"/>
    <n v="0.95638796623649225"/>
    <x v="1"/>
  </r>
  <r>
    <s v="Customer-601"/>
    <x v="410"/>
    <n v="2.5229066557953339E-4"/>
    <n v="0.95664025690207177"/>
    <x v="1"/>
  </r>
  <r>
    <s v="Customer-255"/>
    <x v="411"/>
    <n v="2.5112110620267462E-4"/>
    <n v="0.9568913780082744"/>
    <x v="1"/>
  </r>
  <r>
    <s v="Customer-099"/>
    <x v="412"/>
    <n v="2.5078694638071497E-4"/>
    <n v="0.95714216495465509"/>
    <x v="1"/>
  </r>
  <r>
    <s v="Customer-205"/>
    <x v="413"/>
    <n v="2.5061986646973515E-4"/>
    <n v="0.95739278482112478"/>
    <x v="1"/>
  </r>
  <r>
    <s v="Customer-996"/>
    <x v="414"/>
    <n v="2.4844782762699743E-4"/>
    <n v="0.95764123264875178"/>
    <x v="1"/>
  </r>
  <r>
    <s v="Customer-046"/>
    <x v="415"/>
    <n v="2.4811366780503778E-4"/>
    <n v="0.95788934631655687"/>
    <x v="1"/>
  </r>
  <r>
    <s v="Customer-119"/>
    <x v="415"/>
    <n v="2.4811366780503778E-4"/>
    <n v="0.95813745998436195"/>
    <x v="1"/>
  </r>
  <r>
    <s v="Customer-673"/>
    <x v="416"/>
    <n v="2.4686056847268912E-4"/>
    <n v="0.95838432055283462"/>
    <x v="1"/>
  </r>
  <r>
    <s v="Customer-042"/>
    <x v="417"/>
    <n v="2.4510622940740099E-4"/>
    <n v="0.95862942678224206"/>
    <x v="1"/>
  </r>
  <r>
    <s v="Customer-318"/>
    <x v="418"/>
    <n v="2.4376959011956239E-4"/>
    <n v="0.95887319637236157"/>
    <x v="1"/>
  </r>
  <r>
    <s v="Customer-087"/>
    <x v="419"/>
    <n v="2.4226587092074397E-4"/>
    <n v="0.95911546224328237"/>
    <x v="1"/>
  </r>
  <r>
    <s v="Customer-236"/>
    <x v="419"/>
    <n v="2.4226587092074397E-4"/>
    <n v="0.95935772811420317"/>
    <x v="1"/>
  </r>
  <r>
    <s v="Customer-539"/>
    <x v="419"/>
    <n v="2.4226587092074397E-4"/>
    <n v="0.95959999398512397"/>
    <x v="1"/>
  </r>
  <r>
    <s v="Customer-349"/>
    <x v="420"/>
    <n v="2.4209879100976414E-4"/>
    <n v="0.95984209277613375"/>
    <x v="1"/>
  </r>
  <r>
    <s v="Customer-714"/>
    <x v="421"/>
    <n v="2.402609119889861E-4"/>
    <n v="0.96008235368812278"/>
    <x v="1"/>
  </r>
  <r>
    <s v="Customer-181"/>
    <x v="422"/>
    <n v="2.3975967225604663E-4"/>
    <n v="0.96032211336037887"/>
    <x v="1"/>
  </r>
  <r>
    <s v="Customer-896"/>
    <x v="423"/>
    <n v="2.3842303296820803E-4"/>
    <n v="0.96056053639334704"/>
    <x v="1"/>
  </r>
  <r>
    <s v="Customer-598"/>
    <x v="424"/>
    <n v="2.3808887314624838E-4"/>
    <n v="0.96079862526649329"/>
    <x v="1"/>
  </r>
  <r>
    <s v="Customer-359"/>
    <x v="425"/>
    <n v="2.3391187537175279E-4"/>
    <n v="0.9610325371418651"/>
    <x v="1"/>
  </r>
  <r>
    <s v="Customer-367"/>
    <x v="425"/>
    <n v="2.3391187537175279E-4"/>
    <n v="0.9612664490172369"/>
    <x v="1"/>
  </r>
  <r>
    <s v="Customer-792"/>
    <x v="426"/>
    <n v="2.3307647581685369E-4"/>
    <n v="0.96149952549305373"/>
    <x v="1"/>
  </r>
  <r>
    <s v="Customer-886"/>
    <x v="426"/>
    <n v="2.3307647581685369E-4"/>
    <n v="0.96173260196887056"/>
    <x v="1"/>
  </r>
  <r>
    <s v="Customer-438"/>
    <x v="427"/>
    <n v="2.3257523608391422E-4"/>
    <n v="0.96196517720495445"/>
    <x v="1"/>
  </r>
  <r>
    <s v="Customer-723"/>
    <x v="427"/>
    <n v="2.3257523608391422E-4"/>
    <n v="0.96219775244103833"/>
    <x v="1"/>
  </r>
  <r>
    <s v="Customer-808"/>
    <x v="428"/>
    <n v="2.3199045639548483E-4"/>
    <n v="0.96242974289743377"/>
    <x v="1"/>
  </r>
  <r>
    <s v="Customer-111"/>
    <x v="429"/>
    <n v="2.3190691643999492E-4"/>
    <n v="0.96266164981387381"/>
    <x v="1"/>
  </r>
  <r>
    <s v="Customer-320"/>
    <x v="430"/>
    <n v="2.288994780423581E-4"/>
    <n v="0.9628905492919162"/>
    <x v="1"/>
  </r>
  <r>
    <s v="Customer-093"/>
    <x v="431"/>
    <n v="2.2806407848745898E-4"/>
    <n v="0.96311861337040361"/>
    <x v="1"/>
  </r>
  <r>
    <s v="Customer-156"/>
    <x v="431"/>
    <n v="2.2806407848745898E-4"/>
    <n v="0.96334667744889102"/>
    <x v="1"/>
  </r>
  <r>
    <s v="Customer-582"/>
    <x v="431"/>
    <n v="2.2806407848745898E-4"/>
    <n v="0.96357474152737843"/>
    <x v="1"/>
  </r>
  <r>
    <s v="Customer-890"/>
    <x v="432"/>
    <n v="2.2739575884353968E-4"/>
    <n v="0.96380213728622199"/>
    <x v="1"/>
  </r>
  <r>
    <s v="Customer-559"/>
    <x v="433"/>
    <n v="2.2580849968923138E-4"/>
    <n v="0.96402794578591122"/>
    <x v="1"/>
  </r>
  <r>
    <s v="Customer-217"/>
    <x v="434"/>
    <n v="2.2555787982276164E-4"/>
    <n v="0.96425350366573404"/>
    <x v="1"/>
  </r>
  <r>
    <s v="Customer-252"/>
    <x v="434"/>
    <n v="2.2555787982276164E-4"/>
    <n v="0.96447906154555685"/>
    <x v="1"/>
  </r>
  <r>
    <s v="Customer-533"/>
    <x v="434"/>
    <n v="2.2555787982276164E-4"/>
    <n v="0.96470461942537966"/>
    <x v="1"/>
  </r>
  <r>
    <s v="Customer-411"/>
    <x v="435"/>
    <n v="2.2539079991178181E-4"/>
    <n v="0.96493001022529146"/>
    <x v="1"/>
  </r>
  <r>
    <s v="Customer-760"/>
    <x v="436"/>
    <n v="2.2221628160316517E-4"/>
    <n v="0.96515222650689458"/>
    <x v="1"/>
  </r>
  <r>
    <s v="Customer-421"/>
    <x v="437"/>
    <n v="2.210467222263064E-4"/>
    <n v="0.96537327322912092"/>
    <x v="1"/>
  </r>
  <r>
    <s v="Customer-053"/>
    <x v="438"/>
    <n v="2.2054548249336693E-4"/>
    <n v="0.96559381871161432"/>
    <x v="1"/>
  </r>
  <r>
    <s v="Customer-504"/>
    <x v="438"/>
    <n v="2.2054548249336693E-4"/>
    <n v="0.96581436419410771"/>
    <x v="1"/>
  </r>
  <r>
    <s v="Customer-204"/>
    <x v="439"/>
    <n v="2.1887468338356871E-4"/>
    <n v="0.96603323887749126"/>
    <x v="1"/>
  </r>
  <r>
    <s v="Customer-581"/>
    <x v="440"/>
    <n v="2.1603432489691169E-4"/>
    <n v="0.96624927320238818"/>
    <x v="1"/>
  </r>
  <r>
    <s v="Customer-472"/>
    <x v="441"/>
    <n v="2.1570016507495204E-4"/>
    <n v="0.96646497336746318"/>
    <x v="1"/>
  </r>
  <r>
    <s v="Customer-128"/>
    <x v="442"/>
    <n v="2.1260918672182531E-4"/>
    <n v="0.96667758255418501"/>
    <x v="1"/>
  </r>
  <r>
    <s v="Customer-315"/>
    <x v="443"/>
    <n v="2.1052068783457753E-4"/>
    <n v="0.96688810324201957"/>
    <x v="1"/>
  </r>
  <r>
    <s v="Customer-062"/>
    <x v="444"/>
    <n v="2.0884988872477928E-4"/>
    <n v="0.9670969531307444"/>
    <x v="1"/>
  </r>
  <r>
    <s v="Customer-452"/>
    <x v="444"/>
    <n v="2.0884988872477928E-4"/>
    <n v="0.96730580301946922"/>
    <x v="1"/>
  </r>
  <r>
    <s v="Customer-520"/>
    <x v="445"/>
    <n v="2.0751324943694071E-4"/>
    <n v="0.96751331626890613"/>
    <x v="1"/>
  </r>
  <r>
    <s v="Customer-586"/>
    <x v="446"/>
    <n v="2.0684492979302141E-4"/>
    <n v="0.96772016119869919"/>
    <x v="1"/>
  </r>
  <r>
    <s v="Customer-094"/>
    <x v="447"/>
    <n v="2.0467289095028369E-4"/>
    <n v="0.96792483408964947"/>
    <x v="1"/>
  </r>
  <r>
    <s v="Customer-107"/>
    <x v="447"/>
    <n v="2.0467289095028369E-4"/>
    <n v="0.96812950698059974"/>
    <x v="1"/>
  </r>
  <r>
    <s v="Customer-229"/>
    <x v="447"/>
    <n v="2.0467289095028369E-4"/>
    <n v="0.96833417987155002"/>
    <x v="1"/>
  </r>
  <r>
    <s v="Customer-316"/>
    <x v="448"/>
    <n v="2.0091359295323766E-4"/>
    <n v="0.96853509346450328"/>
    <x v="1"/>
  </r>
  <r>
    <s v="Customer-161"/>
    <x v="449"/>
    <n v="2.0049589317578813E-4"/>
    <n v="0.96873558935767912"/>
    <x v="1"/>
  </r>
  <r>
    <s v="Customer-363"/>
    <x v="449"/>
    <n v="2.0049589317578813E-4"/>
    <n v="0.96893608525085495"/>
    <x v="1"/>
  </r>
  <r>
    <s v="Customer-734"/>
    <x v="449"/>
    <n v="2.0049589317578813E-4"/>
    <n v="0.96913658114403078"/>
    <x v="1"/>
  </r>
  <r>
    <s v="Customer-527"/>
    <x v="450"/>
    <n v="1.9882509406598988E-4"/>
    <n v="0.96933540623809678"/>
    <x v="1"/>
  </r>
  <r>
    <s v="Customer-818"/>
    <x v="450"/>
    <n v="1.9882509406598988E-4"/>
    <n v="0.96953423133216277"/>
    <x v="1"/>
  </r>
  <r>
    <s v="Customer-661"/>
    <x v="451"/>
    <n v="1.967365951787421E-4"/>
    <n v="0.96973096792734148"/>
    <x v="1"/>
  </r>
  <r>
    <s v="Customer-835"/>
    <x v="452"/>
    <n v="1.9631889540129254E-4"/>
    <n v="0.96992728682274276"/>
    <x v="1"/>
  </r>
  <r>
    <s v="Customer-860"/>
    <x v="452"/>
    <n v="1.9631889540129254E-4"/>
    <n v="0.97012360571814404"/>
    <x v="1"/>
  </r>
  <r>
    <s v="Customer-636"/>
    <x v="453"/>
    <n v="1.9565057575737324E-4"/>
    <n v="0.97031925629390137"/>
    <x v="1"/>
  </r>
  <r>
    <s v="Customer-009"/>
    <x v="454"/>
    <n v="1.9548349584639342E-4"/>
    <n v="0.97051473978974778"/>
    <x v="1"/>
  </r>
  <r>
    <s v="Customer-340"/>
    <x v="454"/>
    <n v="1.9548349584639342E-4"/>
    <n v="0.9707102232855942"/>
    <x v="1"/>
  </r>
  <r>
    <s v="Customer-712"/>
    <x v="454"/>
    <n v="1.9548349584639342E-4"/>
    <n v="0.97090570678144061"/>
    <x v="1"/>
  </r>
  <r>
    <s v="Customer-210"/>
    <x v="455"/>
    <n v="1.9514933602443377E-4"/>
    <n v="0.97110085611746499"/>
    <x v="1"/>
  </r>
  <r>
    <s v="Customer-490"/>
    <x v="456"/>
    <n v="1.9464809629149429E-4"/>
    <n v="0.97129550421375654"/>
    <x v="1"/>
  </r>
  <r>
    <s v="Customer-033"/>
    <x v="457"/>
    <n v="1.9423039651404473E-4"/>
    <n v="0.97148973461027055"/>
    <x v="1"/>
  </r>
  <r>
    <s v="Customer-088"/>
    <x v="457"/>
    <n v="1.9423039651404473E-4"/>
    <n v="0.97168396500678456"/>
    <x v="1"/>
  </r>
  <r>
    <s v="Customer-232"/>
    <x v="458"/>
    <n v="1.9339499695914561E-4"/>
    <n v="0.9718773600037437"/>
    <x v="1"/>
  </r>
  <r>
    <s v="Customer-195"/>
    <x v="459"/>
    <n v="1.9097233824993818E-4"/>
    <n v="0.97206833234199364"/>
    <x v="1"/>
  </r>
  <r>
    <s v="Customer-492"/>
    <x v="460"/>
    <n v="1.8963569896209958E-4"/>
    <n v="0.97225796804095577"/>
    <x v="1"/>
  </r>
  <r>
    <s v="Customer-089"/>
    <x v="461"/>
    <n v="1.8796489985230136E-4"/>
    <n v="0.97244593294080806"/>
    <x v="1"/>
  </r>
  <r>
    <s v="Customer-407"/>
    <x v="461"/>
    <n v="1.8796489985230136E-4"/>
    <n v="0.97263389784066034"/>
    <x v="1"/>
  </r>
  <r>
    <s v="Customer-409"/>
    <x v="461"/>
    <n v="1.8796489985230136E-4"/>
    <n v="0.97282186274051263"/>
    <x v="1"/>
  </r>
  <r>
    <s v="Customer-477"/>
    <x v="461"/>
    <n v="1.8796489985230136E-4"/>
    <n v="0.97300982764036492"/>
    <x v="1"/>
  </r>
  <r>
    <s v="Customer-510"/>
    <x v="461"/>
    <n v="1.8796489985230136E-4"/>
    <n v="0.97319779254021721"/>
    <x v="1"/>
  </r>
  <r>
    <s v="Customer-332"/>
    <x v="462"/>
    <n v="1.8712950029740224E-4"/>
    <n v="0.97338492204051463"/>
    <x v="1"/>
  </r>
  <r>
    <s v="Customer-368"/>
    <x v="462"/>
    <n v="1.8712950029740224E-4"/>
    <n v="0.97357205154081206"/>
    <x v="1"/>
  </r>
  <r>
    <s v="Customer-141"/>
    <x v="463"/>
    <n v="1.8629410074250311E-4"/>
    <n v="0.97375834564155461"/>
    <x v="1"/>
  </r>
  <r>
    <s v="Customer-023"/>
    <x v="464"/>
    <n v="1.8545870118760402E-4"/>
    <n v="0.97394380434274219"/>
    <x v="1"/>
  </r>
  <r>
    <s v="Customer-151"/>
    <x v="465"/>
    <n v="1.8479038154368472E-4"/>
    <n v="0.97412859472428592"/>
    <x v="1"/>
  </r>
  <r>
    <s v="Customer-731"/>
    <x v="466"/>
    <n v="1.8420560185525533E-4"/>
    <n v="0.9743128003261412"/>
    <x v="1"/>
  </r>
  <r>
    <s v="Customer-097"/>
    <x v="467"/>
    <n v="1.8378790207780577E-4"/>
    <n v="0.97449658822821905"/>
    <x v="1"/>
  </r>
  <r>
    <s v="Customer-424"/>
    <x v="467"/>
    <n v="1.8378790207780577E-4"/>
    <n v="0.9746803761302969"/>
    <x v="1"/>
  </r>
  <r>
    <s v="Customer-794"/>
    <x v="467"/>
    <n v="1.8378790207780577E-4"/>
    <n v="0.97486416403237475"/>
    <x v="1"/>
  </r>
  <r>
    <s v="Customer-441"/>
    <x v="468"/>
    <n v="1.8295250252290665E-4"/>
    <n v="0.97504711653489762"/>
    <x v="1"/>
  </r>
  <r>
    <s v="Customer-635"/>
    <x v="469"/>
    <n v="1.8278542261192682E-4"/>
    <n v="0.97522990195750958"/>
    <x v="1"/>
  </r>
  <r>
    <s v="Customer-227"/>
    <x v="470"/>
    <n v="1.8044630385820931E-4"/>
    <n v="0.97541034826136774"/>
    <x v="1"/>
  </r>
  <r>
    <s v="Customer-352"/>
    <x v="470"/>
    <n v="1.8044630385820931E-4"/>
    <n v="0.97559079456522591"/>
    <x v="1"/>
  </r>
  <r>
    <s v="Customer-999"/>
    <x v="470"/>
    <n v="1.8044630385820931E-4"/>
    <n v="0.97577124086908407"/>
    <x v="1"/>
  </r>
  <r>
    <s v="Customer-676"/>
    <x v="471"/>
    <n v="1.7844134492645144E-4"/>
    <n v="0.97594968221401057"/>
    <x v="1"/>
  </r>
  <r>
    <s v="Customer-592"/>
    <x v="472"/>
    <n v="1.7643638599469354E-4"/>
    <n v="0.97612611860000531"/>
    <x v="1"/>
  </r>
  <r>
    <s v="Customer-028"/>
    <x v="473"/>
    <n v="1.7585160630626415E-4"/>
    <n v="0.9763019702063116"/>
    <x v="1"/>
  </r>
  <r>
    <s v="Customer-1000"/>
    <x v="474"/>
    <n v="1.7543390652881459E-4"/>
    <n v="0.97647740411284045"/>
    <x v="1"/>
  </r>
  <r>
    <s v="Customer-467"/>
    <x v="474"/>
    <n v="1.7543390652881459E-4"/>
    <n v="0.97665283801936931"/>
    <x v="1"/>
  </r>
  <r>
    <s v="Customer-049"/>
    <x v="475"/>
    <n v="1.7376310741901637E-4"/>
    <n v="0.97682660112678832"/>
    <x v="1"/>
  </r>
  <r>
    <s v="Customer-675"/>
    <x v="476"/>
    <n v="1.7292770786411725E-4"/>
    <n v="0.97699952883465246"/>
    <x v="1"/>
  </r>
  <r>
    <s v="Customer-606"/>
    <x v="477"/>
    <n v="1.7142398866529883E-4"/>
    <n v="0.97717095282331778"/>
    <x v="1"/>
  </r>
  <r>
    <s v="Customer-976"/>
    <x v="477"/>
    <n v="1.7142398866529883E-4"/>
    <n v="0.9773423768119831"/>
    <x v="1"/>
  </r>
  <r>
    <s v="Customer-649"/>
    <x v="478"/>
    <n v="1.71256908754319E-4"/>
    <n v="0.97751363372073741"/>
    <x v="1"/>
  </r>
  <r>
    <s v="Customer-012"/>
    <x v="479"/>
    <n v="1.7092274893235938E-4"/>
    <n v="0.97768455646966979"/>
    <x v="1"/>
  </r>
  <r>
    <s v="Customer-812"/>
    <x v="480"/>
    <n v="1.6925194982256113E-4"/>
    <n v="0.97785380841949232"/>
    <x v="1"/>
  </r>
  <r>
    <s v="Customer-299"/>
    <x v="481"/>
    <n v="1.6540911187002519E-4"/>
    <n v="0.97801921753136234"/>
    <x v="1"/>
  </r>
  <r>
    <s v="Customer-376"/>
    <x v="481"/>
    <n v="1.6540911187002519E-4"/>
    <n v="0.97818462664323236"/>
    <x v="1"/>
  </r>
  <r>
    <s v="Customer-642"/>
    <x v="481"/>
    <n v="1.6540911187002519E-4"/>
    <n v="0.97835003575510238"/>
    <x v="1"/>
  </r>
  <r>
    <s v="Customer-458"/>
    <x v="482"/>
    <n v="1.6415601253767651E-4"/>
    <n v="0.9785141917676401"/>
    <x v="1"/>
  </r>
  <r>
    <s v="Customer-185"/>
    <x v="483"/>
    <n v="1.6373831276022697E-4"/>
    <n v="0.97867793008040027"/>
    <x v="1"/>
  </r>
  <r>
    <s v="Customer-433"/>
    <x v="483"/>
    <n v="1.6373831276022697E-4"/>
    <n v="0.97884166839316045"/>
    <x v="1"/>
  </r>
  <r>
    <s v="Customer-238"/>
    <x v="484"/>
    <n v="1.6290291320532785E-4"/>
    <n v="0.97900457130636576"/>
    <x v="1"/>
  </r>
  <r>
    <s v="Customer-578"/>
    <x v="484"/>
    <n v="1.6290291320532785E-4"/>
    <n v="0.97916747421957107"/>
    <x v="1"/>
  </r>
  <r>
    <s v="Customer-685"/>
    <x v="485"/>
    <n v="1.612321140955296E-4"/>
    <n v="0.97932870633366664"/>
    <x v="1"/>
  </r>
  <r>
    <s v="Customer-851"/>
    <x v="486"/>
    <n v="1.6006255471867086E-4"/>
    <n v="0.97948876888838532"/>
    <x v="1"/>
  </r>
  <r>
    <s v="Customer-239"/>
    <x v="487"/>
    <n v="1.5872591543083226E-4"/>
    <n v="0.97964749480381619"/>
    <x v="1"/>
  </r>
  <r>
    <s v="Customer-418"/>
    <x v="487"/>
    <n v="1.5872591543083226E-4"/>
    <n v="0.97980622071924706"/>
    <x v="1"/>
  </r>
  <r>
    <s v="Customer-668"/>
    <x v="487"/>
    <n v="1.5872591543083226E-4"/>
    <n v="0.97996494663467792"/>
    <x v="1"/>
  </r>
  <r>
    <s v="Customer-773"/>
    <x v="487"/>
    <n v="1.5872591543083226E-4"/>
    <n v="0.98012367255010879"/>
    <x v="1"/>
  </r>
  <r>
    <s v="Customer-917"/>
    <x v="487"/>
    <n v="1.5872591543083226E-4"/>
    <n v="0.98028239846553966"/>
    <x v="1"/>
  </r>
  <r>
    <s v="Customer-639"/>
    <x v="488"/>
    <n v="1.5705511632103402E-4"/>
    <n v="0.98043945358186069"/>
    <x v="1"/>
  </r>
  <r>
    <s v="Customer-720"/>
    <x v="489"/>
    <n v="1.5454891765633667E-4"/>
    <n v="0.980594002499517"/>
    <x v="1"/>
  </r>
  <r>
    <s v="Customer-880"/>
    <x v="489"/>
    <n v="1.5454891765633667E-4"/>
    <n v="0.98074855141717332"/>
    <x v="1"/>
  </r>
  <r>
    <s v="Customer-031"/>
    <x v="490"/>
    <n v="1.5371351810143755E-4"/>
    <n v="0.98090226493527477"/>
    <x v="1"/>
  </r>
  <r>
    <s v="Customer-724"/>
    <x v="490"/>
    <n v="1.5371351810143755E-4"/>
    <n v="0.98105597845337622"/>
    <x v="1"/>
  </r>
  <r>
    <s v="Customer-618"/>
    <x v="491"/>
    <n v="1.5304519845751825E-4"/>
    <n v="0.98120902365183371"/>
    <x v="1"/>
  </r>
  <r>
    <s v="Customer-607"/>
    <x v="492"/>
    <n v="1.5237687881359898E-4"/>
    <n v="0.98136140053064735"/>
    <x v="1"/>
  </r>
  <r>
    <s v="Customer-209"/>
    <x v="493"/>
    <n v="1.5154147925869986E-4"/>
    <n v="0.98151294200990602"/>
    <x v="1"/>
  </r>
  <r>
    <s v="Customer-213"/>
    <x v="494"/>
    <n v="1.5037191988184108E-4"/>
    <n v="0.9816633139297879"/>
    <x v="1"/>
  </r>
  <r>
    <s v="Customer-468"/>
    <x v="494"/>
    <n v="1.5037191988184108E-4"/>
    <n v="0.98181368584966977"/>
    <x v="1"/>
  </r>
  <r>
    <s v="Customer-479"/>
    <x v="494"/>
    <n v="1.5037191988184108E-4"/>
    <n v="0.98196405776955165"/>
    <x v="1"/>
  </r>
  <r>
    <s v="Customer-767"/>
    <x v="494"/>
    <n v="1.5037191988184108E-4"/>
    <n v="0.98211442968943352"/>
    <x v="1"/>
  </r>
  <r>
    <s v="Customer-688"/>
    <x v="495"/>
    <n v="1.4995422010439152E-4"/>
    <n v="0.98226438390953796"/>
    <x v="1"/>
  </r>
  <r>
    <s v="Customer-263"/>
    <x v="496"/>
    <n v="1.4970360023792178E-4"/>
    <n v="0.98241408750977588"/>
    <x v="1"/>
  </r>
  <r>
    <s v="Customer-503"/>
    <x v="496"/>
    <n v="1.4970360023792178E-4"/>
    <n v="0.9825637911100138"/>
    <x v="1"/>
  </r>
  <r>
    <s v="Customer-698"/>
    <x v="497"/>
    <n v="1.4736448148420427E-4"/>
    <n v="0.98271115559149802"/>
    <x v="1"/>
  </r>
  <r>
    <s v="Customer-729"/>
    <x v="498"/>
    <n v="1.4619492210734549E-4"/>
    <n v="0.98285735051360534"/>
    <x v="1"/>
  </r>
  <r>
    <s v="Customer-910"/>
    <x v="498"/>
    <n v="1.4619492210734549E-4"/>
    <n v="0.98300354543571267"/>
    <x v="1"/>
  </r>
  <r>
    <s v="Customer-076"/>
    <x v="499"/>
    <n v="1.4569368237440602E-4"/>
    <n v="0.98314923911808705"/>
    <x v="1"/>
  </r>
  <r>
    <s v="Customer-347"/>
    <x v="500"/>
    <n v="1.446912029085271E-4"/>
    <n v="0.98329393032099555"/>
    <x v="1"/>
  </r>
  <r>
    <s v="Customer-056"/>
    <x v="501"/>
    <n v="1.4435704308656745E-4"/>
    <n v="0.98343828736408212"/>
    <x v="1"/>
  </r>
  <r>
    <s v="Customer-935"/>
    <x v="501"/>
    <n v="1.4435704308656745E-4"/>
    <n v="0.98358264440716869"/>
    <x v="1"/>
  </r>
  <r>
    <s v="Customer-082"/>
    <x v="502"/>
    <n v="1.4368872344264815E-4"/>
    <n v="0.98372633313061131"/>
    <x v="1"/>
  </r>
  <r>
    <s v="Customer-165"/>
    <x v="502"/>
    <n v="1.4368872344264815E-4"/>
    <n v="0.98387002185405392"/>
    <x v="1"/>
  </r>
  <r>
    <s v="Customer-630"/>
    <x v="502"/>
    <n v="1.4368872344264815E-4"/>
    <n v="0.98401371057749654"/>
    <x v="1"/>
  </r>
  <r>
    <s v="Customer-856"/>
    <x v="502"/>
    <n v="1.4368872344264815E-4"/>
    <n v="0.98415739930093915"/>
    <x v="1"/>
  </r>
  <r>
    <s v="Customer-027"/>
    <x v="503"/>
    <n v="1.4285332388774903E-4"/>
    <n v="0.9843002526248269"/>
    <x v="1"/>
  </r>
  <r>
    <s v="Customer-228"/>
    <x v="503"/>
    <n v="1.4285332388774903E-4"/>
    <n v="0.98444310594871465"/>
    <x v="1"/>
  </r>
  <r>
    <s v="Customer-942"/>
    <x v="503"/>
    <n v="1.4285332388774903E-4"/>
    <n v="0.9845859592726024"/>
    <x v="1"/>
  </r>
  <r>
    <s v="Customer-926"/>
    <x v="504"/>
    <n v="1.4210146428833982E-4"/>
    <n v="0.98472806073689079"/>
    <x v="1"/>
  </r>
  <r>
    <s v="Customer-914"/>
    <x v="505"/>
    <n v="1.420179243328499E-4"/>
    <n v="0.98487007866122367"/>
    <x v="1"/>
  </r>
  <r>
    <s v="Customer-174"/>
    <x v="506"/>
    <n v="1.4134960468893063E-4"/>
    <n v="0.98501142826591259"/>
    <x v="1"/>
  </r>
  <r>
    <s v="Customer-259"/>
    <x v="507"/>
    <n v="1.4034712522305168E-4"/>
    <n v="0.98515177539113563"/>
    <x v="1"/>
  </r>
  <r>
    <s v="Customer-594"/>
    <x v="507"/>
    <n v="1.4034712522305168E-4"/>
    <n v="0.98529212251635867"/>
    <x v="1"/>
  </r>
  <r>
    <s v="Customer-697"/>
    <x v="507"/>
    <n v="1.4034712522305168E-4"/>
    <n v="0.98543246964158171"/>
    <x v="1"/>
  </r>
  <r>
    <s v="Customer-544"/>
    <x v="508"/>
    <n v="1.3992942544560212E-4"/>
    <n v="0.98557239906702732"/>
    <x v="1"/>
  </r>
  <r>
    <s v="Customer-392"/>
    <x v="509"/>
    <n v="1.3784092655835434E-4"/>
    <n v="0.98571023999358565"/>
    <x v="1"/>
  </r>
  <r>
    <s v="Customer-496"/>
    <x v="510"/>
    <n v="1.3700552700345522E-4"/>
    <n v="0.98584724552058911"/>
    <x v="1"/>
  </r>
  <r>
    <s v="Customer-967"/>
    <x v="510"/>
    <n v="1.3700552700345522E-4"/>
    <n v="0.98598425104759257"/>
    <x v="1"/>
  </r>
  <r>
    <s v="Customer-522"/>
    <x v="511"/>
    <n v="1.3533472789365697E-4"/>
    <n v="0.9861195857754862"/>
    <x v="1"/>
  </r>
  <r>
    <s v="Customer-820"/>
    <x v="512"/>
    <n v="1.3366392878385875E-4"/>
    <n v="0.98625324970427009"/>
    <x v="1"/>
  </r>
  <r>
    <s v="Customer-085"/>
    <x v="513"/>
    <n v="1.3349684887287893E-4"/>
    <n v="0.98638674655314296"/>
    <x v="1"/>
  </r>
  <r>
    <s v="Customer-516"/>
    <x v="514"/>
    <n v="1.3232728949602016E-4"/>
    <n v="0.98651907384263893"/>
    <x v="1"/>
  </r>
  <r>
    <s v="Customer-207"/>
    <x v="515"/>
    <n v="1.3199312967406051E-4"/>
    <n v="0.98665106697231297"/>
    <x v="1"/>
  </r>
  <r>
    <s v="Customer-429"/>
    <x v="516"/>
    <n v="1.3032233056426229E-4"/>
    <n v="0.98678138930287729"/>
    <x v="1"/>
  </r>
  <r>
    <s v="Customer-280"/>
    <x v="517"/>
    <n v="1.2931985109838334E-4"/>
    <n v="0.98691070915397572"/>
    <x v="1"/>
  </r>
  <r>
    <s v="Customer-633"/>
    <x v="517"/>
    <n v="1.2931985109838334E-4"/>
    <n v="0.98704002900507415"/>
    <x v="1"/>
  </r>
  <r>
    <s v="Customer-939"/>
    <x v="517"/>
    <n v="1.2931985109838334E-4"/>
    <n v="0.98716934885617258"/>
    <x v="1"/>
  </r>
  <r>
    <s v="Customer-984"/>
    <x v="517"/>
    <n v="1.2931985109838334E-4"/>
    <n v="0.98729866870727101"/>
    <x v="1"/>
  </r>
  <r>
    <s v="Customer-585"/>
    <x v="518"/>
    <n v="1.2865153145446404E-4"/>
    <n v="0.98742732023872548"/>
    <x v="1"/>
  </r>
  <r>
    <s v="Customer-873"/>
    <x v="519"/>
    <n v="1.2798321181054474E-4"/>
    <n v="0.98755530345053599"/>
    <x v="1"/>
  </r>
  <r>
    <s v="Customer-908"/>
    <x v="520"/>
    <n v="1.2781613189956492E-4"/>
    <n v="0.9876831195824356"/>
    <x v="1"/>
  </r>
  <r>
    <s v="Customer-938"/>
    <x v="521"/>
    <n v="1.2698073234466579E-4"/>
    <n v="0.98781010031478023"/>
    <x v="1"/>
  </r>
  <r>
    <s v="Customer-751"/>
    <x v="522"/>
    <n v="1.2631241270074652E-4"/>
    <n v="0.98793641272748101"/>
    <x v="1"/>
  </r>
  <r>
    <s v="Customer-126"/>
    <x v="523"/>
    <n v="1.261453327897667E-4"/>
    <n v="0.98806255806027077"/>
    <x v="1"/>
  </r>
  <r>
    <s v="Customer-305"/>
    <x v="524"/>
    <n v="1.241403738580088E-4"/>
    <n v="0.98818669843412876"/>
    <x v="1"/>
  </r>
  <r>
    <s v="Customer-686"/>
    <x v="525"/>
    <n v="1.2363913412506933E-4"/>
    <n v="0.98831033756825382"/>
    <x v="1"/>
  </r>
  <r>
    <s v="Customer-383"/>
    <x v="526"/>
    <n v="1.2330497430310968E-4"/>
    <n v="0.98843364254255695"/>
    <x v="1"/>
  </r>
  <r>
    <s v="Customer-947"/>
    <x v="527"/>
    <n v="1.2313789439212988E-4"/>
    <n v="0.98855678043694906"/>
    <x v="1"/>
  </r>
  <r>
    <s v="Customer-931"/>
    <x v="528"/>
    <n v="1.2280373457017023E-4"/>
    <n v="0.98867958417151924"/>
    <x v="1"/>
  </r>
  <r>
    <s v="Customer-954"/>
    <x v="528"/>
    <n v="1.2280373457017023E-4"/>
    <n v="0.98880238790608943"/>
    <x v="1"/>
  </r>
  <r>
    <s v="Customer-557"/>
    <x v="529"/>
    <n v="1.2238603479272067E-4"/>
    <n v="0.98892477394088218"/>
    <x v="1"/>
  </r>
  <r>
    <s v="Customer-357"/>
    <x v="530"/>
    <n v="1.2029753590547287E-4"/>
    <n v="0.98904507147678766"/>
    <x v="1"/>
  </r>
  <r>
    <s v="Customer-390"/>
    <x v="530"/>
    <n v="1.2029753590547287E-4"/>
    <n v="0.98916536901269314"/>
    <x v="1"/>
  </r>
  <r>
    <s v="Customer-405"/>
    <x v="530"/>
    <n v="1.2029753590547287E-4"/>
    <n v="0.98928566654859862"/>
    <x v="1"/>
  </r>
  <r>
    <s v="Customer-423"/>
    <x v="530"/>
    <n v="1.2029753590547287E-4"/>
    <n v="0.9894059640845041"/>
    <x v="1"/>
  </r>
  <r>
    <s v="Customer-443"/>
    <x v="530"/>
    <n v="1.2029753590547287E-4"/>
    <n v="0.98952626162040958"/>
    <x v="1"/>
  </r>
  <r>
    <s v="Customer-565"/>
    <x v="530"/>
    <n v="1.2029753590547287E-4"/>
    <n v="0.98964655915631505"/>
    <x v="1"/>
  </r>
  <r>
    <s v="Customer-534"/>
    <x v="531"/>
    <n v="1.1804195710724526E-4"/>
    <n v="0.98976460111342235"/>
    <x v="1"/>
  </r>
  <r>
    <s v="Customer-615"/>
    <x v="532"/>
    <n v="1.1729009750783604E-4"/>
    <n v="0.98988189121093018"/>
    <x v="1"/>
  </r>
  <r>
    <s v="Customer-303"/>
    <x v="533"/>
    <n v="1.169559376858764E-4"/>
    <n v="0.98999884714861608"/>
    <x v="1"/>
  </r>
  <r>
    <s v="Customer-397"/>
    <x v="533"/>
    <n v="1.169559376858764E-4"/>
    <n v="0.99011580308630198"/>
    <x v="1"/>
  </r>
  <r>
    <s v="Customer-904"/>
    <x v="533"/>
    <n v="1.169559376858764E-4"/>
    <n v="0.99023275902398789"/>
    <x v="1"/>
  </r>
  <r>
    <s v="Customer-650"/>
    <x v="534"/>
    <n v="1.1678885777489658E-4"/>
    <n v="0.99034954788176277"/>
    <x v="1"/>
  </r>
  <r>
    <s v="Customer-080"/>
    <x v="535"/>
    <n v="1.1637115799744702E-4"/>
    <n v="0.99046591903976022"/>
    <x v="1"/>
  </r>
  <r>
    <s v="Customer-372"/>
    <x v="536"/>
    <n v="1.1628761804195711E-4"/>
    <n v="0.99058220665780217"/>
    <x v="1"/>
  </r>
  <r>
    <s v="Customer-995"/>
    <x v="537"/>
    <n v="1.1528513857607816E-4"/>
    <n v="0.99069749179637823"/>
    <x v="1"/>
  </r>
  <r>
    <s v="Customer-254"/>
    <x v="538"/>
    <n v="1.1277893991138082E-4"/>
    <n v="0.99081027073628958"/>
    <x v="1"/>
  </r>
  <r>
    <s v="Customer-828"/>
    <x v="539"/>
    <n v="1.1110814080158259E-4"/>
    <n v="0.9909213788770912"/>
    <x v="1"/>
  </r>
  <r>
    <s v="Customer-959"/>
    <x v="540"/>
    <n v="1.1018920129119355E-4"/>
    <n v="0.99103156807838244"/>
    <x v="1"/>
  </r>
  <r>
    <s v="Customer-963"/>
    <x v="541"/>
    <n v="1.0860194213688523E-4"/>
    <n v="0.99114017002051935"/>
    <x v="1"/>
  </r>
  <r>
    <s v="Customer-142"/>
    <x v="542"/>
    <n v="1.0826778231492558E-4"/>
    <n v="0.99124843780283423"/>
    <x v="1"/>
  </r>
  <r>
    <s v="Customer-577"/>
    <x v="542"/>
    <n v="1.0826778231492558E-4"/>
    <n v="0.9913567055851491"/>
    <x v="1"/>
  </r>
  <r>
    <s v="Customer-475"/>
    <x v="543"/>
    <n v="1.0776654258198611E-4"/>
    <n v="0.99146447212773103"/>
    <x v="1"/>
  </r>
  <r>
    <s v="Customer-865"/>
    <x v="544"/>
    <n v="1.06931143027087E-4"/>
    <n v="0.9915714032707581"/>
    <x v="1"/>
  </r>
  <r>
    <s v="Customer-868"/>
    <x v="544"/>
    <n v="1.06931143027087E-4"/>
    <n v="0.99167833441378517"/>
    <x v="1"/>
  </r>
  <r>
    <s v="Customer-086"/>
    <x v="545"/>
    <n v="1.0526034391728876E-4"/>
    <n v="0.9917835947577025"/>
    <x v="1"/>
  </r>
  <r>
    <s v="Customer-638"/>
    <x v="545"/>
    <n v="1.0526034391728876E-4"/>
    <n v="0.99188885510161984"/>
    <x v="1"/>
  </r>
  <r>
    <s v="Customer-677"/>
    <x v="546"/>
    <n v="1.0492618409532911E-4"/>
    <n v="0.99199378128571514"/>
    <x v="1"/>
  </r>
  <r>
    <s v="Customer-473"/>
    <x v="547"/>
    <n v="1.0442494436238964E-4"/>
    <n v="0.9920982062300775"/>
    <x v="1"/>
  </r>
  <r>
    <s v="Customer-508"/>
    <x v="547"/>
    <n v="1.0442494436238964E-4"/>
    <n v="0.99220263117443985"/>
    <x v="1"/>
  </r>
  <r>
    <s v="Customer-665"/>
    <x v="548"/>
    <n v="1.0317184503004097E-4"/>
    <n v="0.99230580301946991"/>
    <x v="1"/>
  </r>
  <r>
    <s v="Customer-068"/>
    <x v="549"/>
    <n v="1.01250426053773E-4"/>
    <n v="0.99240705344552371"/>
    <x v="1"/>
  </r>
  <r>
    <s v="Customer-124"/>
    <x v="550"/>
    <n v="1.0024794658789406E-4"/>
    <n v="0.99250730139211163"/>
    <x v="1"/>
  </r>
  <r>
    <s v="Customer-250"/>
    <x v="550"/>
    <n v="1.0024794658789406E-4"/>
    <n v="0.99260754933869955"/>
    <x v="1"/>
  </r>
  <r>
    <s v="Customer-955"/>
    <x v="550"/>
    <n v="1.0024794658789406E-4"/>
    <n v="0.99270779728528746"/>
    <x v="1"/>
  </r>
  <r>
    <s v="Customer-106"/>
    <x v="551"/>
    <n v="9.9412547032994941E-5"/>
    <n v="0.9928072098323204"/>
    <x v="1"/>
  </r>
  <r>
    <s v="Customer-444"/>
    <x v="551"/>
    <n v="9.9412547032994941E-5"/>
    <n v="0.99290662237935334"/>
    <x v="1"/>
  </r>
  <r>
    <s v="Customer-461"/>
    <x v="551"/>
    <n v="9.9412547032994941E-5"/>
    <n v="0.99300603492638628"/>
    <x v="1"/>
  </r>
  <r>
    <s v="Customer-351"/>
    <x v="552"/>
    <n v="9.9245467122015117E-5"/>
    <n v="0.99310528039350832"/>
    <x v="1"/>
  </r>
  <r>
    <s v="Customer-783"/>
    <x v="553"/>
    <n v="9.8410067567116007E-5"/>
    <n v="0.99320369046107548"/>
    <x v="1"/>
  </r>
  <r>
    <s v="Customer-019"/>
    <x v="554"/>
    <n v="9.7324048145747146E-5"/>
    <n v="0.99330101450922126"/>
    <x v="1"/>
  </r>
  <r>
    <s v="Customer-190"/>
    <x v="554"/>
    <n v="9.7324048145747146E-5"/>
    <n v="0.99339833855736703"/>
    <x v="1"/>
  </r>
  <r>
    <s v="Customer-538"/>
    <x v="555"/>
    <n v="9.7240508190257234E-5"/>
    <n v="0.9934955790655573"/>
    <x v="1"/>
  </r>
  <r>
    <s v="Customer-297"/>
    <x v="556"/>
    <n v="9.6070948813398475E-5"/>
    <n v="0.99359165001437066"/>
    <x v="1"/>
  </r>
  <r>
    <s v="Customer-117"/>
    <x v="557"/>
    <n v="9.4233069792620417E-5"/>
    <n v="0.99368588308416328"/>
    <x v="1"/>
  </r>
  <r>
    <s v="Customer-566"/>
    <x v="557"/>
    <n v="9.4233069792620417E-5"/>
    <n v="0.99378011615395589"/>
    <x v="1"/>
  </r>
  <r>
    <s v="Customer-721"/>
    <x v="558"/>
    <n v="9.3230590326741469E-5"/>
    <n v="0.99387334674428263"/>
    <x v="1"/>
  </r>
  <r>
    <s v="Customer-047"/>
    <x v="559"/>
    <n v="9.2228110860862535E-5"/>
    <n v="0.99396557485514347"/>
    <x v="1"/>
  </r>
  <r>
    <s v="Customer-501"/>
    <x v="560"/>
    <n v="9.206103094988271E-5"/>
    <n v="0.9940576358860933"/>
    <x v="1"/>
  </r>
  <r>
    <s v="Customer-500"/>
    <x v="561"/>
    <n v="9.1893951038902886E-5"/>
    <n v="0.99414952983713223"/>
    <x v="1"/>
  </r>
  <r>
    <s v="Customer-945"/>
    <x v="561"/>
    <n v="9.1893951038902886E-5"/>
    <n v="0.99424142378817115"/>
    <x v="1"/>
  </r>
  <r>
    <s v="Customer-457"/>
    <x v="562"/>
    <n v="8.821819299734677E-5"/>
    <n v="0.99432964198116847"/>
    <x v="1"/>
  </r>
  <r>
    <s v="Customer-462"/>
    <x v="563"/>
    <n v="8.7215713531467836E-5"/>
    <n v="0.9944168576946999"/>
    <x v="1"/>
  </r>
  <r>
    <s v="Customer-054"/>
    <x v="564"/>
    <n v="8.6881553709508187E-5"/>
    <n v="0.9945037392484094"/>
    <x v="1"/>
  </r>
  <r>
    <s v="Customer-644"/>
    <x v="565"/>
    <n v="8.6213234065588888E-5"/>
    <n v="0.99458995248247495"/>
    <x v="1"/>
  </r>
  <r>
    <s v="Customer-748"/>
    <x v="566"/>
    <n v="8.4458895000300742E-5"/>
    <n v="0.99467441137747525"/>
    <x v="1"/>
  </r>
  <r>
    <s v="Customer-801"/>
    <x v="567"/>
    <n v="8.4208275133831005E-5"/>
    <n v="0.99475861965260903"/>
    <x v="1"/>
  </r>
  <r>
    <s v="Customer-375"/>
    <x v="568"/>
    <n v="8.353995548991172E-5"/>
    <n v="0.99484215960809896"/>
    <x v="1"/>
  </r>
  <r>
    <s v="Customer-787"/>
    <x v="568"/>
    <n v="8.353995548991172E-5"/>
    <n v="0.99492569956358889"/>
    <x v="1"/>
  </r>
  <r>
    <s v="Customer-821"/>
    <x v="568"/>
    <n v="8.353995548991172E-5"/>
    <n v="0.99500923951907883"/>
    <x v="1"/>
  </r>
  <r>
    <s v="Customer-971"/>
    <x v="568"/>
    <n v="8.353995548991172E-5"/>
    <n v="0.99509277947456876"/>
    <x v="1"/>
  </r>
  <r>
    <s v="Customer-532"/>
    <x v="569"/>
    <n v="8.2704555935012597E-5"/>
    <n v="0.99517548403050382"/>
    <x v="1"/>
  </r>
  <r>
    <s v="Customer-506"/>
    <x v="570"/>
    <n v="8.2203316202073123E-5"/>
    <n v="0.99525768734670594"/>
    <x v="1"/>
  </r>
  <r>
    <s v="Customer-524"/>
    <x v="571"/>
    <n v="8.1869156380113487E-5"/>
    <n v="0.99533955650308603"/>
    <x v="1"/>
  </r>
  <r>
    <s v="Customer-114"/>
    <x v="572"/>
    <n v="8.1200836736194189E-5"/>
    <n v="0.99542075733982227"/>
    <x v="1"/>
  </r>
  <r>
    <s v="Customer-454"/>
    <x v="572"/>
    <n v="8.1200836736194189E-5"/>
    <n v="0.99550195817655851"/>
    <x v="1"/>
  </r>
  <r>
    <s v="Customer-610"/>
    <x v="572"/>
    <n v="8.1200836736194189E-5"/>
    <n v="0.99558315901329475"/>
    <x v="1"/>
  </r>
  <r>
    <s v="Customer-591"/>
    <x v="573"/>
    <n v="8.0198357270315241E-5"/>
    <n v="0.99566335737056511"/>
    <x v="1"/>
  </r>
  <r>
    <s v="Customer-551"/>
    <x v="574"/>
    <n v="7.9362957715416131E-5"/>
    <n v="0.99574272032828048"/>
    <x v="1"/>
  </r>
  <r>
    <s v="Customer-876"/>
    <x v="574"/>
    <n v="7.9362957715416131E-5"/>
    <n v="0.99582208328599586"/>
    <x v="1"/>
  </r>
  <r>
    <s v="Customer-192"/>
    <x v="575"/>
    <n v="7.8193398338557372E-5"/>
    <n v="0.99590027668433445"/>
    <x v="1"/>
  </r>
  <r>
    <s v="Customer-277"/>
    <x v="575"/>
    <n v="7.8193398338557372E-5"/>
    <n v="0.99597847008267304"/>
    <x v="1"/>
  </r>
  <r>
    <s v="Customer-867"/>
    <x v="575"/>
    <n v="7.8193398338557372E-5"/>
    <n v="0.99605666348101163"/>
    <x v="1"/>
  </r>
  <r>
    <s v="Customer-595"/>
    <x v="576"/>
    <n v="7.6773219095228862E-5"/>
    <n v="0.9961334367001069"/>
    <x v="1"/>
  </r>
  <r>
    <s v="Customer-733"/>
    <x v="577"/>
    <n v="7.618843940679949E-5"/>
    <n v="0.99620962513951372"/>
    <x v="1"/>
  </r>
  <r>
    <s v="Customer-284"/>
    <x v="578"/>
    <n v="7.5185959940920542E-5"/>
    <n v="0.99628481109945466"/>
    <x v="1"/>
  </r>
  <r>
    <s v="Customer-525"/>
    <x v="578"/>
    <n v="7.5185959940920542E-5"/>
    <n v="0.9963599970593956"/>
    <x v="1"/>
  </r>
  <r>
    <s v="Customer-122"/>
    <x v="579"/>
    <n v="7.4183480475041607E-5"/>
    <n v="0.99643418053987065"/>
    <x v="1"/>
  </r>
  <r>
    <s v="Customer-699"/>
    <x v="579"/>
    <n v="7.4183480475041607E-5"/>
    <n v="0.9965083640203457"/>
    <x v="1"/>
  </r>
  <r>
    <s v="Customer-866"/>
    <x v="579"/>
    <n v="7.4183480475041607E-5"/>
    <n v="0.99658254750082076"/>
    <x v="1"/>
  </r>
  <r>
    <s v="Customer-288"/>
    <x v="580"/>
    <n v="7.4016400564061783E-5"/>
    <n v="0.9966565639013848"/>
    <x v="1"/>
  </r>
  <r>
    <s v="Customer-248"/>
    <x v="581"/>
    <n v="7.2178521543283725E-5"/>
    <n v="0.99672874242292808"/>
    <x v="1"/>
  </r>
  <r>
    <s v="Customer-455"/>
    <x v="581"/>
    <n v="7.2178521543283725E-5"/>
    <n v="0.99680092094447137"/>
    <x v="1"/>
  </r>
  <r>
    <s v="Customer-683"/>
    <x v="581"/>
    <n v="7.2178521543283725E-5"/>
    <n v="0.99687309946601466"/>
    <x v="1"/>
  </r>
  <r>
    <s v="Customer-772"/>
    <x v="581"/>
    <n v="7.2178521543283725E-5"/>
    <n v="0.99694527798755794"/>
    <x v="1"/>
  </r>
  <r>
    <s v="Customer-837"/>
    <x v="582"/>
    <n v="7.1844361721324075E-5"/>
    <n v="0.99701712234927931"/>
    <x v="1"/>
  </r>
  <r>
    <s v="Customer-420"/>
    <x v="583"/>
    <n v="7.1176042077404777E-5"/>
    <n v="0.99708829839135671"/>
    <x v="1"/>
  </r>
  <r>
    <s v="Customer-528"/>
    <x v="584"/>
    <n v="7.1008962166424952E-5"/>
    <n v="0.99715930735352309"/>
    <x v="1"/>
  </r>
  <r>
    <s v="Customer-084"/>
    <x v="585"/>
    <n v="7.0173562611525842E-5"/>
    <n v="0.99722948091613461"/>
    <x v="1"/>
  </r>
  <r>
    <s v="Customer-587"/>
    <x v="585"/>
    <n v="7.0173562611525842E-5"/>
    <n v="0.99729965447874613"/>
    <x v="1"/>
  </r>
  <r>
    <s v="Customer-717"/>
    <x v="585"/>
    <n v="7.0173562611525842E-5"/>
    <n v="0.99736982804135765"/>
    <x v="1"/>
  </r>
  <r>
    <s v="Customer-300"/>
    <x v="586"/>
    <n v="6.9171083145646894E-5"/>
    <n v="0.99743899912450329"/>
    <x v="1"/>
  </r>
  <r>
    <s v="Customer-184"/>
    <x v="587"/>
    <n v="6.7667363946828486E-5"/>
    <n v="0.9975066664884501"/>
    <x v="1"/>
  </r>
  <r>
    <s v="Customer-234"/>
    <x v="587"/>
    <n v="6.7667363946828486E-5"/>
    <n v="0.99757433385239691"/>
    <x v="1"/>
  </r>
  <r>
    <s v="Customer-338"/>
    <x v="588"/>
    <n v="6.6831964391929376E-5"/>
    <n v="0.99764116581678886"/>
    <x v="1"/>
  </r>
  <r>
    <s v="Customer-749"/>
    <x v="588"/>
    <n v="6.6831964391929376E-5"/>
    <n v="0.9977079977811808"/>
    <x v="1"/>
  </r>
  <r>
    <s v="Customer-513"/>
    <x v="589"/>
    <n v="6.3490366172332897E-5"/>
    <n v="0.99777148814735317"/>
    <x v="1"/>
  </r>
  <r>
    <s v="Customer-385"/>
    <x v="590"/>
    <n v="6.3156206350373261E-5"/>
    <n v="0.9978346443537035"/>
    <x v="1"/>
  </r>
  <r>
    <s v="Customer-664"/>
    <x v="590"/>
    <n v="6.3156206350373261E-5"/>
    <n v="0.99789780056005384"/>
    <x v="1"/>
  </r>
  <r>
    <s v="Customer-854"/>
    <x v="591"/>
    <n v="6.2654966617433787E-5"/>
    <n v="0.99796045552667123"/>
    <x v="1"/>
  </r>
  <r>
    <s v="Customer-268"/>
    <x v="592"/>
    <n v="6.0148767952736437E-5"/>
    <n v="0.99802060429462391"/>
    <x v="1"/>
  </r>
  <r>
    <s v="Customer-545"/>
    <x v="592"/>
    <n v="6.0148767952736437E-5"/>
    <n v="0.9980807530625766"/>
    <x v="1"/>
  </r>
  <r>
    <s v="Customer-196"/>
    <x v="593"/>
    <n v="5.8477968842938198E-5"/>
    <n v="0.99813923103141955"/>
    <x v="1"/>
  </r>
  <r>
    <s v="Customer-790"/>
    <x v="593"/>
    <n v="5.8477968842938198E-5"/>
    <n v="0.9981977090002625"/>
    <x v="1"/>
  </r>
  <r>
    <s v="Customer-075"/>
    <x v="594"/>
    <n v="5.6807169733139964E-5"/>
    <n v="0.99825451616999561"/>
    <x v="1"/>
  </r>
  <r>
    <s v="Customer-295"/>
    <x v="594"/>
    <n v="5.6807169733139964E-5"/>
    <n v="0.99831132333972872"/>
    <x v="1"/>
  </r>
  <r>
    <s v="Customer-417"/>
    <x v="595"/>
    <n v="5.4300971068442615E-5"/>
    <n v="0.99836562431079712"/>
    <x v="1"/>
  </r>
  <r>
    <s v="Customer-091"/>
    <x v="596"/>
    <n v="5.413389115746279E-5"/>
    <n v="0.99841975820195461"/>
    <x v="1"/>
  </r>
  <r>
    <s v="Customer-788"/>
    <x v="596"/>
    <n v="5.413389115746279E-5"/>
    <n v="0.9984738920931121"/>
    <x v="1"/>
  </r>
  <r>
    <s v="Customer-813"/>
    <x v="597"/>
    <n v="5.0123973293947032E-5"/>
    <n v="0.99852401606640606"/>
    <x v="1"/>
  </r>
  <r>
    <s v="Customer-511"/>
    <x v="598"/>
    <n v="4.9706273516497471E-5"/>
    <n v="0.99857372233992259"/>
    <x v="1"/>
  </r>
  <r>
    <s v="Customer-494"/>
    <x v="599"/>
    <n v="4.811901436218915E-5"/>
    <n v="0.99862184135428478"/>
    <x v="1"/>
  </r>
  <r>
    <s v="Customer-659"/>
    <x v="600"/>
    <n v="4.6782375074350559E-5"/>
    <n v="0.99866862372935916"/>
    <x v="1"/>
  </r>
  <r>
    <s v="Customer-564"/>
    <x v="601"/>
    <n v="4.6114055430431267E-5"/>
    <n v="0.99871473778478959"/>
    <x v="1"/>
  </r>
  <r>
    <s v="Customer-519"/>
    <x v="602"/>
    <n v="4.4109096498673385E-5"/>
    <n v="0.99875884688128824"/>
    <x v="1"/>
  </r>
  <r>
    <s v="Customer-130"/>
    <x v="603"/>
    <n v="4.3440776854754093E-5"/>
    <n v="0.99880228765814305"/>
    <x v="1"/>
  </r>
  <r>
    <s v="Customer-991"/>
    <x v="604"/>
    <n v="4.3357236899264181E-5"/>
    <n v="0.99884564489504235"/>
    <x v="1"/>
  </r>
  <r>
    <s v="Customer-256"/>
    <x v="605"/>
    <n v="4.2104137566915503E-5"/>
    <n v="0.99888774903260924"/>
    <x v="1"/>
  </r>
  <r>
    <s v="Customer-481"/>
    <x v="606"/>
    <n v="4.176997774495586E-5"/>
    <n v="0.99892951901035421"/>
    <x v="1"/>
  </r>
  <r>
    <s v="Customer-671"/>
    <x v="606"/>
    <n v="4.176997774495586E-5"/>
    <n v="0.99897128898809917"/>
    <x v="1"/>
  </r>
  <r>
    <s v="Customer-861"/>
    <x v="606"/>
    <n v="4.176997774495586E-5"/>
    <n v="0.99901305896584414"/>
    <x v="1"/>
  </r>
  <r>
    <s v="Customer-883"/>
    <x v="606"/>
    <n v="4.176997774495586E-5"/>
    <n v="0.9990548289435891"/>
    <x v="1"/>
  </r>
  <r>
    <s v="Customer-355"/>
    <x v="607"/>
    <n v="4.0934578190056744E-5"/>
    <n v="0.9990957635217792"/>
    <x v="1"/>
  </r>
  <r>
    <s v="Customer-123"/>
    <x v="608"/>
    <n v="4.009917863515762E-5"/>
    <n v="0.99913586270041432"/>
    <x v="1"/>
  </r>
  <r>
    <s v="Customer-330"/>
    <x v="608"/>
    <n v="4.009917863515762E-5"/>
    <n v="0.99917596187904945"/>
    <x v="1"/>
  </r>
  <r>
    <s v="Customer-983"/>
    <x v="609"/>
    <n v="3.7592979970460271E-5"/>
    <n v="0.99921355485901986"/>
    <x v="1"/>
  </r>
  <r>
    <s v="Customer-090"/>
    <x v="610"/>
    <n v="3.6757580415561154E-5"/>
    <n v="0.99925031243943541"/>
    <x v="1"/>
  </r>
  <r>
    <s v="Customer-302"/>
    <x v="611"/>
    <n v="3.3415982195964688E-5"/>
    <n v="0.99928372842163138"/>
    <x v="1"/>
  </r>
  <r>
    <s v="Customer-058"/>
    <x v="612"/>
    <n v="3.2079342908126098E-5"/>
    <n v="0.99931580776453954"/>
    <x v="1"/>
  </r>
  <r>
    <s v="Customer-795"/>
    <x v="612"/>
    <n v="3.2079342908126098E-5"/>
    <n v="0.99934788710744771"/>
    <x v="1"/>
  </r>
  <r>
    <s v="Customer-666"/>
    <x v="613"/>
    <n v="2.9238984421469099E-5"/>
    <n v="0.99937712609186913"/>
    <x v="1"/>
  </r>
  <r>
    <s v="Customer-901"/>
    <x v="613"/>
    <n v="2.9238984421469099E-5"/>
    <n v="0.99940636507629055"/>
    <x v="1"/>
  </r>
  <r>
    <s v="Customer-929"/>
    <x v="613"/>
    <n v="2.9238984421469099E-5"/>
    <n v="0.99943560406071197"/>
    <x v="1"/>
  </r>
  <r>
    <s v="Customer-096"/>
    <x v="614"/>
    <n v="2.6064466112852454E-5"/>
    <n v="0.99946166852682483"/>
    <x v="1"/>
  </r>
  <r>
    <s v="Customer-869"/>
    <x v="615"/>
    <n v="2.4644286869523954E-5"/>
    <n v="0.99948631281369438"/>
    <x v="1"/>
  </r>
  <r>
    <s v="Customer-104"/>
    <x v="616"/>
    <n v="2.339118753717528E-5"/>
    <n v="0.99950970400123151"/>
    <x v="1"/>
  </r>
  <r>
    <s v="Customer-805"/>
    <x v="616"/>
    <n v="2.339118753717528E-5"/>
    <n v="0.99953309518876865"/>
    <x v="1"/>
  </r>
  <r>
    <s v="Customer-810"/>
    <x v="616"/>
    <n v="2.339118753717528E-5"/>
    <n v="0.99955648637630579"/>
    <x v="1"/>
  </r>
  <r>
    <s v="Customer-175"/>
    <x v="617"/>
    <n v="2.2054548249336693E-5"/>
    <n v="0.99957854092455511"/>
    <x v="1"/>
  </r>
  <r>
    <s v="Customer-874"/>
    <x v="618"/>
    <n v="2.088498887247793E-5"/>
    <n v="0.99959942591342754"/>
    <x v="1"/>
  </r>
  <r>
    <s v="Customer-345"/>
    <x v="619"/>
    <n v="2.0467289095028372E-5"/>
    <n v="0.99961989320252254"/>
    <x v="1"/>
  </r>
  <r>
    <s v="Customer-071"/>
    <x v="620"/>
    <n v="2.004958931757881E-5"/>
    <n v="0.9996399427918401"/>
    <x v="1"/>
  </r>
  <r>
    <s v="Customer-442"/>
    <x v="620"/>
    <n v="2.004958931757881E-5"/>
    <n v="0.99965999238115766"/>
    <x v="1"/>
  </r>
  <r>
    <s v="Customer-611"/>
    <x v="620"/>
    <n v="2.004958931757881E-5"/>
    <n v="0.99968004197047522"/>
    <x v="1"/>
  </r>
  <r>
    <s v="Customer-722"/>
    <x v="621"/>
    <n v="1.9631889540129252E-5"/>
    <n v="0.99969967386001535"/>
    <x v="1"/>
  </r>
  <r>
    <s v="Customer-791"/>
    <x v="622"/>
    <n v="1.8796489985230135E-5"/>
    <n v="0.99971847035000061"/>
    <x v="1"/>
  </r>
  <r>
    <s v="Customer-589"/>
    <x v="623"/>
    <n v="1.8378790207780577E-5"/>
    <n v="0.99973684914020844"/>
    <x v="1"/>
  </r>
  <r>
    <s v="Customer-652"/>
    <x v="624"/>
    <n v="1.8044630385820931E-5"/>
    <n v="0.99975489377059423"/>
    <x v="1"/>
  </r>
  <r>
    <s v="Customer-208"/>
    <x v="625"/>
    <n v="1.6707991097982344E-5"/>
    <n v="0.99977160176169222"/>
    <x v="1"/>
  </r>
  <r>
    <s v="Customer-281"/>
    <x v="625"/>
    <n v="1.6707991097982344E-5"/>
    <n v="0.99978830975279021"/>
    <x v="1"/>
  </r>
  <r>
    <s v="Customer-404"/>
    <x v="625"/>
    <n v="1.6707991097982344E-5"/>
    <n v="0.99980501774388819"/>
    <x v="1"/>
  </r>
  <r>
    <s v="Customer-696"/>
    <x v="626"/>
    <n v="1.6290291320532786E-5"/>
    <n v="0.99982130803520874"/>
    <x v="1"/>
  </r>
  <r>
    <s v="Customer-240"/>
    <x v="627"/>
    <n v="1.6039671454063049E-5"/>
    <n v="0.99983734770666277"/>
    <x v="1"/>
  </r>
  <r>
    <s v="Customer-547"/>
    <x v="628"/>
    <n v="1.4034712522305168E-5"/>
    <n v="0.99985138241918503"/>
    <x v="1"/>
  </r>
  <r>
    <s v="Customer-599"/>
    <x v="629"/>
    <n v="1.3366392878385875E-5"/>
    <n v="0.99986474881206344"/>
    <x v="1"/>
  </r>
  <r>
    <s v="Customer-521"/>
    <x v="630"/>
    <n v="1.2530993323486758E-5"/>
    <n v="0.99987727980538688"/>
    <x v="1"/>
  </r>
  <r>
    <s v="Customer-934"/>
    <x v="631"/>
    <n v="1.2029753590547287E-5"/>
    <n v="0.99988930955897737"/>
    <x v="1"/>
  </r>
  <r>
    <s v="Customer-149"/>
    <x v="632"/>
    <n v="1.1277893991138082E-5"/>
    <n v="0.9999005874529685"/>
    <x v="1"/>
  </r>
  <r>
    <s v="Customer-728"/>
    <x v="633"/>
    <n v="1.0860194213688523E-5"/>
    <n v="0.99991144764718221"/>
    <x v="1"/>
  </r>
  <r>
    <s v="Customer-831"/>
    <x v="633"/>
    <n v="1.0860194213688523E-5"/>
    <n v="0.99992230784139591"/>
    <x v="1"/>
  </r>
  <r>
    <s v="Customer-146"/>
    <x v="634"/>
    <n v="9.6070948813398468E-6"/>
    <n v="0.9999319149362772"/>
    <x v="1"/>
  </r>
  <r>
    <s v="Customer-514"/>
    <x v="635"/>
    <n v="8.7716953264407303E-6"/>
    <n v="0.99994068663160363"/>
    <x v="1"/>
  </r>
  <r>
    <s v="Customer-081"/>
    <x v="636"/>
    <n v="7.9362957715416121E-6"/>
    <n v="0.99994862292737519"/>
    <x v="1"/>
  </r>
  <r>
    <s v="Customer-447"/>
    <x v="636"/>
    <n v="7.9362957715416121E-6"/>
    <n v="0.99995655922314675"/>
    <x v="1"/>
  </r>
  <r>
    <s v="Customer-488"/>
    <x v="636"/>
    <n v="7.9362957715416121E-6"/>
    <n v="0.99996449551891831"/>
    <x v="1"/>
  </r>
  <r>
    <s v="Customer-797"/>
    <x v="636"/>
    <n v="7.9362957715416121E-6"/>
    <n v="0.99997243181468987"/>
    <x v="1"/>
  </r>
  <r>
    <s v="Customer-893"/>
    <x v="637"/>
    <n v="7.1008962166424956E-6"/>
    <n v="0.99997953271090656"/>
    <x v="1"/>
  </r>
  <r>
    <s v="Customer-377"/>
    <x v="638"/>
    <n v="6.6831964391929373E-6"/>
    <n v="0.99998621590734571"/>
    <x v="1"/>
  </r>
  <r>
    <s v="Customer-067"/>
    <x v="639"/>
    <n v="5.0123973293947025E-6"/>
    <n v="0.99999122830467513"/>
    <x v="1"/>
  </r>
  <r>
    <s v="Customer-311"/>
    <x v="640"/>
    <n v="4.5946975519451443E-6"/>
    <n v="0.99999582300222711"/>
    <x v="1"/>
  </r>
  <r>
    <s v="Customer-007"/>
    <x v="641"/>
    <n v="4.176997774495586E-6"/>
    <n v="1.000000000000001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154D6-21D0-494F-86C0-CD8D0AD9C08F}" name="monetary" cacheId="68"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 colHeaderCaption="Score ">
  <location ref="L5:N8" firstHeaderRow="1" firstDataRow="2" firstDataCol="1"/>
  <pivotFields count="5">
    <pivotField dataField="1" showAll="0">
      <extLst>
        <ext xmlns:x14="http://schemas.microsoft.com/office/spreadsheetml/2009/9/main" uri="{2946ED86-A175-432a-8AC1-64E0C546D7DE}">
          <x14:pivotField fillDownLabels="1"/>
        </ext>
      </extLst>
    </pivotField>
    <pivotField dataField="1" numFmtId="165" showAll="0">
      <items count="643">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extLst>
        <ext xmlns:x14="http://schemas.microsoft.com/office/spreadsheetml/2009/9/main" uri="{2946ED86-A175-432a-8AC1-64E0C546D7DE}">
          <x14:pivotField fillDownLabels="1"/>
        </ext>
      </extLst>
    </pivotField>
    <pivotField numFmtId="168" showAll="0">
      <extLst>
        <ext xmlns:x14="http://schemas.microsoft.com/office/spreadsheetml/2009/9/main" uri="{2946ED86-A175-432a-8AC1-64E0C546D7DE}">
          <x14:pivotField fillDownLabels="1"/>
        </ext>
      </extLst>
    </pivotField>
    <pivotField numFmtId="10" showAll="0">
      <extLst>
        <ext xmlns:x14="http://schemas.microsoft.com/office/spreadsheetml/2009/9/main" uri="{2946ED86-A175-432a-8AC1-64E0C546D7DE}">
          <x14:pivotField fillDownLabels="1"/>
        </ext>
      </extLst>
    </pivotField>
    <pivotField axis="axisCol" showAll="0">
      <items count="3">
        <item x="0"/>
        <item x="1"/>
        <item t="default"/>
      </items>
      <extLst>
        <ext xmlns:x14="http://schemas.microsoft.com/office/spreadsheetml/2009/9/main" uri="{2946ED86-A175-432a-8AC1-64E0C546D7DE}">
          <x14:pivotField fillDownLabels="1"/>
        </ext>
      </extLst>
    </pivotField>
  </pivotFields>
  <rowFields count="1">
    <field x="-2"/>
  </rowFields>
  <rowItems count="2">
    <i>
      <x/>
    </i>
    <i i="1">
      <x v="1"/>
    </i>
  </rowItems>
  <colFields count="1">
    <field x="4"/>
  </colFields>
  <colItems count="2">
    <i>
      <x/>
    </i>
    <i>
      <x v="1"/>
    </i>
  </colItems>
  <dataFields count="2">
    <dataField name="Customer ID " fld="0" subtotal="count" showDataAs="percentOfTotal" baseField="0" baseItem="0" numFmtId="10"/>
    <dataField name="Amount " fld="1" showDataAs="percentOfTotal" baseField="0" baseItem="0" numFmtId="1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CBD384-1B4D-4FA9-90EC-E0B82DA50912}" name="Frequency" cacheId="4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18:D21" firstHeaderRow="0" firstDataRow="1" firstDataCol="1"/>
  <pivotFields count="11">
    <pivotField dataField="1" showAll="0">
      <extLst>
        <ext xmlns:x14="http://schemas.microsoft.com/office/spreadsheetml/2009/9/main" uri="{2946ED86-A175-432a-8AC1-64E0C546D7DE}">
          <x14:pivotField fillDownLabels="1"/>
        </ext>
      </extLst>
    </pivotField>
    <pivotField showAll="0">
      <items count="6">
        <item x="2"/>
        <item x="0"/>
        <item x="3"/>
        <item x="1"/>
        <item x="4"/>
        <item t="default"/>
      </items>
      <extLst>
        <ext xmlns:x14="http://schemas.microsoft.com/office/spreadsheetml/2009/9/main" uri="{2946ED86-A175-432a-8AC1-64E0C546D7DE}">
          <x14:pivotField fillDownLabels="1"/>
        </ext>
      </extLst>
    </pivotField>
    <pivotField numFmtId="14"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
        <item m="1" x="3"/>
        <item m="1" x="4"/>
        <item x="0"/>
        <item x="1"/>
        <item m="1"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7"/>
  </rowFields>
  <rowItems count="3">
    <i>
      <x v="2"/>
    </i>
    <i>
      <x v="3"/>
    </i>
    <i t="grand">
      <x/>
    </i>
  </rowItems>
  <colFields count="1">
    <field x="-2"/>
  </colFields>
  <colItems count="2">
    <i>
      <x/>
    </i>
    <i i="1">
      <x v="1"/>
    </i>
  </colItems>
  <dataFields count="2">
    <dataField name="Count of Customer ID" fld="0" subtotal="count" baseField="0" baseItem="0"/>
    <dataField name="% on Total" fld="0" subtotal="count" showDataAs="percentOfTotal" baseField="7" baseItem="0" numFmtId="1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31A5DC-DBB0-4571-9B70-32E41C20E38C}" name="Recency" cacheId="4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10:D13" firstHeaderRow="0" firstDataRow="1" firstDataCol="1"/>
  <pivotFields count="11">
    <pivotField dataField="1" showAll="0">
      <extLst>
        <ext xmlns:x14="http://schemas.microsoft.com/office/spreadsheetml/2009/9/main" uri="{2946ED86-A175-432a-8AC1-64E0C546D7DE}">
          <x14:pivotField fillDownLabels="1"/>
        </ext>
      </extLst>
    </pivotField>
    <pivotField showAll="0">
      <items count="6">
        <item x="2"/>
        <item x="0"/>
        <item x="3"/>
        <item x="1"/>
        <item x="4"/>
        <item t="default"/>
      </items>
      <extLst>
        <ext xmlns:x14="http://schemas.microsoft.com/office/spreadsheetml/2009/9/main" uri="{2946ED86-A175-432a-8AC1-64E0C546D7DE}">
          <x14:pivotField fillDownLabels="1"/>
        </ext>
      </extLst>
    </pivotField>
    <pivotField numFmtId="14"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axis="axisRow" dataField="1" showAll="0">
      <items count="5">
        <item m="1" x="2"/>
        <item m="1" x="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6"/>
  </rowFields>
  <rowItems count="3">
    <i>
      <x v="2"/>
    </i>
    <i>
      <x v="3"/>
    </i>
    <i t="grand">
      <x/>
    </i>
  </rowItems>
  <colFields count="1">
    <field x="-2"/>
  </colFields>
  <colItems count="2">
    <i>
      <x/>
    </i>
    <i i="1">
      <x v="1"/>
    </i>
  </colItems>
  <dataFields count="2">
    <dataField name="Count of Customer ID" fld="0" subtotal="count" baseField="0" baseItem="0"/>
    <dataField name="% on Total" fld="6" subtotal="count" showDataAs="percentOfTotal" baseField="6" baseItem="0" numFmtId="1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6797B-736A-45B3-81A9-31796ADD51F3}" name="Customer" cacheId="48"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egments">
  <location ref="L8:N17" firstHeaderRow="0" firstDataRow="1" firstDataCol="1"/>
  <pivotFields count="11">
    <pivotField dataField="1" showAll="0">
      <extLst>
        <ext xmlns:x14="http://schemas.microsoft.com/office/spreadsheetml/2009/9/main" uri="{2946ED86-A175-432a-8AC1-64E0C546D7DE}">
          <x14:pivotField fillDownLabels="1"/>
        </ext>
      </extLst>
    </pivotField>
    <pivotField showAll="0">
      <items count="6">
        <item x="2"/>
        <item x="0"/>
        <item x="3"/>
        <item x="1"/>
        <item x="4"/>
        <item t="default"/>
      </items>
      <extLst>
        <ext xmlns:x14="http://schemas.microsoft.com/office/spreadsheetml/2009/9/main" uri="{2946ED86-A175-432a-8AC1-64E0C546D7DE}">
          <x14:pivotField fillDownLabels="1"/>
        </ext>
      </extLst>
    </pivotField>
    <pivotField numFmtId="14"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10">
        <item x="5"/>
        <item x="6"/>
        <item x="0"/>
        <item x="2"/>
        <item x="7"/>
        <item x="3"/>
        <item x="4"/>
        <item x="1"/>
        <item m="1" x="8"/>
        <item t="default"/>
      </items>
      <extLst>
        <ext xmlns:x14="http://schemas.microsoft.com/office/spreadsheetml/2009/9/main" uri="{2946ED86-A175-432a-8AC1-64E0C546D7DE}">
          <x14:pivotField fillDownLabels="1"/>
        </ext>
      </extLst>
    </pivotField>
  </pivotFields>
  <rowFields count="1">
    <field x="10"/>
  </rowFields>
  <rowItems count="9">
    <i>
      <x/>
    </i>
    <i>
      <x v="1"/>
    </i>
    <i>
      <x v="2"/>
    </i>
    <i>
      <x v="3"/>
    </i>
    <i>
      <x v="4"/>
    </i>
    <i>
      <x v="5"/>
    </i>
    <i>
      <x v="6"/>
    </i>
    <i>
      <x v="7"/>
    </i>
    <i t="grand">
      <x/>
    </i>
  </rowItems>
  <colFields count="1">
    <field x="-2"/>
  </colFields>
  <colItems count="2">
    <i>
      <x/>
    </i>
    <i i="1">
      <x v="1"/>
    </i>
  </colItems>
  <dataFields count="2">
    <dataField name="Count of Customer ID" fld="0" subtotal="count" baseField="0" baseItem="0"/>
    <dataField name="% on Total" fld="0" subtotal="count" showDataAs="percentOfTotal" baseField="10" baseItem="3" numFmtId="1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B1CA06-FEF3-4DF4-A9C5-BAF96811166C}" name="PivotTable1" cacheId="5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L21:P30" firstHeaderRow="0" firstDataRow="1" firstDataCol="1"/>
  <pivotFields count="11">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4"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numFmtId="165"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ascending">
      <items count="9">
        <item x="4"/>
        <item x="6"/>
        <item x="0"/>
        <item x="3"/>
        <item x="2"/>
        <item x="7"/>
        <item x="5"/>
        <item x="1"/>
        <item t="default"/>
      </items>
      <autoSortScope>
        <pivotArea dataOnly="0" outline="0" fieldPosition="0">
          <references count="1">
            <reference field="4294967294" count="1" selected="0">
              <x v="2"/>
            </reference>
          </references>
        </pivotArea>
      </autoSortScope>
      <extLst>
        <ext xmlns:x14="http://schemas.microsoft.com/office/spreadsheetml/2009/9/main" uri="{2946ED86-A175-432a-8AC1-64E0C546D7DE}">
          <x14:pivotField fillDownLabels="1"/>
        </ext>
      </extLst>
    </pivotField>
  </pivotFields>
  <rowFields count="1">
    <field x="10"/>
  </rowFields>
  <rowItems count="9">
    <i>
      <x v="5"/>
    </i>
    <i>
      <x v="2"/>
    </i>
    <i>
      <x v="1"/>
    </i>
    <i>
      <x v="3"/>
    </i>
    <i>
      <x v="6"/>
    </i>
    <i>
      <x v="4"/>
    </i>
    <i>
      <x/>
    </i>
    <i>
      <x v="7"/>
    </i>
    <i t="grand">
      <x/>
    </i>
  </rowItems>
  <colFields count="1">
    <field x="-2"/>
  </colFields>
  <colItems count="4">
    <i>
      <x/>
    </i>
    <i i="1">
      <x v="1"/>
    </i>
    <i i="2">
      <x v="2"/>
    </i>
    <i i="3">
      <x v="3"/>
    </i>
  </colItems>
  <dataFields count="4">
    <dataField name="Count of Customer ID" fld="0" subtotal="count" baseField="0" baseItem="0"/>
    <dataField name="% of Customer" fld="0" subtotal="count" showDataAs="percentOfTotal" baseField="10" baseItem="0" numFmtId="10"/>
    <dataField name="Sum of Total Amount" fld="5" baseField="0" baseItem="0" numFmtId="165"/>
    <dataField name="% of Total" fld="5" showDataAs="percentOfTota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A8DCC4-EA2B-4657-B5E6-3D81DFBA544A}" name="Segment" cacheId="48"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egments">
  <location ref="G8:I17" firstHeaderRow="0" firstDataRow="1" firstDataCol="1"/>
  <pivotFields count="11">
    <pivotField showAll="0">
      <extLst>
        <ext xmlns:x14="http://schemas.microsoft.com/office/spreadsheetml/2009/9/main" uri="{2946ED86-A175-432a-8AC1-64E0C546D7DE}">
          <x14:pivotField fillDownLabels="1"/>
        </ext>
      </extLst>
    </pivotField>
    <pivotField showAll="0">
      <items count="6">
        <item x="2"/>
        <item x="0"/>
        <item x="3"/>
        <item x="1"/>
        <item x="4"/>
        <item t="default"/>
      </items>
      <extLst>
        <ext xmlns:x14="http://schemas.microsoft.com/office/spreadsheetml/2009/9/main" uri="{2946ED86-A175-432a-8AC1-64E0C546D7DE}">
          <x14:pivotField fillDownLabels="1"/>
        </ext>
      </extLst>
    </pivotField>
    <pivotField numFmtId="14"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dataField="1" numFmtId="165"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ascending">
      <items count="10">
        <item x="5"/>
        <item x="6"/>
        <item x="0"/>
        <item x="2"/>
        <item x="7"/>
        <item x="3"/>
        <item x="4"/>
        <item x="1"/>
        <item m="1" x="8"/>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10"/>
  </rowFields>
  <rowItems count="9">
    <i>
      <x v="6"/>
    </i>
    <i>
      <x v="4"/>
    </i>
    <i>
      <x v="1"/>
    </i>
    <i>
      <x v="2"/>
    </i>
    <i>
      <x v="5"/>
    </i>
    <i>
      <x v="3"/>
    </i>
    <i>
      <x/>
    </i>
    <i>
      <x v="7"/>
    </i>
    <i t="grand">
      <x/>
    </i>
  </rowItems>
  <colFields count="1">
    <field x="-2"/>
  </colFields>
  <colItems count="2">
    <i>
      <x/>
    </i>
    <i i="1">
      <x v="1"/>
    </i>
  </colItems>
  <dataFields count="2">
    <dataField name=" Total Amount" fld="5" baseField="0" baseItem="0" numFmtId="165"/>
    <dataField name="% on Total" fld="5" showDataAs="percentOfTotal" baseField="10" baseItem="0" numFmtId="1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376EC3-FF03-4D53-973E-BCDD302121EE}" name="Recency " cacheId="4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26:D29" firstHeaderRow="0" firstDataRow="1" firstDataCol="1"/>
  <pivotFields count="11">
    <pivotField dataField="1" showAll="0">
      <extLst>
        <ext xmlns:x14="http://schemas.microsoft.com/office/spreadsheetml/2009/9/main" uri="{2946ED86-A175-432a-8AC1-64E0C546D7DE}">
          <x14:pivotField fillDownLabels="1"/>
        </ext>
      </extLst>
    </pivotField>
    <pivotField showAll="0">
      <items count="6">
        <item x="2"/>
        <item x="0"/>
        <item x="3"/>
        <item x="1"/>
        <item x="4"/>
        <item t="default"/>
      </items>
      <extLst>
        <ext xmlns:x14="http://schemas.microsoft.com/office/spreadsheetml/2009/9/main" uri="{2946ED86-A175-432a-8AC1-64E0C546D7DE}">
          <x14:pivotField fillDownLabels="1"/>
        </ext>
      </extLst>
    </pivotField>
    <pivotField numFmtId="14"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5">
        <item m="1" x="3"/>
        <item m="1" x="2"/>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8"/>
  </rowFields>
  <rowItems count="3">
    <i>
      <x v="2"/>
    </i>
    <i>
      <x v="3"/>
    </i>
    <i t="grand">
      <x/>
    </i>
  </rowItems>
  <colFields count="1">
    <field x="-2"/>
  </colFields>
  <colItems count="2">
    <i>
      <x/>
    </i>
    <i i="1">
      <x v="1"/>
    </i>
  </colItems>
  <dataFields count="2">
    <dataField name="Count of Customer ID" fld="0" subtotal="count" baseField="0" baseItem="0"/>
    <dataField name="% on Total" fld="0" subtotal="count" showDataAs="percentOfTotal" baseField="7" baseItem="0" numFmtId="1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30AFF6-FF96-44F3-AFF7-98857A6E7CBD}" sourceName="Region">
  <pivotTables>
    <pivotTable tabId="9" name="Frequency"/>
    <pivotTable tabId="9" name="Customer"/>
    <pivotTable tabId="9" name="Recency"/>
    <pivotTable tabId="9" name="Recency "/>
    <pivotTable tabId="9" name="Segment"/>
  </pivotTables>
  <data>
    <tabular pivotCacheId="726492796">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E5649C-44CA-4403-BD1C-709A9DE5AF19}"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C4E4F3-C529-4D6D-9C39-676B7760DCC9}" name="rfm" displayName="rfm" ref="A7:E15" totalsRowShown="0" headerRowDxfId="9" dataDxfId="7" headerRowBorderDxfId="8" tableBorderDxfId="6" totalsRowBorderDxfId="5">
  <autoFilter ref="A7:E15" xr:uid="{108DBB33-D02C-43C3-ADFD-72A67FB32EE9}">
    <filterColumn colId="0" hiddenButton="1"/>
    <filterColumn colId="1" hiddenButton="1"/>
    <filterColumn colId="2" hiddenButton="1"/>
    <filterColumn colId="3" hiddenButton="1"/>
    <filterColumn colId="4" hiddenButton="1"/>
  </autoFilter>
  <tableColumns count="5">
    <tableColumn id="1" xr3:uid="{36C795F5-B56F-4D6F-9CA5-49B21A1A5D45}" name="RFM Score" dataDxfId="4"/>
    <tableColumn id="2" xr3:uid="{3E132F52-4965-4759-8F01-46C6BFE754C1}" name="Segment Name" dataDxfId="3"/>
    <tableColumn id="3" xr3:uid="{D4F2E30B-EF8D-498B-9A42-E2D48210519A}" name="Customer Meaning" dataDxfId="2"/>
    <tableColumn id="4" xr3:uid="{724BE056-BF1E-4ABB-ACFD-8162DAD372C9}" name="Typical Risk Level" dataDxfId="1"/>
    <tableColumn id="5" xr3:uid="{1C26B155-9B48-4E0D-BC3F-CEC1786FD0A7}" name="Recommended Actions" dataDxfId="0"/>
  </tableColumns>
  <tableStyleInfo name="TableStyleMedium2" showFirstColumn="0" showLastColumn="0" showRowStripes="1" showColumnStripes="0"/>
</table>
</file>

<file path=xl/theme/theme1.xml><?xml version="1.0" encoding="utf-8"?>
<a:theme xmlns:a="http://schemas.openxmlformats.org/drawingml/2006/main" name="UserCMA">
  <a:themeElements>
    <a:clrScheme name="UserCMA">
      <a:dk1>
        <a:sysClr val="windowText" lastClr="000000"/>
      </a:dk1>
      <a:lt1>
        <a:sysClr val="window" lastClr="FFFFFF"/>
      </a:lt1>
      <a:dk2>
        <a:srgbClr val="0E2841"/>
      </a:dk2>
      <a:lt2>
        <a:srgbClr val="E8E8E8"/>
      </a:lt2>
      <a:accent1>
        <a:srgbClr val="0070C0"/>
      </a:accent1>
      <a:accent2>
        <a:srgbClr val="E97132"/>
      </a:accent2>
      <a:accent3>
        <a:srgbClr val="196B24"/>
      </a:accent3>
      <a:accent4>
        <a:srgbClr val="7F7F7F"/>
      </a:accent4>
      <a:accent5>
        <a:srgbClr val="7030A0"/>
      </a:accent5>
      <a:accent6>
        <a:srgbClr val="C00000"/>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aggle.com/datasets/charmmyaeaung/raw-sales-dataset-for-rfm-customer-segmentation"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EC04-2B1E-4739-8025-A245D291C0D4}">
  <sheetPr>
    <tabColor rgb="FF00B0F0"/>
  </sheetPr>
  <dimension ref="A1:I58"/>
  <sheetViews>
    <sheetView showGridLines="0" topLeftCell="A24" zoomScaleNormal="100" workbookViewId="0">
      <selection activeCell="C13" sqref="C13"/>
    </sheetView>
  </sheetViews>
  <sheetFormatPr defaultColWidth="8.77734375" defaultRowHeight="14.4" x14ac:dyDescent="0.3"/>
  <cols>
    <col min="1" max="1" width="1.109375" style="20" customWidth="1"/>
    <col min="2" max="2" width="3.77734375" style="20" customWidth="1"/>
    <col min="3" max="3" width="92.21875" style="20" customWidth="1"/>
    <col min="4" max="4" width="0.77734375" style="20" customWidth="1"/>
    <col min="5" max="5" width="2.6640625" style="20" customWidth="1"/>
    <col min="6" max="6" width="35" style="20" bestFit="1" customWidth="1"/>
    <col min="7" max="7" width="30.44140625" style="20" bestFit="1" customWidth="1"/>
    <col min="8" max="8" width="35.21875" style="20" bestFit="1" customWidth="1"/>
    <col min="9" max="9" width="48.6640625" style="20" bestFit="1" customWidth="1"/>
    <col min="10" max="16384" width="8.77734375" style="20"/>
  </cols>
  <sheetData>
    <row r="1" spans="1:4" s="17" customFormat="1" ht="21" x14ac:dyDescent="0.4">
      <c r="A1" s="16" t="s">
        <v>2920</v>
      </c>
    </row>
    <row r="2" spans="1:4" s="18" customFormat="1" ht="12" x14ac:dyDescent="0.25">
      <c r="A2" s="18" t="s">
        <v>2921</v>
      </c>
    </row>
    <row r="3" spans="1:4" s="18" customFormat="1" ht="12" x14ac:dyDescent="0.25">
      <c r="A3" s="19" t="s">
        <v>2922</v>
      </c>
    </row>
    <row r="5" spans="1:4" ht="18" x14ac:dyDescent="0.35">
      <c r="B5" s="20" t="s">
        <v>2923</v>
      </c>
      <c r="C5" s="21" t="s">
        <v>2924</v>
      </c>
      <c r="D5" s="21"/>
    </row>
    <row r="6" spans="1:4" ht="15" thickBot="1" x14ac:dyDescent="0.35"/>
    <row r="7" spans="1:4" x14ac:dyDescent="0.3">
      <c r="B7" s="22"/>
      <c r="C7" s="23"/>
    </row>
    <row r="8" spans="1:4" x14ac:dyDescent="0.3">
      <c r="B8" s="24" t="s">
        <v>2925</v>
      </c>
      <c r="C8" s="25" t="s">
        <v>2926</v>
      </c>
      <c r="D8" s="26"/>
    </row>
    <row r="9" spans="1:4" x14ac:dyDescent="0.3">
      <c r="B9" s="27"/>
      <c r="C9" s="28" t="s">
        <v>2927</v>
      </c>
    </row>
    <row r="10" spans="1:4" x14ac:dyDescent="0.3">
      <c r="B10" s="27"/>
      <c r="C10" s="29" t="s">
        <v>2928</v>
      </c>
      <c r="D10" s="30"/>
    </row>
    <row r="11" spans="1:4" x14ac:dyDescent="0.3">
      <c r="B11" s="27"/>
      <c r="C11" s="29" t="s">
        <v>2929</v>
      </c>
      <c r="D11" s="30"/>
    </row>
    <row r="12" spans="1:4" x14ac:dyDescent="0.3">
      <c r="B12" s="27"/>
      <c r="C12" s="29" t="s">
        <v>2930</v>
      </c>
      <c r="D12" s="30"/>
    </row>
    <row r="13" spans="1:4" x14ac:dyDescent="0.3">
      <c r="B13" s="27"/>
      <c r="C13" s="28"/>
    </row>
    <row r="14" spans="1:4" x14ac:dyDescent="0.3">
      <c r="B14" s="24" t="s">
        <v>2925</v>
      </c>
      <c r="C14" s="25" t="s">
        <v>2931</v>
      </c>
      <c r="D14" s="26"/>
    </row>
    <row r="15" spans="1:4" x14ac:dyDescent="0.3">
      <c r="B15" s="27"/>
      <c r="C15" s="31" t="s">
        <v>2932</v>
      </c>
      <c r="D15" s="32"/>
    </row>
    <row r="16" spans="1:4" x14ac:dyDescent="0.3">
      <c r="B16" s="27"/>
      <c r="C16" s="31" t="s">
        <v>2933</v>
      </c>
      <c r="D16" s="32"/>
    </row>
    <row r="17" spans="2:4" x14ac:dyDescent="0.3">
      <c r="B17" s="27"/>
      <c r="C17" s="31" t="s">
        <v>2934</v>
      </c>
      <c r="D17" s="32"/>
    </row>
    <row r="18" spans="2:4" x14ac:dyDescent="0.3">
      <c r="B18" s="27"/>
      <c r="C18" s="31" t="s">
        <v>2935</v>
      </c>
      <c r="D18" s="32"/>
    </row>
    <row r="19" spans="2:4" x14ac:dyDescent="0.3">
      <c r="B19" s="27"/>
      <c r="C19" s="31" t="s">
        <v>2936</v>
      </c>
      <c r="D19" s="32"/>
    </row>
    <row r="20" spans="2:4" ht="15" thickBot="1" x14ac:dyDescent="0.35">
      <c r="B20" s="33"/>
      <c r="C20" s="34"/>
    </row>
    <row r="21" spans="2:4" ht="15" thickBot="1" x14ac:dyDescent="0.35"/>
    <row r="22" spans="2:4" x14ac:dyDescent="0.3">
      <c r="B22" s="22"/>
      <c r="C22" s="23"/>
    </row>
    <row r="23" spans="2:4" x14ac:dyDescent="0.3">
      <c r="B23" s="24" t="s">
        <v>2925</v>
      </c>
      <c r="C23" s="25" t="s">
        <v>2937</v>
      </c>
      <c r="D23" s="26"/>
    </row>
    <row r="24" spans="2:4" x14ac:dyDescent="0.3">
      <c r="B24" s="27"/>
      <c r="C24" s="28"/>
    </row>
    <row r="25" spans="2:4" x14ac:dyDescent="0.3">
      <c r="B25" s="35" t="s">
        <v>2938</v>
      </c>
      <c r="C25" s="25" t="s">
        <v>2939</v>
      </c>
      <c r="D25" s="26"/>
    </row>
    <row r="26" spans="2:4" x14ac:dyDescent="0.3">
      <c r="B26" s="27"/>
      <c r="C26" s="28" t="s">
        <v>2940</v>
      </c>
    </row>
    <row r="27" spans="2:4" x14ac:dyDescent="0.3">
      <c r="B27" s="27"/>
      <c r="C27" s="28"/>
    </row>
    <row r="28" spans="2:4" x14ac:dyDescent="0.3">
      <c r="B28" s="35" t="s">
        <v>2941</v>
      </c>
      <c r="C28" s="25" t="s">
        <v>2942</v>
      </c>
      <c r="D28" s="26"/>
    </row>
    <row r="29" spans="2:4" x14ac:dyDescent="0.3">
      <c r="B29" s="27"/>
      <c r="C29" s="28" t="s">
        <v>2943</v>
      </c>
    </row>
    <row r="30" spans="2:4" x14ac:dyDescent="0.3">
      <c r="B30" s="27"/>
      <c r="C30" s="31" t="s">
        <v>2116</v>
      </c>
      <c r="D30" s="32"/>
    </row>
    <row r="31" spans="2:4" x14ac:dyDescent="0.3">
      <c r="B31" s="27"/>
      <c r="C31" s="31" t="s">
        <v>2944</v>
      </c>
      <c r="D31" s="32"/>
    </row>
    <row r="32" spans="2:4" x14ac:dyDescent="0.3">
      <c r="B32" s="27"/>
      <c r="C32" s="31" t="s">
        <v>2945</v>
      </c>
      <c r="D32" s="32"/>
    </row>
    <row r="33" spans="2:9" x14ac:dyDescent="0.3">
      <c r="B33" s="27"/>
      <c r="C33" s="31" t="s">
        <v>2946</v>
      </c>
      <c r="D33" s="32"/>
    </row>
    <row r="34" spans="2:9" x14ac:dyDescent="0.3">
      <c r="B34" s="27"/>
      <c r="C34" s="28"/>
    </row>
    <row r="35" spans="2:9" x14ac:dyDescent="0.3">
      <c r="B35" s="35" t="s">
        <v>2947</v>
      </c>
      <c r="C35" s="25" t="s">
        <v>2948</v>
      </c>
      <c r="D35" s="26"/>
    </row>
    <row r="36" spans="2:9" x14ac:dyDescent="0.3">
      <c r="B36" s="27"/>
      <c r="C36" s="36" t="s">
        <v>2949</v>
      </c>
      <c r="D36" s="37"/>
    </row>
    <row r="37" spans="2:9" x14ac:dyDescent="0.3">
      <c r="B37" s="27"/>
      <c r="C37" s="36" t="s">
        <v>2950</v>
      </c>
      <c r="D37" s="37"/>
    </row>
    <row r="38" spans="2:9" x14ac:dyDescent="0.3">
      <c r="B38" s="27"/>
      <c r="C38" s="36" t="s">
        <v>2951</v>
      </c>
      <c r="D38" s="37"/>
    </row>
    <row r="39" spans="2:9" x14ac:dyDescent="0.3">
      <c r="B39" s="27"/>
      <c r="C39" s="28"/>
    </row>
    <row r="40" spans="2:9" x14ac:dyDescent="0.3">
      <c r="B40" s="35" t="s">
        <v>2952</v>
      </c>
      <c r="C40" s="25" t="s">
        <v>2953</v>
      </c>
      <c r="D40" s="26"/>
      <c r="F40" s="55" t="s">
        <v>2971</v>
      </c>
      <c r="G40" s="55" t="s">
        <v>2972</v>
      </c>
      <c r="H40" s="55" t="s">
        <v>2973</v>
      </c>
      <c r="I40" s="55" t="s">
        <v>2974</v>
      </c>
    </row>
    <row r="41" spans="2:9" x14ac:dyDescent="0.3">
      <c r="B41" s="27"/>
      <c r="C41" s="28" t="s">
        <v>2954</v>
      </c>
      <c r="F41" s="53" t="s">
        <v>2975</v>
      </c>
      <c r="G41" s="54" t="s">
        <v>2976</v>
      </c>
      <c r="H41" s="54" t="s">
        <v>2977</v>
      </c>
      <c r="I41" s="54" t="s">
        <v>2978</v>
      </c>
    </row>
    <row r="42" spans="2:9" x14ac:dyDescent="0.3">
      <c r="B42" s="27"/>
      <c r="C42" s="28" t="s">
        <v>2961</v>
      </c>
      <c r="F42" s="53" t="s">
        <v>2979</v>
      </c>
      <c r="G42" s="54" t="s">
        <v>2894</v>
      </c>
      <c r="H42" s="54" t="s">
        <v>2884</v>
      </c>
      <c r="I42" s="54" t="s">
        <v>2903</v>
      </c>
    </row>
    <row r="43" spans="2:9" x14ac:dyDescent="0.3">
      <c r="B43" s="27"/>
      <c r="C43" s="28" t="s">
        <v>2962</v>
      </c>
      <c r="F43" s="53" t="s">
        <v>2980</v>
      </c>
      <c r="G43" s="54" t="s">
        <v>2981</v>
      </c>
      <c r="H43" s="54" t="s">
        <v>2982</v>
      </c>
      <c r="I43" s="54" t="s">
        <v>2983</v>
      </c>
    </row>
    <row r="44" spans="2:9" x14ac:dyDescent="0.3">
      <c r="B44" s="27"/>
      <c r="C44" s="28"/>
      <c r="F44" s="53" t="s">
        <v>2984</v>
      </c>
      <c r="G44" s="54" t="s">
        <v>2894</v>
      </c>
      <c r="H44" s="54" t="s">
        <v>2985</v>
      </c>
      <c r="I44" s="54" t="s">
        <v>2986</v>
      </c>
    </row>
    <row r="45" spans="2:9" x14ac:dyDescent="0.3">
      <c r="B45" s="35" t="s">
        <v>2955</v>
      </c>
      <c r="C45" s="25" t="s">
        <v>2956</v>
      </c>
      <c r="D45" s="26"/>
      <c r="F45" s="53" t="s">
        <v>2987</v>
      </c>
      <c r="G45" s="54" t="s">
        <v>2988</v>
      </c>
      <c r="H45" s="54" t="s">
        <v>2989</v>
      </c>
      <c r="I45" s="54" t="s">
        <v>2990</v>
      </c>
    </row>
    <row r="46" spans="2:9" x14ac:dyDescent="0.3">
      <c r="B46" s="27"/>
      <c r="C46" s="28" t="s">
        <v>2957</v>
      </c>
      <c r="F46" s="53" t="s">
        <v>2991</v>
      </c>
      <c r="G46" s="54" t="s">
        <v>2992</v>
      </c>
      <c r="H46" s="54" t="s">
        <v>2894</v>
      </c>
      <c r="I46" s="54" t="s">
        <v>2993</v>
      </c>
    </row>
    <row r="47" spans="2:9" x14ac:dyDescent="0.3">
      <c r="B47" s="27"/>
      <c r="C47" s="28" t="s">
        <v>2958</v>
      </c>
      <c r="F47" s="53" t="s">
        <v>2994</v>
      </c>
      <c r="G47" s="54" t="s">
        <v>2894</v>
      </c>
      <c r="H47" s="54" t="s">
        <v>2995</v>
      </c>
      <c r="I47" s="54" t="s">
        <v>2913</v>
      </c>
    </row>
    <row r="48" spans="2:9" x14ac:dyDescent="0.3">
      <c r="B48" s="27"/>
      <c r="C48" s="28"/>
      <c r="F48" s="53" t="s">
        <v>2996</v>
      </c>
      <c r="G48" s="54" t="s">
        <v>2997</v>
      </c>
      <c r="H48" s="54" t="s">
        <v>2997</v>
      </c>
      <c r="I48" s="54" t="s">
        <v>2998</v>
      </c>
    </row>
    <row r="49" spans="2:9" x14ac:dyDescent="0.3">
      <c r="B49" s="27"/>
      <c r="C49" s="28" t="s">
        <v>2964</v>
      </c>
      <c r="F49" s="53" t="s">
        <v>2999</v>
      </c>
      <c r="G49" s="54" t="s">
        <v>3000</v>
      </c>
      <c r="H49" s="54" t="s">
        <v>3000</v>
      </c>
      <c r="I49" s="54" t="s">
        <v>3001</v>
      </c>
    </row>
    <row r="50" spans="2:9" x14ac:dyDescent="0.3">
      <c r="B50" s="27"/>
      <c r="C50" s="28"/>
      <c r="F50" s="53" t="s">
        <v>3002</v>
      </c>
      <c r="G50" s="54" t="s">
        <v>3003</v>
      </c>
      <c r="H50" s="54" t="s">
        <v>3004</v>
      </c>
      <c r="I50" s="54" t="s">
        <v>3005</v>
      </c>
    </row>
    <row r="51" spans="2:9" x14ac:dyDescent="0.3">
      <c r="B51" s="27"/>
      <c r="C51" s="28" t="s">
        <v>2968</v>
      </c>
      <c r="F51" s="53" t="s">
        <v>3006</v>
      </c>
      <c r="G51" s="54" t="s">
        <v>3007</v>
      </c>
      <c r="H51" s="54" t="s">
        <v>3008</v>
      </c>
      <c r="I51" s="54" t="s">
        <v>3009</v>
      </c>
    </row>
    <row r="52" spans="2:9" x14ac:dyDescent="0.3">
      <c r="B52" s="27"/>
      <c r="C52" s="29" t="s">
        <v>2965</v>
      </c>
    </row>
    <row r="53" spans="2:9" x14ac:dyDescent="0.3">
      <c r="B53" s="27"/>
      <c r="C53" s="29" t="s">
        <v>2966</v>
      </c>
    </row>
    <row r="54" spans="2:9" x14ac:dyDescent="0.3">
      <c r="B54" s="27"/>
      <c r="C54" s="29" t="s">
        <v>2967</v>
      </c>
    </row>
    <row r="55" spans="2:9" x14ac:dyDescent="0.3">
      <c r="B55" s="27"/>
      <c r="C55" s="28"/>
    </row>
    <row r="56" spans="2:9" x14ac:dyDescent="0.3">
      <c r="B56" s="35" t="s">
        <v>2959</v>
      </c>
      <c r="C56" s="38" t="s">
        <v>2960</v>
      </c>
      <c r="D56" s="39"/>
    </row>
    <row r="57" spans="2:9" x14ac:dyDescent="0.3">
      <c r="B57" s="27"/>
      <c r="C57" s="40" t="s">
        <v>2963</v>
      </c>
    </row>
    <row r="58" spans="2:9" ht="15" thickBot="1" x14ac:dyDescent="0.35">
      <c r="B58" s="33"/>
      <c r="C58" s="34"/>
    </row>
  </sheetData>
  <hyperlinks>
    <hyperlink ref="C57" location="RFM_Table!A1" display="See table &gt;&gt;&gt;" xr:uid="{1B272074-1BE5-4DFA-AB16-AEAD94F1957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8F5C-31D5-428C-A409-BC7E766AB2EE}">
  <sheetPr>
    <tabColor rgb="FF00B0F0"/>
  </sheetPr>
  <dimension ref="A1:E15"/>
  <sheetViews>
    <sheetView showGridLines="0" workbookViewId="0">
      <selection activeCell="B15" sqref="B15"/>
    </sheetView>
  </sheetViews>
  <sheetFormatPr defaultColWidth="8.77734375" defaultRowHeight="14.4" x14ac:dyDescent="0.3"/>
  <cols>
    <col min="1" max="1" width="11.5546875" style="1" customWidth="1"/>
    <col min="2" max="2" width="25.44140625" style="1" bestFit="1" customWidth="1"/>
    <col min="3" max="3" width="33.44140625" style="1" bestFit="1" customWidth="1"/>
    <col min="4" max="4" width="19.5546875" style="1" bestFit="1" customWidth="1"/>
    <col min="5" max="5" width="36.77734375" style="1" customWidth="1"/>
    <col min="6" max="16384" width="8.77734375" style="1"/>
  </cols>
  <sheetData>
    <row r="1" spans="1:5" s="12" customFormat="1" ht="21" x14ac:dyDescent="0.4">
      <c r="A1" s="13" t="s">
        <v>2920</v>
      </c>
    </row>
    <row r="2" spans="1:5" s="15" customFormat="1" ht="12" x14ac:dyDescent="0.25">
      <c r="A2" s="15" t="s">
        <v>2921</v>
      </c>
    </row>
    <row r="3" spans="1:5" s="15" customFormat="1" ht="12" x14ac:dyDescent="0.25">
      <c r="A3" s="14" t="s">
        <v>2922</v>
      </c>
    </row>
    <row r="5" spans="1:5" x14ac:dyDescent="0.3">
      <c r="A5" s="2" t="s">
        <v>2876</v>
      </c>
    </row>
    <row r="7" spans="1:5" x14ac:dyDescent="0.3">
      <c r="A7" s="3" t="s">
        <v>2875</v>
      </c>
      <c r="B7" s="4" t="s">
        <v>2877</v>
      </c>
      <c r="C7" s="4" t="s">
        <v>2878</v>
      </c>
      <c r="D7" s="4" t="s">
        <v>2879</v>
      </c>
      <c r="E7" s="5" t="s">
        <v>2880</v>
      </c>
    </row>
    <row r="8" spans="1:5" x14ac:dyDescent="0.3">
      <c r="A8" s="6" t="s">
        <v>2881</v>
      </c>
      <c r="B8" s="7" t="s">
        <v>2882</v>
      </c>
      <c r="C8" s="7" t="s">
        <v>2883</v>
      </c>
      <c r="D8" s="7" t="s">
        <v>2884</v>
      </c>
      <c r="E8" s="8" t="s">
        <v>2885</v>
      </c>
    </row>
    <row r="9" spans="1:5" x14ac:dyDescent="0.3">
      <c r="A9" s="6" t="s">
        <v>2886</v>
      </c>
      <c r="B9" s="7" t="s">
        <v>2887</v>
      </c>
      <c r="C9" s="7" t="s">
        <v>2888</v>
      </c>
      <c r="D9" s="7" t="s">
        <v>2889</v>
      </c>
      <c r="E9" s="8" t="s">
        <v>2890</v>
      </c>
    </row>
    <row r="10" spans="1:5" x14ac:dyDescent="0.3">
      <c r="A10" s="6" t="s">
        <v>2891</v>
      </c>
      <c r="B10" s="7" t="s">
        <v>2892</v>
      </c>
      <c r="C10" s="7" t="s">
        <v>2893</v>
      </c>
      <c r="D10" s="7" t="s">
        <v>2894</v>
      </c>
      <c r="E10" s="8" t="s">
        <v>2895</v>
      </c>
    </row>
    <row r="11" spans="1:5" x14ac:dyDescent="0.3">
      <c r="A11" s="6" t="s">
        <v>2896</v>
      </c>
      <c r="B11" s="7" t="s">
        <v>2897</v>
      </c>
      <c r="C11" s="7" t="s">
        <v>2898</v>
      </c>
      <c r="D11" s="7" t="s">
        <v>2894</v>
      </c>
      <c r="E11" s="8" t="s">
        <v>2899</v>
      </c>
    </row>
    <row r="12" spans="1:5" x14ac:dyDescent="0.3">
      <c r="A12" s="6" t="s">
        <v>2900</v>
      </c>
      <c r="B12" s="125" t="s">
        <v>2901</v>
      </c>
      <c r="C12" s="7" t="s">
        <v>2902</v>
      </c>
      <c r="D12" s="7" t="s">
        <v>2903</v>
      </c>
      <c r="E12" s="8" t="s">
        <v>2904</v>
      </c>
    </row>
    <row r="13" spans="1:5" x14ac:dyDescent="0.3">
      <c r="A13" s="6" t="s">
        <v>2905</v>
      </c>
      <c r="B13" s="7" t="s">
        <v>2906</v>
      </c>
      <c r="C13" s="7" t="s">
        <v>2907</v>
      </c>
      <c r="D13" s="7" t="s">
        <v>2908</v>
      </c>
      <c r="E13" s="8" t="s">
        <v>2909</v>
      </c>
    </row>
    <row r="14" spans="1:5" x14ac:dyDescent="0.3">
      <c r="A14" s="6" t="s">
        <v>2910</v>
      </c>
      <c r="B14" s="7" t="s">
        <v>2911</v>
      </c>
      <c r="C14" s="7" t="s">
        <v>2912</v>
      </c>
      <c r="D14" s="7" t="s">
        <v>2913</v>
      </c>
      <c r="E14" s="8" t="s">
        <v>2914</v>
      </c>
    </row>
    <row r="15" spans="1:5" x14ac:dyDescent="0.3">
      <c r="A15" s="9" t="s">
        <v>2915</v>
      </c>
      <c r="B15" s="10" t="s">
        <v>2916</v>
      </c>
      <c r="C15" s="10" t="s">
        <v>2917</v>
      </c>
      <c r="D15" s="10" t="s">
        <v>2918</v>
      </c>
      <c r="E15" s="11" t="s">
        <v>2919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5411-5D37-4F39-9A6F-B785BE910B93}">
  <sheetPr>
    <tabColor rgb="FF00B050"/>
  </sheetPr>
  <dimension ref="A1:J2008"/>
  <sheetViews>
    <sheetView showGridLines="0" workbookViewId="0">
      <selection activeCell="H12" sqref="H12"/>
    </sheetView>
  </sheetViews>
  <sheetFormatPr defaultColWidth="8.77734375" defaultRowHeight="14.4" x14ac:dyDescent="0.3"/>
  <cols>
    <col min="1" max="1" width="14.5546875" style="41" bestFit="1" customWidth="1"/>
    <col min="2" max="2" width="11" style="41" bestFit="1" customWidth="1"/>
    <col min="3" max="3" width="11.5546875" style="41" bestFit="1" customWidth="1"/>
    <col min="4" max="4" width="26.109375" style="41" bestFit="1" customWidth="1"/>
    <col min="5" max="5" width="17.21875" style="41" bestFit="1" customWidth="1"/>
    <col min="6" max="6" width="10.109375" style="41" bestFit="1" customWidth="1"/>
    <col min="7" max="7" width="9.33203125" style="41" bestFit="1" customWidth="1"/>
    <col min="8" max="8" width="11.5546875" style="41" bestFit="1" customWidth="1"/>
    <col min="9" max="9" width="14.109375" style="41" bestFit="1" customWidth="1"/>
    <col min="10" max="10" width="9.5546875" style="41" bestFit="1" customWidth="1"/>
    <col min="11" max="16384" width="8.77734375" style="41"/>
  </cols>
  <sheetData>
    <row r="1" spans="1:10" s="45" customFormat="1" ht="21" x14ac:dyDescent="0.4">
      <c r="A1" s="46" t="s">
        <v>2920</v>
      </c>
    </row>
    <row r="2" spans="1:10" s="48" customFormat="1" ht="12" x14ac:dyDescent="0.25">
      <c r="A2" s="48" t="s">
        <v>2921</v>
      </c>
    </row>
    <row r="3" spans="1:10" s="48" customFormat="1" ht="12" x14ac:dyDescent="0.25">
      <c r="A3" s="47" t="s">
        <v>2922</v>
      </c>
    </row>
    <row r="5" spans="1:10" x14ac:dyDescent="0.3">
      <c r="A5" s="50" t="s">
        <v>2969</v>
      </c>
    </row>
    <row r="6" spans="1:10" x14ac:dyDescent="0.3">
      <c r="A6" s="51" t="s">
        <v>2970</v>
      </c>
    </row>
    <row r="8" spans="1:10" x14ac:dyDescent="0.3">
      <c r="A8" s="49" t="s">
        <v>0</v>
      </c>
      <c r="B8" s="49" t="s">
        <v>1</v>
      </c>
      <c r="C8" s="49" t="s">
        <v>2</v>
      </c>
      <c r="D8" s="49" t="s">
        <v>3</v>
      </c>
      <c r="E8" s="49" t="s">
        <v>4</v>
      </c>
      <c r="F8" s="49" t="s">
        <v>5</v>
      </c>
      <c r="G8" s="49" t="s">
        <v>6</v>
      </c>
      <c r="H8" s="49" t="s">
        <v>7</v>
      </c>
      <c r="I8" s="49" t="s">
        <v>2116</v>
      </c>
      <c r="J8" s="49" t="s">
        <v>2117</v>
      </c>
    </row>
    <row r="9" spans="1:10" x14ac:dyDescent="0.3">
      <c r="A9" s="42" t="s">
        <v>9</v>
      </c>
      <c r="B9" s="43">
        <v>45658</v>
      </c>
      <c r="C9" s="42" t="s">
        <v>22</v>
      </c>
      <c r="D9" s="42" t="s">
        <v>23</v>
      </c>
      <c r="E9" s="42" t="s">
        <v>12</v>
      </c>
      <c r="F9" s="42">
        <v>13</v>
      </c>
      <c r="G9" s="44">
        <v>25000</v>
      </c>
      <c r="H9" s="44">
        <v>325000</v>
      </c>
      <c r="I9" s="42" t="s">
        <v>2194</v>
      </c>
      <c r="J9" s="42" t="s">
        <v>8</v>
      </c>
    </row>
    <row r="10" spans="1:10" x14ac:dyDescent="0.3">
      <c r="A10" s="42" t="s">
        <v>13</v>
      </c>
      <c r="B10" s="43">
        <v>45658</v>
      </c>
      <c r="C10" s="42" t="s">
        <v>22</v>
      </c>
      <c r="D10" s="42" t="s">
        <v>23</v>
      </c>
      <c r="E10" s="42" t="s">
        <v>12</v>
      </c>
      <c r="F10" s="42">
        <v>500</v>
      </c>
      <c r="G10" s="44">
        <v>25000</v>
      </c>
      <c r="H10" s="44">
        <v>12500000</v>
      </c>
      <c r="I10" s="42" t="s">
        <v>2837</v>
      </c>
      <c r="J10" s="42" t="s">
        <v>47</v>
      </c>
    </row>
    <row r="11" spans="1:10" x14ac:dyDescent="0.3">
      <c r="A11" s="42" t="s">
        <v>17</v>
      </c>
      <c r="B11" s="43">
        <v>45658</v>
      </c>
      <c r="C11" s="42" t="s">
        <v>31</v>
      </c>
      <c r="D11" s="42" t="s">
        <v>32</v>
      </c>
      <c r="E11" s="42" t="s">
        <v>20</v>
      </c>
      <c r="F11" s="42">
        <v>25</v>
      </c>
      <c r="G11" s="44">
        <v>180000</v>
      </c>
      <c r="H11" s="44">
        <v>4500000</v>
      </c>
      <c r="I11" s="42" t="s">
        <v>2536</v>
      </c>
      <c r="J11" s="42" t="s">
        <v>127</v>
      </c>
    </row>
    <row r="12" spans="1:10" x14ac:dyDescent="0.3">
      <c r="A12" s="42" t="s">
        <v>21</v>
      </c>
      <c r="B12" s="43">
        <v>45658</v>
      </c>
      <c r="C12" s="42" t="s">
        <v>14</v>
      </c>
      <c r="D12" s="42" t="s">
        <v>15</v>
      </c>
      <c r="E12" s="42" t="s">
        <v>16</v>
      </c>
      <c r="F12" s="42">
        <v>41</v>
      </c>
      <c r="G12" s="44">
        <v>350000</v>
      </c>
      <c r="H12" s="44">
        <v>14350000</v>
      </c>
      <c r="I12" s="42" t="s">
        <v>2747</v>
      </c>
      <c r="J12" s="42" t="s">
        <v>8</v>
      </c>
    </row>
    <row r="13" spans="1:10" x14ac:dyDescent="0.3">
      <c r="A13" s="42" t="s">
        <v>48</v>
      </c>
      <c r="B13" s="43">
        <v>45658</v>
      </c>
      <c r="C13" s="42" t="s">
        <v>31</v>
      </c>
      <c r="D13" s="42" t="s">
        <v>32</v>
      </c>
      <c r="E13" s="42" t="s">
        <v>20</v>
      </c>
      <c r="F13" s="42">
        <v>28</v>
      </c>
      <c r="G13" s="44">
        <v>180000</v>
      </c>
      <c r="H13" s="44">
        <v>5040000</v>
      </c>
      <c r="I13" s="42" t="s">
        <v>2683</v>
      </c>
      <c r="J13" s="42" t="s">
        <v>47</v>
      </c>
    </row>
    <row r="14" spans="1:10" x14ac:dyDescent="0.3">
      <c r="A14" s="42" t="s">
        <v>49</v>
      </c>
      <c r="B14" s="43">
        <v>45658</v>
      </c>
      <c r="C14" s="42" t="s">
        <v>44</v>
      </c>
      <c r="D14" s="42" t="s">
        <v>45</v>
      </c>
      <c r="E14" s="42" t="s">
        <v>16</v>
      </c>
      <c r="F14" s="42">
        <v>7</v>
      </c>
      <c r="G14" s="44">
        <v>250000</v>
      </c>
      <c r="H14" s="44">
        <v>1750000</v>
      </c>
      <c r="I14" s="42" t="s">
        <v>2566</v>
      </c>
      <c r="J14" s="42" t="s">
        <v>8</v>
      </c>
    </row>
    <row r="15" spans="1:10" x14ac:dyDescent="0.3">
      <c r="A15" s="42" t="s">
        <v>61</v>
      </c>
      <c r="B15" s="43">
        <v>45658</v>
      </c>
      <c r="C15" s="42" t="s">
        <v>31</v>
      </c>
      <c r="D15" s="42" t="s">
        <v>32</v>
      </c>
      <c r="E15" s="42" t="s">
        <v>20</v>
      </c>
      <c r="F15" s="42">
        <v>35</v>
      </c>
      <c r="G15" s="44">
        <v>180000</v>
      </c>
      <c r="H15" s="44">
        <v>6300000</v>
      </c>
      <c r="I15" s="42" t="s">
        <v>2848</v>
      </c>
      <c r="J15" s="42" t="s">
        <v>60</v>
      </c>
    </row>
    <row r="16" spans="1:10" x14ac:dyDescent="0.3">
      <c r="A16" s="42" t="s">
        <v>70</v>
      </c>
      <c r="B16" s="43">
        <v>45658</v>
      </c>
      <c r="C16" s="42" t="s">
        <v>10</v>
      </c>
      <c r="D16" s="42" t="s">
        <v>11</v>
      </c>
      <c r="E16" s="42" t="s">
        <v>12</v>
      </c>
      <c r="F16" s="42">
        <v>21</v>
      </c>
      <c r="G16" s="44">
        <v>120000</v>
      </c>
      <c r="H16" s="44">
        <v>2520000</v>
      </c>
      <c r="I16" s="42" t="s">
        <v>2330</v>
      </c>
      <c r="J16" s="42" t="s">
        <v>69</v>
      </c>
    </row>
    <row r="17" spans="1:10" x14ac:dyDescent="0.3">
      <c r="A17" s="42" t="s">
        <v>71</v>
      </c>
      <c r="B17" s="43">
        <v>45658</v>
      </c>
      <c r="C17" s="42" t="s">
        <v>44</v>
      </c>
      <c r="D17" s="42" t="s">
        <v>45</v>
      </c>
      <c r="E17" s="42" t="s">
        <v>16</v>
      </c>
      <c r="F17" s="42">
        <v>32</v>
      </c>
      <c r="G17" s="44">
        <v>250000</v>
      </c>
      <c r="H17" s="44">
        <v>8000000</v>
      </c>
      <c r="I17" s="42" t="s">
        <v>2685</v>
      </c>
      <c r="J17" s="42" t="s">
        <v>69</v>
      </c>
    </row>
    <row r="18" spans="1:10" x14ac:dyDescent="0.3">
      <c r="A18" s="42" t="s">
        <v>90</v>
      </c>
      <c r="B18" s="43">
        <v>45659</v>
      </c>
      <c r="C18" s="42" t="s">
        <v>14</v>
      </c>
      <c r="D18" s="42" t="s">
        <v>15</v>
      </c>
      <c r="E18" s="42" t="s">
        <v>16</v>
      </c>
      <c r="F18" s="42">
        <v>21</v>
      </c>
      <c r="G18" s="44">
        <v>350000</v>
      </c>
      <c r="H18" s="44">
        <v>7350000</v>
      </c>
      <c r="I18" s="42" t="s">
        <v>2791</v>
      </c>
      <c r="J18" s="42" t="s">
        <v>8</v>
      </c>
    </row>
    <row r="19" spans="1:10" x14ac:dyDescent="0.3">
      <c r="A19" s="42" t="s">
        <v>91</v>
      </c>
      <c r="B19" s="43">
        <v>45659</v>
      </c>
      <c r="C19" s="42" t="s">
        <v>42</v>
      </c>
      <c r="D19" s="42" t="s">
        <v>43</v>
      </c>
      <c r="E19" s="42" t="s">
        <v>16</v>
      </c>
      <c r="F19" s="42">
        <v>30</v>
      </c>
      <c r="G19" s="44">
        <v>1200000</v>
      </c>
      <c r="H19" s="44">
        <v>36000000</v>
      </c>
      <c r="I19" s="42" t="s">
        <v>2409</v>
      </c>
      <c r="J19" s="42" t="s">
        <v>69</v>
      </c>
    </row>
    <row r="20" spans="1:10" x14ac:dyDescent="0.3">
      <c r="A20" s="42" t="s">
        <v>101</v>
      </c>
      <c r="B20" s="43">
        <v>45659</v>
      </c>
      <c r="C20" s="42" t="s">
        <v>18</v>
      </c>
      <c r="D20" s="42" t="s">
        <v>19</v>
      </c>
      <c r="E20" s="42" t="s">
        <v>20</v>
      </c>
      <c r="F20" s="42">
        <v>12</v>
      </c>
      <c r="G20" s="44">
        <v>500000</v>
      </c>
      <c r="H20" s="44">
        <v>6000000</v>
      </c>
      <c r="I20" s="42" t="s">
        <v>2701</v>
      </c>
      <c r="J20" s="42" t="s">
        <v>60</v>
      </c>
    </row>
    <row r="21" spans="1:10" x14ac:dyDescent="0.3">
      <c r="A21" s="42" t="s">
        <v>102</v>
      </c>
      <c r="B21" s="43">
        <v>45659</v>
      </c>
      <c r="C21" s="42" t="s">
        <v>31</v>
      </c>
      <c r="D21" s="42" t="s">
        <v>32</v>
      </c>
      <c r="E21" s="42" t="s">
        <v>20</v>
      </c>
      <c r="F21" s="42">
        <v>17</v>
      </c>
      <c r="G21" s="44">
        <v>180000</v>
      </c>
      <c r="H21" s="44">
        <v>3060000</v>
      </c>
      <c r="I21" s="42" t="s">
        <v>2163</v>
      </c>
      <c r="J21" s="42" t="s">
        <v>127</v>
      </c>
    </row>
    <row r="22" spans="1:10" x14ac:dyDescent="0.3">
      <c r="A22" s="42" t="s">
        <v>103</v>
      </c>
      <c r="B22" s="43">
        <v>45659</v>
      </c>
      <c r="C22" s="42" t="s">
        <v>38</v>
      </c>
      <c r="D22" s="42" t="s">
        <v>39</v>
      </c>
      <c r="E22" s="42" t="s">
        <v>16</v>
      </c>
      <c r="F22" s="42">
        <v>35</v>
      </c>
      <c r="G22" s="44">
        <v>200000</v>
      </c>
      <c r="H22" s="44">
        <v>7000000</v>
      </c>
      <c r="I22" s="42" t="s">
        <v>2766</v>
      </c>
      <c r="J22" s="42" t="s">
        <v>127</v>
      </c>
    </row>
    <row r="23" spans="1:10" x14ac:dyDescent="0.3">
      <c r="A23" s="42" t="s">
        <v>104</v>
      </c>
      <c r="B23" s="43">
        <v>45659</v>
      </c>
      <c r="C23" s="42" t="s">
        <v>40</v>
      </c>
      <c r="D23" s="42" t="s">
        <v>41</v>
      </c>
      <c r="E23" s="42" t="s">
        <v>16</v>
      </c>
      <c r="F23" s="42">
        <v>400</v>
      </c>
      <c r="G23" s="44">
        <v>950000</v>
      </c>
      <c r="H23" s="44">
        <v>380000000</v>
      </c>
      <c r="I23" s="42" t="s">
        <v>2624</v>
      </c>
      <c r="J23" s="42" t="s">
        <v>60</v>
      </c>
    </row>
    <row r="24" spans="1:10" x14ac:dyDescent="0.3">
      <c r="A24" s="42" t="s">
        <v>118</v>
      </c>
      <c r="B24" s="43">
        <v>45659</v>
      </c>
      <c r="C24" s="42" t="s">
        <v>42</v>
      </c>
      <c r="D24" s="42" t="s">
        <v>43</v>
      </c>
      <c r="E24" s="42" t="s">
        <v>16</v>
      </c>
      <c r="F24" s="42">
        <v>24</v>
      </c>
      <c r="G24" s="44">
        <v>1200000</v>
      </c>
      <c r="H24" s="44">
        <v>28800000</v>
      </c>
      <c r="I24" s="42" t="s">
        <v>2202</v>
      </c>
      <c r="J24" s="42" t="s">
        <v>8</v>
      </c>
    </row>
    <row r="25" spans="1:10" x14ac:dyDescent="0.3">
      <c r="A25" s="42" t="s">
        <v>119</v>
      </c>
      <c r="B25" s="43">
        <v>45659</v>
      </c>
      <c r="C25" s="42" t="s">
        <v>42</v>
      </c>
      <c r="D25" s="42" t="s">
        <v>43</v>
      </c>
      <c r="E25" s="42" t="s">
        <v>16</v>
      </c>
      <c r="F25" s="42">
        <v>26</v>
      </c>
      <c r="G25" s="44">
        <v>1200000</v>
      </c>
      <c r="H25" s="44">
        <v>31200000</v>
      </c>
      <c r="I25" s="42" t="s">
        <v>2636</v>
      </c>
      <c r="J25" s="42" t="s">
        <v>60</v>
      </c>
    </row>
    <row r="26" spans="1:10" x14ac:dyDescent="0.3">
      <c r="A26" s="42" t="s">
        <v>128</v>
      </c>
      <c r="B26" s="43">
        <v>45659</v>
      </c>
      <c r="C26" s="42" t="s">
        <v>42</v>
      </c>
      <c r="D26" s="42" t="s">
        <v>43</v>
      </c>
      <c r="E26" s="42" t="s">
        <v>16</v>
      </c>
      <c r="F26" s="42">
        <v>340</v>
      </c>
      <c r="G26" s="44">
        <v>1200000</v>
      </c>
      <c r="H26" s="44">
        <v>408000000</v>
      </c>
      <c r="I26" s="42" t="s">
        <v>2362</v>
      </c>
      <c r="J26" s="42" t="s">
        <v>8</v>
      </c>
    </row>
    <row r="27" spans="1:10" x14ac:dyDescent="0.3">
      <c r="A27" s="42" t="s">
        <v>137</v>
      </c>
      <c r="B27" s="43">
        <v>45660</v>
      </c>
      <c r="C27" s="42" t="s">
        <v>38</v>
      </c>
      <c r="D27" s="42" t="s">
        <v>39</v>
      </c>
      <c r="E27" s="42" t="s">
        <v>16</v>
      </c>
      <c r="F27" s="42">
        <v>26</v>
      </c>
      <c r="G27" s="44">
        <v>200000</v>
      </c>
      <c r="H27" s="44">
        <v>5200000</v>
      </c>
      <c r="I27" s="42" t="s">
        <v>897</v>
      </c>
      <c r="J27" s="42" t="s">
        <v>127</v>
      </c>
    </row>
    <row r="28" spans="1:10" x14ac:dyDescent="0.3">
      <c r="A28" s="42" t="s">
        <v>146</v>
      </c>
      <c r="B28" s="43">
        <v>45660</v>
      </c>
      <c r="C28" s="42" t="s">
        <v>18</v>
      </c>
      <c r="D28" s="42" t="s">
        <v>19</v>
      </c>
      <c r="E28" s="42" t="s">
        <v>20</v>
      </c>
      <c r="F28" s="42">
        <v>13</v>
      </c>
      <c r="G28" s="44">
        <v>500000</v>
      </c>
      <c r="H28" s="44">
        <v>6500000</v>
      </c>
      <c r="I28" s="42" t="s">
        <v>2312</v>
      </c>
      <c r="J28" s="42" t="s">
        <v>127</v>
      </c>
    </row>
    <row r="29" spans="1:10" x14ac:dyDescent="0.3">
      <c r="A29" s="42" t="s">
        <v>153</v>
      </c>
      <c r="B29" s="43">
        <v>45660</v>
      </c>
      <c r="C29" s="42" t="s">
        <v>31</v>
      </c>
      <c r="D29" s="42" t="s">
        <v>32</v>
      </c>
      <c r="E29" s="42" t="s">
        <v>20</v>
      </c>
      <c r="F29" s="42">
        <v>30</v>
      </c>
      <c r="G29" s="44">
        <v>180000</v>
      </c>
      <c r="H29" s="44">
        <v>5400000</v>
      </c>
      <c r="I29" s="42" t="s">
        <v>2650</v>
      </c>
      <c r="J29" s="42" t="s">
        <v>127</v>
      </c>
    </row>
    <row r="30" spans="1:10" x14ac:dyDescent="0.3">
      <c r="A30" s="42" t="s">
        <v>165</v>
      </c>
      <c r="B30" s="43">
        <v>45660</v>
      </c>
      <c r="C30" s="42" t="s">
        <v>14</v>
      </c>
      <c r="D30" s="42" t="s">
        <v>15</v>
      </c>
      <c r="E30" s="42" t="s">
        <v>16</v>
      </c>
      <c r="F30" s="42">
        <v>45</v>
      </c>
      <c r="G30" s="44">
        <v>350000</v>
      </c>
      <c r="H30" s="44">
        <v>15750000</v>
      </c>
      <c r="I30" s="42" t="s">
        <v>2573</v>
      </c>
      <c r="J30" s="42" t="s">
        <v>8</v>
      </c>
    </row>
    <row r="31" spans="1:10" x14ac:dyDescent="0.3">
      <c r="A31" s="42" t="s">
        <v>166</v>
      </c>
      <c r="B31" s="43">
        <v>45660</v>
      </c>
      <c r="C31" s="42" t="s">
        <v>44</v>
      </c>
      <c r="D31" s="42" t="s">
        <v>45</v>
      </c>
      <c r="E31" s="42" t="s">
        <v>16</v>
      </c>
      <c r="F31" s="42">
        <v>36</v>
      </c>
      <c r="G31" s="44">
        <v>250000</v>
      </c>
      <c r="H31" s="44">
        <v>9000000</v>
      </c>
      <c r="I31" s="42" t="s">
        <v>2543</v>
      </c>
      <c r="J31" s="42" t="s">
        <v>8</v>
      </c>
    </row>
    <row r="32" spans="1:10" x14ac:dyDescent="0.3">
      <c r="A32" s="42" t="s">
        <v>185</v>
      </c>
      <c r="B32" s="43">
        <v>45660</v>
      </c>
      <c r="C32" s="42" t="s">
        <v>10</v>
      </c>
      <c r="D32" s="42" t="s">
        <v>11</v>
      </c>
      <c r="E32" s="42" t="s">
        <v>12</v>
      </c>
      <c r="F32" s="42">
        <v>36</v>
      </c>
      <c r="G32" s="44">
        <v>120000</v>
      </c>
      <c r="H32" s="44">
        <v>4320000</v>
      </c>
      <c r="I32" s="42" t="s">
        <v>2714</v>
      </c>
      <c r="J32" s="42" t="s">
        <v>8</v>
      </c>
    </row>
    <row r="33" spans="1:10" x14ac:dyDescent="0.3">
      <c r="A33" s="42" t="s">
        <v>186</v>
      </c>
      <c r="B33" s="43">
        <v>45660</v>
      </c>
      <c r="C33" s="42" t="s">
        <v>40</v>
      </c>
      <c r="D33" s="42" t="s">
        <v>41</v>
      </c>
      <c r="E33" s="42" t="s">
        <v>16</v>
      </c>
      <c r="F33" s="42">
        <v>22</v>
      </c>
      <c r="G33" s="44">
        <v>950000</v>
      </c>
      <c r="H33" s="44">
        <v>20900000</v>
      </c>
      <c r="I33" s="42" t="s">
        <v>2267</v>
      </c>
      <c r="J33" s="42" t="s">
        <v>8</v>
      </c>
    </row>
    <row r="34" spans="1:10" x14ac:dyDescent="0.3">
      <c r="A34" s="42" t="s">
        <v>217</v>
      </c>
      <c r="B34" s="43">
        <v>45660</v>
      </c>
      <c r="C34" s="42" t="s">
        <v>22</v>
      </c>
      <c r="D34" s="42" t="s">
        <v>23</v>
      </c>
      <c r="E34" s="42" t="s">
        <v>12</v>
      </c>
      <c r="F34" s="42">
        <v>36</v>
      </c>
      <c r="G34" s="44">
        <v>25000</v>
      </c>
      <c r="H34" s="44">
        <v>900000</v>
      </c>
      <c r="I34" s="42" t="s">
        <v>2800</v>
      </c>
      <c r="J34" s="42" t="s">
        <v>69</v>
      </c>
    </row>
    <row r="35" spans="1:10" x14ac:dyDescent="0.3">
      <c r="A35" s="42" t="s">
        <v>218</v>
      </c>
      <c r="B35" s="43">
        <v>45660</v>
      </c>
      <c r="C35" s="42" t="s">
        <v>31</v>
      </c>
      <c r="D35" s="42" t="s">
        <v>32</v>
      </c>
      <c r="E35" s="42" t="s">
        <v>20</v>
      </c>
      <c r="F35" s="42">
        <v>15</v>
      </c>
      <c r="G35" s="44">
        <v>180000</v>
      </c>
      <c r="H35" s="44">
        <v>2700000</v>
      </c>
      <c r="I35" s="42" t="s">
        <v>2463</v>
      </c>
      <c r="J35" s="42" t="s">
        <v>8</v>
      </c>
    </row>
    <row r="36" spans="1:10" x14ac:dyDescent="0.3">
      <c r="A36" s="42" t="s">
        <v>219</v>
      </c>
      <c r="B36" s="43">
        <v>45660</v>
      </c>
      <c r="C36" s="42" t="s">
        <v>14</v>
      </c>
      <c r="D36" s="42" t="s">
        <v>15</v>
      </c>
      <c r="E36" s="42" t="s">
        <v>16</v>
      </c>
      <c r="F36" s="42">
        <v>25</v>
      </c>
      <c r="G36" s="44">
        <v>350000</v>
      </c>
      <c r="H36" s="44">
        <v>8750000</v>
      </c>
      <c r="I36" s="42" t="s">
        <v>2621</v>
      </c>
      <c r="J36" s="42" t="s">
        <v>47</v>
      </c>
    </row>
    <row r="37" spans="1:10" x14ac:dyDescent="0.3">
      <c r="A37" s="42" t="s">
        <v>238</v>
      </c>
      <c r="B37" s="43">
        <v>45660</v>
      </c>
      <c r="C37" s="42" t="s">
        <v>38</v>
      </c>
      <c r="D37" s="42" t="s">
        <v>39</v>
      </c>
      <c r="E37" s="42" t="s">
        <v>16</v>
      </c>
      <c r="F37" s="42">
        <v>360</v>
      </c>
      <c r="G37" s="44">
        <v>200000</v>
      </c>
      <c r="H37" s="44">
        <v>72000000</v>
      </c>
      <c r="I37" s="42" t="s">
        <v>2239</v>
      </c>
      <c r="J37" s="42" t="s">
        <v>8</v>
      </c>
    </row>
    <row r="38" spans="1:10" x14ac:dyDescent="0.3">
      <c r="A38" s="42" t="s">
        <v>239</v>
      </c>
      <c r="B38" s="43">
        <v>45660</v>
      </c>
      <c r="C38" s="42" t="s">
        <v>44</v>
      </c>
      <c r="D38" s="42" t="s">
        <v>45</v>
      </c>
      <c r="E38" s="42" t="s">
        <v>16</v>
      </c>
      <c r="F38" s="42">
        <v>130</v>
      </c>
      <c r="G38" s="44">
        <v>250000</v>
      </c>
      <c r="H38" s="44">
        <v>32500000</v>
      </c>
      <c r="I38" s="42" t="s">
        <v>2577</v>
      </c>
      <c r="J38" s="42" t="s">
        <v>47</v>
      </c>
    </row>
    <row r="39" spans="1:10" x14ac:dyDescent="0.3">
      <c r="A39" s="42" t="s">
        <v>240</v>
      </c>
      <c r="B39" s="43">
        <v>45663</v>
      </c>
      <c r="C39" s="42" t="s">
        <v>22</v>
      </c>
      <c r="D39" s="42" t="s">
        <v>23</v>
      </c>
      <c r="E39" s="42" t="s">
        <v>12</v>
      </c>
      <c r="F39" s="42">
        <v>26</v>
      </c>
      <c r="G39" s="44">
        <v>25000</v>
      </c>
      <c r="H39" s="44">
        <v>650000</v>
      </c>
      <c r="I39" s="42" t="s">
        <v>2774</v>
      </c>
      <c r="J39" s="42" t="s">
        <v>8</v>
      </c>
    </row>
    <row r="40" spans="1:10" x14ac:dyDescent="0.3">
      <c r="A40" s="42" t="s">
        <v>241</v>
      </c>
      <c r="B40" s="43">
        <v>45663</v>
      </c>
      <c r="C40" s="42" t="s">
        <v>10</v>
      </c>
      <c r="D40" s="42" t="s">
        <v>11</v>
      </c>
      <c r="E40" s="42" t="s">
        <v>12</v>
      </c>
      <c r="F40" s="42">
        <v>37</v>
      </c>
      <c r="G40" s="44">
        <v>120000</v>
      </c>
      <c r="H40" s="44">
        <v>4440000</v>
      </c>
      <c r="I40" s="42" t="s">
        <v>2596</v>
      </c>
      <c r="J40" s="42" t="s">
        <v>127</v>
      </c>
    </row>
    <row r="41" spans="1:10" x14ac:dyDescent="0.3">
      <c r="A41" s="42" t="s">
        <v>259</v>
      </c>
      <c r="B41" s="43">
        <v>45663</v>
      </c>
      <c r="C41" s="42" t="s">
        <v>14</v>
      </c>
      <c r="D41" s="42" t="s">
        <v>15</v>
      </c>
      <c r="E41" s="42" t="s">
        <v>16</v>
      </c>
      <c r="F41" s="42">
        <v>16</v>
      </c>
      <c r="G41" s="44">
        <v>350000</v>
      </c>
      <c r="H41" s="44">
        <v>5600000</v>
      </c>
      <c r="I41" s="42" t="s">
        <v>2012</v>
      </c>
      <c r="J41" s="42" t="s">
        <v>60</v>
      </c>
    </row>
    <row r="42" spans="1:10" x14ac:dyDescent="0.3">
      <c r="A42" s="42" t="s">
        <v>288</v>
      </c>
      <c r="B42" s="43">
        <v>45663</v>
      </c>
      <c r="C42" s="42" t="s">
        <v>22</v>
      </c>
      <c r="D42" s="42" t="s">
        <v>23</v>
      </c>
      <c r="E42" s="42" t="s">
        <v>12</v>
      </c>
      <c r="F42" s="42">
        <v>70</v>
      </c>
      <c r="G42" s="44">
        <v>25000</v>
      </c>
      <c r="H42" s="44">
        <v>1750000</v>
      </c>
      <c r="I42" s="42" t="s">
        <v>2239</v>
      </c>
      <c r="J42" s="42" t="s">
        <v>8</v>
      </c>
    </row>
    <row r="43" spans="1:10" x14ac:dyDescent="0.3">
      <c r="A43" s="42" t="s">
        <v>289</v>
      </c>
      <c r="B43" s="43">
        <v>45663</v>
      </c>
      <c r="C43" s="42" t="s">
        <v>38</v>
      </c>
      <c r="D43" s="42" t="s">
        <v>39</v>
      </c>
      <c r="E43" s="42" t="s">
        <v>16</v>
      </c>
      <c r="F43" s="42">
        <v>48</v>
      </c>
      <c r="G43" s="44">
        <v>200000</v>
      </c>
      <c r="H43" s="44">
        <v>9600000</v>
      </c>
      <c r="I43" s="42" t="s">
        <v>2053</v>
      </c>
      <c r="J43" s="42" t="s">
        <v>8</v>
      </c>
    </row>
    <row r="44" spans="1:10" x14ac:dyDescent="0.3">
      <c r="A44" s="42" t="s">
        <v>296</v>
      </c>
      <c r="B44" s="43">
        <v>45663</v>
      </c>
      <c r="C44" s="42" t="s">
        <v>22</v>
      </c>
      <c r="D44" s="42" t="s">
        <v>23</v>
      </c>
      <c r="E44" s="42" t="s">
        <v>12</v>
      </c>
      <c r="F44" s="42">
        <v>19</v>
      </c>
      <c r="G44" s="44">
        <v>25000</v>
      </c>
      <c r="H44" s="44">
        <v>475000</v>
      </c>
      <c r="I44" s="42" t="s">
        <v>2393</v>
      </c>
      <c r="J44" s="42" t="s">
        <v>60</v>
      </c>
    </row>
    <row r="45" spans="1:10" x14ac:dyDescent="0.3">
      <c r="A45" s="42" t="s">
        <v>297</v>
      </c>
      <c r="B45" s="43">
        <v>45663</v>
      </c>
      <c r="C45" s="42" t="s">
        <v>31</v>
      </c>
      <c r="D45" s="42" t="s">
        <v>32</v>
      </c>
      <c r="E45" s="42" t="s">
        <v>20</v>
      </c>
      <c r="F45" s="42">
        <v>33</v>
      </c>
      <c r="G45" s="44">
        <v>180000</v>
      </c>
      <c r="H45" s="44">
        <v>5940000</v>
      </c>
      <c r="I45" s="42" t="s">
        <v>2717</v>
      </c>
      <c r="J45" s="42" t="s">
        <v>127</v>
      </c>
    </row>
    <row r="46" spans="1:10" x14ac:dyDescent="0.3">
      <c r="A46" s="42" t="s">
        <v>308</v>
      </c>
      <c r="B46" s="43">
        <v>45663</v>
      </c>
      <c r="C46" s="42" t="s">
        <v>18</v>
      </c>
      <c r="D46" s="42" t="s">
        <v>19</v>
      </c>
      <c r="E46" s="42" t="s">
        <v>20</v>
      </c>
      <c r="F46" s="42">
        <v>32</v>
      </c>
      <c r="G46" s="44">
        <v>500000</v>
      </c>
      <c r="H46" s="44">
        <v>16000000</v>
      </c>
      <c r="I46" s="42" t="s">
        <v>2459</v>
      </c>
      <c r="J46" s="42" t="s">
        <v>69</v>
      </c>
    </row>
    <row r="47" spans="1:10" x14ac:dyDescent="0.3">
      <c r="A47" s="42" t="s">
        <v>309</v>
      </c>
      <c r="B47" s="43">
        <v>45663</v>
      </c>
      <c r="C47" s="42" t="s">
        <v>38</v>
      </c>
      <c r="D47" s="42" t="s">
        <v>39</v>
      </c>
      <c r="E47" s="42" t="s">
        <v>16</v>
      </c>
      <c r="F47" s="42">
        <v>30</v>
      </c>
      <c r="G47" s="44">
        <v>200000</v>
      </c>
      <c r="H47" s="44">
        <v>6000000</v>
      </c>
      <c r="I47" s="42" t="s">
        <v>2238</v>
      </c>
      <c r="J47" s="42" t="s">
        <v>60</v>
      </c>
    </row>
    <row r="48" spans="1:10" x14ac:dyDescent="0.3">
      <c r="A48" s="42" t="s">
        <v>310</v>
      </c>
      <c r="B48" s="43">
        <v>45663</v>
      </c>
      <c r="C48" s="42" t="s">
        <v>44</v>
      </c>
      <c r="D48" s="42" t="s">
        <v>45</v>
      </c>
      <c r="E48" s="42" t="s">
        <v>16</v>
      </c>
      <c r="F48" s="42">
        <v>37</v>
      </c>
      <c r="G48" s="44">
        <v>250000</v>
      </c>
      <c r="H48" s="44">
        <v>9250000</v>
      </c>
      <c r="I48" s="42" t="s">
        <v>2613</v>
      </c>
      <c r="J48" s="42" t="s">
        <v>69</v>
      </c>
    </row>
    <row r="49" spans="1:10" x14ac:dyDescent="0.3">
      <c r="A49" s="42" t="s">
        <v>326</v>
      </c>
      <c r="B49" s="43">
        <v>45663</v>
      </c>
      <c r="C49" s="42" t="s">
        <v>10</v>
      </c>
      <c r="D49" s="42" t="s">
        <v>11</v>
      </c>
      <c r="E49" s="42" t="s">
        <v>12</v>
      </c>
      <c r="F49" s="42">
        <v>37</v>
      </c>
      <c r="G49" s="44">
        <v>120000</v>
      </c>
      <c r="H49" s="44">
        <v>4440000</v>
      </c>
      <c r="I49" s="42" t="s">
        <v>2514</v>
      </c>
      <c r="J49" s="42" t="s">
        <v>127</v>
      </c>
    </row>
    <row r="50" spans="1:10" x14ac:dyDescent="0.3">
      <c r="A50" s="42" t="s">
        <v>327</v>
      </c>
      <c r="B50" s="43">
        <v>45663</v>
      </c>
      <c r="C50" s="42" t="s">
        <v>44</v>
      </c>
      <c r="D50" s="42" t="s">
        <v>45</v>
      </c>
      <c r="E50" s="42" t="s">
        <v>16</v>
      </c>
      <c r="F50" s="42">
        <v>490</v>
      </c>
      <c r="G50" s="44">
        <v>250000</v>
      </c>
      <c r="H50" s="44">
        <v>122500000</v>
      </c>
      <c r="I50" s="42" t="s">
        <v>2533</v>
      </c>
      <c r="J50" s="42" t="s">
        <v>8</v>
      </c>
    </row>
    <row r="51" spans="1:10" x14ac:dyDescent="0.3">
      <c r="A51" s="42" t="s">
        <v>340</v>
      </c>
      <c r="B51" s="43">
        <v>45663</v>
      </c>
      <c r="C51" s="42" t="s">
        <v>40</v>
      </c>
      <c r="D51" s="42" t="s">
        <v>41</v>
      </c>
      <c r="E51" s="42" t="s">
        <v>16</v>
      </c>
      <c r="F51" s="42">
        <v>47</v>
      </c>
      <c r="G51" s="44">
        <v>950000</v>
      </c>
      <c r="H51" s="44">
        <v>44650000</v>
      </c>
      <c r="I51" s="42" t="s">
        <v>2527</v>
      </c>
      <c r="J51" s="42" t="s">
        <v>69</v>
      </c>
    </row>
    <row r="52" spans="1:10" x14ac:dyDescent="0.3">
      <c r="A52" s="42" t="s">
        <v>341</v>
      </c>
      <c r="B52" s="43">
        <v>45664</v>
      </c>
      <c r="C52" s="42" t="s">
        <v>22</v>
      </c>
      <c r="D52" s="42" t="s">
        <v>23</v>
      </c>
      <c r="E52" s="42" t="s">
        <v>12</v>
      </c>
      <c r="F52" s="42">
        <v>210</v>
      </c>
      <c r="G52" s="44">
        <v>25000</v>
      </c>
      <c r="H52" s="44">
        <v>5250000</v>
      </c>
      <c r="I52" s="42" t="s">
        <v>2235</v>
      </c>
      <c r="J52" s="42" t="s">
        <v>127</v>
      </c>
    </row>
    <row r="53" spans="1:10" x14ac:dyDescent="0.3">
      <c r="A53" s="42" t="s">
        <v>360</v>
      </c>
      <c r="B53" s="43">
        <v>45664</v>
      </c>
      <c r="C53" s="42" t="s">
        <v>14</v>
      </c>
      <c r="D53" s="42" t="s">
        <v>15</v>
      </c>
      <c r="E53" s="42" t="s">
        <v>16</v>
      </c>
      <c r="F53" s="42">
        <v>40</v>
      </c>
      <c r="G53" s="44">
        <v>350000</v>
      </c>
      <c r="H53" s="44">
        <v>14000000</v>
      </c>
      <c r="I53" s="42" t="s">
        <v>2754</v>
      </c>
      <c r="J53" s="42" t="s">
        <v>127</v>
      </c>
    </row>
    <row r="54" spans="1:10" x14ac:dyDescent="0.3">
      <c r="A54" s="42" t="s">
        <v>361</v>
      </c>
      <c r="B54" s="43">
        <v>45664</v>
      </c>
      <c r="C54" s="42" t="s">
        <v>10</v>
      </c>
      <c r="D54" s="42" t="s">
        <v>11</v>
      </c>
      <c r="E54" s="42" t="s">
        <v>12</v>
      </c>
      <c r="F54" s="42">
        <v>49</v>
      </c>
      <c r="G54" s="44">
        <v>120000</v>
      </c>
      <c r="H54" s="44">
        <v>5880000</v>
      </c>
      <c r="I54" s="42" t="s">
        <v>2319</v>
      </c>
      <c r="J54" s="42" t="s">
        <v>60</v>
      </c>
    </row>
    <row r="55" spans="1:10" x14ac:dyDescent="0.3">
      <c r="A55" s="42" t="s">
        <v>362</v>
      </c>
      <c r="B55" s="43">
        <v>45664</v>
      </c>
      <c r="C55" s="42" t="s">
        <v>40</v>
      </c>
      <c r="D55" s="42" t="s">
        <v>41</v>
      </c>
      <c r="E55" s="42" t="s">
        <v>16</v>
      </c>
      <c r="F55" s="42">
        <v>13</v>
      </c>
      <c r="G55" s="44">
        <v>950000</v>
      </c>
      <c r="H55" s="44">
        <v>12350000</v>
      </c>
      <c r="I55" s="42" t="s">
        <v>2292</v>
      </c>
      <c r="J55" s="42" t="s">
        <v>127</v>
      </c>
    </row>
    <row r="56" spans="1:10" x14ac:dyDescent="0.3">
      <c r="A56" s="42" t="s">
        <v>380</v>
      </c>
      <c r="B56" s="43">
        <v>45664</v>
      </c>
      <c r="C56" s="42" t="s">
        <v>10</v>
      </c>
      <c r="D56" s="42" t="s">
        <v>11</v>
      </c>
      <c r="E56" s="42" t="s">
        <v>12</v>
      </c>
      <c r="F56" s="42">
        <v>49</v>
      </c>
      <c r="G56" s="44">
        <v>120000</v>
      </c>
      <c r="H56" s="44">
        <v>5880000</v>
      </c>
      <c r="I56" s="42" t="s">
        <v>2522</v>
      </c>
      <c r="J56" s="42" t="s">
        <v>8</v>
      </c>
    </row>
    <row r="57" spans="1:10" x14ac:dyDescent="0.3">
      <c r="A57" s="42" t="s">
        <v>381</v>
      </c>
      <c r="B57" s="43">
        <v>45664</v>
      </c>
      <c r="C57" s="42" t="s">
        <v>38</v>
      </c>
      <c r="D57" s="42" t="s">
        <v>39</v>
      </c>
      <c r="E57" s="42" t="s">
        <v>16</v>
      </c>
      <c r="F57" s="42">
        <v>35</v>
      </c>
      <c r="G57" s="44">
        <v>200000</v>
      </c>
      <c r="H57" s="44">
        <v>7000000</v>
      </c>
      <c r="I57" s="42" t="s">
        <v>2345</v>
      </c>
      <c r="J57" s="42" t="s">
        <v>8</v>
      </c>
    </row>
    <row r="58" spans="1:10" x14ac:dyDescent="0.3">
      <c r="A58" s="42" t="s">
        <v>382</v>
      </c>
      <c r="B58" s="43">
        <v>45664</v>
      </c>
      <c r="C58" s="42" t="s">
        <v>10</v>
      </c>
      <c r="D58" s="42" t="s">
        <v>11</v>
      </c>
      <c r="E58" s="42" t="s">
        <v>12</v>
      </c>
      <c r="F58" s="42">
        <v>210</v>
      </c>
      <c r="G58" s="44">
        <v>120000</v>
      </c>
      <c r="H58" s="44">
        <v>25200000</v>
      </c>
      <c r="I58" s="42" t="s">
        <v>2618</v>
      </c>
      <c r="J58" s="42" t="s">
        <v>8</v>
      </c>
    </row>
    <row r="59" spans="1:10" x14ac:dyDescent="0.3">
      <c r="A59" s="42" t="s">
        <v>403</v>
      </c>
      <c r="B59" s="43">
        <v>45664</v>
      </c>
      <c r="C59" s="42" t="s">
        <v>44</v>
      </c>
      <c r="D59" s="42" t="s">
        <v>45</v>
      </c>
      <c r="E59" s="42" t="s">
        <v>16</v>
      </c>
      <c r="F59" s="42">
        <v>39</v>
      </c>
      <c r="G59" s="44">
        <v>250000</v>
      </c>
      <c r="H59" s="44">
        <v>9750000</v>
      </c>
      <c r="I59" s="42" t="s">
        <v>2773</v>
      </c>
      <c r="J59" s="42" t="s">
        <v>8</v>
      </c>
    </row>
    <row r="60" spans="1:10" x14ac:dyDescent="0.3">
      <c r="A60" s="42" t="s">
        <v>404</v>
      </c>
      <c r="B60" s="43">
        <v>45664</v>
      </c>
      <c r="C60" s="42" t="s">
        <v>22</v>
      </c>
      <c r="D60" s="42" t="s">
        <v>23</v>
      </c>
      <c r="E60" s="42" t="s">
        <v>12</v>
      </c>
      <c r="F60" s="42">
        <v>14</v>
      </c>
      <c r="G60" s="44">
        <v>25000</v>
      </c>
      <c r="H60" s="44">
        <v>350000</v>
      </c>
      <c r="I60" s="42" t="s">
        <v>642</v>
      </c>
      <c r="J60" s="42" t="s">
        <v>8</v>
      </c>
    </row>
    <row r="61" spans="1:10" x14ac:dyDescent="0.3">
      <c r="A61" s="42" t="s">
        <v>419</v>
      </c>
      <c r="B61" s="43">
        <v>45664</v>
      </c>
      <c r="C61" s="42" t="s">
        <v>18</v>
      </c>
      <c r="D61" s="42" t="s">
        <v>19</v>
      </c>
      <c r="E61" s="42" t="s">
        <v>20</v>
      </c>
      <c r="F61" s="42">
        <v>400</v>
      </c>
      <c r="G61" s="44">
        <v>500000</v>
      </c>
      <c r="H61" s="44">
        <v>200000000</v>
      </c>
      <c r="I61" s="42" t="s">
        <v>853</v>
      </c>
      <c r="J61" s="42" t="s">
        <v>47</v>
      </c>
    </row>
    <row r="62" spans="1:10" x14ac:dyDescent="0.3">
      <c r="A62" s="42" t="s">
        <v>420</v>
      </c>
      <c r="B62" s="43">
        <v>45665</v>
      </c>
      <c r="C62" s="42" t="s">
        <v>31</v>
      </c>
      <c r="D62" s="42" t="s">
        <v>32</v>
      </c>
      <c r="E62" s="42" t="s">
        <v>20</v>
      </c>
      <c r="F62" s="42">
        <v>250</v>
      </c>
      <c r="G62" s="44">
        <v>180000</v>
      </c>
      <c r="H62" s="44">
        <v>45000000</v>
      </c>
      <c r="I62" s="42" t="s">
        <v>2563</v>
      </c>
      <c r="J62" s="42" t="s">
        <v>47</v>
      </c>
    </row>
    <row r="63" spans="1:10" x14ac:dyDescent="0.3">
      <c r="A63" s="42" t="s">
        <v>421</v>
      </c>
      <c r="B63" s="43">
        <v>45665</v>
      </c>
      <c r="C63" s="42" t="s">
        <v>18</v>
      </c>
      <c r="D63" s="42" t="s">
        <v>19</v>
      </c>
      <c r="E63" s="42" t="s">
        <v>20</v>
      </c>
      <c r="F63" s="42">
        <v>400</v>
      </c>
      <c r="G63" s="44">
        <v>500000</v>
      </c>
      <c r="H63" s="44">
        <v>200000000</v>
      </c>
      <c r="I63" s="42" t="s">
        <v>2432</v>
      </c>
      <c r="J63" s="42" t="s">
        <v>8</v>
      </c>
    </row>
    <row r="64" spans="1:10" x14ac:dyDescent="0.3">
      <c r="A64" s="42" t="s">
        <v>435</v>
      </c>
      <c r="B64" s="43">
        <v>45665</v>
      </c>
      <c r="C64" s="42" t="s">
        <v>31</v>
      </c>
      <c r="D64" s="42" t="s">
        <v>32</v>
      </c>
      <c r="E64" s="42" t="s">
        <v>20</v>
      </c>
      <c r="F64" s="42">
        <v>34</v>
      </c>
      <c r="G64" s="44">
        <v>180000</v>
      </c>
      <c r="H64" s="44">
        <v>6120000</v>
      </c>
      <c r="I64" s="42" t="s">
        <v>2125</v>
      </c>
      <c r="J64" s="42" t="s">
        <v>47</v>
      </c>
    </row>
    <row r="65" spans="1:10" x14ac:dyDescent="0.3">
      <c r="A65" s="42" t="s">
        <v>443</v>
      </c>
      <c r="B65" s="43">
        <v>45665</v>
      </c>
      <c r="C65" s="42" t="s">
        <v>31</v>
      </c>
      <c r="D65" s="42" t="s">
        <v>32</v>
      </c>
      <c r="E65" s="42" t="s">
        <v>20</v>
      </c>
      <c r="F65" s="42">
        <v>31</v>
      </c>
      <c r="G65" s="44">
        <v>180000</v>
      </c>
      <c r="H65" s="44">
        <v>5580000</v>
      </c>
      <c r="I65" s="42" t="s">
        <v>2685</v>
      </c>
      <c r="J65" s="42" t="s">
        <v>69</v>
      </c>
    </row>
    <row r="66" spans="1:10" x14ac:dyDescent="0.3">
      <c r="A66" s="42" t="s">
        <v>444</v>
      </c>
      <c r="B66" s="43">
        <v>45665</v>
      </c>
      <c r="C66" s="42" t="s">
        <v>14</v>
      </c>
      <c r="D66" s="42" t="s">
        <v>15</v>
      </c>
      <c r="E66" s="42" t="s">
        <v>16</v>
      </c>
      <c r="F66" s="42">
        <v>42</v>
      </c>
      <c r="G66" s="44">
        <v>350000</v>
      </c>
      <c r="H66" s="44">
        <v>14700000</v>
      </c>
      <c r="I66" s="42" t="s">
        <v>2494</v>
      </c>
      <c r="J66" s="42" t="s">
        <v>8</v>
      </c>
    </row>
    <row r="67" spans="1:10" x14ac:dyDescent="0.3">
      <c r="A67" s="42" t="s">
        <v>462</v>
      </c>
      <c r="B67" s="43">
        <v>45665</v>
      </c>
      <c r="C67" s="42" t="s">
        <v>42</v>
      </c>
      <c r="D67" s="42" t="s">
        <v>43</v>
      </c>
      <c r="E67" s="42" t="s">
        <v>16</v>
      </c>
      <c r="F67" s="42">
        <v>50</v>
      </c>
      <c r="G67" s="44">
        <v>1200000</v>
      </c>
      <c r="H67" s="44">
        <v>60000000</v>
      </c>
      <c r="I67" s="42" t="s">
        <v>2496</v>
      </c>
      <c r="J67" s="42" t="s">
        <v>60</v>
      </c>
    </row>
    <row r="68" spans="1:10" x14ac:dyDescent="0.3">
      <c r="A68" s="42" t="s">
        <v>463</v>
      </c>
      <c r="B68" s="43">
        <v>45665</v>
      </c>
      <c r="C68" s="42" t="s">
        <v>14</v>
      </c>
      <c r="D68" s="42" t="s">
        <v>15</v>
      </c>
      <c r="E68" s="42" t="s">
        <v>16</v>
      </c>
      <c r="F68" s="42">
        <v>39</v>
      </c>
      <c r="G68" s="44">
        <v>350000</v>
      </c>
      <c r="H68" s="44">
        <v>13650000</v>
      </c>
      <c r="I68" s="42" t="s">
        <v>2392</v>
      </c>
      <c r="J68" s="42" t="s">
        <v>8</v>
      </c>
    </row>
    <row r="69" spans="1:10" x14ac:dyDescent="0.3">
      <c r="A69" s="42" t="s">
        <v>464</v>
      </c>
      <c r="B69" s="43">
        <v>45665</v>
      </c>
      <c r="C69" s="42" t="s">
        <v>40</v>
      </c>
      <c r="D69" s="42" t="s">
        <v>41</v>
      </c>
      <c r="E69" s="42" t="s">
        <v>16</v>
      </c>
      <c r="F69" s="42">
        <v>34</v>
      </c>
      <c r="G69" s="44">
        <v>950000</v>
      </c>
      <c r="H69" s="44">
        <v>32300000</v>
      </c>
      <c r="I69" s="42" t="s">
        <v>1913</v>
      </c>
      <c r="J69" s="42" t="s">
        <v>60</v>
      </c>
    </row>
    <row r="70" spans="1:10" x14ac:dyDescent="0.3">
      <c r="A70" s="42" t="s">
        <v>486</v>
      </c>
      <c r="B70" s="43">
        <v>45665</v>
      </c>
      <c r="C70" s="42" t="s">
        <v>40</v>
      </c>
      <c r="D70" s="42" t="s">
        <v>41</v>
      </c>
      <c r="E70" s="42" t="s">
        <v>16</v>
      </c>
      <c r="F70" s="42">
        <v>34</v>
      </c>
      <c r="G70" s="44">
        <v>950000</v>
      </c>
      <c r="H70" s="44">
        <v>32300000</v>
      </c>
      <c r="I70" s="42" t="s">
        <v>2470</v>
      </c>
      <c r="J70" s="42" t="s">
        <v>60</v>
      </c>
    </row>
    <row r="71" spans="1:10" x14ac:dyDescent="0.3">
      <c r="A71" s="42" t="s">
        <v>487</v>
      </c>
      <c r="B71" s="43">
        <v>45665</v>
      </c>
      <c r="C71" s="42" t="s">
        <v>44</v>
      </c>
      <c r="D71" s="42" t="s">
        <v>45</v>
      </c>
      <c r="E71" s="42" t="s">
        <v>16</v>
      </c>
      <c r="F71" s="42">
        <v>19</v>
      </c>
      <c r="G71" s="44">
        <v>250000</v>
      </c>
      <c r="H71" s="44">
        <v>4750000</v>
      </c>
      <c r="I71" s="42" t="s">
        <v>863</v>
      </c>
      <c r="J71" s="42" t="s">
        <v>69</v>
      </c>
    </row>
    <row r="72" spans="1:10" x14ac:dyDescent="0.3">
      <c r="A72" s="42" t="s">
        <v>512</v>
      </c>
      <c r="B72" s="43">
        <v>45665</v>
      </c>
      <c r="C72" s="42" t="s">
        <v>44</v>
      </c>
      <c r="D72" s="42" t="s">
        <v>45</v>
      </c>
      <c r="E72" s="42" t="s">
        <v>16</v>
      </c>
      <c r="F72" s="42">
        <v>380</v>
      </c>
      <c r="G72" s="44">
        <v>250000</v>
      </c>
      <c r="H72" s="44">
        <v>95000000</v>
      </c>
      <c r="I72" s="42" t="s">
        <v>2233</v>
      </c>
      <c r="J72" s="42" t="s">
        <v>8</v>
      </c>
    </row>
    <row r="73" spans="1:10" x14ac:dyDescent="0.3">
      <c r="A73" s="42" t="s">
        <v>534</v>
      </c>
      <c r="B73" s="43">
        <v>45665</v>
      </c>
      <c r="C73" s="42" t="s">
        <v>10</v>
      </c>
      <c r="D73" s="42" t="s">
        <v>11</v>
      </c>
      <c r="E73" s="42" t="s">
        <v>12</v>
      </c>
      <c r="F73" s="42">
        <v>5</v>
      </c>
      <c r="G73" s="44">
        <v>120000</v>
      </c>
      <c r="H73" s="44">
        <v>600000</v>
      </c>
      <c r="I73" s="42" t="s">
        <v>2569</v>
      </c>
      <c r="J73" s="42" t="s">
        <v>127</v>
      </c>
    </row>
    <row r="74" spans="1:10" x14ac:dyDescent="0.3">
      <c r="A74" s="42" t="s">
        <v>535</v>
      </c>
      <c r="B74" s="43">
        <v>45665</v>
      </c>
      <c r="C74" s="42" t="s">
        <v>14</v>
      </c>
      <c r="D74" s="42" t="s">
        <v>15</v>
      </c>
      <c r="E74" s="42" t="s">
        <v>16</v>
      </c>
      <c r="F74" s="42">
        <v>270</v>
      </c>
      <c r="G74" s="44">
        <v>350000</v>
      </c>
      <c r="H74" s="44">
        <v>94500000</v>
      </c>
      <c r="I74" s="42" t="s">
        <v>2753</v>
      </c>
      <c r="J74" s="42" t="s">
        <v>47</v>
      </c>
    </row>
    <row r="75" spans="1:10" x14ac:dyDescent="0.3">
      <c r="A75" s="42" t="s">
        <v>536</v>
      </c>
      <c r="B75" s="43">
        <v>45666</v>
      </c>
      <c r="C75" s="42" t="s">
        <v>40</v>
      </c>
      <c r="D75" s="42" t="s">
        <v>41</v>
      </c>
      <c r="E75" s="42" t="s">
        <v>16</v>
      </c>
      <c r="F75" s="42">
        <v>21</v>
      </c>
      <c r="G75" s="44">
        <v>950000</v>
      </c>
      <c r="H75" s="44">
        <v>19950000</v>
      </c>
      <c r="I75" s="42" t="s">
        <v>2689</v>
      </c>
      <c r="J75" s="42" t="s">
        <v>60</v>
      </c>
    </row>
    <row r="76" spans="1:10" x14ac:dyDescent="0.3">
      <c r="A76" s="42" t="s">
        <v>557</v>
      </c>
      <c r="B76" s="43">
        <v>45666</v>
      </c>
      <c r="C76" s="42" t="s">
        <v>42</v>
      </c>
      <c r="D76" s="42" t="s">
        <v>43</v>
      </c>
      <c r="E76" s="42" t="s">
        <v>16</v>
      </c>
      <c r="F76" s="42">
        <v>38</v>
      </c>
      <c r="G76" s="44">
        <v>1200000</v>
      </c>
      <c r="H76" s="44">
        <v>45600000</v>
      </c>
      <c r="I76" s="42" t="s">
        <v>2578</v>
      </c>
      <c r="J76" s="42" t="s">
        <v>60</v>
      </c>
    </row>
    <row r="77" spans="1:10" x14ac:dyDescent="0.3">
      <c r="A77" s="42" t="s">
        <v>558</v>
      </c>
      <c r="B77" s="43">
        <v>45666</v>
      </c>
      <c r="C77" s="42" t="s">
        <v>42</v>
      </c>
      <c r="D77" s="42" t="s">
        <v>43</v>
      </c>
      <c r="E77" s="42" t="s">
        <v>16</v>
      </c>
      <c r="F77" s="42">
        <v>450</v>
      </c>
      <c r="G77" s="44">
        <v>1200000</v>
      </c>
      <c r="H77" s="44">
        <v>540000000</v>
      </c>
      <c r="I77" s="42" t="s">
        <v>2184</v>
      </c>
      <c r="J77" s="42" t="s">
        <v>127</v>
      </c>
    </row>
    <row r="78" spans="1:10" x14ac:dyDescent="0.3">
      <c r="A78" s="42" t="s">
        <v>559</v>
      </c>
      <c r="B78" s="43">
        <v>45666</v>
      </c>
      <c r="C78" s="42" t="s">
        <v>14</v>
      </c>
      <c r="D78" s="42" t="s">
        <v>15</v>
      </c>
      <c r="E78" s="42" t="s">
        <v>16</v>
      </c>
      <c r="F78" s="42">
        <v>21</v>
      </c>
      <c r="G78" s="44">
        <v>350000</v>
      </c>
      <c r="H78" s="44">
        <v>7350000</v>
      </c>
      <c r="I78" s="42" t="s">
        <v>2751</v>
      </c>
      <c r="J78" s="42" t="s">
        <v>127</v>
      </c>
    </row>
    <row r="79" spans="1:10" x14ac:dyDescent="0.3">
      <c r="A79" s="42" t="s">
        <v>560</v>
      </c>
      <c r="B79" s="43">
        <v>45666</v>
      </c>
      <c r="C79" s="42" t="s">
        <v>31</v>
      </c>
      <c r="D79" s="42" t="s">
        <v>32</v>
      </c>
      <c r="E79" s="42" t="s">
        <v>20</v>
      </c>
      <c r="F79" s="42">
        <v>44</v>
      </c>
      <c r="G79" s="44">
        <v>180000</v>
      </c>
      <c r="H79" s="44">
        <v>7920000</v>
      </c>
      <c r="I79" s="42" t="s">
        <v>692</v>
      </c>
      <c r="J79" s="42" t="s">
        <v>8</v>
      </c>
    </row>
    <row r="80" spans="1:10" x14ac:dyDescent="0.3">
      <c r="A80" s="42" t="s">
        <v>574</v>
      </c>
      <c r="B80" s="43">
        <v>45666</v>
      </c>
      <c r="C80" s="42" t="s">
        <v>42</v>
      </c>
      <c r="D80" s="42" t="s">
        <v>43</v>
      </c>
      <c r="E80" s="42" t="s">
        <v>16</v>
      </c>
      <c r="F80" s="42">
        <v>9</v>
      </c>
      <c r="G80" s="44">
        <v>1200000</v>
      </c>
      <c r="H80" s="44">
        <v>10800000</v>
      </c>
      <c r="I80" s="42" t="s">
        <v>2321</v>
      </c>
      <c r="J80" s="42" t="s">
        <v>127</v>
      </c>
    </row>
    <row r="81" spans="1:10" x14ac:dyDescent="0.3">
      <c r="A81" s="42" t="s">
        <v>575</v>
      </c>
      <c r="B81" s="43">
        <v>45666</v>
      </c>
      <c r="C81" s="42" t="s">
        <v>18</v>
      </c>
      <c r="D81" s="42" t="s">
        <v>19</v>
      </c>
      <c r="E81" s="42" t="s">
        <v>20</v>
      </c>
      <c r="F81" s="42">
        <v>47</v>
      </c>
      <c r="G81" s="44">
        <v>500000</v>
      </c>
      <c r="H81" s="44">
        <v>23500000</v>
      </c>
      <c r="I81" s="42" t="s">
        <v>2541</v>
      </c>
      <c r="J81" s="42" t="s">
        <v>8</v>
      </c>
    </row>
    <row r="82" spans="1:10" x14ac:dyDescent="0.3">
      <c r="A82" s="42" t="s">
        <v>576</v>
      </c>
      <c r="B82" s="43">
        <v>45666</v>
      </c>
      <c r="C82" s="42" t="s">
        <v>38</v>
      </c>
      <c r="D82" s="42" t="s">
        <v>39</v>
      </c>
      <c r="E82" s="42" t="s">
        <v>16</v>
      </c>
      <c r="F82" s="42">
        <v>6</v>
      </c>
      <c r="G82" s="44">
        <v>200000</v>
      </c>
      <c r="H82" s="44">
        <v>1200000</v>
      </c>
      <c r="I82" s="42" t="s">
        <v>2833</v>
      </c>
      <c r="J82" s="42" t="s">
        <v>60</v>
      </c>
    </row>
    <row r="83" spans="1:10" x14ac:dyDescent="0.3">
      <c r="A83" s="42" t="s">
        <v>577</v>
      </c>
      <c r="B83" s="43">
        <v>45666</v>
      </c>
      <c r="C83" s="42" t="s">
        <v>31</v>
      </c>
      <c r="D83" s="42" t="s">
        <v>32</v>
      </c>
      <c r="E83" s="42" t="s">
        <v>20</v>
      </c>
      <c r="F83" s="42">
        <v>37</v>
      </c>
      <c r="G83" s="44">
        <v>180000</v>
      </c>
      <c r="H83" s="44">
        <v>6660000</v>
      </c>
      <c r="I83" s="42" t="s">
        <v>2531</v>
      </c>
      <c r="J83" s="42" t="s">
        <v>47</v>
      </c>
    </row>
    <row r="84" spans="1:10" x14ac:dyDescent="0.3">
      <c r="A84" s="42" t="s">
        <v>597</v>
      </c>
      <c r="B84" s="43">
        <v>45666</v>
      </c>
      <c r="C84" s="42" t="s">
        <v>40</v>
      </c>
      <c r="D84" s="42" t="s">
        <v>41</v>
      </c>
      <c r="E84" s="42" t="s">
        <v>16</v>
      </c>
      <c r="F84" s="42">
        <v>8</v>
      </c>
      <c r="G84" s="44">
        <v>950000</v>
      </c>
      <c r="H84" s="44">
        <v>7600000</v>
      </c>
      <c r="I84" s="42" t="s">
        <v>274</v>
      </c>
      <c r="J84" s="42" t="s">
        <v>8</v>
      </c>
    </row>
    <row r="85" spans="1:10" x14ac:dyDescent="0.3">
      <c r="A85" s="42" t="s">
        <v>615</v>
      </c>
      <c r="B85" s="43">
        <v>45666</v>
      </c>
      <c r="C85" s="42" t="s">
        <v>10</v>
      </c>
      <c r="D85" s="42" t="s">
        <v>11</v>
      </c>
      <c r="E85" s="42" t="s">
        <v>12</v>
      </c>
      <c r="F85" s="42">
        <v>280</v>
      </c>
      <c r="G85" s="44">
        <v>120000</v>
      </c>
      <c r="H85" s="44">
        <v>33600000</v>
      </c>
      <c r="I85" s="42" t="s">
        <v>2184</v>
      </c>
      <c r="J85" s="42" t="s">
        <v>127</v>
      </c>
    </row>
    <row r="86" spans="1:10" x14ac:dyDescent="0.3">
      <c r="A86" s="42" t="s">
        <v>616</v>
      </c>
      <c r="B86" s="43">
        <v>45666</v>
      </c>
      <c r="C86" s="42" t="s">
        <v>38</v>
      </c>
      <c r="D86" s="42" t="s">
        <v>39</v>
      </c>
      <c r="E86" s="42" t="s">
        <v>16</v>
      </c>
      <c r="F86" s="42">
        <v>13</v>
      </c>
      <c r="G86" s="44">
        <v>200000</v>
      </c>
      <c r="H86" s="44">
        <v>2600000</v>
      </c>
      <c r="I86" s="42" t="s">
        <v>1584</v>
      </c>
      <c r="J86" s="42" t="s">
        <v>127</v>
      </c>
    </row>
    <row r="87" spans="1:10" x14ac:dyDescent="0.3">
      <c r="A87" s="42" t="s">
        <v>643</v>
      </c>
      <c r="B87" s="43">
        <v>45667</v>
      </c>
      <c r="C87" s="42" t="s">
        <v>42</v>
      </c>
      <c r="D87" s="42" t="s">
        <v>43</v>
      </c>
      <c r="E87" s="42" t="s">
        <v>16</v>
      </c>
      <c r="F87" s="42">
        <v>5</v>
      </c>
      <c r="G87" s="44">
        <v>1200000</v>
      </c>
      <c r="H87" s="44">
        <v>6000000</v>
      </c>
      <c r="I87" s="42" t="s">
        <v>2301</v>
      </c>
      <c r="J87" s="42" t="s">
        <v>8</v>
      </c>
    </row>
    <row r="88" spans="1:10" x14ac:dyDescent="0.3">
      <c r="A88" s="42" t="s">
        <v>671</v>
      </c>
      <c r="B88" s="43">
        <v>45667</v>
      </c>
      <c r="C88" s="42" t="s">
        <v>38</v>
      </c>
      <c r="D88" s="42" t="s">
        <v>39</v>
      </c>
      <c r="E88" s="42" t="s">
        <v>16</v>
      </c>
      <c r="F88" s="42">
        <v>47</v>
      </c>
      <c r="G88" s="44">
        <v>200000</v>
      </c>
      <c r="H88" s="44">
        <v>9400000</v>
      </c>
      <c r="I88" s="42" t="s">
        <v>2201</v>
      </c>
      <c r="J88" s="42" t="s">
        <v>60</v>
      </c>
    </row>
    <row r="89" spans="1:10" x14ac:dyDescent="0.3">
      <c r="A89" s="42" t="s">
        <v>672</v>
      </c>
      <c r="B89" s="43">
        <v>45667</v>
      </c>
      <c r="C89" s="42" t="s">
        <v>44</v>
      </c>
      <c r="D89" s="42" t="s">
        <v>45</v>
      </c>
      <c r="E89" s="42" t="s">
        <v>16</v>
      </c>
      <c r="F89" s="42">
        <v>44</v>
      </c>
      <c r="G89" s="44">
        <v>250000</v>
      </c>
      <c r="H89" s="44">
        <v>11000000</v>
      </c>
      <c r="I89" s="42" t="s">
        <v>2811</v>
      </c>
      <c r="J89" s="42" t="s">
        <v>47</v>
      </c>
    </row>
    <row r="90" spans="1:10" x14ac:dyDescent="0.3">
      <c r="A90" s="42" t="s">
        <v>673</v>
      </c>
      <c r="B90" s="43">
        <v>45667</v>
      </c>
      <c r="C90" s="42" t="s">
        <v>10</v>
      </c>
      <c r="D90" s="42" t="s">
        <v>11</v>
      </c>
      <c r="E90" s="42" t="s">
        <v>12</v>
      </c>
      <c r="F90" s="42">
        <v>36</v>
      </c>
      <c r="G90" s="44">
        <v>120000</v>
      </c>
      <c r="H90" s="44">
        <v>4320000</v>
      </c>
      <c r="I90" s="42" t="s">
        <v>2399</v>
      </c>
      <c r="J90" s="42" t="s">
        <v>8</v>
      </c>
    </row>
    <row r="91" spans="1:10" x14ac:dyDescent="0.3">
      <c r="A91" s="42" t="s">
        <v>674</v>
      </c>
      <c r="B91" s="43">
        <v>45667</v>
      </c>
      <c r="C91" s="42" t="s">
        <v>14</v>
      </c>
      <c r="D91" s="42" t="s">
        <v>15</v>
      </c>
      <c r="E91" s="42" t="s">
        <v>16</v>
      </c>
      <c r="F91" s="42">
        <v>11</v>
      </c>
      <c r="G91" s="44">
        <v>350000</v>
      </c>
      <c r="H91" s="44">
        <v>3850000</v>
      </c>
      <c r="I91" s="42" t="s">
        <v>2209</v>
      </c>
      <c r="J91" s="42" t="s">
        <v>8</v>
      </c>
    </row>
    <row r="92" spans="1:10" x14ac:dyDescent="0.3">
      <c r="A92" s="42" t="s">
        <v>675</v>
      </c>
      <c r="B92" s="43">
        <v>45667</v>
      </c>
      <c r="C92" s="42" t="s">
        <v>28</v>
      </c>
      <c r="D92" s="42" t="s">
        <v>29</v>
      </c>
      <c r="E92" s="42" t="s">
        <v>20</v>
      </c>
      <c r="F92" s="42">
        <v>24</v>
      </c>
      <c r="G92" s="44">
        <v>450000</v>
      </c>
      <c r="H92" s="44">
        <v>10800000</v>
      </c>
      <c r="I92" s="42" t="s">
        <v>2119</v>
      </c>
      <c r="J92" s="42" t="s">
        <v>127</v>
      </c>
    </row>
    <row r="93" spans="1:10" x14ac:dyDescent="0.3">
      <c r="A93" s="42" t="s">
        <v>676</v>
      </c>
      <c r="B93" s="43">
        <v>45667</v>
      </c>
      <c r="C93" s="42" t="s">
        <v>42</v>
      </c>
      <c r="D93" s="42" t="s">
        <v>43</v>
      </c>
      <c r="E93" s="42" t="s">
        <v>16</v>
      </c>
      <c r="F93" s="42">
        <v>45</v>
      </c>
      <c r="G93" s="44">
        <v>1200000</v>
      </c>
      <c r="H93" s="44">
        <v>54000000</v>
      </c>
      <c r="I93" s="42" t="s">
        <v>2347</v>
      </c>
      <c r="J93" s="42" t="s">
        <v>69</v>
      </c>
    </row>
    <row r="94" spans="1:10" x14ac:dyDescent="0.3">
      <c r="A94" s="42" t="s">
        <v>693</v>
      </c>
      <c r="B94" s="43">
        <v>45667</v>
      </c>
      <c r="C94" s="42" t="s">
        <v>40</v>
      </c>
      <c r="D94" s="42" t="s">
        <v>41</v>
      </c>
      <c r="E94" s="42" t="s">
        <v>16</v>
      </c>
      <c r="F94" s="42">
        <v>5</v>
      </c>
      <c r="G94" s="44">
        <v>950000</v>
      </c>
      <c r="H94" s="44">
        <v>4750000</v>
      </c>
      <c r="I94" s="42" t="s">
        <v>2541</v>
      </c>
      <c r="J94" s="42" t="s">
        <v>8</v>
      </c>
    </row>
    <row r="95" spans="1:10" x14ac:dyDescent="0.3">
      <c r="A95" s="42" t="s">
        <v>694</v>
      </c>
      <c r="B95" s="43">
        <v>45667</v>
      </c>
      <c r="C95" s="42" t="s">
        <v>28</v>
      </c>
      <c r="D95" s="42" t="s">
        <v>29</v>
      </c>
      <c r="E95" s="42" t="s">
        <v>20</v>
      </c>
      <c r="F95" s="42">
        <v>29</v>
      </c>
      <c r="G95" s="44">
        <v>450000</v>
      </c>
      <c r="H95" s="44">
        <v>13050000</v>
      </c>
      <c r="I95" s="42" t="s">
        <v>2395</v>
      </c>
      <c r="J95" s="42" t="s">
        <v>8</v>
      </c>
    </row>
    <row r="96" spans="1:10" x14ac:dyDescent="0.3">
      <c r="A96" s="42" t="s">
        <v>695</v>
      </c>
      <c r="B96" s="43">
        <v>45667</v>
      </c>
      <c r="C96" s="42" t="s">
        <v>10</v>
      </c>
      <c r="D96" s="42" t="s">
        <v>11</v>
      </c>
      <c r="E96" s="42" t="s">
        <v>12</v>
      </c>
      <c r="F96" s="42">
        <v>27</v>
      </c>
      <c r="G96" s="44">
        <v>120000</v>
      </c>
      <c r="H96" s="44">
        <v>3240000</v>
      </c>
      <c r="I96" s="42" t="s">
        <v>2003</v>
      </c>
      <c r="J96" s="42" t="s">
        <v>8</v>
      </c>
    </row>
    <row r="97" spans="1:10" x14ac:dyDescent="0.3">
      <c r="A97" s="42" t="s">
        <v>710</v>
      </c>
      <c r="B97" s="43">
        <v>45667</v>
      </c>
      <c r="C97" s="42" t="s">
        <v>44</v>
      </c>
      <c r="D97" s="42" t="s">
        <v>45</v>
      </c>
      <c r="E97" s="42" t="s">
        <v>16</v>
      </c>
      <c r="F97" s="42">
        <v>26</v>
      </c>
      <c r="G97" s="44">
        <v>250000</v>
      </c>
      <c r="H97" s="44">
        <v>6500000</v>
      </c>
      <c r="I97" s="42" t="s">
        <v>2333</v>
      </c>
      <c r="J97" s="42" t="s">
        <v>60</v>
      </c>
    </row>
    <row r="98" spans="1:10" x14ac:dyDescent="0.3">
      <c r="A98" s="42" t="s">
        <v>711</v>
      </c>
      <c r="B98" s="43">
        <v>45667</v>
      </c>
      <c r="C98" s="42" t="s">
        <v>38</v>
      </c>
      <c r="D98" s="42" t="s">
        <v>39</v>
      </c>
      <c r="E98" s="42" t="s">
        <v>16</v>
      </c>
      <c r="F98" s="42">
        <v>46</v>
      </c>
      <c r="G98" s="44">
        <v>200000</v>
      </c>
      <c r="H98" s="44">
        <v>9200000</v>
      </c>
      <c r="I98" s="42" t="s">
        <v>2356</v>
      </c>
      <c r="J98" s="42" t="s">
        <v>8</v>
      </c>
    </row>
    <row r="99" spans="1:10" x14ac:dyDescent="0.3">
      <c r="A99" s="42" t="s">
        <v>712</v>
      </c>
      <c r="B99" s="43">
        <v>45667</v>
      </c>
      <c r="C99" s="42" t="s">
        <v>18</v>
      </c>
      <c r="D99" s="42" t="s">
        <v>19</v>
      </c>
      <c r="E99" s="42" t="s">
        <v>20</v>
      </c>
      <c r="F99" s="42">
        <v>29</v>
      </c>
      <c r="G99" s="44">
        <v>500000</v>
      </c>
      <c r="H99" s="44">
        <v>14500000</v>
      </c>
      <c r="I99" s="42" t="s">
        <v>2467</v>
      </c>
      <c r="J99" s="42" t="s">
        <v>47</v>
      </c>
    </row>
    <row r="100" spans="1:10" x14ac:dyDescent="0.3">
      <c r="A100" s="42" t="s">
        <v>713</v>
      </c>
      <c r="B100" s="43">
        <v>45667</v>
      </c>
      <c r="C100" s="42" t="s">
        <v>10</v>
      </c>
      <c r="D100" s="42" t="s">
        <v>11</v>
      </c>
      <c r="E100" s="42" t="s">
        <v>12</v>
      </c>
      <c r="F100" s="42">
        <v>6</v>
      </c>
      <c r="G100" s="44">
        <v>120000</v>
      </c>
      <c r="H100" s="44">
        <v>720000</v>
      </c>
      <c r="I100" s="42" t="s">
        <v>2651</v>
      </c>
      <c r="J100" s="42" t="s">
        <v>47</v>
      </c>
    </row>
    <row r="101" spans="1:10" x14ac:dyDescent="0.3">
      <c r="A101" s="42" t="s">
        <v>729</v>
      </c>
      <c r="B101" s="43">
        <v>45672</v>
      </c>
      <c r="C101" s="42" t="s">
        <v>18</v>
      </c>
      <c r="D101" s="42" t="s">
        <v>19</v>
      </c>
      <c r="E101" s="42" t="s">
        <v>20</v>
      </c>
      <c r="F101" s="42">
        <v>39</v>
      </c>
      <c r="G101" s="44">
        <v>500000</v>
      </c>
      <c r="H101" s="44">
        <v>19500000</v>
      </c>
      <c r="I101" s="42" t="s">
        <v>2271</v>
      </c>
      <c r="J101" s="42" t="s">
        <v>47</v>
      </c>
    </row>
    <row r="102" spans="1:10" x14ac:dyDescent="0.3">
      <c r="A102" s="42" t="s">
        <v>749</v>
      </c>
      <c r="B102" s="43">
        <v>45672</v>
      </c>
      <c r="C102" s="42" t="s">
        <v>44</v>
      </c>
      <c r="D102" s="42" t="s">
        <v>45</v>
      </c>
      <c r="E102" s="42" t="s">
        <v>16</v>
      </c>
      <c r="F102" s="42">
        <v>28</v>
      </c>
      <c r="G102" s="44">
        <v>250000</v>
      </c>
      <c r="H102" s="44">
        <v>7000000</v>
      </c>
      <c r="I102" s="42" t="s">
        <v>2210</v>
      </c>
      <c r="J102" s="42" t="s">
        <v>127</v>
      </c>
    </row>
    <row r="103" spans="1:10" x14ac:dyDescent="0.3">
      <c r="A103" s="42" t="s">
        <v>793</v>
      </c>
      <c r="B103" s="43">
        <v>45672</v>
      </c>
      <c r="C103" s="42" t="s">
        <v>31</v>
      </c>
      <c r="D103" s="42" t="s">
        <v>32</v>
      </c>
      <c r="E103" s="42" t="s">
        <v>20</v>
      </c>
      <c r="F103" s="42">
        <v>48</v>
      </c>
      <c r="G103" s="44">
        <v>180000</v>
      </c>
      <c r="H103" s="44">
        <v>8640000</v>
      </c>
      <c r="I103" s="42" t="s">
        <v>2263</v>
      </c>
      <c r="J103" s="42" t="s">
        <v>8</v>
      </c>
    </row>
    <row r="104" spans="1:10" x14ac:dyDescent="0.3">
      <c r="A104" s="42" t="s">
        <v>794</v>
      </c>
      <c r="B104" s="43">
        <v>45672</v>
      </c>
      <c r="C104" s="42" t="s">
        <v>14</v>
      </c>
      <c r="D104" s="42" t="s">
        <v>15</v>
      </c>
      <c r="E104" s="42" t="s">
        <v>16</v>
      </c>
      <c r="F104" s="42">
        <v>6</v>
      </c>
      <c r="G104" s="44">
        <v>350000</v>
      </c>
      <c r="H104" s="44">
        <v>2100000</v>
      </c>
      <c r="I104" s="42" t="s">
        <v>2744</v>
      </c>
      <c r="J104" s="42" t="s">
        <v>127</v>
      </c>
    </row>
    <row r="105" spans="1:10" x14ac:dyDescent="0.3">
      <c r="A105" s="42" t="s">
        <v>795</v>
      </c>
      <c r="B105" s="43">
        <v>45672</v>
      </c>
      <c r="C105" s="42" t="s">
        <v>18</v>
      </c>
      <c r="D105" s="42" t="s">
        <v>19</v>
      </c>
      <c r="E105" s="42" t="s">
        <v>20</v>
      </c>
      <c r="F105" s="42">
        <v>36</v>
      </c>
      <c r="G105" s="44">
        <v>500000</v>
      </c>
      <c r="H105" s="44">
        <v>18000000</v>
      </c>
      <c r="I105" s="42" t="s">
        <v>2218</v>
      </c>
      <c r="J105" s="42" t="s">
        <v>47</v>
      </c>
    </row>
    <row r="106" spans="1:10" x14ac:dyDescent="0.3">
      <c r="A106" s="42" t="s">
        <v>810</v>
      </c>
      <c r="B106" s="43">
        <v>45672</v>
      </c>
      <c r="C106" s="42" t="s">
        <v>14</v>
      </c>
      <c r="D106" s="42" t="s">
        <v>15</v>
      </c>
      <c r="E106" s="42" t="s">
        <v>16</v>
      </c>
      <c r="F106" s="42">
        <v>32</v>
      </c>
      <c r="G106" s="44">
        <v>350000</v>
      </c>
      <c r="H106" s="44">
        <v>11200000</v>
      </c>
      <c r="I106" s="42" t="s">
        <v>2332</v>
      </c>
      <c r="J106" s="42" t="s">
        <v>8</v>
      </c>
    </row>
    <row r="107" spans="1:10" x14ac:dyDescent="0.3">
      <c r="A107" s="42" t="s">
        <v>811</v>
      </c>
      <c r="B107" s="43">
        <v>45672</v>
      </c>
      <c r="C107" s="42" t="s">
        <v>31</v>
      </c>
      <c r="D107" s="42" t="s">
        <v>32</v>
      </c>
      <c r="E107" s="42" t="s">
        <v>20</v>
      </c>
      <c r="F107" s="42">
        <v>21</v>
      </c>
      <c r="G107" s="44">
        <v>180000</v>
      </c>
      <c r="H107" s="44">
        <v>3780000</v>
      </c>
      <c r="I107" s="42" t="s">
        <v>2521</v>
      </c>
      <c r="J107" s="42" t="s">
        <v>8</v>
      </c>
    </row>
    <row r="108" spans="1:10" x14ac:dyDescent="0.3">
      <c r="A108" s="42" t="s">
        <v>812</v>
      </c>
      <c r="B108" s="43">
        <v>45672</v>
      </c>
      <c r="C108" s="42" t="s">
        <v>28</v>
      </c>
      <c r="D108" s="42" t="s">
        <v>29</v>
      </c>
      <c r="E108" s="42" t="s">
        <v>20</v>
      </c>
      <c r="F108" s="42">
        <v>37</v>
      </c>
      <c r="G108" s="44">
        <v>450000</v>
      </c>
      <c r="H108" s="44">
        <v>16650000</v>
      </c>
      <c r="I108" s="42" t="s">
        <v>2603</v>
      </c>
      <c r="J108" s="42" t="s">
        <v>8</v>
      </c>
    </row>
    <row r="109" spans="1:10" x14ac:dyDescent="0.3">
      <c r="A109" s="42" t="s">
        <v>825</v>
      </c>
      <c r="B109" s="43">
        <v>45672</v>
      </c>
      <c r="C109" s="42" t="s">
        <v>14</v>
      </c>
      <c r="D109" s="42" t="s">
        <v>15</v>
      </c>
      <c r="E109" s="42" t="s">
        <v>16</v>
      </c>
      <c r="F109" s="42">
        <v>44</v>
      </c>
      <c r="G109" s="44">
        <v>350000</v>
      </c>
      <c r="H109" s="44">
        <v>15400000</v>
      </c>
      <c r="I109" s="42" t="s">
        <v>2825</v>
      </c>
      <c r="J109" s="42" t="s">
        <v>127</v>
      </c>
    </row>
    <row r="110" spans="1:10" x14ac:dyDescent="0.3">
      <c r="A110" s="42" t="s">
        <v>826</v>
      </c>
      <c r="B110" s="43">
        <v>45672</v>
      </c>
      <c r="C110" s="42" t="s">
        <v>44</v>
      </c>
      <c r="D110" s="42" t="s">
        <v>45</v>
      </c>
      <c r="E110" s="42" t="s">
        <v>16</v>
      </c>
      <c r="F110" s="42">
        <v>47</v>
      </c>
      <c r="G110" s="44">
        <v>250000</v>
      </c>
      <c r="H110" s="44">
        <v>11750000</v>
      </c>
      <c r="I110" s="42" t="s">
        <v>2713</v>
      </c>
      <c r="J110" s="42" t="s">
        <v>127</v>
      </c>
    </row>
    <row r="111" spans="1:10" x14ac:dyDescent="0.3">
      <c r="A111" s="42" t="s">
        <v>827</v>
      </c>
      <c r="B111" s="43">
        <v>45673</v>
      </c>
      <c r="C111" s="42" t="s">
        <v>42</v>
      </c>
      <c r="D111" s="42" t="s">
        <v>43</v>
      </c>
      <c r="E111" s="42" t="s">
        <v>16</v>
      </c>
      <c r="F111" s="42">
        <v>5</v>
      </c>
      <c r="G111" s="44">
        <v>1200000</v>
      </c>
      <c r="H111" s="44">
        <v>6000000</v>
      </c>
      <c r="I111" s="42" t="s">
        <v>2813</v>
      </c>
      <c r="J111" s="42" t="s">
        <v>60</v>
      </c>
    </row>
    <row r="112" spans="1:10" x14ac:dyDescent="0.3">
      <c r="A112" s="42" t="s">
        <v>854</v>
      </c>
      <c r="B112" s="43">
        <v>45673</v>
      </c>
      <c r="C112" s="42" t="s">
        <v>18</v>
      </c>
      <c r="D112" s="42" t="s">
        <v>19</v>
      </c>
      <c r="E112" s="42" t="s">
        <v>20</v>
      </c>
      <c r="F112" s="42">
        <v>26</v>
      </c>
      <c r="G112" s="44">
        <v>500000</v>
      </c>
      <c r="H112" s="44">
        <v>13000000</v>
      </c>
      <c r="I112" s="42" t="s">
        <v>2588</v>
      </c>
      <c r="J112" s="42" t="s">
        <v>47</v>
      </c>
    </row>
    <row r="113" spans="1:10" x14ac:dyDescent="0.3">
      <c r="A113" s="42" t="s">
        <v>855</v>
      </c>
      <c r="B113" s="43">
        <v>45673</v>
      </c>
      <c r="C113" s="42" t="s">
        <v>18</v>
      </c>
      <c r="D113" s="42" t="s">
        <v>19</v>
      </c>
      <c r="E113" s="42" t="s">
        <v>20</v>
      </c>
      <c r="F113" s="42">
        <v>29</v>
      </c>
      <c r="G113" s="44">
        <v>500000</v>
      </c>
      <c r="H113" s="44">
        <v>14500000</v>
      </c>
      <c r="I113" s="42" t="s">
        <v>2263</v>
      </c>
      <c r="J113" s="42" t="s">
        <v>8</v>
      </c>
    </row>
    <row r="114" spans="1:10" x14ac:dyDescent="0.3">
      <c r="A114" s="42" t="s">
        <v>864</v>
      </c>
      <c r="B114" s="43">
        <v>45673</v>
      </c>
      <c r="C114" s="42" t="s">
        <v>38</v>
      </c>
      <c r="D114" s="42" t="s">
        <v>39</v>
      </c>
      <c r="E114" s="42" t="s">
        <v>16</v>
      </c>
      <c r="F114" s="42">
        <v>42</v>
      </c>
      <c r="G114" s="44">
        <v>200000</v>
      </c>
      <c r="H114" s="44">
        <v>8400000</v>
      </c>
      <c r="I114" s="42" t="s">
        <v>2192</v>
      </c>
      <c r="J114" s="42" t="s">
        <v>8</v>
      </c>
    </row>
    <row r="115" spans="1:10" x14ac:dyDescent="0.3">
      <c r="A115" s="42" t="s">
        <v>879</v>
      </c>
      <c r="B115" s="43">
        <v>45673</v>
      </c>
      <c r="C115" s="42" t="s">
        <v>14</v>
      </c>
      <c r="D115" s="42" t="s">
        <v>15</v>
      </c>
      <c r="E115" s="42" t="s">
        <v>16</v>
      </c>
      <c r="F115" s="42">
        <v>32</v>
      </c>
      <c r="G115" s="44">
        <v>350000</v>
      </c>
      <c r="H115" s="44">
        <v>11200000</v>
      </c>
      <c r="I115" s="42" t="s">
        <v>2308</v>
      </c>
      <c r="J115" s="42" t="s">
        <v>60</v>
      </c>
    </row>
    <row r="116" spans="1:10" x14ac:dyDescent="0.3">
      <c r="A116" s="42" t="s">
        <v>880</v>
      </c>
      <c r="B116" s="43">
        <v>45673</v>
      </c>
      <c r="C116" s="42" t="s">
        <v>44</v>
      </c>
      <c r="D116" s="42" t="s">
        <v>45</v>
      </c>
      <c r="E116" s="42" t="s">
        <v>16</v>
      </c>
      <c r="F116" s="42">
        <v>27</v>
      </c>
      <c r="G116" s="44">
        <v>250000</v>
      </c>
      <c r="H116" s="44">
        <v>6750000</v>
      </c>
      <c r="I116" s="42" t="s">
        <v>692</v>
      </c>
      <c r="J116" s="42" t="s">
        <v>8</v>
      </c>
    </row>
    <row r="117" spans="1:10" x14ac:dyDescent="0.3">
      <c r="A117" s="42" t="s">
        <v>881</v>
      </c>
      <c r="B117" s="43">
        <v>45673</v>
      </c>
      <c r="C117" s="42" t="s">
        <v>44</v>
      </c>
      <c r="D117" s="42" t="s">
        <v>45</v>
      </c>
      <c r="E117" s="42" t="s">
        <v>16</v>
      </c>
      <c r="F117" s="42">
        <v>37</v>
      </c>
      <c r="G117" s="44">
        <v>250000</v>
      </c>
      <c r="H117" s="44">
        <v>9250000</v>
      </c>
      <c r="I117" s="42" t="s">
        <v>2745</v>
      </c>
      <c r="J117" s="42" t="s">
        <v>47</v>
      </c>
    </row>
    <row r="118" spans="1:10" x14ac:dyDescent="0.3">
      <c r="A118" s="42" t="s">
        <v>925</v>
      </c>
      <c r="B118" s="43">
        <v>45673</v>
      </c>
      <c r="C118" s="42" t="s">
        <v>31</v>
      </c>
      <c r="D118" s="42" t="s">
        <v>32</v>
      </c>
      <c r="E118" s="42" t="s">
        <v>20</v>
      </c>
      <c r="F118" s="42">
        <v>30</v>
      </c>
      <c r="G118" s="44">
        <v>180000</v>
      </c>
      <c r="H118" s="44">
        <v>5400000</v>
      </c>
      <c r="I118" s="42" t="s">
        <v>2355</v>
      </c>
      <c r="J118" s="42" t="s">
        <v>47</v>
      </c>
    </row>
    <row r="119" spans="1:10" x14ac:dyDescent="0.3">
      <c r="A119" s="42" t="s">
        <v>926</v>
      </c>
      <c r="B119" s="43">
        <v>45673</v>
      </c>
      <c r="C119" s="42" t="s">
        <v>18</v>
      </c>
      <c r="D119" s="42" t="s">
        <v>19</v>
      </c>
      <c r="E119" s="42" t="s">
        <v>20</v>
      </c>
      <c r="F119" s="42">
        <v>35</v>
      </c>
      <c r="G119" s="44">
        <v>500000</v>
      </c>
      <c r="H119" s="44">
        <v>17500000</v>
      </c>
      <c r="I119" s="42" t="s">
        <v>339</v>
      </c>
      <c r="J119" s="42" t="s">
        <v>47</v>
      </c>
    </row>
    <row r="120" spans="1:10" x14ac:dyDescent="0.3">
      <c r="A120" s="42" t="s">
        <v>927</v>
      </c>
      <c r="B120" s="43">
        <v>45673</v>
      </c>
      <c r="C120" s="42" t="s">
        <v>10</v>
      </c>
      <c r="D120" s="42" t="s">
        <v>11</v>
      </c>
      <c r="E120" s="42" t="s">
        <v>12</v>
      </c>
      <c r="F120" s="42">
        <v>16</v>
      </c>
      <c r="G120" s="44">
        <v>120000</v>
      </c>
      <c r="H120" s="44">
        <v>1920000</v>
      </c>
      <c r="I120" s="42" t="s">
        <v>2678</v>
      </c>
      <c r="J120" s="42" t="s">
        <v>47</v>
      </c>
    </row>
    <row r="121" spans="1:10" x14ac:dyDescent="0.3">
      <c r="A121" s="42" t="s">
        <v>928</v>
      </c>
      <c r="B121" s="43">
        <v>45673</v>
      </c>
      <c r="C121" s="42" t="s">
        <v>28</v>
      </c>
      <c r="D121" s="42" t="s">
        <v>29</v>
      </c>
      <c r="E121" s="42" t="s">
        <v>20</v>
      </c>
      <c r="F121" s="42">
        <v>160</v>
      </c>
      <c r="G121" s="44">
        <v>450000</v>
      </c>
      <c r="H121" s="44">
        <v>72000000</v>
      </c>
      <c r="I121" s="42" t="s">
        <v>2299</v>
      </c>
      <c r="J121" s="42" t="s">
        <v>127</v>
      </c>
    </row>
    <row r="122" spans="1:10" x14ac:dyDescent="0.3">
      <c r="A122" s="42" t="s">
        <v>969</v>
      </c>
      <c r="B122" s="43">
        <v>45674</v>
      </c>
      <c r="C122" s="42" t="s">
        <v>18</v>
      </c>
      <c r="D122" s="42" t="s">
        <v>19</v>
      </c>
      <c r="E122" s="42" t="s">
        <v>20</v>
      </c>
      <c r="F122" s="42">
        <v>16</v>
      </c>
      <c r="G122" s="44">
        <v>500000</v>
      </c>
      <c r="H122" s="44">
        <v>8000000</v>
      </c>
      <c r="I122" s="42" t="s">
        <v>2163</v>
      </c>
      <c r="J122" s="42" t="s">
        <v>127</v>
      </c>
    </row>
    <row r="123" spans="1:10" x14ac:dyDescent="0.3">
      <c r="A123" s="42" t="s">
        <v>970</v>
      </c>
      <c r="B123" s="43">
        <v>45674</v>
      </c>
      <c r="C123" s="42" t="s">
        <v>22</v>
      </c>
      <c r="D123" s="42" t="s">
        <v>23</v>
      </c>
      <c r="E123" s="42" t="s">
        <v>12</v>
      </c>
      <c r="F123" s="42">
        <v>26</v>
      </c>
      <c r="G123" s="44">
        <v>25000</v>
      </c>
      <c r="H123" s="44">
        <v>650000</v>
      </c>
      <c r="I123" s="42" t="s">
        <v>2420</v>
      </c>
      <c r="J123" s="42" t="s">
        <v>127</v>
      </c>
    </row>
    <row r="124" spans="1:10" x14ac:dyDescent="0.3">
      <c r="A124" s="42" t="s">
        <v>971</v>
      </c>
      <c r="B124" s="43">
        <v>45674</v>
      </c>
      <c r="C124" s="42" t="s">
        <v>14</v>
      </c>
      <c r="D124" s="42" t="s">
        <v>15</v>
      </c>
      <c r="E124" s="42" t="s">
        <v>16</v>
      </c>
      <c r="F124" s="42">
        <v>47</v>
      </c>
      <c r="G124" s="44">
        <v>350000</v>
      </c>
      <c r="H124" s="44">
        <v>16450000</v>
      </c>
      <c r="I124" s="42" t="s">
        <v>2380</v>
      </c>
      <c r="J124" s="42" t="s">
        <v>69</v>
      </c>
    </row>
    <row r="125" spans="1:10" x14ac:dyDescent="0.3">
      <c r="A125" s="42" t="s">
        <v>999</v>
      </c>
      <c r="B125" s="43">
        <v>45674</v>
      </c>
      <c r="C125" s="42" t="s">
        <v>44</v>
      </c>
      <c r="D125" s="42" t="s">
        <v>45</v>
      </c>
      <c r="E125" s="42" t="s">
        <v>16</v>
      </c>
      <c r="F125" s="42">
        <v>12</v>
      </c>
      <c r="G125" s="44">
        <v>250000</v>
      </c>
      <c r="H125" s="44">
        <v>3000000</v>
      </c>
      <c r="I125" s="42" t="s">
        <v>2655</v>
      </c>
      <c r="J125" s="42" t="s">
        <v>8</v>
      </c>
    </row>
    <row r="126" spans="1:10" x14ac:dyDescent="0.3">
      <c r="A126" s="42" t="s">
        <v>1000</v>
      </c>
      <c r="B126" s="43">
        <v>45674</v>
      </c>
      <c r="C126" s="42" t="s">
        <v>14</v>
      </c>
      <c r="D126" s="42" t="s">
        <v>15</v>
      </c>
      <c r="E126" s="42" t="s">
        <v>16</v>
      </c>
      <c r="F126" s="42">
        <v>47</v>
      </c>
      <c r="G126" s="44">
        <v>350000</v>
      </c>
      <c r="H126" s="44">
        <v>16450000</v>
      </c>
      <c r="I126" s="42" t="s">
        <v>2311</v>
      </c>
      <c r="J126" s="42" t="s">
        <v>60</v>
      </c>
    </row>
    <row r="127" spans="1:10" x14ac:dyDescent="0.3">
      <c r="A127" s="42" t="s">
        <v>1001</v>
      </c>
      <c r="B127" s="43">
        <v>45674</v>
      </c>
      <c r="C127" s="42" t="s">
        <v>44</v>
      </c>
      <c r="D127" s="42" t="s">
        <v>45</v>
      </c>
      <c r="E127" s="42" t="s">
        <v>16</v>
      </c>
      <c r="F127" s="42">
        <v>12</v>
      </c>
      <c r="G127" s="44">
        <v>250000</v>
      </c>
      <c r="H127" s="44">
        <v>3000000</v>
      </c>
      <c r="I127" s="42" t="s">
        <v>2095</v>
      </c>
      <c r="J127" s="42" t="s">
        <v>69</v>
      </c>
    </row>
    <row r="128" spans="1:10" x14ac:dyDescent="0.3">
      <c r="A128" s="42" t="s">
        <v>1002</v>
      </c>
      <c r="B128" s="43">
        <v>45674</v>
      </c>
      <c r="C128" s="42" t="s">
        <v>28</v>
      </c>
      <c r="D128" s="42" t="s">
        <v>29</v>
      </c>
      <c r="E128" s="42" t="s">
        <v>20</v>
      </c>
      <c r="F128" s="42">
        <v>40</v>
      </c>
      <c r="G128" s="44">
        <v>450000</v>
      </c>
      <c r="H128" s="44">
        <v>18000000</v>
      </c>
      <c r="I128" s="42" t="s">
        <v>2481</v>
      </c>
      <c r="J128" s="42" t="s">
        <v>127</v>
      </c>
    </row>
    <row r="129" spans="1:10" x14ac:dyDescent="0.3">
      <c r="A129" s="42" t="s">
        <v>1003</v>
      </c>
      <c r="B129" s="43">
        <v>45677</v>
      </c>
      <c r="C129" s="42" t="s">
        <v>10</v>
      </c>
      <c r="D129" s="42" t="s">
        <v>11</v>
      </c>
      <c r="E129" s="42" t="s">
        <v>12</v>
      </c>
      <c r="F129" s="42">
        <v>48</v>
      </c>
      <c r="G129" s="44">
        <v>120000</v>
      </c>
      <c r="H129" s="44">
        <v>5760000</v>
      </c>
      <c r="I129" s="42" t="s">
        <v>2095</v>
      </c>
      <c r="J129" s="42" t="s">
        <v>69</v>
      </c>
    </row>
    <row r="130" spans="1:10" x14ac:dyDescent="0.3">
      <c r="A130" s="42" t="s">
        <v>1004</v>
      </c>
      <c r="B130" s="43">
        <v>45677</v>
      </c>
      <c r="C130" s="42" t="s">
        <v>38</v>
      </c>
      <c r="D130" s="42" t="s">
        <v>39</v>
      </c>
      <c r="E130" s="42" t="s">
        <v>16</v>
      </c>
      <c r="F130" s="42">
        <v>24</v>
      </c>
      <c r="G130" s="44">
        <v>200000</v>
      </c>
      <c r="H130" s="44">
        <v>4800000</v>
      </c>
      <c r="I130" s="42" t="s">
        <v>2787</v>
      </c>
      <c r="J130" s="42" t="s">
        <v>60</v>
      </c>
    </row>
    <row r="131" spans="1:10" x14ac:dyDescent="0.3">
      <c r="A131" s="42" t="s">
        <v>1005</v>
      </c>
      <c r="B131" s="43">
        <v>45677</v>
      </c>
      <c r="C131" s="42" t="s">
        <v>44</v>
      </c>
      <c r="D131" s="42" t="s">
        <v>45</v>
      </c>
      <c r="E131" s="42" t="s">
        <v>16</v>
      </c>
      <c r="F131" s="42">
        <v>10</v>
      </c>
      <c r="G131" s="44">
        <v>250000</v>
      </c>
      <c r="H131" s="44">
        <v>2500000</v>
      </c>
      <c r="I131" s="42" t="s">
        <v>2571</v>
      </c>
      <c r="J131" s="42" t="s">
        <v>60</v>
      </c>
    </row>
    <row r="132" spans="1:10" x14ac:dyDescent="0.3">
      <c r="A132" s="42" t="s">
        <v>1006</v>
      </c>
      <c r="B132" s="43">
        <v>45677</v>
      </c>
      <c r="C132" s="42" t="s">
        <v>31</v>
      </c>
      <c r="D132" s="42" t="s">
        <v>32</v>
      </c>
      <c r="E132" s="42" t="s">
        <v>20</v>
      </c>
      <c r="F132" s="42">
        <v>13</v>
      </c>
      <c r="G132" s="44">
        <v>180000</v>
      </c>
      <c r="H132" s="44">
        <v>2340000</v>
      </c>
      <c r="I132" s="42" t="s">
        <v>2153</v>
      </c>
      <c r="J132" s="42" t="s">
        <v>127</v>
      </c>
    </row>
    <row r="133" spans="1:10" x14ac:dyDescent="0.3">
      <c r="A133" s="42" t="s">
        <v>1007</v>
      </c>
      <c r="B133" s="43">
        <v>45677</v>
      </c>
      <c r="C133" s="42" t="s">
        <v>14</v>
      </c>
      <c r="D133" s="42" t="s">
        <v>15</v>
      </c>
      <c r="E133" s="42" t="s">
        <v>16</v>
      </c>
      <c r="F133" s="42">
        <v>30</v>
      </c>
      <c r="G133" s="44">
        <v>350000</v>
      </c>
      <c r="H133" s="44">
        <v>10500000</v>
      </c>
      <c r="I133" s="42" t="s">
        <v>2780</v>
      </c>
      <c r="J133" s="42" t="s">
        <v>127</v>
      </c>
    </row>
    <row r="134" spans="1:10" x14ac:dyDescent="0.3">
      <c r="A134" s="42" t="s">
        <v>1008</v>
      </c>
      <c r="B134" s="43">
        <v>45677</v>
      </c>
      <c r="C134" s="42" t="s">
        <v>28</v>
      </c>
      <c r="D134" s="42" t="s">
        <v>29</v>
      </c>
      <c r="E134" s="42" t="s">
        <v>20</v>
      </c>
      <c r="F134" s="42">
        <v>45</v>
      </c>
      <c r="G134" s="44">
        <v>450000</v>
      </c>
      <c r="H134" s="44">
        <v>20250000</v>
      </c>
      <c r="I134" s="42" t="s">
        <v>2307</v>
      </c>
      <c r="J134" s="42" t="s">
        <v>127</v>
      </c>
    </row>
    <row r="135" spans="1:10" x14ac:dyDescent="0.3">
      <c r="A135" s="42" t="s">
        <v>1009</v>
      </c>
      <c r="B135" s="43">
        <v>45677</v>
      </c>
      <c r="C135" s="42" t="s">
        <v>18</v>
      </c>
      <c r="D135" s="42" t="s">
        <v>19</v>
      </c>
      <c r="E135" s="42" t="s">
        <v>20</v>
      </c>
      <c r="F135" s="42">
        <v>41</v>
      </c>
      <c r="G135" s="44">
        <v>500000</v>
      </c>
      <c r="H135" s="44">
        <v>20500000</v>
      </c>
      <c r="I135" s="42" t="s">
        <v>2173</v>
      </c>
      <c r="J135" s="42" t="s">
        <v>8</v>
      </c>
    </row>
    <row r="136" spans="1:10" x14ac:dyDescent="0.3">
      <c r="A136" s="42" t="s">
        <v>1010</v>
      </c>
      <c r="B136" s="43">
        <v>45677</v>
      </c>
      <c r="C136" s="42" t="s">
        <v>18</v>
      </c>
      <c r="D136" s="42" t="s">
        <v>19</v>
      </c>
      <c r="E136" s="42" t="s">
        <v>20</v>
      </c>
      <c r="F136" s="42">
        <v>44</v>
      </c>
      <c r="G136" s="44">
        <v>500000</v>
      </c>
      <c r="H136" s="44">
        <v>22000000</v>
      </c>
      <c r="I136" s="42" t="s">
        <v>2415</v>
      </c>
      <c r="J136" s="42" t="s">
        <v>8</v>
      </c>
    </row>
    <row r="137" spans="1:10" x14ac:dyDescent="0.3">
      <c r="A137" s="42" t="s">
        <v>1011</v>
      </c>
      <c r="B137" s="43">
        <v>45677</v>
      </c>
      <c r="C137" s="42" t="s">
        <v>44</v>
      </c>
      <c r="D137" s="42" t="s">
        <v>45</v>
      </c>
      <c r="E137" s="42" t="s">
        <v>16</v>
      </c>
      <c r="F137" s="42">
        <v>8</v>
      </c>
      <c r="G137" s="44">
        <v>250000</v>
      </c>
      <c r="H137" s="44">
        <v>2000000</v>
      </c>
      <c r="I137" s="42" t="s">
        <v>2283</v>
      </c>
      <c r="J137" s="42" t="s">
        <v>69</v>
      </c>
    </row>
    <row r="138" spans="1:10" x14ac:dyDescent="0.3">
      <c r="A138" s="42" t="s">
        <v>1038</v>
      </c>
      <c r="B138" s="43">
        <v>45677</v>
      </c>
      <c r="C138" s="42" t="s">
        <v>40</v>
      </c>
      <c r="D138" s="42" t="s">
        <v>41</v>
      </c>
      <c r="E138" s="42" t="s">
        <v>16</v>
      </c>
      <c r="F138" s="42">
        <v>25</v>
      </c>
      <c r="G138" s="44">
        <v>950000</v>
      </c>
      <c r="H138" s="44">
        <v>23750000</v>
      </c>
      <c r="I138" s="42" t="s">
        <v>2609</v>
      </c>
      <c r="J138" s="42" t="s">
        <v>60</v>
      </c>
    </row>
    <row r="139" spans="1:10" x14ac:dyDescent="0.3">
      <c r="A139" s="42" t="s">
        <v>1039</v>
      </c>
      <c r="B139" s="43">
        <v>45677</v>
      </c>
      <c r="C139" s="42" t="s">
        <v>40</v>
      </c>
      <c r="D139" s="42" t="s">
        <v>41</v>
      </c>
      <c r="E139" s="42" t="s">
        <v>16</v>
      </c>
      <c r="F139" s="42">
        <v>33</v>
      </c>
      <c r="G139" s="44">
        <v>950000</v>
      </c>
      <c r="H139" s="44">
        <v>31350000</v>
      </c>
      <c r="I139" s="42" t="s">
        <v>2664</v>
      </c>
      <c r="J139" s="42" t="s">
        <v>127</v>
      </c>
    </row>
    <row r="140" spans="1:10" x14ac:dyDescent="0.3">
      <c r="A140" s="42" t="s">
        <v>1040</v>
      </c>
      <c r="B140" s="43">
        <v>45677</v>
      </c>
      <c r="C140" s="42" t="s">
        <v>10</v>
      </c>
      <c r="D140" s="42" t="s">
        <v>11</v>
      </c>
      <c r="E140" s="42" t="s">
        <v>12</v>
      </c>
      <c r="F140" s="42">
        <v>12</v>
      </c>
      <c r="G140" s="44">
        <v>120000</v>
      </c>
      <c r="H140" s="44">
        <v>1440000</v>
      </c>
      <c r="I140" s="42" t="s">
        <v>2392</v>
      </c>
      <c r="J140" s="42" t="s">
        <v>8</v>
      </c>
    </row>
    <row r="141" spans="1:10" x14ac:dyDescent="0.3">
      <c r="A141" s="42" t="s">
        <v>1041</v>
      </c>
      <c r="B141" s="43">
        <v>45677</v>
      </c>
      <c r="C141" s="42" t="s">
        <v>18</v>
      </c>
      <c r="D141" s="42" t="s">
        <v>19</v>
      </c>
      <c r="E141" s="42" t="s">
        <v>20</v>
      </c>
      <c r="F141" s="42">
        <v>27</v>
      </c>
      <c r="G141" s="44">
        <v>500000</v>
      </c>
      <c r="H141" s="44">
        <v>13500000</v>
      </c>
      <c r="I141" s="42" t="s">
        <v>2548</v>
      </c>
      <c r="J141" s="42" t="s">
        <v>47</v>
      </c>
    </row>
    <row r="142" spans="1:10" x14ac:dyDescent="0.3">
      <c r="A142" s="42" t="s">
        <v>1042</v>
      </c>
      <c r="B142" s="43">
        <v>45677</v>
      </c>
      <c r="C142" s="42" t="s">
        <v>14</v>
      </c>
      <c r="D142" s="42" t="s">
        <v>15</v>
      </c>
      <c r="E142" s="42" t="s">
        <v>16</v>
      </c>
      <c r="F142" s="42">
        <v>46</v>
      </c>
      <c r="G142" s="44">
        <v>350000</v>
      </c>
      <c r="H142" s="44">
        <v>16100000</v>
      </c>
      <c r="I142" s="42" t="s">
        <v>2302</v>
      </c>
      <c r="J142" s="42" t="s">
        <v>8</v>
      </c>
    </row>
    <row r="143" spans="1:10" x14ac:dyDescent="0.3">
      <c r="A143" s="42" t="s">
        <v>1043</v>
      </c>
      <c r="B143" s="43">
        <v>45677</v>
      </c>
      <c r="C143" s="42" t="s">
        <v>31</v>
      </c>
      <c r="D143" s="42" t="s">
        <v>32</v>
      </c>
      <c r="E143" s="42" t="s">
        <v>20</v>
      </c>
      <c r="F143" s="42">
        <v>26</v>
      </c>
      <c r="G143" s="44">
        <v>180000</v>
      </c>
      <c r="H143" s="44">
        <v>4680000</v>
      </c>
      <c r="I143" s="42" t="s">
        <v>2809</v>
      </c>
      <c r="J143" s="42" t="s">
        <v>47</v>
      </c>
    </row>
    <row r="144" spans="1:10" x14ac:dyDescent="0.3">
      <c r="A144" s="42" t="s">
        <v>1044</v>
      </c>
      <c r="B144" s="43">
        <v>45678</v>
      </c>
      <c r="C144" s="42" t="s">
        <v>44</v>
      </c>
      <c r="D144" s="42" t="s">
        <v>45</v>
      </c>
      <c r="E144" s="42" t="s">
        <v>16</v>
      </c>
      <c r="F144" s="42">
        <v>50</v>
      </c>
      <c r="G144" s="44">
        <v>250000</v>
      </c>
      <c r="H144" s="44">
        <v>12500000</v>
      </c>
      <c r="I144" s="42" t="s">
        <v>2288</v>
      </c>
      <c r="J144" s="42" t="s">
        <v>60</v>
      </c>
    </row>
    <row r="145" spans="1:10" x14ac:dyDescent="0.3">
      <c r="A145" s="42" t="s">
        <v>1077</v>
      </c>
      <c r="B145" s="43">
        <v>45678</v>
      </c>
      <c r="C145" s="42" t="s">
        <v>31</v>
      </c>
      <c r="D145" s="42" t="s">
        <v>32</v>
      </c>
      <c r="E145" s="42" t="s">
        <v>20</v>
      </c>
      <c r="F145" s="42">
        <v>23</v>
      </c>
      <c r="G145" s="44">
        <v>180000</v>
      </c>
      <c r="H145" s="44">
        <v>4140000</v>
      </c>
      <c r="I145" s="42" t="s">
        <v>2693</v>
      </c>
      <c r="J145" s="42" t="s">
        <v>127</v>
      </c>
    </row>
    <row r="146" spans="1:10" x14ac:dyDescent="0.3">
      <c r="A146" s="42" t="s">
        <v>1078</v>
      </c>
      <c r="B146" s="43">
        <v>45678</v>
      </c>
      <c r="C146" s="42" t="s">
        <v>22</v>
      </c>
      <c r="D146" s="42" t="s">
        <v>23</v>
      </c>
      <c r="E146" s="42" t="s">
        <v>12</v>
      </c>
      <c r="F146" s="42">
        <v>10</v>
      </c>
      <c r="G146" s="44">
        <v>25000</v>
      </c>
      <c r="H146" s="44">
        <v>250000</v>
      </c>
      <c r="I146" s="42" t="s">
        <v>2277</v>
      </c>
      <c r="J146" s="42" t="s">
        <v>127</v>
      </c>
    </row>
    <row r="147" spans="1:10" x14ac:dyDescent="0.3">
      <c r="A147" s="42" t="s">
        <v>1079</v>
      </c>
      <c r="B147" s="43">
        <v>45678</v>
      </c>
      <c r="C147" s="42" t="s">
        <v>38</v>
      </c>
      <c r="D147" s="42" t="s">
        <v>39</v>
      </c>
      <c r="E147" s="42" t="s">
        <v>16</v>
      </c>
      <c r="F147" s="42">
        <v>49</v>
      </c>
      <c r="G147" s="44">
        <v>200000</v>
      </c>
      <c r="H147" s="44">
        <v>9800000</v>
      </c>
      <c r="I147" s="42" t="s">
        <v>2591</v>
      </c>
      <c r="J147" s="42" t="s">
        <v>127</v>
      </c>
    </row>
    <row r="148" spans="1:10" x14ac:dyDescent="0.3">
      <c r="A148" s="42" t="s">
        <v>1112</v>
      </c>
      <c r="B148" s="43">
        <v>45678</v>
      </c>
      <c r="C148" s="42" t="s">
        <v>31</v>
      </c>
      <c r="D148" s="42" t="s">
        <v>32</v>
      </c>
      <c r="E148" s="42" t="s">
        <v>20</v>
      </c>
      <c r="F148" s="42">
        <v>37</v>
      </c>
      <c r="G148" s="44">
        <v>180000</v>
      </c>
      <c r="H148" s="44">
        <v>6660000</v>
      </c>
      <c r="I148" s="42" t="s">
        <v>2690</v>
      </c>
      <c r="J148" s="42" t="s">
        <v>60</v>
      </c>
    </row>
    <row r="149" spans="1:10" x14ac:dyDescent="0.3">
      <c r="A149" s="42" t="s">
        <v>1113</v>
      </c>
      <c r="B149" s="43">
        <v>45678</v>
      </c>
      <c r="C149" s="42" t="s">
        <v>28</v>
      </c>
      <c r="D149" s="42" t="s">
        <v>29</v>
      </c>
      <c r="E149" s="42" t="s">
        <v>20</v>
      </c>
      <c r="F149" s="42">
        <v>30</v>
      </c>
      <c r="G149" s="44">
        <v>450000</v>
      </c>
      <c r="H149" s="44">
        <v>13500000</v>
      </c>
      <c r="I149" s="42" t="s">
        <v>2806</v>
      </c>
      <c r="J149" s="42" t="s">
        <v>69</v>
      </c>
    </row>
    <row r="150" spans="1:10" x14ac:dyDescent="0.3">
      <c r="A150" s="42" t="s">
        <v>1114</v>
      </c>
      <c r="B150" s="43">
        <v>45678</v>
      </c>
      <c r="C150" s="42" t="s">
        <v>22</v>
      </c>
      <c r="D150" s="42" t="s">
        <v>23</v>
      </c>
      <c r="E150" s="42" t="s">
        <v>12</v>
      </c>
      <c r="F150" s="42">
        <v>42</v>
      </c>
      <c r="G150" s="44">
        <v>25000</v>
      </c>
      <c r="H150" s="44">
        <v>1050000</v>
      </c>
      <c r="I150" s="42" t="s">
        <v>2311</v>
      </c>
      <c r="J150" s="42" t="s">
        <v>60</v>
      </c>
    </row>
    <row r="151" spans="1:10" x14ac:dyDescent="0.3">
      <c r="A151" s="42" t="s">
        <v>1115</v>
      </c>
      <c r="B151" s="43">
        <v>45678</v>
      </c>
      <c r="C151" s="42" t="s">
        <v>14</v>
      </c>
      <c r="D151" s="42" t="s">
        <v>15</v>
      </c>
      <c r="E151" s="42" t="s">
        <v>16</v>
      </c>
      <c r="F151" s="42">
        <v>36</v>
      </c>
      <c r="G151" s="44">
        <v>350000</v>
      </c>
      <c r="H151" s="44">
        <v>12600000</v>
      </c>
      <c r="I151" s="42" t="s">
        <v>2179</v>
      </c>
      <c r="J151" s="42" t="s">
        <v>127</v>
      </c>
    </row>
    <row r="152" spans="1:10" x14ac:dyDescent="0.3">
      <c r="A152" s="42" t="s">
        <v>1116</v>
      </c>
      <c r="B152" s="43">
        <v>45678</v>
      </c>
      <c r="C152" s="42" t="s">
        <v>22</v>
      </c>
      <c r="D152" s="42" t="s">
        <v>23</v>
      </c>
      <c r="E152" s="42" t="s">
        <v>12</v>
      </c>
      <c r="F152" s="42">
        <v>31</v>
      </c>
      <c r="G152" s="44">
        <v>25000</v>
      </c>
      <c r="H152" s="44">
        <v>775000</v>
      </c>
      <c r="I152" s="42" t="s">
        <v>2657</v>
      </c>
      <c r="J152" s="42" t="s">
        <v>47</v>
      </c>
    </row>
    <row r="153" spans="1:10" x14ac:dyDescent="0.3">
      <c r="A153" s="42" t="s">
        <v>1165</v>
      </c>
      <c r="B153" s="43">
        <v>45678</v>
      </c>
      <c r="C153" s="42" t="s">
        <v>22</v>
      </c>
      <c r="D153" s="42" t="s">
        <v>23</v>
      </c>
      <c r="E153" s="42" t="s">
        <v>12</v>
      </c>
      <c r="F153" s="42">
        <v>100</v>
      </c>
      <c r="G153" s="44">
        <v>25000</v>
      </c>
      <c r="H153" s="44">
        <v>2500000</v>
      </c>
      <c r="I153" s="42" t="s">
        <v>2432</v>
      </c>
      <c r="J153" s="42" t="s">
        <v>8</v>
      </c>
    </row>
    <row r="154" spans="1:10" x14ac:dyDescent="0.3">
      <c r="A154" s="42" t="s">
        <v>1166</v>
      </c>
      <c r="B154" s="43">
        <v>45678</v>
      </c>
      <c r="C154" s="42" t="s">
        <v>28</v>
      </c>
      <c r="D154" s="42" t="s">
        <v>29</v>
      </c>
      <c r="E154" s="42" t="s">
        <v>20</v>
      </c>
      <c r="F154" s="42">
        <v>47</v>
      </c>
      <c r="G154" s="44">
        <v>450000</v>
      </c>
      <c r="H154" s="44">
        <v>21150000</v>
      </c>
      <c r="I154" s="42" t="s">
        <v>2144</v>
      </c>
      <c r="J154" s="42" t="s">
        <v>69</v>
      </c>
    </row>
    <row r="155" spans="1:10" x14ac:dyDescent="0.3">
      <c r="A155" s="42" t="s">
        <v>1167</v>
      </c>
      <c r="B155" s="43">
        <v>45678</v>
      </c>
      <c r="C155" s="42" t="s">
        <v>28</v>
      </c>
      <c r="D155" s="42" t="s">
        <v>29</v>
      </c>
      <c r="E155" s="42" t="s">
        <v>20</v>
      </c>
      <c r="F155" s="42">
        <v>49</v>
      </c>
      <c r="G155" s="44">
        <v>450000</v>
      </c>
      <c r="H155" s="44">
        <v>22050000</v>
      </c>
      <c r="I155" s="42" t="s">
        <v>2702</v>
      </c>
      <c r="J155" s="42" t="s">
        <v>47</v>
      </c>
    </row>
    <row r="156" spans="1:10" x14ac:dyDescent="0.3">
      <c r="A156" s="42" t="s">
        <v>1196</v>
      </c>
      <c r="B156" s="43">
        <v>45679</v>
      </c>
      <c r="C156" s="42" t="s">
        <v>10</v>
      </c>
      <c r="D156" s="42" t="s">
        <v>11</v>
      </c>
      <c r="E156" s="42" t="s">
        <v>12</v>
      </c>
      <c r="F156" s="42">
        <v>31</v>
      </c>
      <c r="G156" s="44">
        <v>120000</v>
      </c>
      <c r="H156" s="44">
        <v>3720000</v>
      </c>
      <c r="I156" s="42" t="s">
        <v>2645</v>
      </c>
      <c r="J156" s="42" t="s">
        <v>127</v>
      </c>
    </row>
    <row r="157" spans="1:10" x14ac:dyDescent="0.3">
      <c r="A157" s="42" t="s">
        <v>1197</v>
      </c>
      <c r="B157" s="43">
        <v>45679</v>
      </c>
      <c r="C157" s="42" t="s">
        <v>38</v>
      </c>
      <c r="D157" s="42" t="s">
        <v>39</v>
      </c>
      <c r="E157" s="42" t="s">
        <v>16</v>
      </c>
      <c r="F157" s="42">
        <v>110</v>
      </c>
      <c r="G157" s="44">
        <v>200000</v>
      </c>
      <c r="H157" s="44">
        <v>22000000</v>
      </c>
      <c r="I157" s="42" t="s">
        <v>2160</v>
      </c>
      <c r="J157" s="42" t="s">
        <v>60</v>
      </c>
    </row>
    <row r="158" spans="1:10" x14ac:dyDescent="0.3">
      <c r="A158" s="42" t="s">
        <v>1198</v>
      </c>
      <c r="B158" s="43">
        <v>45679</v>
      </c>
      <c r="C158" s="42" t="s">
        <v>38</v>
      </c>
      <c r="D158" s="42" t="s">
        <v>39</v>
      </c>
      <c r="E158" s="42" t="s">
        <v>16</v>
      </c>
      <c r="F158" s="42">
        <v>47</v>
      </c>
      <c r="G158" s="44">
        <v>200000</v>
      </c>
      <c r="H158" s="44">
        <v>9400000</v>
      </c>
      <c r="I158" s="42" t="s">
        <v>2773</v>
      </c>
      <c r="J158" s="42" t="s">
        <v>8</v>
      </c>
    </row>
    <row r="159" spans="1:10" x14ac:dyDescent="0.3">
      <c r="A159" s="42" t="s">
        <v>1199</v>
      </c>
      <c r="B159" s="43">
        <v>45679</v>
      </c>
      <c r="C159" s="42" t="s">
        <v>44</v>
      </c>
      <c r="D159" s="42" t="s">
        <v>45</v>
      </c>
      <c r="E159" s="42" t="s">
        <v>16</v>
      </c>
      <c r="F159" s="42">
        <v>21</v>
      </c>
      <c r="G159" s="44">
        <v>250000</v>
      </c>
      <c r="H159" s="44">
        <v>5250000</v>
      </c>
      <c r="I159" s="42" t="s">
        <v>2425</v>
      </c>
      <c r="J159" s="42" t="s">
        <v>60</v>
      </c>
    </row>
    <row r="160" spans="1:10" x14ac:dyDescent="0.3">
      <c r="A160" s="42" t="s">
        <v>1200</v>
      </c>
      <c r="B160" s="43">
        <v>45679</v>
      </c>
      <c r="C160" s="42" t="s">
        <v>42</v>
      </c>
      <c r="D160" s="42" t="s">
        <v>43</v>
      </c>
      <c r="E160" s="42" t="s">
        <v>16</v>
      </c>
      <c r="F160" s="42">
        <v>39</v>
      </c>
      <c r="G160" s="44">
        <v>1200000</v>
      </c>
      <c r="H160" s="44">
        <v>46800000</v>
      </c>
      <c r="I160" s="42" t="s">
        <v>2463</v>
      </c>
      <c r="J160" s="42" t="s">
        <v>8</v>
      </c>
    </row>
    <row r="161" spans="1:10" x14ac:dyDescent="0.3">
      <c r="A161" s="42" t="s">
        <v>1201</v>
      </c>
      <c r="B161" s="43">
        <v>45680</v>
      </c>
      <c r="C161" s="42" t="s">
        <v>14</v>
      </c>
      <c r="D161" s="42" t="s">
        <v>15</v>
      </c>
      <c r="E161" s="42" t="s">
        <v>16</v>
      </c>
      <c r="F161" s="42">
        <v>28</v>
      </c>
      <c r="G161" s="44">
        <v>350000</v>
      </c>
      <c r="H161" s="44">
        <v>9800000</v>
      </c>
      <c r="I161" s="42" t="s">
        <v>2355</v>
      </c>
      <c r="J161" s="42" t="s">
        <v>47</v>
      </c>
    </row>
    <row r="162" spans="1:10" x14ac:dyDescent="0.3">
      <c r="A162" s="42" t="s">
        <v>1202</v>
      </c>
      <c r="B162" s="43">
        <v>45680</v>
      </c>
      <c r="C162" s="42" t="s">
        <v>28</v>
      </c>
      <c r="D162" s="42" t="s">
        <v>29</v>
      </c>
      <c r="E162" s="42" t="s">
        <v>20</v>
      </c>
      <c r="F162" s="42">
        <v>420</v>
      </c>
      <c r="G162" s="44">
        <v>450000</v>
      </c>
      <c r="H162" s="44">
        <v>189000000</v>
      </c>
      <c r="I162" s="42" t="s">
        <v>1789</v>
      </c>
      <c r="J162" s="42" t="s">
        <v>8</v>
      </c>
    </row>
    <row r="163" spans="1:10" x14ac:dyDescent="0.3">
      <c r="A163" s="42" t="s">
        <v>1203</v>
      </c>
      <c r="B163" s="43">
        <v>45680</v>
      </c>
      <c r="C163" s="42" t="s">
        <v>44</v>
      </c>
      <c r="D163" s="42" t="s">
        <v>45</v>
      </c>
      <c r="E163" s="42" t="s">
        <v>16</v>
      </c>
      <c r="F163" s="42">
        <v>10</v>
      </c>
      <c r="G163" s="44">
        <v>250000</v>
      </c>
      <c r="H163" s="44">
        <v>2500000</v>
      </c>
      <c r="I163" s="42" t="s">
        <v>2715</v>
      </c>
      <c r="J163" s="42" t="s">
        <v>60</v>
      </c>
    </row>
    <row r="164" spans="1:10" x14ac:dyDescent="0.3">
      <c r="A164" s="42" t="s">
        <v>1243</v>
      </c>
      <c r="B164" s="43">
        <v>45680</v>
      </c>
      <c r="C164" s="42" t="s">
        <v>44</v>
      </c>
      <c r="D164" s="42" t="s">
        <v>45</v>
      </c>
      <c r="E164" s="42" t="s">
        <v>16</v>
      </c>
      <c r="F164" s="42">
        <v>12</v>
      </c>
      <c r="G164" s="44">
        <v>250000</v>
      </c>
      <c r="H164" s="44">
        <v>3000000</v>
      </c>
      <c r="I164" s="42" t="s">
        <v>2154</v>
      </c>
      <c r="J164" s="42" t="s">
        <v>127</v>
      </c>
    </row>
    <row r="165" spans="1:10" x14ac:dyDescent="0.3">
      <c r="A165" s="42" t="s">
        <v>1244</v>
      </c>
      <c r="B165" s="43">
        <v>45680</v>
      </c>
      <c r="C165" s="42" t="s">
        <v>14</v>
      </c>
      <c r="D165" s="42" t="s">
        <v>15</v>
      </c>
      <c r="E165" s="42" t="s">
        <v>16</v>
      </c>
      <c r="F165" s="42">
        <v>20</v>
      </c>
      <c r="G165" s="44">
        <v>350000</v>
      </c>
      <c r="H165" s="44">
        <v>7000000</v>
      </c>
      <c r="I165" s="42" t="s">
        <v>2402</v>
      </c>
      <c r="J165" s="42" t="s">
        <v>69</v>
      </c>
    </row>
    <row r="166" spans="1:10" x14ac:dyDescent="0.3">
      <c r="A166" s="42" t="s">
        <v>1245</v>
      </c>
      <c r="B166" s="43">
        <v>45680</v>
      </c>
      <c r="C166" s="42" t="s">
        <v>10</v>
      </c>
      <c r="D166" s="42" t="s">
        <v>11</v>
      </c>
      <c r="E166" s="42" t="s">
        <v>12</v>
      </c>
      <c r="F166" s="42">
        <v>23</v>
      </c>
      <c r="G166" s="44">
        <v>120000</v>
      </c>
      <c r="H166" s="44">
        <v>2760000</v>
      </c>
      <c r="I166" s="42" t="s">
        <v>2741</v>
      </c>
      <c r="J166" s="42" t="s">
        <v>60</v>
      </c>
    </row>
    <row r="167" spans="1:10" x14ac:dyDescent="0.3">
      <c r="A167" s="42" t="s">
        <v>1246</v>
      </c>
      <c r="B167" s="43">
        <v>45680</v>
      </c>
      <c r="C167" s="42" t="s">
        <v>31</v>
      </c>
      <c r="D167" s="42" t="s">
        <v>32</v>
      </c>
      <c r="E167" s="42" t="s">
        <v>20</v>
      </c>
      <c r="F167" s="42">
        <v>8</v>
      </c>
      <c r="G167" s="44">
        <v>180000</v>
      </c>
      <c r="H167" s="44">
        <v>1440000</v>
      </c>
      <c r="I167" s="42" t="s">
        <v>2535</v>
      </c>
      <c r="J167" s="42" t="s">
        <v>127</v>
      </c>
    </row>
    <row r="168" spans="1:10" x14ac:dyDescent="0.3">
      <c r="A168" s="42" t="s">
        <v>1281</v>
      </c>
      <c r="B168" s="43">
        <v>45680</v>
      </c>
      <c r="C168" s="42" t="s">
        <v>42</v>
      </c>
      <c r="D168" s="42" t="s">
        <v>43</v>
      </c>
      <c r="E168" s="42" t="s">
        <v>16</v>
      </c>
      <c r="F168" s="42">
        <v>80</v>
      </c>
      <c r="G168" s="44">
        <v>1200000</v>
      </c>
      <c r="H168" s="44">
        <v>96000000</v>
      </c>
      <c r="I168" s="42" t="s">
        <v>2362</v>
      </c>
      <c r="J168" s="42" t="s">
        <v>8</v>
      </c>
    </row>
    <row r="169" spans="1:10" x14ac:dyDescent="0.3">
      <c r="A169" s="42" t="s">
        <v>1282</v>
      </c>
      <c r="B169" s="43">
        <v>45680</v>
      </c>
      <c r="C169" s="42" t="s">
        <v>18</v>
      </c>
      <c r="D169" s="42" t="s">
        <v>19</v>
      </c>
      <c r="E169" s="42" t="s">
        <v>20</v>
      </c>
      <c r="F169" s="42">
        <v>42</v>
      </c>
      <c r="G169" s="44">
        <v>500000</v>
      </c>
      <c r="H169" s="44">
        <v>21000000</v>
      </c>
      <c r="I169" s="42" t="s">
        <v>2248</v>
      </c>
      <c r="J169" s="42" t="s">
        <v>60</v>
      </c>
    </row>
    <row r="170" spans="1:10" x14ac:dyDescent="0.3">
      <c r="A170" s="42" t="s">
        <v>1283</v>
      </c>
      <c r="B170" s="43">
        <v>45680</v>
      </c>
      <c r="C170" s="42" t="s">
        <v>28</v>
      </c>
      <c r="D170" s="42" t="s">
        <v>29</v>
      </c>
      <c r="E170" s="42" t="s">
        <v>20</v>
      </c>
      <c r="F170" s="42">
        <v>7</v>
      </c>
      <c r="G170" s="44">
        <v>450000</v>
      </c>
      <c r="H170" s="44">
        <v>3150000</v>
      </c>
      <c r="I170" s="42" t="s">
        <v>2645</v>
      </c>
      <c r="J170" s="42" t="s">
        <v>127</v>
      </c>
    </row>
    <row r="171" spans="1:10" x14ac:dyDescent="0.3">
      <c r="A171" s="42" t="s">
        <v>1284</v>
      </c>
      <c r="B171" s="43">
        <v>45685</v>
      </c>
      <c r="C171" s="42" t="s">
        <v>40</v>
      </c>
      <c r="D171" s="42" t="s">
        <v>41</v>
      </c>
      <c r="E171" s="42" t="s">
        <v>16</v>
      </c>
      <c r="F171" s="42">
        <v>8</v>
      </c>
      <c r="G171" s="44">
        <v>950000</v>
      </c>
      <c r="H171" s="44">
        <v>7600000</v>
      </c>
      <c r="I171" s="42" t="s">
        <v>2817</v>
      </c>
      <c r="J171" s="42" t="s">
        <v>127</v>
      </c>
    </row>
    <row r="172" spans="1:10" x14ac:dyDescent="0.3">
      <c r="A172" s="42" t="s">
        <v>1285</v>
      </c>
      <c r="B172" s="43">
        <v>45685</v>
      </c>
      <c r="C172" s="42" t="s">
        <v>22</v>
      </c>
      <c r="D172" s="42" t="s">
        <v>23</v>
      </c>
      <c r="E172" s="42" t="s">
        <v>12</v>
      </c>
      <c r="F172" s="42">
        <v>26</v>
      </c>
      <c r="G172" s="44">
        <v>25000</v>
      </c>
      <c r="H172" s="44">
        <v>650000</v>
      </c>
      <c r="I172" s="42" t="s">
        <v>2179</v>
      </c>
      <c r="J172" s="42" t="s">
        <v>127</v>
      </c>
    </row>
    <row r="173" spans="1:10" x14ac:dyDescent="0.3">
      <c r="A173" s="42" t="s">
        <v>1286</v>
      </c>
      <c r="B173" s="43">
        <v>45685</v>
      </c>
      <c r="C173" s="42" t="s">
        <v>38</v>
      </c>
      <c r="D173" s="42" t="s">
        <v>39</v>
      </c>
      <c r="E173" s="42" t="s">
        <v>16</v>
      </c>
      <c r="F173" s="42">
        <v>18</v>
      </c>
      <c r="G173" s="44">
        <v>200000</v>
      </c>
      <c r="H173" s="44">
        <v>3600000</v>
      </c>
      <c r="I173" s="42" t="s">
        <v>2825</v>
      </c>
      <c r="J173" s="42" t="s">
        <v>127</v>
      </c>
    </row>
    <row r="174" spans="1:10" x14ac:dyDescent="0.3">
      <c r="A174" s="42" t="s">
        <v>1287</v>
      </c>
      <c r="B174" s="43">
        <v>45685</v>
      </c>
      <c r="C174" s="42" t="s">
        <v>40</v>
      </c>
      <c r="D174" s="42" t="s">
        <v>41</v>
      </c>
      <c r="E174" s="42" t="s">
        <v>16</v>
      </c>
      <c r="F174" s="42">
        <v>21</v>
      </c>
      <c r="G174" s="44">
        <v>950000</v>
      </c>
      <c r="H174" s="44">
        <v>19950000</v>
      </c>
      <c r="I174" s="42" t="s">
        <v>670</v>
      </c>
      <c r="J174" s="42" t="s">
        <v>127</v>
      </c>
    </row>
    <row r="175" spans="1:10" x14ac:dyDescent="0.3">
      <c r="A175" s="42" t="s">
        <v>1321</v>
      </c>
      <c r="B175" s="43">
        <v>45685</v>
      </c>
      <c r="C175" s="42" t="s">
        <v>28</v>
      </c>
      <c r="D175" s="42" t="s">
        <v>29</v>
      </c>
      <c r="E175" s="42" t="s">
        <v>20</v>
      </c>
      <c r="F175" s="42">
        <v>41</v>
      </c>
      <c r="G175" s="44">
        <v>450000</v>
      </c>
      <c r="H175" s="44">
        <v>18450000</v>
      </c>
      <c r="I175" s="42" t="s">
        <v>840</v>
      </c>
      <c r="J175" s="42" t="s">
        <v>127</v>
      </c>
    </row>
    <row r="176" spans="1:10" x14ac:dyDescent="0.3">
      <c r="A176" s="42" t="s">
        <v>1322</v>
      </c>
      <c r="B176" s="43">
        <v>45685</v>
      </c>
      <c r="C176" s="42" t="s">
        <v>10</v>
      </c>
      <c r="D176" s="42" t="s">
        <v>11</v>
      </c>
      <c r="E176" s="42" t="s">
        <v>12</v>
      </c>
      <c r="F176" s="42">
        <v>6</v>
      </c>
      <c r="G176" s="44">
        <v>120000</v>
      </c>
      <c r="H176" s="44">
        <v>720000</v>
      </c>
      <c r="I176" s="42" t="s">
        <v>2186</v>
      </c>
      <c r="J176" s="42" t="s">
        <v>69</v>
      </c>
    </row>
    <row r="177" spans="1:10" x14ac:dyDescent="0.3">
      <c r="A177" s="42" t="s">
        <v>1323</v>
      </c>
      <c r="B177" s="43">
        <v>45685</v>
      </c>
      <c r="C177" s="42" t="s">
        <v>40</v>
      </c>
      <c r="D177" s="42" t="s">
        <v>41</v>
      </c>
      <c r="E177" s="42" t="s">
        <v>16</v>
      </c>
      <c r="F177" s="42">
        <v>36</v>
      </c>
      <c r="G177" s="44">
        <v>950000</v>
      </c>
      <c r="H177" s="44">
        <v>34200000</v>
      </c>
      <c r="I177" s="42" t="s">
        <v>2774</v>
      </c>
      <c r="J177" s="42" t="s">
        <v>8</v>
      </c>
    </row>
    <row r="178" spans="1:10" x14ac:dyDescent="0.3">
      <c r="A178" s="42" t="s">
        <v>1324</v>
      </c>
      <c r="B178" s="43">
        <v>45685</v>
      </c>
      <c r="C178" s="42" t="s">
        <v>14</v>
      </c>
      <c r="D178" s="42" t="s">
        <v>15</v>
      </c>
      <c r="E178" s="42" t="s">
        <v>16</v>
      </c>
      <c r="F178" s="42">
        <v>47</v>
      </c>
      <c r="G178" s="44">
        <v>350000</v>
      </c>
      <c r="H178" s="44">
        <v>16450000</v>
      </c>
      <c r="I178" s="42" t="s">
        <v>2303</v>
      </c>
      <c r="J178" s="42" t="s">
        <v>127</v>
      </c>
    </row>
    <row r="179" spans="1:10" x14ac:dyDescent="0.3">
      <c r="A179" s="42" t="s">
        <v>1325</v>
      </c>
      <c r="B179" s="43">
        <v>45685</v>
      </c>
      <c r="C179" s="42" t="s">
        <v>22</v>
      </c>
      <c r="D179" s="42" t="s">
        <v>23</v>
      </c>
      <c r="E179" s="42" t="s">
        <v>12</v>
      </c>
      <c r="F179" s="42">
        <v>43</v>
      </c>
      <c r="G179" s="44">
        <v>25000</v>
      </c>
      <c r="H179" s="44">
        <v>1075000</v>
      </c>
      <c r="I179" s="42" t="s">
        <v>2225</v>
      </c>
      <c r="J179" s="42" t="s">
        <v>8</v>
      </c>
    </row>
    <row r="180" spans="1:10" x14ac:dyDescent="0.3">
      <c r="A180" s="42" t="s">
        <v>1326</v>
      </c>
      <c r="B180" s="43">
        <v>45685</v>
      </c>
      <c r="C180" s="42" t="s">
        <v>40</v>
      </c>
      <c r="D180" s="42" t="s">
        <v>41</v>
      </c>
      <c r="E180" s="42" t="s">
        <v>16</v>
      </c>
      <c r="F180" s="42">
        <v>10</v>
      </c>
      <c r="G180" s="44">
        <v>950000</v>
      </c>
      <c r="H180" s="44">
        <v>9500000</v>
      </c>
      <c r="I180" s="42" t="s">
        <v>402</v>
      </c>
      <c r="J180" s="42" t="s">
        <v>47</v>
      </c>
    </row>
    <row r="181" spans="1:10" x14ac:dyDescent="0.3">
      <c r="A181" s="42" t="s">
        <v>1327</v>
      </c>
      <c r="B181" s="43">
        <v>45685</v>
      </c>
      <c r="C181" s="42" t="s">
        <v>28</v>
      </c>
      <c r="D181" s="42" t="s">
        <v>29</v>
      </c>
      <c r="E181" s="42" t="s">
        <v>20</v>
      </c>
      <c r="F181" s="42">
        <v>44</v>
      </c>
      <c r="G181" s="44">
        <v>450000</v>
      </c>
      <c r="H181" s="44">
        <v>19800000</v>
      </c>
      <c r="I181" s="42" t="s">
        <v>2722</v>
      </c>
      <c r="J181" s="42" t="s">
        <v>8</v>
      </c>
    </row>
    <row r="182" spans="1:10" x14ac:dyDescent="0.3">
      <c r="A182" s="42" t="s">
        <v>1328</v>
      </c>
      <c r="B182" s="43">
        <v>45685</v>
      </c>
      <c r="C182" s="42" t="s">
        <v>31</v>
      </c>
      <c r="D182" s="42" t="s">
        <v>32</v>
      </c>
      <c r="E182" s="42" t="s">
        <v>20</v>
      </c>
      <c r="F182" s="42">
        <v>11</v>
      </c>
      <c r="G182" s="44">
        <v>180000</v>
      </c>
      <c r="H182" s="44">
        <v>1980000</v>
      </c>
      <c r="I182" s="42" t="s">
        <v>1242</v>
      </c>
      <c r="J182" s="42" t="s">
        <v>60</v>
      </c>
    </row>
    <row r="183" spans="1:10" x14ac:dyDescent="0.3">
      <c r="A183" s="42" t="s">
        <v>1329</v>
      </c>
      <c r="B183" s="43">
        <v>45687</v>
      </c>
      <c r="C183" s="42" t="s">
        <v>44</v>
      </c>
      <c r="D183" s="42" t="s">
        <v>45</v>
      </c>
      <c r="E183" s="42" t="s">
        <v>16</v>
      </c>
      <c r="F183" s="42">
        <v>17</v>
      </c>
      <c r="G183" s="44">
        <v>250000</v>
      </c>
      <c r="H183" s="44">
        <v>4250000</v>
      </c>
      <c r="I183" s="42" t="s">
        <v>1939</v>
      </c>
      <c r="J183" s="42" t="s">
        <v>8</v>
      </c>
    </row>
    <row r="184" spans="1:10" x14ac:dyDescent="0.3">
      <c r="A184" s="42" t="s">
        <v>1359</v>
      </c>
      <c r="B184" s="43">
        <v>45687</v>
      </c>
      <c r="C184" s="42" t="s">
        <v>22</v>
      </c>
      <c r="D184" s="42" t="s">
        <v>23</v>
      </c>
      <c r="E184" s="42" t="s">
        <v>12</v>
      </c>
      <c r="F184" s="42">
        <v>27</v>
      </c>
      <c r="G184" s="44">
        <v>25000</v>
      </c>
      <c r="H184" s="44">
        <v>675000</v>
      </c>
      <c r="I184" s="42" t="s">
        <v>2484</v>
      </c>
      <c r="J184" s="42" t="s">
        <v>60</v>
      </c>
    </row>
    <row r="185" spans="1:10" x14ac:dyDescent="0.3">
      <c r="A185" s="42" t="s">
        <v>1360</v>
      </c>
      <c r="B185" s="43">
        <v>45687</v>
      </c>
      <c r="C185" s="42" t="s">
        <v>14</v>
      </c>
      <c r="D185" s="42" t="s">
        <v>15</v>
      </c>
      <c r="E185" s="42" t="s">
        <v>16</v>
      </c>
      <c r="F185" s="42">
        <v>43</v>
      </c>
      <c r="G185" s="44">
        <v>350000</v>
      </c>
      <c r="H185" s="44">
        <v>15050000</v>
      </c>
      <c r="I185" s="42" t="s">
        <v>2373</v>
      </c>
      <c r="J185" s="42" t="s">
        <v>69</v>
      </c>
    </row>
    <row r="186" spans="1:10" x14ac:dyDescent="0.3">
      <c r="A186" s="42" t="s">
        <v>1361</v>
      </c>
      <c r="B186" s="43">
        <v>45687</v>
      </c>
      <c r="C186" s="42" t="s">
        <v>22</v>
      </c>
      <c r="D186" s="42" t="s">
        <v>23</v>
      </c>
      <c r="E186" s="42" t="s">
        <v>12</v>
      </c>
      <c r="F186" s="42">
        <v>46</v>
      </c>
      <c r="G186" s="44">
        <v>25000</v>
      </c>
      <c r="H186" s="44">
        <v>1150000</v>
      </c>
      <c r="I186" s="42" t="s">
        <v>2507</v>
      </c>
      <c r="J186" s="42" t="s">
        <v>127</v>
      </c>
    </row>
    <row r="187" spans="1:10" x14ac:dyDescent="0.3">
      <c r="A187" s="42" t="s">
        <v>1362</v>
      </c>
      <c r="B187" s="43">
        <v>45687</v>
      </c>
      <c r="C187" s="42" t="s">
        <v>22</v>
      </c>
      <c r="D187" s="42" t="s">
        <v>23</v>
      </c>
      <c r="E187" s="42" t="s">
        <v>12</v>
      </c>
      <c r="F187" s="42">
        <v>46</v>
      </c>
      <c r="G187" s="44">
        <v>25000</v>
      </c>
      <c r="H187" s="44">
        <v>1150000</v>
      </c>
      <c r="I187" s="42" t="s">
        <v>533</v>
      </c>
      <c r="J187" s="42" t="s">
        <v>47</v>
      </c>
    </row>
    <row r="188" spans="1:10" x14ac:dyDescent="0.3">
      <c r="A188" s="42" t="s">
        <v>1399</v>
      </c>
      <c r="B188" s="43">
        <v>45687</v>
      </c>
      <c r="C188" s="42" t="s">
        <v>40</v>
      </c>
      <c r="D188" s="42" t="s">
        <v>41</v>
      </c>
      <c r="E188" s="42" t="s">
        <v>16</v>
      </c>
      <c r="F188" s="42">
        <v>37</v>
      </c>
      <c r="G188" s="44">
        <v>950000</v>
      </c>
      <c r="H188" s="44">
        <v>35150000</v>
      </c>
      <c r="I188" s="42" t="s">
        <v>2177</v>
      </c>
      <c r="J188" s="42" t="s">
        <v>47</v>
      </c>
    </row>
    <row r="189" spans="1:10" x14ac:dyDescent="0.3">
      <c r="A189" s="42" t="s">
        <v>1400</v>
      </c>
      <c r="B189" s="43">
        <v>45687</v>
      </c>
      <c r="C189" s="42" t="s">
        <v>28</v>
      </c>
      <c r="D189" s="42" t="s">
        <v>29</v>
      </c>
      <c r="E189" s="42" t="s">
        <v>20</v>
      </c>
      <c r="F189" s="42">
        <v>41</v>
      </c>
      <c r="G189" s="44">
        <v>450000</v>
      </c>
      <c r="H189" s="44">
        <v>18450000</v>
      </c>
      <c r="I189" s="42" t="s">
        <v>2350</v>
      </c>
      <c r="J189" s="42" t="s">
        <v>47</v>
      </c>
    </row>
    <row r="190" spans="1:10" x14ac:dyDescent="0.3">
      <c r="A190" s="42" t="s">
        <v>1401</v>
      </c>
      <c r="B190" s="43">
        <v>45687</v>
      </c>
      <c r="C190" s="42" t="s">
        <v>28</v>
      </c>
      <c r="D190" s="42" t="s">
        <v>29</v>
      </c>
      <c r="E190" s="42" t="s">
        <v>20</v>
      </c>
      <c r="F190" s="42">
        <v>25</v>
      </c>
      <c r="G190" s="44">
        <v>450000</v>
      </c>
      <c r="H190" s="44">
        <v>11250000</v>
      </c>
      <c r="I190" s="42" t="s">
        <v>2746</v>
      </c>
      <c r="J190" s="42" t="s">
        <v>127</v>
      </c>
    </row>
    <row r="191" spans="1:10" x14ac:dyDescent="0.3">
      <c r="A191" s="42" t="s">
        <v>1402</v>
      </c>
      <c r="B191" s="43">
        <v>45687</v>
      </c>
      <c r="C191" s="42" t="s">
        <v>18</v>
      </c>
      <c r="D191" s="42" t="s">
        <v>19</v>
      </c>
      <c r="E191" s="42" t="s">
        <v>20</v>
      </c>
      <c r="F191" s="42">
        <v>470</v>
      </c>
      <c r="G191" s="44">
        <v>500000</v>
      </c>
      <c r="H191" s="44">
        <v>235000000</v>
      </c>
      <c r="I191" s="42" t="s">
        <v>2236</v>
      </c>
      <c r="J191" s="42" t="s">
        <v>8</v>
      </c>
    </row>
    <row r="192" spans="1:10" x14ac:dyDescent="0.3">
      <c r="A192" s="42" t="s">
        <v>1403</v>
      </c>
      <c r="B192" s="43">
        <v>45687</v>
      </c>
      <c r="C192" s="42" t="s">
        <v>28</v>
      </c>
      <c r="D192" s="42" t="s">
        <v>29</v>
      </c>
      <c r="E192" s="42" t="s">
        <v>20</v>
      </c>
      <c r="F192" s="42">
        <v>31</v>
      </c>
      <c r="G192" s="44">
        <v>450000</v>
      </c>
      <c r="H192" s="44">
        <v>13950000</v>
      </c>
      <c r="I192" s="42" t="s">
        <v>2645</v>
      </c>
      <c r="J192" s="42" t="s">
        <v>127</v>
      </c>
    </row>
    <row r="193" spans="1:10" x14ac:dyDescent="0.3">
      <c r="A193" s="42" t="s">
        <v>1404</v>
      </c>
      <c r="B193" s="43">
        <v>45687</v>
      </c>
      <c r="C193" s="42" t="s">
        <v>40</v>
      </c>
      <c r="D193" s="42" t="s">
        <v>41</v>
      </c>
      <c r="E193" s="42" t="s">
        <v>16</v>
      </c>
      <c r="F193" s="42">
        <v>5</v>
      </c>
      <c r="G193" s="44">
        <v>950000</v>
      </c>
      <c r="H193" s="44">
        <v>4750000</v>
      </c>
      <c r="I193" s="42" t="s">
        <v>2200</v>
      </c>
      <c r="J193" s="42" t="s">
        <v>8</v>
      </c>
    </row>
    <row r="194" spans="1:10" x14ac:dyDescent="0.3">
      <c r="A194" s="42" t="s">
        <v>1432</v>
      </c>
      <c r="B194" s="43">
        <v>45687</v>
      </c>
      <c r="C194" s="42" t="s">
        <v>38</v>
      </c>
      <c r="D194" s="42" t="s">
        <v>39</v>
      </c>
      <c r="E194" s="42" t="s">
        <v>16</v>
      </c>
      <c r="F194" s="42">
        <v>13</v>
      </c>
      <c r="G194" s="44">
        <v>200000</v>
      </c>
      <c r="H194" s="44">
        <v>2600000</v>
      </c>
      <c r="I194" s="42" t="s">
        <v>2145</v>
      </c>
      <c r="J194" s="42" t="s">
        <v>69</v>
      </c>
    </row>
    <row r="195" spans="1:10" x14ac:dyDescent="0.3">
      <c r="A195" s="42" t="s">
        <v>1433</v>
      </c>
      <c r="B195" s="43">
        <v>45687</v>
      </c>
      <c r="C195" s="42" t="s">
        <v>14</v>
      </c>
      <c r="D195" s="42" t="s">
        <v>15</v>
      </c>
      <c r="E195" s="42" t="s">
        <v>16</v>
      </c>
      <c r="F195" s="42">
        <v>42</v>
      </c>
      <c r="G195" s="44">
        <v>350000</v>
      </c>
      <c r="H195" s="44">
        <v>14700000</v>
      </c>
      <c r="I195" s="42" t="s">
        <v>2761</v>
      </c>
      <c r="J195" s="42" t="s">
        <v>69</v>
      </c>
    </row>
    <row r="196" spans="1:10" x14ac:dyDescent="0.3">
      <c r="A196" s="42" t="s">
        <v>1434</v>
      </c>
      <c r="B196" s="43">
        <v>45693</v>
      </c>
      <c r="C196" s="42" t="s">
        <v>42</v>
      </c>
      <c r="D196" s="42" t="s">
        <v>43</v>
      </c>
      <c r="E196" s="42" t="s">
        <v>16</v>
      </c>
      <c r="F196" s="42">
        <v>12</v>
      </c>
      <c r="G196" s="44">
        <v>1200000</v>
      </c>
      <c r="H196" s="44">
        <v>14400000</v>
      </c>
      <c r="I196" s="42" t="s">
        <v>2557</v>
      </c>
      <c r="J196" s="42" t="s">
        <v>127</v>
      </c>
    </row>
    <row r="197" spans="1:10" x14ac:dyDescent="0.3">
      <c r="A197" s="42" t="s">
        <v>1435</v>
      </c>
      <c r="B197" s="43">
        <v>45693</v>
      </c>
      <c r="C197" s="42" t="s">
        <v>18</v>
      </c>
      <c r="D197" s="42" t="s">
        <v>19</v>
      </c>
      <c r="E197" s="42" t="s">
        <v>20</v>
      </c>
      <c r="F197" s="42">
        <v>7</v>
      </c>
      <c r="G197" s="44">
        <v>500000</v>
      </c>
      <c r="H197" s="44">
        <v>3500000</v>
      </c>
      <c r="I197" s="42" t="s">
        <v>2199</v>
      </c>
      <c r="J197" s="42" t="s">
        <v>60</v>
      </c>
    </row>
    <row r="198" spans="1:10" x14ac:dyDescent="0.3">
      <c r="A198" s="42" t="s">
        <v>1436</v>
      </c>
      <c r="B198" s="43">
        <v>45693</v>
      </c>
      <c r="C198" s="42" t="s">
        <v>31</v>
      </c>
      <c r="D198" s="42" t="s">
        <v>32</v>
      </c>
      <c r="E198" s="42" t="s">
        <v>20</v>
      </c>
      <c r="F198" s="42">
        <v>47</v>
      </c>
      <c r="G198" s="44">
        <v>180000</v>
      </c>
      <c r="H198" s="44">
        <v>8460000</v>
      </c>
      <c r="I198" s="42" t="s">
        <v>2608</v>
      </c>
      <c r="J198" s="42" t="s">
        <v>60</v>
      </c>
    </row>
    <row r="199" spans="1:10" x14ac:dyDescent="0.3">
      <c r="A199" s="42" t="s">
        <v>1437</v>
      </c>
      <c r="B199" s="43">
        <v>45693</v>
      </c>
      <c r="C199" s="42" t="s">
        <v>42</v>
      </c>
      <c r="D199" s="42" t="s">
        <v>43</v>
      </c>
      <c r="E199" s="42" t="s">
        <v>16</v>
      </c>
      <c r="F199" s="42">
        <v>22</v>
      </c>
      <c r="G199" s="44">
        <v>1200000</v>
      </c>
      <c r="H199" s="44">
        <v>26400000</v>
      </c>
      <c r="I199" s="42" t="s">
        <v>2704</v>
      </c>
      <c r="J199" s="42" t="s">
        <v>8</v>
      </c>
    </row>
    <row r="200" spans="1:10" x14ac:dyDescent="0.3">
      <c r="A200" s="42" t="s">
        <v>1438</v>
      </c>
      <c r="B200" s="43">
        <v>45693</v>
      </c>
      <c r="C200" s="42" t="s">
        <v>44</v>
      </c>
      <c r="D200" s="42" t="s">
        <v>45</v>
      </c>
      <c r="E200" s="42" t="s">
        <v>16</v>
      </c>
      <c r="F200" s="42">
        <v>45</v>
      </c>
      <c r="G200" s="44">
        <v>250000</v>
      </c>
      <c r="H200" s="44">
        <v>11250000</v>
      </c>
      <c r="I200" s="42" t="s">
        <v>2361</v>
      </c>
      <c r="J200" s="42" t="s">
        <v>8</v>
      </c>
    </row>
    <row r="201" spans="1:10" x14ac:dyDescent="0.3">
      <c r="A201" s="42" t="s">
        <v>1439</v>
      </c>
      <c r="B201" s="43">
        <v>45693</v>
      </c>
      <c r="C201" s="42" t="s">
        <v>10</v>
      </c>
      <c r="D201" s="42" t="s">
        <v>11</v>
      </c>
      <c r="E201" s="42" t="s">
        <v>12</v>
      </c>
      <c r="F201" s="42">
        <v>45</v>
      </c>
      <c r="G201" s="44">
        <v>120000</v>
      </c>
      <c r="H201" s="44">
        <v>5400000</v>
      </c>
      <c r="I201" s="42" t="s">
        <v>2699</v>
      </c>
      <c r="J201" s="42" t="s">
        <v>69</v>
      </c>
    </row>
    <row r="202" spans="1:10" x14ac:dyDescent="0.3">
      <c r="A202" s="42" t="s">
        <v>1471</v>
      </c>
      <c r="B202" s="43">
        <v>45693</v>
      </c>
      <c r="C202" s="42" t="s">
        <v>40</v>
      </c>
      <c r="D202" s="42" t="s">
        <v>41</v>
      </c>
      <c r="E202" s="42" t="s">
        <v>16</v>
      </c>
      <c r="F202" s="42">
        <v>26</v>
      </c>
      <c r="G202" s="44">
        <v>950000</v>
      </c>
      <c r="H202" s="44">
        <v>24700000</v>
      </c>
      <c r="I202" s="42" t="s">
        <v>2556</v>
      </c>
      <c r="J202" s="42" t="s">
        <v>8</v>
      </c>
    </row>
    <row r="203" spans="1:10" x14ac:dyDescent="0.3">
      <c r="A203" s="42" t="s">
        <v>1472</v>
      </c>
      <c r="B203" s="43">
        <v>45693</v>
      </c>
      <c r="C203" s="42" t="s">
        <v>28</v>
      </c>
      <c r="D203" s="42" t="s">
        <v>29</v>
      </c>
      <c r="E203" s="42" t="s">
        <v>20</v>
      </c>
      <c r="F203" s="42">
        <v>5</v>
      </c>
      <c r="G203" s="44">
        <v>450000</v>
      </c>
      <c r="H203" s="44">
        <v>2250000</v>
      </c>
      <c r="I203" s="42" t="s">
        <v>2673</v>
      </c>
      <c r="J203" s="42" t="s">
        <v>8</v>
      </c>
    </row>
    <row r="204" spans="1:10" x14ac:dyDescent="0.3">
      <c r="A204" s="42" t="s">
        <v>1473</v>
      </c>
      <c r="B204" s="43">
        <v>45693</v>
      </c>
      <c r="C204" s="42" t="s">
        <v>31</v>
      </c>
      <c r="D204" s="42" t="s">
        <v>32</v>
      </c>
      <c r="E204" s="42" t="s">
        <v>20</v>
      </c>
      <c r="F204" s="42">
        <v>9</v>
      </c>
      <c r="G204" s="44">
        <v>180000</v>
      </c>
      <c r="H204" s="44">
        <v>1620000</v>
      </c>
      <c r="I204" s="42" t="s">
        <v>2809</v>
      </c>
      <c r="J204" s="42" t="s">
        <v>47</v>
      </c>
    </row>
    <row r="205" spans="1:10" x14ac:dyDescent="0.3">
      <c r="A205" s="42" t="s">
        <v>1474</v>
      </c>
      <c r="B205" s="43">
        <v>45693</v>
      </c>
      <c r="C205" s="42" t="s">
        <v>10</v>
      </c>
      <c r="D205" s="42" t="s">
        <v>11</v>
      </c>
      <c r="E205" s="42" t="s">
        <v>12</v>
      </c>
      <c r="F205" s="42">
        <v>11</v>
      </c>
      <c r="G205" s="44">
        <v>120000</v>
      </c>
      <c r="H205" s="44">
        <v>1320000</v>
      </c>
      <c r="I205" s="42" t="s">
        <v>2716</v>
      </c>
      <c r="J205" s="42" t="s">
        <v>127</v>
      </c>
    </row>
    <row r="206" spans="1:10" x14ac:dyDescent="0.3">
      <c r="A206" s="42" t="s">
        <v>1475</v>
      </c>
      <c r="B206" s="43">
        <v>45693</v>
      </c>
      <c r="C206" s="42" t="s">
        <v>10</v>
      </c>
      <c r="D206" s="42" t="s">
        <v>11</v>
      </c>
      <c r="E206" s="42" t="s">
        <v>12</v>
      </c>
      <c r="F206" s="42">
        <v>19</v>
      </c>
      <c r="G206" s="44">
        <v>120000</v>
      </c>
      <c r="H206" s="44">
        <v>2280000</v>
      </c>
      <c r="I206" s="42" t="s">
        <v>2119</v>
      </c>
      <c r="J206" s="42" t="s">
        <v>127</v>
      </c>
    </row>
    <row r="207" spans="1:10" x14ac:dyDescent="0.3">
      <c r="A207" s="42" t="s">
        <v>1476</v>
      </c>
      <c r="B207" s="43">
        <v>45693</v>
      </c>
      <c r="C207" s="42" t="s">
        <v>42</v>
      </c>
      <c r="D207" s="42" t="s">
        <v>43</v>
      </c>
      <c r="E207" s="42" t="s">
        <v>16</v>
      </c>
      <c r="F207" s="42">
        <v>21</v>
      </c>
      <c r="G207" s="44">
        <v>1200000</v>
      </c>
      <c r="H207" s="44">
        <v>25200000</v>
      </c>
      <c r="I207" s="42" t="s">
        <v>2632</v>
      </c>
      <c r="J207" s="42" t="s">
        <v>60</v>
      </c>
    </row>
    <row r="208" spans="1:10" x14ac:dyDescent="0.3">
      <c r="A208" s="42" t="s">
        <v>1477</v>
      </c>
      <c r="B208" s="43">
        <v>45693</v>
      </c>
      <c r="C208" s="42" t="s">
        <v>40</v>
      </c>
      <c r="D208" s="42" t="s">
        <v>41</v>
      </c>
      <c r="E208" s="42" t="s">
        <v>16</v>
      </c>
      <c r="F208" s="42">
        <v>25</v>
      </c>
      <c r="G208" s="44">
        <v>950000</v>
      </c>
      <c r="H208" s="44">
        <v>23750000</v>
      </c>
      <c r="I208" s="42" t="s">
        <v>2129</v>
      </c>
      <c r="J208" s="42" t="s">
        <v>8</v>
      </c>
    </row>
    <row r="209" spans="1:10" x14ac:dyDescent="0.3">
      <c r="A209" s="42" t="s">
        <v>1478</v>
      </c>
      <c r="B209" s="43">
        <v>45693</v>
      </c>
      <c r="C209" s="42" t="s">
        <v>40</v>
      </c>
      <c r="D209" s="42" t="s">
        <v>41</v>
      </c>
      <c r="E209" s="42" t="s">
        <v>16</v>
      </c>
      <c r="F209" s="42">
        <v>25</v>
      </c>
      <c r="G209" s="44">
        <v>950000</v>
      </c>
      <c r="H209" s="44">
        <v>23750000</v>
      </c>
      <c r="I209" s="42" t="s">
        <v>2765</v>
      </c>
      <c r="J209" s="42" t="s">
        <v>127</v>
      </c>
    </row>
    <row r="210" spans="1:10" x14ac:dyDescent="0.3">
      <c r="A210" s="42" t="s">
        <v>1479</v>
      </c>
      <c r="B210" s="43">
        <v>45693</v>
      </c>
      <c r="C210" s="42" t="s">
        <v>42</v>
      </c>
      <c r="D210" s="42" t="s">
        <v>43</v>
      </c>
      <c r="E210" s="42" t="s">
        <v>16</v>
      </c>
      <c r="F210" s="42">
        <v>16</v>
      </c>
      <c r="G210" s="44">
        <v>1200000</v>
      </c>
      <c r="H210" s="44">
        <v>19200000</v>
      </c>
      <c r="I210" s="42" t="s">
        <v>164</v>
      </c>
      <c r="J210" s="42" t="s">
        <v>8</v>
      </c>
    </row>
    <row r="211" spans="1:10" x14ac:dyDescent="0.3">
      <c r="A211" s="42" t="s">
        <v>1480</v>
      </c>
      <c r="B211" s="43">
        <v>45694</v>
      </c>
      <c r="C211" s="42" t="s">
        <v>10</v>
      </c>
      <c r="D211" s="42" t="s">
        <v>11</v>
      </c>
      <c r="E211" s="42" t="s">
        <v>12</v>
      </c>
      <c r="F211" s="42">
        <v>42</v>
      </c>
      <c r="G211" s="44">
        <v>120000</v>
      </c>
      <c r="H211" s="44">
        <v>5040000</v>
      </c>
      <c r="I211" s="42" t="s">
        <v>2724</v>
      </c>
      <c r="J211" s="42" t="s">
        <v>47</v>
      </c>
    </row>
    <row r="212" spans="1:10" x14ac:dyDescent="0.3">
      <c r="A212" s="42" t="s">
        <v>1514</v>
      </c>
      <c r="B212" s="43">
        <v>45694</v>
      </c>
      <c r="C212" s="42" t="s">
        <v>42</v>
      </c>
      <c r="D212" s="42" t="s">
        <v>43</v>
      </c>
      <c r="E212" s="42" t="s">
        <v>16</v>
      </c>
      <c r="F212" s="42">
        <v>32</v>
      </c>
      <c r="G212" s="44">
        <v>1200000</v>
      </c>
      <c r="H212" s="44">
        <v>38400000</v>
      </c>
      <c r="I212" s="42" t="s">
        <v>2213</v>
      </c>
      <c r="J212" s="42" t="s">
        <v>8</v>
      </c>
    </row>
    <row r="213" spans="1:10" x14ac:dyDescent="0.3">
      <c r="A213" s="42" t="s">
        <v>1515</v>
      </c>
      <c r="B213" s="43">
        <v>45694</v>
      </c>
      <c r="C213" s="42" t="s">
        <v>18</v>
      </c>
      <c r="D213" s="42" t="s">
        <v>19</v>
      </c>
      <c r="E213" s="42" t="s">
        <v>20</v>
      </c>
      <c r="F213" s="42">
        <v>80</v>
      </c>
      <c r="G213" s="44">
        <v>500000</v>
      </c>
      <c r="H213" s="44">
        <v>40000000</v>
      </c>
      <c r="I213" s="42" t="s">
        <v>2824</v>
      </c>
      <c r="J213" s="42" t="s">
        <v>127</v>
      </c>
    </row>
    <row r="214" spans="1:10" x14ac:dyDescent="0.3">
      <c r="A214" s="42" t="s">
        <v>1516</v>
      </c>
      <c r="B214" s="43">
        <v>45694</v>
      </c>
      <c r="C214" s="42" t="s">
        <v>40</v>
      </c>
      <c r="D214" s="42" t="s">
        <v>41</v>
      </c>
      <c r="E214" s="42" t="s">
        <v>16</v>
      </c>
      <c r="F214" s="42">
        <v>380</v>
      </c>
      <c r="G214" s="44">
        <v>950000</v>
      </c>
      <c r="H214" s="44">
        <v>361000000</v>
      </c>
      <c r="I214" s="42" t="s">
        <v>2688</v>
      </c>
      <c r="J214" s="42" t="s">
        <v>60</v>
      </c>
    </row>
    <row r="215" spans="1:10" x14ac:dyDescent="0.3">
      <c r="A215" s="42" t="s">
        <v>1517</v>
      </c>
      <c r="B215" s="43">
        <v>45694</v>
      </c>
      <c r="C215" s="42" t="s">
        <v>31</v>
      </c>
      <c r="D215" s="42" t="s">
        <v>32</v>
      </c>
      <c r="E215" s="42" t="s">
        <v>20</v>
      </c>
      <c r="F215" s="42">
        <v>25</v>
      </c>
      <c r="G215" s="44">
        <v>180000</v>
      </c>
      <c r="H215" s="44">
        <v>4500000</v>
      </c>
      <c r="I215" s="42" t="s">
        <v>1431</v>
      </c>
      <c r="J215" s="42" t="s">
        <v>69</v>
      </c>
    </row>
    <row r="216" spans="1:10" x14ac:dyDescent="0.3">
      <c r="A216" s="42" t="s">
        <v>1518</v>
      </c>
      <c r="B216" s="43">
        <v>45694</v>
      </c>
      <c r="C216" s="42" t="s">
        <v>14</v>
      </c>
      <c r="D216" s="42" t="s">
        <v>15</v>
      </c>
      <c r="E216" s="42" t="s">
        <v>16</v>
      </c>
      <c r="F216" s="42">
        <v>19</v>
      </c>
      <c r="G216" s="44">
        <v>350000</v>
      </c>
      <c r="H216" s="44">
        <v>6650000</v>
      </c>
      <c r="I216" s="42" t="s">
        <v>2767</v>
      </c>
      <c r="J216" s="42" t="s">
        <v>127</v>
      </c>
    </row>
    <row r="217" spans="1:10" x14ac:dyDescent="0.3">
      <c r="A217" s="42" t="s">
        <v>1519</v>
      </c>
      <c r="B217" s="43">
        <v>45694</v>
      </c>
      <c r="C217" s="42" t="s">
        <v>31</v>
      </c>
      <c r="D217" s="42" t="s">
        <v>32</v>
      </c>
      <c r="E217" s="42" t="s">
        <v>20</v>
      </c>
      <c r="F217" s="42">
        <v>31</v>
      </c>
      <c r="G217" s="44">
        <v>180000</v>
      </c>
      <c r="H217" s="44">
        <v>5580000</v>
      </c>
      <c r="I217" s="42" t="s">
        <v>2495</v>
      </c>
      <c r="J217" s="42" t="s">
        <v>60</v>
      </c>
    </row>
    <row r="218" spans="1:10" x14ac:dyDescent="0.3">
      <c r="A218" s="42" t="s">
        <v>1520</v>
      </c>
      <c r="B218" s="43">
        <v>45694</v>
      </c>
      <c r="C218" s="42" t="s">
        <v>18</v>
      </c>
      <c r="D218" s="42" t="s">
        <v>19</v>
      </c>
      <c r="E218" s="42" t="s">
        <v>20</v>
      </c>
      <c r="F218" s="42">
        <v>35</v>
      </c>
      <c r="G218" s="44">
        <v>500000</v>
      </c>
      <c r="H218" s="44">
        <v>17500000</v>
      </c>
      <c r="I218" s="42" t="s">
        <v>2258</v>
      </c>
      <c r="J218" s="42" t="s">
        <v>127</v>
      </c>
    </row>
    <row r="219" spans="1:10" x14ac:dyDescent="0.3">
      <c r="A219" s="42" t="s">
        <v>1521</v>
      </c>
      <c r="B219" s="43">
        <v>45694</v>
      </c>
      <c r="C219" s="42" t="s">
        <v>28</v>
      </c>
      <c r="D219" s="42" t="s">
        <v>29</v>
      </c>
      <c r="E219" s="42" t="s">
        <v>20</v>
      </c>
      <c r="F219" s="42">
        <v>23</v>
      </c>
      <c r="G219" s="44">
        <v>450000</v>
      </c>
      <c r="H219" s="44">
        <v>10350000</v>
      </c>
      <c r="I219" s="42" t="s">
        <v>2673</v>
      </c>
      <c r="J219" s="42" t="s">
        <v>8</v>
      </c>
    </row>
    <row r="220" spans="1:10" x14ac:dyDescent="0.3">
      <c r="A220" s="42" t="s">
        <v>1522</v>
      </c>
      <c r="B220" s="43">
        <v>45694</v>
      </c>
      <c r="C220" s="42" t="s">
        <v>18</v>
      </c>
      <c r="D220" s="42" t="s">
        <v>19</v>
      </c>
      <c r="E220" s="42" t="s">
        <v>20</v>
      </c>
      <c r="F220" s="42">
        <v>15</v>
      </c>
      <c r="G220" s="44">
        <v>500000</v>
      </c>
      <c r="H220" s="44">
        <v>7500000</v>
      </c>
      <c r="I220" s="42" t="s">
        <v>2323</v>
      </c>
      <c r="J220" s="42" t="s">
        <v>47</v>
      </c>
    </row>
    <row r="221" spans="1:10" x14ac:dyDescent="0.3">
      <c r="A221" s="42" t="s">
        <v>1523</v>
      </c>
      <c r="B221" s="43">
        <v>45694</v>
      </c>
      <c r="C221" s="42" t="s">
        <v>14</v>
      </c>
      <c r="D221" s="42" t="s">
        <v>15</v>
      </c>
      <c r="E221" s="42" t="s">
        <v>16</v>
      </c>
      <c r="F221" s="42">
        <v>8</v>
      </c>
      <c r="G221" s="44">
        <v>350000</v>
      </c>
      <c r="H221" s="44">
        <v>2800000</v>
      </c>
      <c r="I221" s="42" t="s">
        <v>2468</v>
      </c>
      <c r="J221" s="42" t="s">
        <v>60</v>
      </c>
    </row>
    <row r="222" spans="1:10" x14ac:dyDescent="0.3">
      <c r="A222" s="42" t="s">
        <v>1524</v>
      </c>
      <c r="B222" s="43">
        <v>45694</v>
      </c>
      <c r="C222" s="42" t="s">
        <v>40</v>
      </c>
      <c r="D222" s="42" t="s">
        <v>41</v>
      </c>
      <c r="E222" s="42" t="s">
        <v>16</v>
      </c>
      <c r="F222" s="42">
        <v>220</v>
      </c>
      <c r="G222" s="44">
        <v>950000</v>
      </c>
      <c r="H222" s="44">
        <v>209000000</v>
      </c>
      <c r="I222" s="42" t="s">
        <v>2429</v>
      </c>
      <c r="J222" s="42" t="s">
        <v>127</v>
      </c>
    </row>
    <row r="223" spans="1:10" x14ac:dyDescent="0.3">
      <c r="A223" s="42" t="s">
        <v>1525</v>
      </c>
      <c r="B223" s="43">
        <v>45694</v>
      </c>
      <c r="C223" s="42" t="s">
        <v>28</v>
      </c>
      <c r="D223" s="42" t="s">
        <v>29</v>
      </c>
      <c r="E223" s="42" t="s">
        <v>20</v>
      </c>
      <c r="F223" s="42">
        <v>40</v>
      </c>
      <c r="G223" s="44">
        <v>450000</v>
      </c>
      <c r="H223" s="44">
        <v>18000000</v>
      </c>
      <c r="I223" s="42" t="s">
        <v>2537</v>
      </c>
      <c r="J223" s="42" t="s">
        <v>127</v>
      </c>
    </row>
    <row r="224" spans="1:10" x14ac:dyDescent="0.3">
      <c r="A224" s="42" t="s">
        <v>1526</v>
      </c>
      <c r="B224" s="43">
        <v>45694</v>
      </c>
      <c r="C224" s="42" t="s">
        <v>38</v>
      </c>
      <c r="D224" s="42" t="s">
        <v>39</v>
      </c>
      <c r="E224" s="42" t="s">
        <v>16</v>
      </c>
      <c r="F224" s="42">
        <v>470</v>
      </c>
      <c r="G224" s="44">
        <v>200000</v>
      </c>
      <c r="H224" s="44">
        <v>94000000</v>
      </c>
      <c r="I224" s="42" t="s">
        <v>2197</v>
      </c>
      <c r="J224" s="42" t="s">
        <v>8</v>
      </c>
    </row>
    <row r="225" spans="1:10" x14ac:dyDescent="0.3">
      <c r="A225" s="42" t="s">
        <v>1527</v>
      </c>
      <c r="B225" s="43">
        <v>45694</v>
      </c>
      <c r="C225" s="42" t="s">
        <v>38</v>
      </c>
      <c r="D225" s="42" t="s">
        <v>39</v>
      </c>
      <c r="E225" s="42" t="s">
        <v>16</v>
      </c>
      <c r="F225" s="42">
        <v>40</v>
      </c>
      <c r="G225" s="44">
        <v>200000</v>
      </c>
      <c r="H225" s="44">
        <v>8000000</v>
      </c>
      <c r="I225" s="42" t="s">
        <v>2298</v>
      </c>
      <c r="J225" s="42" t="s">
        <v>60</v>
      </c>
    </row>
    <row r="226" spans="1:10" x14ac:dyDescent="0.3">
      <c r="A226" s="42" t="s">
        <v>1528</v>
      </c>
      <c r="B226" s="43">
        <v>45694</v>
      </c>
      <c r="C226" s="42" t="s">
        <v>18</v>
      </c>
      <c r="D226" s="42" t="s">
        <v>19</v>
      </c>
      <c r="E226" s="42" t="s">
        <v>20</v>
      </c>
      <c r="F226" s="42">
        <v>270</v>
      </c>
      <c r="G226" s="44">
        <v>500000</v>
      </c>
      <c r="H226" s="44">
        <v>135000000</v>
      </c>
      <c r="I226" s="42" t="s">
        <v>2184</v>
      </c>
      <c r="J226" s="42" t="s">
        <v>127</v>
      </c>
    </row>
    <row r="227" spans="1:10" x14ac:dyDescent="0.3">
      <c r="A227" s="42" t="s">
        <v>1555</v>
      </c>
      <c r="B227" s="43">
        <v>45694</v>
      </c>
      <c r="C227" s="42" t="s">
        <v>18</v>
      </c>
      <c r="D227" s="42" t="s">
        <v>19</v>
      </c>
      <c r="E227" s="42" t="s">
        <v>20</v>
      </c>
      <c r="F227" s="42">
        <v>38</v>
      </c>
      <c r="G227" s="44">
        <v>500000</v>
      </c>
      <c r="H227" s="44">
        <v>19000000</v>
      </c>
      <c r="I227" s="42" t="s">
        <v>2669</v>
      </c>
      <c r="J227" s="42" t="s">
        <v>8</v>
      </c>
    </row>
    <row r="228" spans="1:10" x14ac:dyDescent="0.3">
      <c r="A228" s="42" t="s">
        <v>1556</v>
      </c>
      <c r="B228" s="43">
        <v>45694</v>
      </c>
      <c r="C228" s="42" t="s">
        <v>31</v>
      </c>
      <c r="D228" s="42" t="s">
        <v>32</v>
      </c>
      <c r="E228" s="42" t="s">
        <v>20</v>
      </c>
      <c r="F228" s="42">
        <v>33</v>
      </c>
      <c r="G228" s="44">
        <v>180000</v>
      </c>
      <c r="H228" s="44">
        <v>5940000</v>
      </c>
      <c r="I228" s="42" t="s">
        <v>2128</v>
      </c>
      <c r="J228" s="42" t="s">
        <v>69</v>
      </c>
    </row>
    <row r="229" spans="1:10" x14ac:dyDescent="0.3">
      <c r="A229" s="42" t="s">
        <v>1557</v>
      </c>
      <c r="B229" s="43">
        <v>45698</v>
      </c>
      <c r="C229" s="42" t="s">
        <v>10</v>
      </c>
      <c r="D229" s="42" t="s">
        <v>11</v>
      </c>
      <c r="E229" s="42" t="s">
        <v>12</v>
      </c>
      <c r="F229" s="42">
        <v>20</v>
      </c>
      <c r="G229" s="44">
        <v>120000</v>
      </c>
      <c r="H229" s="44">
        <v>2400000</v>
      </c>
      <c r="I229" s="42" t="s">
        <v>2750</v>
      </c>
      <c r="J229" s="42" t="s">
        <v>127</v>
      </c>
    </row>
    <row r="230" spans="1:10" x14ac:dyDescent="0.3">
      <c r="A230" s="42" t="s">
        <v>1558</v>
      </c>
      <c r="B230" s="43">
        <v>45698</v>
      </c>
      <c r="C230" s="42" t="s">
        <v>28</v>
      </c>
      <c r="D230" s="42" t="s">
        <v>29</v>
      </c>
      <c r="E230" s="42" t="s">
        <v>20</v>
      </c>
      <c r="F230" s="42">
        <v>36</v>
      </c>
      <c r="G230" s="44">
        <v>450000</v>
      </c>
      <c r="H230" s="44">
        <v>16200000</v>
      </c>
      <c r="I230" s="42" t="s">
        <v>2840</v>
      </c>
      <c r="J230" s="42" t="s">
        <v>8</v>
      </c>
    </row>
    <row r="231" spans="1:10" x14ac:dyDescent="0.3">
      <c r="A231" s="42" t="s">
        <v>1559</v>
      </c>
      <c r="B231" s="43">
        <v>45698</v>
      </c>
      <c r="C231" s="42" t="s">
        <v>38</v>
      </c>
      <c r="D231" s="42" t="s">
        <v>39</v>
      </c>
      <c r="E231" s="42" t="s">
        <v>16</v>
      </c>
      <c r="F231" s="42">
        <v>25</v>
      </c>
      <c r="G231" s="44">
        <v>200000</v>
      </c>
      <c r="H231" s="44">
        <v>5000000</v>
      </c>
      <c r="I231" s="42" t="s">
        <v>2195</v>
      </c>
      <c r="J231" s="42" t="s">
        <v>60</v>
      </c>
    </row>
    <row r="232" spans="1:10" x14ac:dyDescent="0.3">
      <c r="A232" s="42" t="s">
        <v>1560</v>
      </c>
      <c r="B232" s="43">
        <v>45698</v>
      </c>
      <c r="C232" s="42" t="s">
        <v>40</v>
      </c>
      <c r="D232" s="42" t="s">
        <v>41</v>
      </c>
      <c r="E232" s="42" t="s">
        <v>16</v>
      </c>
      <c r="F232" s="42">
        <v>210</v>
      </c>
      <c r="G232" s="44">
        <v>950000</v>
      </c>
      <c r="H232" s="44">
        <v>199500000</v>
      </c>
      <c r="I232" s="42" t="s">
        <v>2533</v>
      </c>
      <c r="J232" s="42" t="s">
        <v>8</v>
      </c>
    </row>
    <row r="233" spans="1:10" x14ac:dyDescent="0.3">
      <c r="A233" s="42" t="s">
        <v>1561</v>
      </c>
      <c r="B233" s="43">
        <v>45698</v>
      </c>
      <c r="C233" s="42" t="s">
        <v>18</v>
      </c>
      <c r="D233" s="42" t="s">
        <v>19</v>
      </c>
      <c r="E233" s="42" t="s">
        <v>20</v>
      </c>
      <c r="F233" s="42">
        <v>44</v>
      </c>
      <c r="G233" s="44">
        <v>500000</v>
      </c>
      <c r="H233" s="44">
        <v>22000000</v>
      </c>
      <c r="I233" s="42" t="s">
        <v>2309</v>
      </c>
      <c r="J233" s="42" t="s">
        <v>8</v>
      </c>
    </row>
    <row r="234" spans="1:10" x14ac:dyDescent="0.3">
      <c r="A234" s="42" t="s">
        <v>1585</v>
      </c>
      <c r="B234" s="43">
        <v>45698</v>
      </c>
      <c r="C234" s="42" t="s">
        <v>31</v>
      </c>
      <c r="D234" s="42" t="s">
        <v>32</v>
      </c>
      <c r="E234" s="42" t="s">
        <v>20</v>
      </c>
      <c r="F234" s="42">
        <v>230</v>
      </c>
      <c r="G234" s="44">
        <v>180000</v>
      </c>
      <c r="H234" s="44">
        <v>41400000</v>
      </c>
      <c r="I234" s="42" t="s">
        <v>2160</v>
      </c>
      <c r="J234" s="42" t="s">
        <v>60</v>
      </c>
    </row>
    <row r="235" spans="1:10" x14ac:dyDescent="0.3">
      <c r="A235" s="42" t="s">
        <v>1586</v>
      </c>
      <c r="B235" s="43">
        <v>45698</v>
      </c>
      <c r="C235" s="42" t="s">
        <v>22</v>
      </c>
      <c r="D235" s="42" t="s">
        <v>23</v>
      </c>
      <c r="E235" s="42" t="s">
        <v>12</v>
      </c>
      <c r="F235" s="42">
        <v>26</v>
      </c>
      <c r="G235" s="44">
        <v>25000</v>
      </c>
      <c r="H235" s="44">
        <v>650000</v>
      </c>
      <c r="I235" s="42" t="s">
        <v>2583</v>
      </c>
      <c r="J235" s="42" t="s">
        <v>69</v>
      </c>
    </row>
    <row r="236" spans="1:10" x14ac:dyDescent="0.3">
      <c r="A236" s="42" t="s">
        <v>1587</v>
      </c>
      <c r="B236" s="43">
        <v>45698</v>
      </c>
      <c r="C236" s="42" t="s">
        <v>31</v>
      </c>
      <c r="D236" s="42" t="s">
        <v>32</v>
      </c>
      <c r="E236" s="42" t="s">
        <v>20</v>
      </c>
      <c r="F236" s="42">
        <v>26</v>
      </c>
      <c r="G236" s="44">
        <v>180000</v>
      </c>
      <c r="H236" s="44">
        <v>4680000</v>
      </c>
      <c r="I236" s="42" t="s">
        <v>2735</v>
      </c>
      <c r="J236" s="42" t="s">
        <v>60</v>
      </c>
    </row>
    <row r="237" spans="1:10" x14ac:dyDescent="0.3">
      <c r="A237" s="42" t="s">
        <v>1588</v>
      </c>
      <c r="B237" s="43">
        <v>45698</v>
      </c>
      <c r="C237" s="42" t="s">
        <v>22</v>
      </c>
      <c r="D237" s="42" t="s">
        <v>23</v>
      </c>
      <c r="E237" s="42" t="s">
        <v>12</v>
      </c>
      <c r="F237" s="42">
        <v>47</v>
      </c>
      <c r="G237" s="44">
        <v>25000</v>
      </c>
      <c r="H237" s="44">
        <v>1175000</v>
      </c>
      <c r="I237" s="42" t="s">
        <v>485</v>
      </c>
      <c r="J237" s="42" t="s">
        <v>127</v>
      </c>
    </row>
    <row r="238" spans="1:10" x14ac:dyDescent="0.3">
      <c r="A238" s="42" t="s">
        <v>1589</v>
      </c>
      <c r="B238" s="43">
        <v>45698</v>
      </c>
      <c r="C238" s="42" t="s">
        <v>38</v>
      </c>
      <c r="D238" s="42" t="s">
        <v>39</v>
      </c>
      <c r="E238" s="42" t="s">
        <v>16</v>
      </c>
      <c r="F238" s="42">
        <v>26</v>
      </c>
      <c r="G238" s="44">
        <v>200000</v>
      </c>
      <c r="H238" s="44">
        <v>5200000</v>
      </c>
      <c r="I238" s="42" t="s">
        <v>2608</v>
      </c>
      <c r="J238" s="42" t="s">
        <v>60</v>
      </c>
    </row>
    <row r="239" spans="1:10" x14ac:dyDescent="0.3">
      <c r="A239" s="42" t="s">
        <v>1608</v>
      </c>
      <c r="B239" s="43">
        <v>45698</v>
      </c>
      <c r="C239" s="42" t="s">
        <v>28</v>
      </c>
      <c r="D239" s="42" t="s">
        <v>29</v>
      </c>
      <c r="E239" s="42" t="s">
        <v>20</v>
      </c>
      <c r="F239" s="42">
        <v>33</v>
      </c>
      <c r="G239" s="44">
        <v>450000</v>
      </c>
      <c r="H239" s="44">
        <v>14850000</v>
      </c>
      <c r="I239" s="42" t="s">
        <v>2647</v>
      </c>
      <c r="J239" s="42" t="s">
        <v>8</v>
      </c>
    </row>
    <row r="240" spans="1:10" x14ac:dyDescent="0.3">
      <c r="A240" s="42" t="s">
        <v>1609</v>
      </c>
      <c r="B240" s="43">
        <v>45698</v>
      </c>
      <c r="C240" s="42" t="s">
        <v>14</v>
      </c>
      <c r="D240" s="42" t="s">
        <v>15</v>
      </c>
      <c r="E240" s="42" t="s">
        <v>16</v>
      </c>
      <c r="F240" s="42">
        <v>290</v>
      </c>
      <c r="G240" s="44">
        <v>350000</v>
      </c>
      <c r="H240" s="44">
        <v>101500000</v>
      </c>
      <c r="I240" s="42" t="s">
        <v>2830</v>
      </c>
      <c r="J240" s="42" t="s">
        <v>69</v>
      </c>
    </row>
    <row r="241" spans="1:10" x14ac:dyDescent="0.3">
      <c r="A241" s="42" t="s">
        <v>1641</v>
      </c>
      <c r="B241" s="43">
        <v>45698</v>
      </c>
      <c r="C241" s="42" t="s">
        <v>22</v>
      </c>
      <c r="D241" s="42" t="s">
        <v>23</v>
      </c>
      <c r="E241" s="42" t="s">
        <v>12</v>
      </c>
      <c r="F241" s="42">
        <v>340</v>
      </c>
      <c r="G241" s="44">
        <v>25000</v>
      </c>
      <c r="H241" s="44">
        <v>8500000</v>
      </c>
      <c r="I241" s="42" t="s">
        <v>2184</v>
      </c>
      <c r="J241" s="42" t="s">
        <v>127</v>
      </c>
    </row>
    <row r="242" spans="1:10" x14ac:dyDescent="0.3">
      <c r="A242" s="42" t="s">
        <v>1642</v>
      </c>
      <c r="B242" s="43">
        <v>45698</v>
      </c>
      <c r="C242" s="42" t="s">
        <v>14</v>
      </c>
      <c r="D242" s="42" t="s">
        <v>15</v>
      </c>
      <c r="E242" s="42" t="s">
        <v>16</v>
      </c>
      <c r="F242" s="42">
        <v>50</v>
      </c>
      <c r="G242" s="44">
        <v>350000</v>
      </c>
      <c r="H242" s="44">
        <v>17500000</v>
      </c>
      <c r="I242" s="42" t="s">
        <v>2747</v>
      </c>
      <c r="J242" s="42" t="s">
        <v>8</v>
      </c>
    </row>
    <row r="243" spans="1:10" x14ac:dyDescent="0.3">
      <c r="A243" s="42" t="s">
        <v>1643</v>
      </c>
      <c r="B243" s="43">
        <v>45699</v>
      </c>
      <c r="C243" s="42" t="s">
        <v>10</v>
      </c>
      <c r="D243" s="42" t="s">
        <v>11</v>
      </c>
      <c r="E243" s="42" t="s">
        <v>12</v>
      </c>
      <c r="F243" s="42">
        <v>21</v>
      </c>
      <c r="G243" s="44">
        <v>120000</v>
      </c>
      <c r="H243" s="44">
        <v>2520000</v>
      </c>
      <c r="I243" s="42" t="s">
        <v>2721</v>
      </c>
      <c r="J243" s="42" t="s">
        <v>8</v>
      </c>
    </row>
    <row r="244" spans="1:10" x14ac:dyDescent="0.3">
      <c r="A244" s="42" t="s">
        <v>1644</v>
      </c>
      <c r="B244" s="43">
        <v>45699</v>
      </c>
      <c r="C244" s="42" t="s">
        <v>40</v>
      </c>
      <c r="D244" s="42" t="s">
        <v>41</v>
      </c>
      <c r="E244" s="42" t="s">
        <v>16</v>
      </c>
      <c r="F244" s="42">
        <v>41</v>
      </c>
      <c r="G244" s="44">
        <v>950000</v>
      </c>
      <c r="H244" s="44">
        <v>38950000</v>
      </c>
      <c r="I244" s="42" t="s">
        <v>2793</v>
      </c>
      <c r="J244" s="42" t="s">
        <v>69</v>
      </c>
    </row>
    <row r="245" spans="1:10" x14ac:dyDescent="0.3">
      <c r="A245" s="42" t="s">
        <v>1645</v>
      </c>
      <c r="B245" s="43">
        <v>45699</v>
      </c>
      <c r="C245" s="42" t="s">
        <v>42</v>
      </c>
      <c r="D245" s="42" t="s">
        <v>43</v>
      </c>
      <c r="E245" s="42" t="s">
        <v>16</v>
      </c>
      <c r="F245" s="42">
        <v>6</v>
      </c>
      <c r="G245" s="44">
        <v>1200000</v>
      </c>
      <c r="H245" s="44">
        <v>7200000</v>
      </c>
      <c r="I245" s="42" t="s">
        <v>596</v>
      </c>
      <c r="J245" s="42" t="s">
        <v>60</v>
      </c>
    </row>
    <row r="246" spans="1:10" x14ac:dyDescent="0.3">
      <c r="A246" s="42" t="s">
        <v>1646</v>
      </c>
      <c r="B246" s="43">
        <v>45699</v>
      </c>
      <c r="C246" s="42" t="s">
        <v>40</v>
      </c>
      <c r="D246" s="42" t="s">
        <v>41</v>
      </c>
      <c r="E246" s="42" t="s">
        <v>16</v>
      </c>
      <c r="F246" s="42">
        <v>480</v>
      </c>
      <c r="G246" s="44">
        <v>950000</v>
      </c>
      <c r="H246" s="44">
        <v>456000000</v>
      </c>
      <c r="I246" s="42" t="s">
        <v>2684</v>
      </c>
      <c r="J246" s="42" t="s">
        <v>127</v>
      </c>
    </row>
    <row r="247" spans="1:10" x14ac:dyDescent="0.3">
      <c r="A247" s="42" t="s">
        <v>1684</v>
      </c>
      <c r="B247" s="43">
        <v>45699</v>
      </c>
      <c r="C247" s="42" t="s">
        <v>42</v>
      </c>
      <c r="D247" s="42" t="s">
        <v>43</v>
      </c>
      <c r="E247" s="42" t="s">
        <v>16</v>
      </c>
      <c r="F247" s="42">
        <v>9</v>
      </c>
      <c r="G247" s="44">
        <v>1200000</v>
      </c>
      <c r="H247" s="44">
        <v>10800000</v>
      </c>
      <c r="I247" s="42" t="s">
        <v>2832</v>
      </c>
      <c r="J247" s="42" t="s">
        <v>69</v>
      </c>
    </row>
    <row r="248" spans="1:10" x14ac:dyDescent="0.3">
      <c r="A248" s="42" t="s">
        <v>1685</v>
      </c>
      <c r="B248" s="43">
        <v>45699</v>
      </c>
      <c r="C248" s="42" t="s">
        <v>38</v>
      </c>
      <c r="D248" s="42" t="s">
        <v>39</v>
      </c>
      <c r="E248" s="42" t="s">
        <v>16</v>
      </c>
      <c r="F248" s="42">
        <v>26</v>
      </c>
      <c r="G248" s="44">
        <v>200000</v>
      </c>
      <c r="H248" s="44">
        <v>5200000</v>
      </c>
      <c r="I248" s="42" t="s">
        <v>2464</v>
      </c>
      <c r="J248" s="42" t="s">
        <v>8</v>
      </c>
    </row>
    <row r="249" spans="1:10" x14ac:dyDescent="0.3">
      <c r="A249" s="42" t="s">
        <v>1686</v>
      </c>
      <c r="B249" s="43">
        <v>45699</v>
      </c>
      <c r="C249" s="42" t="s">
        <v>28</v>
      </c>
      <c r="D249" s="42" t="s">
        <v>29</v>
      </c>
      <c r="E249" s="42" t="s">
        <v>20</v>
      </c>
      <c r="F249" s="42">
        <v>9</v>
      </c>
      <c r="G249" s="44">
        <v>450000</v>
      </c>
      <c r="H249" s="44">
        <v>4050000</v>
      </c>
      <c r="I249" s="42" t="s">
        <v>2690</v>
      </c>
      <c r="J249" s="42" t="s">
        <v>60</v>
      </c>
    </row>
    <row r="250" spans="1:10" x14ac:dyDescent="0.3">
      <c r="A250" s="42" t="s">
        <v>1717</v>
      </c>
      <c r="B250" s="43">
        <v>45699</v>
      </c>
      <c r="C250" s="42" t="s">
        <v>22</v>
      </c>
      <c r="D250" s="42" t="s">
        <v>23</v>
      </c>
      <c r="E250" s="42" t="s">
        <v>12</v>
      </c>
      <c r="F250" s="42">
        <v>15</v>
      </c>
      <c r="G250" s="44">
        <v>25000</v>
      </c>
      <c r="H250" s="44">
        <v>375000</v>
      </c>
      <c r="I250" s="42" t="s">
        <v>2720</v>
      </c>
      <c r="J250" s="42" t="s">
        <v>47</v>
      </c>
    </row>
    <row r="251" spans="1:10" x14ac:dyDescent="0.3">
      <c r="A251" s="42" t="s">
        <v>1718</v>
      </c>
      <c r="B251" s="43">
        <v>45699</v>
      </c>
      <c r="C251" s="42" t="s">
        <v>31</v>
      </c>
      <c r="D251" s="42" t="s">
        <v>32</v>
      </c>
      <c r="E251" s="42" t="s">
        <v>20</v>
      </c>
      <c r="F251" s="42">
        <v>32</v>
      </c>
      <c r="G251" s="44">
        <v>180000</v>
      </c>
      <c r="H251" s="44">
        <v>5760000</v>
      </c>
      <c r="I251" s="42" t="s">
        <v>2480</v>
      </c>
      <c r="J251" s="42" t="s">
        <v>127</v>
      </c>
    </row>
    <row r="252" spans="1:10" x14ac:dyDescent="0.3">
      <c r="A252" s="42" t="s">
        <v>1719</v>
      </c>
      <c r="B252" s="43">
        <v>45699</v>
      </c>
      <c r="C252" s="42" t="s">
        <v>28</v>
      </c>
      <c r="D252" s="42" t="s">
        <v>29</v>
      </c>
      <c r="E252" s="42" t="s">
        <v>20</v>
      </c>
      <c r="F252" s="42">
        <v>16</v>
      </c>
      <c r="G252" s="44">
        <v>450000</v>
      </c>
      <c r="H252" s="44">
        <v>7200000</v>
      </c>
      <c r="I252" s="42" t="s">
        <v>2358</v>
      </c>
      <c r="J252" s="42" t="s">
        <v>127</v>
      </c>
    </row>
    <row r="253" spans="1:10" x14ac:dyDescent="0.3">
      <c r="A253" s="42" t="s">
        <v>1720</v>
      </c>
      <c r="B253" s="43">
        <v>45699</v>
      </c>
      <c r="C253" s="42" t="s">
        <v>22</v>
      </c>
      <c r="D253" s="42" t="s">
        <v>23</v>
      </c>
      <c r="E253" s="42" t="s">
        <v>12</v>
      </c>
      <c r="F253" s="42">
        <v>11</v>
      </c>
      <c r="G253" s="44">
        <v>25000</v>
      </c>
      <c r="H253" s="44">
        <v>275000</v>
      </c>
      <c r="I253" s="42" t="s">
        <v>1242</v>
      </c>
      <c r="J253" s="42" t="s">
        <v>60</v>
      </c>
    </row>
    <row r="254" spans="1:10" x14ac:dyDescent="0.3">
      <c r="A254" s="42" t="s">
        <v>1721</v>
      </c>
      <c r="B254" s="43">
        <v>45699</v>
      </c>
      <c r="C254" s="42" t="s">
        <v>42</v>
      </c>
      <c r="D254" s="42" t="s">
        <v>43</v>
      </c>
      <c r="E254" s="42" t="s">
        <v>16</v>
      </c>
      <c r="F254" s="42">
        <v>120</v>
      </c>
      <c r="G254" s="44">
        <v>1200000</v>
      </c>
      <c r="H254" s="44">
        <v>144000000</v>
      </c>
      <c r="I254" s="42" t="s">
        <v>2618</v>
      </c>
      <c r="J254" s="42" t="s">
        <v>8</v>
      </c>
    </row>
    <row r="255" spans="1:10" x14ac:dyDescent="0.3">
      <c r="A255" s="42" t="s">
        <v>1722</v>
      </c>
      <c r="B255" s="43">
        <v>45699</v>
      </c>
      <c r="C255" s="42" t="s">
        <v>18</v>
      </c>
      <c r="D255" s="42" t="s">
        <v>19</v>
      </c>
      <c r="E255" s="42" t="s">
        <v>20</v>
      </c>
      <c r="F255" s="42">
        <v>27</v>
      </c>
      <c r="G255" s="44">
        <v>500000</v>
      </c>
      <c r="H255" s="44">
        <v>13500000</v>
      </c>
      <c r="I255" s="42" t="s">
        <v>2633</v>
      </c>
      <c r="J255" s="42" t="s">
        <v>60</v>
      </c>
    </row>
    <row r="256" spans="1:10" x14ac:dyDescent="0.3">
      <c r="A256" s="42" t="s">
        <v>1723</v>
      </c>
      <c r="B256" s="43">
        <v>45699</v>
      </c>
      <c r="C256" s="42" t="s">
        <v>31</v>
      </c>
      <c r="D256" s="42" t="s">
        <v>32</v>
      </c>
      <c r="E256" s="42" t="s">
        <v>20</v>
      </c>
      <c r="F256" s="42">
        <v>7</v>
      </c>
      <c r="G256" s="44">
        <v>180000</v>
      </c>
      <c r="H256" s="44">
        <v>1260000</v>
      </c>
      <c r="I256" s="42" t="s">
        <v>2585</v>
      </c>
      <c r="J256" s="42" t="s">
        <v>8</v>
      </c>
    </row>
    <row r="257" spans="1:10" x14ac:dyDescent="0.3">
      <c r="A257" s="42" t="s">
        <v>1757</v>
      </c>
      <c r="B257" s="43">
        <v>45699</v>
      </c>
      <c r="C257" s="42" t="s">
        <v>10</v>
      </c>
      <c r="D257" s="42" t="s">
        <v>11</v>
      </c>
      <c r="E257" s="42" t="s">
        <v>12</v>
      </c>
      <c r="F257" s="42">
        <v>15</v>
      </c>
      <c r="G257" s="44">
        <v>120000</v>
      </c>
      <c r="H257" s="44">
        <v>1800000</v>
      </c>
      <c r="I257" s="42" t="s">
        <v>2519</v>
      </c>
      <c r="J257" s="42" t="s">
        <v>127</v>
      </c>
    </row>
    <row r="258" spans="1:10" x14ac:dyDescent="0.3">
      <c r="A258" s="42" t="s">
        <v>1758</v>
      </c>
      <c r="B258" s="43">
        <v>45701</v>
      </c>
      <c r="C258" s="42" t="s">
        <v>28</v>
      </c>
      <c r="D258" s="42" t="s">
        <v>29</v>
      </c>
      <c r="E258" s="42" t="s">
        <v>20</v>
      </c>
      <c r="F258" s="42">
        <v>5</v>
      </c>
      <c r="G258" s="44">
        <v>450000</v>
      </c>
      <c r="H258" s="44">
        <v>2250000</v>
      </c>
      <c r="I258" s="42" t="s">
        <v>2835</v>
      </c>
      <c r="J258" s="42" t="s">
        <v>69</v>
      </c>
    </row>
    <row r="259" spans="1:10" x14ac:dyDescent="0.3">
      <c r="A259" s="42" t="s">
        <v>1759</v>
      </c>
      <c r="B259" s="43">
        <v>45701</v>
      </c>
      <c r="C259" s="42" t="s">
        <v>18</v>
      </c>
      <c r="D259" s="42" t="s">
        <v>19</v>
      </c>
      <c r="E259" s="42" t="s">
        <v>20</v>
      </c>
      <c r="F259" s="42">
        <v>360</v>
      </c>
      <c r="G259" s="44">
        <v>500000</v>
      </c>
      <c r="H259" s="44">
        <v>180000000</v>
      </c>
      <c r="I259" s="42" t="s">
        <v>2362</v>
      </c>
      <c r="J259" s="42" t="s">
        <v>8</v>
      </c>
    </row>
    <row r="260" spans="1:10" x14ac:dyDescent="0.3">
      <c r="A260" s="42" t="s">
        <v>1760</v>
      </c>
      <c r="B260" s="43">
        <v>45701</v>
      </c>
      <c r="C260" s="42" t="s">
        <v>42</v>
      </c>
      <c r="D260" s="42" t="s">
        <v>43</v>
      </c>
      <c r="E260" s="42" t="s">
        <v>16</v>
      </c>
      <c r="F260" s="42">
        <v>10</v>
      </c>
      <c r="G260" s="44">
        <v>1200000</v>
      </c>
      <c r="H260" s="44">
        <v>12000000</v>
      </c>
      <c r="I260" s="42" t="s">
        <v>2669</v>
      </c>
      <c r="J260" s="42" t="s">
        <v>8</v>
      </c>
    </row>
    <row r="261" spans="1:10" x14ac:dyDescent="0.3">
      <c r="A261" s="42" t="s">
        <v>1761</v>
      </c>
      <c r="B261" s="43">
        <v>45701</v>
      </c>
      <c r="C261" s="42" t="s">
        <v>38</v>
      </c>
      <c r="D261" s="42" t="s">
        <v>39</v>
      </c>
      <c r="E261" s="42" t="s">
        <v>16</v>
      </c>
      <c r="F261" s="42">
        <v>38</v>
      </c>
      <c r="G261" s="44">
        <v>200000</v>
      </c>
      <c r="H261" s="44">
        <v>7600000</v>
      </c>
      <c r="I261" s="42" t="s">
        <v>2156</v>
      </c>
      <c r="J261" s="42" t="s">
        <v>47</v>
      </c>
    </row>
    <row r="262" spans="1:10" x14ac:dyDescent="0.3">
      <c r="A262" s="42" t="s">
        <v>1790</v>
      </c>
      <c r="B262" s="43">
        <v>45701</v>
      </c>
      <c r="C262" s="42" t="s">
        <v>10</v>
      </c>
      <c r="D262" s="42" t="s">
        <v>11</v>
      </c>
      <c r="E262" s="42" t="s">
        <v>12</v>
      </c>
      <c r="F262" s="42">
        <v>36</v>
      </c>
      <c r="G262" s="44">
        <v>120000</v>
      </c>
      <c r="H262" s="44">
        <v>4320000</v>
      </c>
      <c r="I262" s="42" t="s">
        <v>2693</v>
      </c>
      <c r="J262" s="42" t="s">
        <v>127</v>
      </c>
    </row>
    <row r="263" spans="1:10" x14ac:dyDescent="0.3">
      <c r="A263" s="42" t="s">
        <v>1791</v>
      </c>
      <c r="B263" s="43">
        <v>45701</v>
      </c>
      <c r="C263" s="42" t="s">
        <v>31</v>
      </c>
      <c r="D263" s="42" t="s">
        <v>32</v>
      </c>
      <c r="E263" s="42" t="s">
        <v>20</v>
      </c>
      <c r="F263" s="42">
        <v>48</v>
      </c>
      <c r="G263" s="44">
        <v>180000</v>
      </c>
      <c r="H263" s="44">
        <v>8640000</v>
      </c>
      <c r="I263" s="42" t="s">
        <v>2569</v>
      </c>
      <c r="J263" s="42" t="s">
        <v>127</v>
      </c>
    </row>
    <row r="264" spans="1:10" x14ac:dyDescent="0.3">
      <c r="A264" s="42" t="s">
        <v>1792</v>
      </c>
      <c r="B264" s="43">
        <v>45701</v>
      </c>
      <c r="C264" s="42" t="s">
        <v>28</v>
      </c>
      <c r="D264" s="42" t="s">
        <v>29</v>
      </c>
      <c r="E264" s="42" t="s">
        <v>20</v>
      </c>
      <c r="F264" s="42">
        <v>42</v>
      </c>
      <c r="G264" s="44">
        <v>450000</v>
      </c>
      <c r="H264" s="44">
        <v>18900000</v>
      </c>
      <c r="I264" s="42" t="s">
        <v>2356</v>
      </c>
      <c r="J264" s="42" t="s">
        <v>8</v>
      </c>
    </row>
    <row r="265" spans="1:10" x14ac:dyDescent="0.3">
      <c r="A265" s="42" t="s">
        <v>1793</v>
      </c>
      <c r="B265" s="43">
        <v>45712</v>
      </c>
      <c r="C265" s="42" t="s">
        <v>38</v>
      </c>
      <c r="D265" s="42" t="s">
        <v>39</v>
      </c>
      <c r="E265" s="42" t="s">
        <v>16</v>
      </c>
      <c r="F265" s="42">
        <v>34</v>
      </c>
      <c r="G265" s="44">
        <v>200000</v>
      </c>
      <c r="H265" s="44">
        <v>6800000</v>
      </c>
      <c r="I265" s="42" t="s">
        <v>2330</v>
      </c>
      <c r="J265" s="42" t="s">
        <v>69</v>
      </c>
    </row>
    <row r="266" spans="1:10" x14ac:dyDescent="0.3">
      <c r="A266" s="42" t="s">
        <v>1794</v>
      </c>
      <c r="B266" s="43">
        <v>45712</v>
      </c>
      <c r="C266" s="42" t="s">
        <v>40</v>
      </c>
      <c r="D266" s="42" t="s">
        <v>41</v>
      </c>
      <c r="E266" s="42" t="s">
        <v>16</v>
      </c>
      <c r="F266" s="42">
        <v>42</v>
      </c>
      <c r="G266" s="44">
        <v>950000</v>
      </c>
      <c r="H266" s="44">
        <v>39900000</v>
      </c>
      <c r="I266" s="42" t="s">
        <v>2772</v>
      </c>
      <c r="J266" s="42" t="s">
        <v>47</v>
      </c>
    </row>
    <row r="267" spans="1:10" x14ac:dyDescent="0.3">
      <c r="A267" s="42" t="s">
        <v>1795</v>
      </c>
      <c r="B267" s="43">
        <v>45712</v>
      </c>
      <c r="C267" s="42" t="s">
        <v>42</v>
      </c>
      <c r="D267" s="42" t="s">
        <v>43</v>
      </c>
      <c r="E267" s="42" t="s">
        <v>16</v>
      </c>
      <c r="F267" s="42">
        <v>26</v>
      </c>
      <c r="G267" s="44">
        <v>1200000</v>
      </c>
      <c r="H267" s="44">
        <v>31200000</v>
      </c>
      <c r="I267" s="42" t="s">
        <v>2515</v>
      </c>
      <c r="J267" s="42" t="s">
        <v>60</v>
      </c>
    </row>
    <row r="268" spans="1:10" x14ac:dyDescent="0.3">
      <c r="A268" s="42" t="s">
        <v>1826</v>
      </c>
      <c r="B268" s="43">
        <v>45712</v>
      </c>
      <c r="C268" s="42" t="s">
        <v>42</v>
      </c>
      <c r="D268" s="42" t="s">
        <v>43</v>
      </c>
      <c r="E268" s="42" t="s">
        <v>16</v>
      </c>
      <c r="F268" s="42">
        <v>8</v>
      </c>
      <c r="G268" s="44">
        <v>1200000</v>
      </c>
      <c r="H268" s="44">
        <v>9600000</v>
      </c>
      <c r="I268" s="42" t="s">
        <v>2483</v>
      </c>
      <c r="J268" s="42" t="s">
        <v>8</v>
      </c>
    </row>
    <row r="269" spans="1:10" x14ac:dyDescent="0.3">
      <c r="A269" s="42" t="s">
        <v>1827</v>
      </c>
      <c r="B269" s="43">
        <v>45712</v>
      </c>
      <c r="C269" s="42" t="s">
        <v>18</v>
      </c>
      <c r="D269" s="42" t="s">
        <v>19</v>
      </c>
      <c r="E269" s="42" t="s">
        <v>20</v>
      </c>
      <c r="F269" s="42">
        <v>41</v>
      </c>
      <c r="G269" s="44">
        <v>500000</v>
      </c>
      <c r="H269" s="44">
        <v>20500000</v>
      </c>
      <c r="I269" s="42" t="s">
        <v>2275</v>
      </c>
      <c r="J269" s="42" t="s">
        <v>60</v>
      </c>
    </row>
    <row r="270" spans="1:10" x14ac:dyDescent="0.3">
      <c r="A270" s="42" t="s">
        <v>1828</v>
      </c>
      <c r="B270" s="43">
        <v>45712</v>
      </c>
      <c r="C270" s="42" t="s">
        <v>18</v>
      </c>
      <c r="D270" s="42" t="s">
        <v>19</v>
      </c>
      <c r="E270" s="42" t="s">
        <v>20</v>
      </c>
      <c r="F270" s="42">
        <v>39</v>
      </c>
      <c r="G270" s="44">
        <v>500000</v>
      </c>
      <c r="H270" s="44">
        <v>19500000</v>
      </c>
      <c r="I270" s="42" t="s">
        <v>2164</v>
      </c>
      <c r="J270" s="42" t="s">
        <v>127</v>
      </c>
    </row>
    <row r="271" spans="1:10" x14ac:dyDescent="0.3">
      <c r="A271" s="42" t="s">
        <v>1856</v>
      </c>
      <c r="B271" s="43">
        <v>45712</v>
      </c>
      <c r="C271" s="42" t="s">
        <v>40</v>
      </c>
      <c r="D271" s="42" t="s">
        <v>41</v>
      </c>
      <c r="E271" s="42" t="s">
        <v>16</v>
      </c>
      <c r="F271" s="42">
        <v>6</v>
      </c>
      <c r="G271" s="44">
        <v>950000</v>
      </c>
      <c r="H271" s="44">
        <v>5700000</v>
      </c>
      <c r="I271" s="42" t="s">
        <v>2469</v>
      </c>
      <c r="J271" s="42" t="s">
        <v>69</v>
      </c>
    </row>
    <row r="272" spans="1:10" x14ac:dyDescent="0.3">
      <c r="A272" s="42" t="s">
        <v>1857</v>
      </c>
      <c r="B272" s="43">
        <v>45712</v>
      </c>
      <c r="C272" s="42" t="s">
        <v>22</v>
      </c>
      <c r="D272" s="42" t="s">
        <v>23</v>
      </c>
      <c r="E272" s="42" t="s">
        <v>12</v>
      </c>
      <c r="F272" s="42">
        <v>23</v>
      </c>
      <c r="G272" s="44">
        <v>25000</v>
      </c>
      <c r="H272" s="44">
        <v>575000</v>
      </c>
      <c r="I272" s="42" t="s">
        <v>2482</v>
      </c>
      <c r="J272" s="42" t="s">
        <v>127</v>
      </c>
    </row>
    <row r="273" spans="1:10" x14ac:dyDescent="0.3">
      <c r="A273" s="42" t="s">
        <v>1858</v>
      </c>
      <c r="B273" s="43">
        <v>45712</v>
      </c>
      <c r="C273" s="42" t="s">
        <v>38</v>
      </c>
      <c r="D273" s="42" t="s">
        <v>39</v>
      </c>
      <c r="E273" s="42" t="s">
        <v>16</v>
      </c>
      <c r="F273" s="42">
        <v>13</v>
      </c>
      <c r="G273" s="44">
        <v>200000</v>
      </c>
      <c r="H273" s="44">
        <v>2600000</v>
      </c>
      <c r="I273" s="42" t="s">
        <v>2363</v>
      </c>
      <c r="J273" s="42" t="s">
        <v>8</v>
      </c>
    </row>
    <row r="274" spans="1:10" x14ac:dyDescent="0.3">
      <c r="A274" s="42" t="s">
        <v>1859</v>
      </c>
      <c r="B274" s="43">
        <v>45712</v>
      </c>
      <c r="C274" s="42" t="s">
        <v>18</v>
      </c>
      <c r="D274" s="42" t="s">
        <v>19</v>
      </c>
      <c r="E274" s="42" t="s">
        <v>20</v>
      </c>
      <c r="F274" s="42">
        <v>49</v>
      </c>
      <c r="G274" s="44">
        <v>500000</v>
      </c>
      <c r="H274" s="44">
        <v>24500000</v>
      </c>
      <c r="I274" s="42" t="s">
        <v>2296</v>
      </c>
      <c r="J274" s="42" t="s">
        <v>8</v>
      </c>
    </row>
    <row r="275" spans="1:10" x14ac:dyDescent="0.3">
      <c r="A275" s="42" t="s">
        <v>1886</v>
      </c>
      <c r="B275" s="43">
        <v>45714</v>
      </c>
      <c r="C275" s="42" t="s">
        <v>18</v>
      </c>
      <c r="D275" s="42" t="s">
        <v>19</v>
      </c>
      <c r="E275" s="42" t="s">
        <v>20</v>
      </c>
      <c r="F275" s="42">
        <v>34</v>
      </c>
      <c r="G275" s="44">
        <v>500000</v>
      </c>
      <c r="H275" s="44">
        <v>17000000</v>
      </c>
      <c r="I275" s="42" t="s">
        <v>2817</v>
      </c>
      <c r="J275" s="42" t="s">
        <v>127</v>
      </c>
    </row>
    <row r="276" spans="1:10" x14ac:dyDescent="0.3">
      <c r="A276" s="42" t="s">
        <v>1900</v>
      </c>
      <c r="B276" s="43">
        <v>45714</v>
      </c>
      <c r="C276" s="42" t="s">
        <v>31</v>
      </c>
      <c r="D276" s="42" t="s">
        <v>32</v>
      </c>
      <c r="E276" s="42" t="s">
        <v>20</v>
      </c>
      <c r="F276" s="42">
        <v>45</v>
      </c>
      <c r="G276" s="44">
        <v>180000</v>
      </c>
      <c r="H276" s="44">
        <v>8100000</v>
      </c>
      <c r="I276" s="42" t="s">
        <v>2168</v>
      </c>
      <c r="J276" s="42" t="s">
        <v>127</v>
      </c>
    </row>
    <row r="277" spans="1:10" x14ac:dyDescent="0.3">
      <c r="A277" s="42" t="s">
        <v>1914</v>
      </c>
      <c r="B277" s="43">
        <v>45714</v>
      </c>
      <c r="C277" s="42" t="s">
        <v>22</v>
      </c>
      <c r="D277" s="42" t="s">
        <v>23</v>
      </c>
      <c r="E277" s="42" t="s">
        <v>12</v>
      </c>
      <c r="F277" s="42">
        <v>26</v>
      </c>
      <c r="G277" s="44">
        <v>25000</v>
      </c>
      <c r="H277" s="44">
        <v>650000</v>
      </c>
      <c r="I277" s="42" t="s">
        <v>2709</v>
      </c>
      <c r="J277" s="42" t="s">
        <v>69</v>
      </c>
    </row>
    <row r="278" spans="1:10" x14ac:dyDescent="0.3">
      <c r="A278" s="42" t="s">
        <v>1915</v>
      </c>
      <c r="B278" s="43">
        <v>45714</v>
      </c>
      <c r="C278" s="42" t="s">
        <v>28</v>
      </c>
      <c r="D278" s="42" t="s">
        <v>29</v>
      </c>
      <c r="E278" s="42" t="s">
        <v>20</v>
      </c>
      <c r="F278" s="42">
        <v>41</v>
      </c>
      <c r="G278" s="44">
        <v>450000</v>
      </c>
      <c r="H278" s="44">
        <v>18450000</v>
      </c>
      <c r="I278" s="42" t="s">
        <v>2400</v>
      </c>
      <c r="J278" s="42" t="s">
        <v>127</v>
      </c>
    </row>
    <row r="279" spans="1:10" x14ac:dyDescent="0.3">
      <c r="A279" s="42" t="s">
        <v>1916</v>
      </c>
      <c r="B279" s="43">
        <v>45714</v>
      </c>
      <c r="C279" s="42" t="s">
        <v>42</v>
      </c>
      <c r="D279" s="42" t="s">
        <v>43</v>
      </c>
      <c r="E279" s="42" t="s">
        <v>16</v>
      </c>
      <c r="F279" s="42">
        <v>50</v>
      </c>
      <c r="G279" s="44">
        <v>1200000</v>
      </c>
      <c r="H279" s="44">
        <v>60000000</v>
      </c>
      <c r="I279" s="42" t="s">
        <v>2523</v>
      </c>
      <c r="J279" s="42" t="s">
        <v>127</v>
      </c>
    </row>
    <row r="280" spans="1:10" x14ac:dyDescent="0.3">
      <c r="A280" s="42" t="s">
        <v>1927</v>
      </c>
      <c r="B280" s="43">
        <v>45714</v>
      </c>
      <c r="C280" s="42" t="s">
        <v>31</v>
      </c>
      <c r="D280" s="42" t="s">
        <v>32</v>
      </c>
      <c r="E280" s="42" t="s">
        <v>20</v>
      </c>
      <c r="F280" s="42">
        <v>40</v>
      </c>
      <c r="G280" s="44">
        <v>180000</v>
      </c>
      <c r="H280" s="44">
        <v>7200000</v>
      </c>
      <c r="I280" s="42" t="s">
        <v>2374</v>
      </c>
      <c r="J280" s="42" t="s">
        <v>47</v>
      </c>
    </row>
    <row r="281" spans="1:10" x14ac:dyDescent="0.3">
      <c r="A281" s="42" t="s">
        <v>1928</v>
      </c>
      <c r="B281" s="43">
        <v>45714</v>
      </c>
      <c r="C281" s="42" t="s">
        <v>14</v>
      </c>
      <c r="D281" s="42" t="s">
        <v>15</v>
      </c>
      <c r="E281" s="42" t="s">
        <v>16</v>
      </c>
      <c r="F281" s="42">
        <v>47</v>
      </c>
      <c r="G281" s="44">
        <v>350000</v>
      </c>
      <c r="H281" s="44">
        <v>16450000</v>
      </c>
      <c r="I281" s="42" t="s">
        <v>2598</v>
      </c>
      <c r="J281" s="42" t="s">
        <v>127</v>
      </c>
    </row>
    <row r="282" spans="1:10" x14ac:dyDescent="0.3">
      <c r="A282" s="42" t="s">
        <v>1929</v>
      </c>
      <c r="B282" s="43">
        <v>45714</v>
      </c>
      <c r="C282" s="42" t="s">
        <v>42</v>
      </c>
      <c r="D282" s="42" t="s">
        <v>43</v>
      </c>
      <c r="E282" s="42" t="s">
        <v>16</v>
      </c>
      <c r="F282" s="42">
        <v>42</v>
      </c>
      <c r="G282" s="44">
        <v>1200000</v>
      </c>
      <c r="H282" s="44">
        <v>50400000</v>
      </c>
      <c r="I282" s="42" t="s">
        <v>2641</v>
      </c>
      <c r="J282" s="42" t="s">
        <v>47</v>
      </c>
    </row>
    <row r="283" spans="1:10" x14ac:dyDescent="0.3">
      <c r="A283" s="42" t="s">
        <v>1930</v>
      </c>
      <c r="B283" s="43">
        <v>45714</v>
      </c>
      <c r="C283" s="42" t="s">
        <v>14</v>
      </c>
      <c r="D283" s="42" t="s">
        <v>15</v>
      </c>
      <c r="E283" s="42" t="s">
        <v>16</v>
      </c>
      <c r="F283" s="42">
        <v>10</v>
      </c>
      <c r="G283" s="44">
        <v>350000</v>
      </c>
      <c r="H283" s="44">
        <v>3500000</v>
      </c>
      <c r="I283" s="42" t="s">
        <v>2359</v>
      </c>
      <c r="J283" s="42" t="s">
        <v>127</v>
      </c>
    </row>
    <row r="284" spans="1:10" x14ac:dyDescent="0.3">
      <c r="A284" s="42" t="s">
        <v>1940</v>
      </c>
      <c r="B284" s="43">
        <v>45714</v>
      </c>
      <c r="C284" s="42" t="s">
        <v>38</v>
      </c>
      <c r="D284" s="42" t="s">
        <v>39</v>
      </c>
      <c r="E284" s="42" t="s">
        <v>16</v>
      </c>
      <c r="F284" s="42">
        <v>430</v>
      </c>
      <c r="G284" s="44">
        <v>200000</v>
      </c>
      <c r="H284" s="44">
        <v>86000000</v>
      </c>
      <c r="I284" s="42" t="s">
        <v>2684</v>
      </c>
      <c r="J284" s="42" t="s">
        <v>127</v>
      </c>
    </row>
    <row r="285" spans="1:10" x14ac:dyDescent="0.3">
      <c r="A285" s="42" t="s">
        <v>1941</v>
      </c>
      <c r="B285" s="43">
        <v>45714</v>
      </c>
      <c r="C285" s="42" t="s">
        <v>44</v>
      </c>
      <c r="D285" s="42" t="s">
        <v>45</v>
      </c>
      <c r="E285" s="42" t="s">
        <v>16</v>
      </c>
      <c r="F285" s="42">
        <v>22</v>
      </c>
      <c r="G285" s="44">
        <v>250000</v>
      </c>
      <c r="H285" s="44">
        <v>5500000</v>
      </c>
      <c r="I285" s="42" t="s">
        <v>2703</v>
      </c>
      <c r="J285" s="42" t="s">
        <v>127</v>
      </c>
    </row>
    <row r="286" spans="1:10" x14ac:dyDescent="0.3">
      <c r="A286" s="42" t="s">
        <v>1952</v>
      </c>
      <c r="B286" s="43">
        <v>45714</v>
      </c>
      <c r="C286" s="42" t="s">
        <v>14</v>
      </c>
      <c r="D286" s="42" t="s">
        <v>15</v>
      </c>
      <c r="E286" s="42" t="s">
        <v>16</v>
      </c>
      <c r="F286" s="42">
        <v>40</v>
      </c>
      <c r="G286" s="44">
        <v>350000</v>
      </c>
      <c r="H286" s="44">
        <v>14000000</v>
      </c>
      <c r="I286" s="42" t="s">
        <v>2422</v>
      </c>
      <c r="J286" s="42" t="s">
        <v>8</v>
      </c>
    </row>
    <row r="287" spans="1:10" x14ac:dyDescent="0.3">
      <c r="A287" s="42" t="s">
        <v>1953</v>
      </c>
      <c r="B287" s="43">
        <v>45714</v>
      </c>
      <c r="C287" s="42" t="s">
        <v>28</v>
      </c>
      <c r="D287" s="42" t="s">
        <v>29</v>
      </c>
      <c r="E287" s="42" t="s">
        <v>20</v>
      </c>
      <c r="F287" s="42">
        <v>25</v>
      </c>
      <c r="G287" s="44">
        <v>450000</v>
      </c>
      <c r="H287" s="44">
        <v>11250000</v>
      </c>
      <c r="I287" s="42" t="s">
        <v>2360</v>
      </c>
      <c r="J287" s="42" t="s">
        <v>60</v>
      </c>
    </row>
    <row r="288" spans="1:10" x14ac:dyDescent="0.3">
      <c r="A288" s="42" t="s">
        <v>1960</v>
      </c>
      <c r="B288" s="43">
        <v>45714</v>
      </c>
      <c r="C288" s="42" t="s">
        <v>10</v>
      </c>
      <c r="D288" s="42" t="s">
        <v>11</v>
      </c>
      <c r="E288" s="42" t="s">
        <v>12</v>
      </c>
      <c r="F288" s="42">
        <v>20</v>
      </c>
      <c r="G288" s="44">
        <v>120000</v>
      </c>
      <c r="H288" s="44">
        <v>2400000</v>
      </c>
      <c r="I288" s="42" t="s">
        <v>2815</v>
      </c>
      <c r="J288" s="42" t="s">
        <v>127</v>
      </c>
    </row>
    <row r="289" spans="1:10" x14ac:dyDescent="0.3">
      <c r="A289" s="42" t="s">
        <v>1971</v>
      </c>
      <c r="B289" s="43">
        <v>45714</v>
      </c>
      <c r="C289" s="42" t="s">
        <v>18</v>
      </c>
      <c r="D289" s="42" t="s">
        <v>19</v>
      </c>
      <c r="E289" s="42" t="s">
        <v>20</v>
      </c>
      <c r="F289" s="42">
        <v>470</v>
      </c>
      <c r="G289" s="44">
        <v>500000</v>
      </c>
      <c r="H289" s="44">
        <v>235000000</v>
      </c>
      <c r="I289" s="42" t="s">
        <v>2149</v>
      </c>
      <c r="J289" s="42" t="s">
        <v>127</v>
      </c>
    </row>
    <row r="290" spans="1:10" x14ac:dyDescent="0.3">
      <c r="A290" s="42" t="s">
        <v>1972</v>
      </c>
      <c r="B290" s="43">
        <v>45714</v>
      </c>
      <c r="C290" s="42" t="s">
        <v>42</v>
      </c>
      <c r="D290" s="42" t="s">
        <v>43</v>
      </c>
      <c r="E290" s="42" t="s">
        <v>16</v>
      </c>
      <c r="F290" s="42">
        <v>340</v>
      </c>
      <c r="G290" s="44">
        <v>1200000</v>
      </c>
      <c r="H290" s="44">
        <v>408000000</v>
      </c>
      <c r="I290" s="42" t="s">
        <v>2686</v>
      </c>
      <c r="J290" s="42" t="s">
        <v>8</v>
      </c>
    </row>
    <row r="291" spans="1:10" x14ac:dyDescent="0.3">
      <c r="A291" s="42" t="s">
        <v>1973</v>
      </c>
      <c r="B291" s="43">
        <v>45714</v>
      </c>
      <c r="C291" s="42" t="s">
        <v>44</v>
      </c>
      <c r="D291" s="42" t="s">
        <v>45</v>
      </c>
      <c r="E291" s="42" t="s">
        <v>16</v>
      </c>
      <c r="F291" s="42">
        <v>24</v>
      </c>
      <c r="G291" s="44">
        <v>250000</v>
      </c>
      <c r="H291" s="44">
        <v>6000000</v>
      </c>
      <c r="I291" s="42" t="s">
        <v>2248</v>
      </c>
      <c r="J291" s="42" t="s">
        <v>60</v>
      </c>
    </row>
    <row r="292" spans="1:10" x14ac:dyDescent="0.3">
      <c r="A292" s="42" t="s">
        <v>1978</v>
      </c>
      <c r="B292" s="43">
        <v>45714</v>
      </c>
      <c r="C292" s="42" t="s">
        <v>22</v>
      </c>
      <c r="D292" s="42" t="s">
        <v>23</v>
      </c>
      <c r="E292" s="42" t="s">
        <v>12</v>
      </c>
      <c r="F292" s="42">
        <v>470</v>
      </c>
      <c r="G292" s="44">
        <v>25000</v>
      </c>
      <c r="H292" s="44">
        <v>11750000</v>
      </c>
      <c r="I292" s="42" t="s">
        <v>2291</v>
      </c>
      <c r="J292" s="42" t="s">
        <v>127</v>
      </c>
    </row>
    <row r="293" spans="1:10" x14ac:dyDescent="0.3">
      <c r="A293" s="42" t="s">
        <v>1987</v>
      </c>
      <c r="B293" s="43">
        <v>45714</v>
      </c>
      <c r="C293" s="42" t="s">
        <v>22</v>
      </c>
      <c r="D293" s="42" t="s">
        <v>23</v>
      </c>
      <c r="E293" s="42" t="s">
        <v>12</v>
      </c>
      <c r="F293" s="42">
        <v>27</v>
      </c>
      <c r="G293" s="44">
        <v>25000</v>
      </c>
      <c r="H293" s="44">
        <v>675000</v>
      </c>
      <c r="I293" s="42" t="s">
        <v>2841</v>
      </c>
      <c r="J293" s="42" t="s">
        <v>8</v>
      </c>
    </row>
    <row r="294" spans="1:10" x14ac:dyDescent="0.3">
      <c r="A294" s="42" t="s">
        <v>1988</v>
      </c>
      <c r="B294" s="43">
        <v>45715</v>
      </c>
      <c r="C294" s="42" t="s">
        <v>14</v>
      </c>
      <c r="D294" s="42" t="s">
        <v>15</v>
      </c>
      <c r="E294" s="42" t="s">
        <v>16</v>
      </c>
      <c r="F294" s="42">
        <v>34</v>
      </c>
      <c r="G294" s="44">
        <v>350000</v>
      </c>
      <c r="H294" s="44">
        <v>11900000</v>
      </c>
      <c r="I294" s="42" t="s">
        <v>2601</v>
      </c>
      <c r="J294" s="42" t="s">
        <v>127</v>
      </c>
    </row>
    <row r="295" spans="1:10" x14ac:dyDescent="0.3">
      <c r="A295" s="42" t="s">
        <v>2004</v>
      </c>
      <c r="B295" s="43">
        <v>45715</v>
      </c>
      <c r="C295" s="42" t="s">
        <v>14</v>
      </c>
      <c r="D295" s="42" t="s">
        <v>15</v>
      </c>
      <c r="E295" s="42" t="s">
        <v>16</v>
      </c>
      <c r="F295" s="42">
        <v>30</v>
      </c>
      <c r="G295" s="44">
        <v>350000</v>
      </c>
      <c r="H295" s="44">
        <v>10500000</v>
      </c>
      <c r="I295" s="42" t="s">
        <v>2456</v>
      </c>
      <c r="J295" s="42" t="s">
        <v>69</v>
      </c>
    </row>
    <row r="296" spans="1:10" x14ac:dyDescent="0.3">
      <c r="A296" s="42" t="s">
        <v>2013</v>
      </c>
      <c r="B296" s="43">
        <v>45715</v>
      </c>
      <c r="C296" s="42" t="s">
        <v>10</v>
      </c>
      <c r="D296" s="42" t="s">
        <v>11</v>
      </c>
      <c r="E296" s="42" t="s">
        <v>12</v>
      </c>
      <c r="F296" s="42">
        <v>37</v>
      </c>
      <c r="G296" s="44">
        <v>120000</v>
      </c>
      <c r="H296" s="44">
        <v>4440000</v>
      </c>
      <c r="I296" s="42" t="s">
        <v>2762</v>
      </c>
      <c r="J296" s="42" t="s">
        <v>127</v>
      </c>
    </row>
    <row r="297" spans="1:10" x14ac:dyDescent="0.3">
      <c r="A297" s="42" t="s">
        <v>2014</v>
      </c>
      <c r="B297" s="43">
        <v>45715</v>
      </c>
      <c r="C297" s="42" t="s">
        <v>14</v>
      </c>
      <c r="D297" s="42" t="s">
        <v>15</v>
      </c>
      <c r="E297" s="42" t="s">
        <v>16</v>
      </c>
      <c r="F297" s="42">
        <v>13</v>
      </c>
      <c r="G297" s="44">
        <v>350000</v>
      </c>
      <c r="H297" s="44">
        <v>4550000</v>
      </c>
      <c r="I297" s="42" t="s">
        <v>824</v>
      </c>
      <c r="J297" s="42" t="s">
        <v>60</v>
      </c>
    </row>
    <row r="298" spans="1:10" x14ac:dyDescent="0.3">
      <c r="A298" s="42" t="s">
        <v>2015</v>
      </c>
      <c r="B298" s="43">
        <v>45715</v>
      </c>
      <c r="C298" s="42" t="s">
        <v>18</v>
      </c>
      <c r="D298" s="42" t="s">
        <v>19</v>
      </c>
      <c r="E298" s="42" t="s">
        <v>20</v>
      </c>
      <c r="F298" s="42">
        <v>18</v>
      </c>
      <c r="G298" s="44">
        <v>500000</v>
      </c>
      <c r="H298" s="44">
        <v>9000000</v>
      </c>
      <c r="I298" s="42" t="s">
        <v>2523</v>
      </c>
      <c r="J298" s="42" t="s">
        <v>127</v>
      </c>
    </row>
    <row r="299" spans="1:10" x14ac:dyDescent="0.3">
      <c r="A299" s="42" t="s">
        <v>2016</v>
      </c>
      <c r="B299" s="43">
        <v>45715</v>
      </c>
      <c r="C299" s="42" t="s">
        <v>10</v>
      </c>
      <c r="D299" s="42" t="s">
        <v>11</v>
      </c>
      <c r="E299" s="42" t="s">
        <v>12</v>
      </c>
      <c r="F299" s="42">
        <v>5</v>
      </c>
      <c r="G299" s="44">
        <v>120000</v>
      </c>
      <c r="H299" s="44">
        <v>600000</v>
      </c>
      <c r="I299" s="42" t="s">
        <v>2346</v>
      </c>
      <c r="J299" s="42" t="s">
        <v>127</v>
      </c>
    </row>
    <row r="300" spans="1:10" x14ac:dyDescent="0.3">
      <c r="A300" s="42" t="s">
        <v>2017</v>
      </c>
      <c r="B300" s="43">
        <v>45715</v>
      </c>
      <c r="C300" s="42" t="s">
        <v>38</v>
      </c>
      <c r="D300" s="42" t="s">
        <v>39</v>
      </c>
      <c r="E300" s="42" t="s">
        <v>16</v>
      </c>
      <c r="F300" s="42">
        <v>6</v>
      </c>
      <c r="G300" s="44">
        <v>200000</v>
      </c>
      <c r="H300" s="44">
        <v>1200000</v>
      </c>
      <c r="I300" s="42" t="s">
        <v>2647</v>
      </c>
      <c r="J300" s="42" t="s">
        <v>8</v>
      </c>
    </row>
    <row r="301" spans="1:10" x14ac:dyDescent="0.3">
      <c r="A301" s="42" t="s">
        <v>2027</v>
      </c>
      <c r="B301" s="43">
        <v>45715</v>
      </c>
      <c r="C301" s="42" t="s">
        <v>40</v>
      </c>
      <c r="D301" s="42" t="s">
        <v>41</v>
      </c>
      <c r="E301" s="42" t="s">
        <v>16</v>
      </c>
      <c r="F301" s="42">
        <v>42</v>
      </c>
      <c r="G301" s="44">
        <v>950000</v>
      </c>
      <c r="H301" s="44">
        <v>39900000</v>
      </c>
      <c r="I301" s="42" t="s">
        <v>2810</v>
      </c>
      <c r="J301" s="42" t="s">
        <v>69</v>
      </c>
    </row>
    <row r="302" spans="1:10" x14ac:dyDescent="0.3">
      <c r="A302" s="42" t="s">
        <v>2041</v>
      </c>
      <c r="B302" s="43">
        <v>45715</v>
      </c>
      <c r="C302" s="42" t="s">
        <v>14</v>
      </c>
      <c r="D302" s="42" t="s">
        <v>15</v>
      </c>
      <c r="E302" s="42" t="s">
        <v>16</v>
      </c>
      <c r="F302" s="42">
        <v>20</v>
      </c>
      <c r="G302" s="44">
        <v>350000</v>
      </c>
      <c r="H302" s="44">
        <v>7000000</v>
      </c>
      <c r="I302" s="42" t="s">
        <v>2284</v>
      </c>
      <c r="J302" s="42" t="s">
        <v>8</v>
      </c>
    </row>
    <row r="303" spans="1:10" x14ac:dyDescent="0.3">
      <c r="A303" s="42" t="s">
        <v>2062</v>
      </c>
      <c r="B303" s="43">
        <v>45715</v>
      </c>
      <c r="C303" s="42" t="s">
        <v>40</v>
      </c>
      <c r="D303" s="42" t="s">
        <v>41</v>
      </c>
      <c r="E303" s="42" t="s">
        <v>16</v>
      </c>
      <c r="F303" s="42">
        <v>8</v>
      </c>
      <c r="G303" s="44">
        <v>950000</v>
      </c>
      <c r="H303" s="44">
        <v>7600000</v>
      </c>
      <c r="I303" s="42" t="s">
        <v>2582</v>
      </c>
      <c r="J303" s="42" t="s">
        <v>69</v>
      </c>
    </row>
    <row r="304" spans="1:10" x14ac:dyDescent="0.3">
      <c r="A304" s="42" t="s">
        <v>2063</v>
      </c>
      <c r="B304" s="43">
        <v>45716</v>
      </c>
      <c r="C304" s="42" t="s">
        <v>10</v>
      </c>
      <c r="D304" s="42" t="s">
        <v>11</v>
      </c>
      <c r="E304" s="42" t="s">
        <v>12</v>
      </c>
      <c r="F304" s="42">
        <v>39</v>
      </c>
      <c r="G304" s="44">
        <v>120000</v>
      </c>
      <c r="H304" s="44">
        <v>4680000</v>
      </c>
      <c r="I304" s="42" t="s">
        <v>2537</v>
      </c>
      <c r="J304" s="42" t="s">
        <v>127</v>
      </c>
    </row>
    <row r="305" spans="1:10" x14ac:dyDescent="0.3">
      <c r="A305" s="42" t="s">
        <v>2064</v>
      </c>
      <c r="B305" s="43">
        <v>45716</v>
      </c>
      <c r="C305" s="42" t="s">
        <v>38</v>
      </c>
      <c r="D305" s="42" t="s">
        <v>39</v>
      </c>
      <c r="E305" s="42" t="s">
        <v>16</v>
      </c>
      <c r="F305" s="42">
        <v>17</v>
      </c>
      <c r="G305" s="44">
        <v>200000</v>
      </c>
      <c r="H305" s="44">
        <v>3400000</v>
      </c>
      <c r="I305" s="42" t="s">
        <v>1683</v>
      </c>
      <c r="J305" s="42" t="s">
        <v>47</v>
      </c>
    </row>
    <row r="306" spans="1:10" x14ac:dyDescent="0.3">
      <c r="A306" s="42" t="s">
        <v>2065</v>
      </c>
      <c r="B306" s="43">
        <v>45716</v>
      </c>
      <c r="C306" s="42" t="s">
        <v>18</v>
      </c>
      <c r="D306" s="42" t="s">
        <v>19</v>
      </c>
      <c r="E306" s="42" t="s">
        <v>20</v>
      </c>
      <c r="F306" s="42">
        <v>400</v>
      </c>
      <c r="G306" s="44">
        <v>500000</v>
      </c>
      <c r="H306" s="44">
        <v>200000000</v>
      </c>
      <c r="I306" s="42" t="s">
        <v>2740</v>
      </c>
      <c r="J306" s="42" t="s">
        <v>127</v>
      </c>
    </row>
    <row r="307" spans="1:10" x14ac:dyDescent="0.3">
      <c r="A307" s="42" t="s">
        <v>2066</v>
      </c>
      <c r="B307" s="43">
        <v>45716</v>
      </c>
      <c r="C307" s="42" t="s">
        <v>28</v>
      </c>
      <c r="D307" s="42" t="s">
        <v>29</v>
      </c>
      <c r="E307" s="42" t="s">
        <v>20</v>
      </c>
      <c r="F307" s="42">
        <v>12</v>
      </c>
      <c r="G307" s="44">
        <v>450000</v>
      </c>
      <c r="H307" s="44">
        <v>5400000</v>
      </c>
      <c r="I307" s="42" t="s">
        <v>2207</v>
      </c>
      <c r="J307" s="42" t="s">
        <v>8</v>
      </c>
    </row>
    <row r="308" spans="1:10" x14ac:dyDescent="0.3">
      <c r="A308" s="42" t="s">
        <v>2074</v>
      </c>
      <c r="B308" s="43">
        <v>45716</v>
      </c>
      <c r="C308" s="42" t="s">
        <v>31</v>
      </c>
      <c r="D308" s="42" t="s">
        <v>32</v>
      </c>
      <c r="E308" s="42" t="s">
        <v>20</v>
      </c>
      <c r="F308" s="42">
        <v>27</v>
      </c>
      <c r="G308" s="44">
        <v>180000</v>
      </c>
      <c r="H308" s="44">
        <v>4860000</v>
      </c>
      <c r="I308" s="42" t="s">
        <v>2755</v>
      </c>
      <c r="J308" s="42" t="s">
        <v>8</v>
      </c>
    </row>
    <row r="309" spans="1:10" x14ac:dyDescent="0.3">
      <c r="A309" s="42" t="s">
        <v>2075</v>
      </c>
      <c r="B309" s="43">
        <v>45716</v>
      </c>
      <c r="C309" s="42" t="s">
        <v>44</v>
      </c>
      <c r="D309" s="42" t="s">
        <v>45</v>
      </c>
      <c r="E309" s="42" t="s">
        <v>16</v>
      </c>
      <c r="F309" s="42">
        <v>34</v>
      </c>
      <c r="G309" s="44">
        <v>250000</v>
      </c>
      <c r="H309" s="44">
        <v>8500000</v>
      </c>
      <c r="I309" s="42" t="s">
        <v>2234</v>
      </c>
      <c r="J309" s="42" t="s">
        <v>60</v>
      </c>
    </row>
    <row r="310" spans="1:10" x14ac:dyDescent="0.3">
      <c r="A310" s="42" t="s">
        <v>2088</v>
      </c>
      <c r="B310" s="43">
        <v>45716</v>
      </c>
      <c r="C310" s="42" t="s">
        <v>28</v>
      </c>
      <c r="D310" s="42" t="s">
        <v>29</v>
      </c>
      <c r="E310" s="42" t="s">
        <v>20</v>
      </c>
      <c r="F310" s="42">
        <v>25</v>
      </c>
      <c r="G310" s="44">
        <v>450000</v>
      </c>
      <c r="H310" s="44">
        <v>11250000</v>
      </c>
      <c r="I310" s="42" t="s">
        <v>2327</v>
      </c>
      <c r="J310" s="42" t="s">
        <v>127</v>
      </c>
    </row>
    <row r="311" spans="1:10" x14ac:dyDescent="0.3">
      <c r="A311" s="42" t="s">
        <v>2096</v>
      </c>
      <c r="B311" s="43">
        <v>45716</v>
      </c>
      <c r="C311" s="42" t="s">
        <v>22</v>
      </c>
      <c r="D311" s="42" t="s">
        <v>23</v>
      </c>
      <c r="E311" s="42" t="s">
        <v>12</v>
      </c>
      <c r="F311" s="42">
        <v>40</v>
      </c>
      <c r="G311" s="44">
        <v>25000</v>
      </c>
      <c r="H311" s="44">
        <v>1000000</v>
      </c>
      <c r="I311" s="42" t="s">
        <v>2208</v>
      </c>
      <c r="J311" s="42" t="s">
        <v>127</v>
      </c>
    </row>
    <row r="312" spans="1:10" x14ac:dyDescent="0.3">
      <c r="A312" s="42" t="s">
        <v>2097</v>
      </c>
      <c r="B312" s="43">
        <v>45716</v>
      </c>
      <c r="C312" s="42" t="s">
        <v>38</v>
      </c>
      <c r="D312" s="42" t="s">
        <v>39</v>
      </c>
      <c r="E312" s="42" t="s">
        <v>16</v>
      </c>
      <c r="F312" s="42">
        <v>50</v>
      </c>
      <c r="G312" s="44">
        <v>200000</v>
      </c>
      <c r="H312" s="44">
        <v>10000000</v>
      </c>
      <c r="I312" s="42" t="s">
        <v>1470</v>
      </c>
      <c r="J312" s="42" t="s">
        <v>69</v>
      </c>
    </row>
    <row r="313" spans="1:10" x14ac:dyDescent="0.3">
      <c r="A313" s="42" t="s">
        <v>2103</v>
      </c>
      <c r="B313" s="43">
        <v>45716</v>
      </c>
      <c r="C313" s="42" t="s">
        <v>40</v>
      </c>
      <c r="D313" s="42" t="s">
        <v>41</v>
      </c>
      <c r="E313" s="42" t="s">
        <v>16</v>
      </c>
      <c r="F313" s="42">
        <v>490</v>
      </c>
      <c r="G313" s="44">
        <v>950000</v>
      </c>
      <c r="H313" s="44">
        <v>465500000</v>
      </c>
      <c r="I313" s="42" t="s">
        <v>2291</v>
      </c>
      <c r="J313" s="42" t="s">
        <v>127</v>
      </c>
    </row>
    <row r="314" spans="1:10" x14ac:dyDescent="0.3">
      <c r="A314" s="42" t="s">
        <v>2104</v>
      </c>
      <c r="B314" s="43">
        <v>45716</v>
      </c>
      <c r="C314" s="42" t="s">
        <v>40</v>
      </c>
      <c r="D314" s="42" t="s">
        <v>41</v>
      </c>
      <c r="E314" s="42" t="s">
        <v>16</v>
      </c>
      <c r="F314" s="42">
        <v>16</v>
      </c>
      <c r="G314" s="44">
        <v>950000</v>
      </c>
      <c r="H314" s="44">
        <v>15200000</v>
      </c>
      <c r="I314" s="42" t="s">
        <v>2648</v>
      </c>
      <c r="J314" s="42" t="s">
        <v>60</v>
      </c>
    </row>
    <row r="315" spans="1:10" x14ac:dyDescent="0.3">
      <c r="A315" s="42" t="s">
        <v>2105</v>
      </c>
      <c r="B315" s="43">
        <v>45716</v>
      </c>
      <c r="C315" s="42" t="s">
        <v>14</v>
      </c>
      <c r="D315" s="42" t="s">
        <v>15</v>
      </c>
      <c r="E315" s="42" t="s">
        <v>16</v>
      </c>
      <c r="F315" s="42">
        <v>47</v>
      </c>
      <c r="G315" s="44">
        <v>350000</v>
      </c>
      <c r="H315" s="44">
        <v>16450000</v>
      </c>
      <c r="I315" s="42" t="s">
        <v>2628</v>
      </c>
      <c r="J315" s="42" t="s">
        <v>47</v>
      </c>
    </row>
    <row r="316" spans="1:10" x14ac:dyDescent="0.3">
      <c r="A316" s="42" t="s">
        <v>24</v>
      </c>
      <c r="B316" s="43">
        <v>45716</v>
      </c>
      <c r="C316" s="42" t="s">
        <v>22</v>
      </c>
      <c r="D316" s="42" t="s">
        <v>23</v>
      </c>
      <c r="E316" s="42" t="s">
        <v>12</v>
      </c>
      <c r="F316" s="42">
        <v>22</v>
      </c>
      <c r="G316" s="44">
        <v>25000</v>
      </c>
      <c r="H316" s="44">
        <v>550000</v>
      </c>
      <c r="I316" s="42" t="s">
        <v>2410</v>
      </c>
      <c r="J316" s="42" t="s">
        <v>8</v>
      </c>
    </row>
    <row r="317" spans="1:10" x14ac:dyDescent="0.3">
      <c r="A317" s="42" t="s">
        <v>62</v>
      </c>
      <c r="B317" s="43">
        <v>45716</v>
      </c>
      <c r="C317" s="42" t="s">
        <v>22</v>
      </c>
      <c r="D317" s="42" t="s">
        <v>23</v>
      </c>
      <c r="E317" s="42" t="s">
        <v>12</v>
      </c>
      <c r="F317" s="42">
        <v>12</v>
      </c>
      <c r="G317" s="44">
        <v>25000</v>
      </c>
      <c r="H317" s="44">
        <v>300000</v>
      </c>
      <c r="I317" s="42" t="s">
        <v>2305</v>
      </c>
      <c r="J317" s="42" t="s">
        <v>8</v>
      </c>
    </row>
    <row r="318" spans="1:10" x14ac:dyDescent="0.3">
      <c r="A318" s="42" t="s">
        <v>79</v>
      </c>
      <c r="B318" s="43">
        <v>45716</v>
      </c>
      <c r="C318" s="42" t="s">
        <v>31</v>
      </c>
      <c r="D318" s="42" t="s">
        <v>32</v>
      </c>
      <c r="E318" s="42" t="s">
        <v>20</v>
      </c>
      <c r="F318" s="42">
        <v>43</v>
      </c>
      <c r="G318" s="44">
        <v>180000</v>
      </c>
      <c r="H318" s="44">
        <v>7740000</v>
      </c>
      <c r="I318" s="42" t="s">
        <v>2836</v>
      </c>
      <c r="J318" s="42" t="s">
        <v>69</v>
      </c>
    </row>
    <row r="319" spans="1:10" x14ac:dyDescent="0.3">
      <c r="A319" s="42" t="s">
        <v>80</v>
      </c>
      <c r="B319" s="43">
        <v>45716</v>
      </c>
      <c r="C319" s="42" t="s">
        <v>42</v>
      </c>
      <c r="D319" s="42" t="s">
        <v>43</v>
      </c>
      <c r="E319" s="42" t="s">
        <v>16</v>
      </c>
      <c r="F319" s="42">
        <v>36</v>
      </c>
      <c r="G319" s="44">
        <v>1200000</v>
      </c>
      <c r="H319" s="44">
        <v>43200000</v>
      </c>
      <c r="I319" s="42" t="s">
        <v>2251</v>
      </c>
      <c r="J319" s="42" t="s">
        <v>127</v>
      </c>
    </row>
    <row r="320" spans="1:10" x14ac:dyDescent="0.3">
      <c r="A320" s="42" t="s">
        <v>81</v>
      </c>
      <c r="B320" s="43">
        <v>45720</v>
      </c>
      <c r="C320" s="42" t="s">
        <v>28</v>
      </c>
      <c r="D320" s="42" t="s">
        <v>29</v>
      </c>
      <c r="E320" s="42" t="s">
        <v>20</v>
      </c>
      <c r="F320" s="42">
        <v>33</v>
      </c>
      <c r="G320" s="44">
        <v>450000</v>
      </c>
      <c r="H320" s="44">
        <v>14850000</v>
      </c>
      <c r="I320" s="42" t="s">
        <v>2768</v>
      </c>
      <c r="J320" s="42" t="s">
        <v>60</v>
      </c>
    </row>
    <row r="321" spans="1:10" x14ac:dyDescent="0.3">
      <c r="A321" s="42" t="s">
        <v>82</v>
      </c>
      <c r="B321" s="43">
        <v>45720</v>
      </c>
      <c r="C321" s="42" t="s">
        <v>31</v>
      </c>
      <c r="D321" s="42" t="s">
        <v>32</v>
      </c>
      <c r="E321" s="42" t="s">
        <v>20</v>
      </c>
      <c r="F321" s="42">
        <v>16</v>
      </c>
      <c r="G321" s="44">
        <v>180000</v>
      </c>
      <c r="H321" s="44">
        <v>2880000</v>
      </c>
      <c r="I321" s="42" t="s">
        <v>2435</v>
      </c>
      <c r="J321" s="42" t="s">
        <v>127</v>
      </c>
    </row>
    <row r="322" spans="1:10" x14ac:dyDescent="0.3">
      <c r="A322" s="42" t="s">
        <v>92</v>
      </c>
      <c r="B322" s="43">
        <v>45720</v>
      </c>
      <c r="C322" s="42" t="s">
        <v>40</v>
      </c>
      <c r="D322" s="42" t="s">
        <v>41</v>
      </c>
      <c r="E322" s="42" t="s">
        <v>16</v>
      </c>
      <c r="F322" s="42">
        <v>210</v>
      </c>
      <c r="G322" s="44">
        <v>950000</v>
      </c>
      <c r="H322" s="44">
        <v>199500000</v>
      </c>
      <c r="I322" s="42" t="s">
        <v>2233</v>
      </c>
      <c r="J322" s="42" t="s">
        <v>8</v>
      </c>
    </row>
    <row r="323" spans="1:10" x14ac:dyDescent="0.3">
      <c r="A323" s="42" t="s">
        <v>105</v>
      </c>
      <c r="B323" s="43">
        <v>45720</v>
      </c>
      <c r="C323" s="42" t="s">
        <v>44</v>
      </c>
      <c r="D323" s="42" t="s">
        <v>45</v>
      </c>
      <c r="E323" s="42" t="s">
        <v>16</v>
      </c>
      <c r="F323" s="42">
        <v>34</v>
      </c>
      <c r="G323" s="44">
        <v>250000</v>
      </c>
      <c r="H323" s="44">
        <v>8500000</v>
      </c>
      <c r="I323" s="42" t="s">
        <v>2626</v>
      </c>
      <c r="J323" s="42" t="s">
        <v>8</v>
      </c>
    </row>
    <row r="324" spans="1:10" x14ac:dyDescent="0.3">
      <c r="A324" s="42" t="s">
        <v>106</v>
      </c>
      <c r="B324" s="43">
        <v>45720</v>
      </c>
      <c r="C324" s="42" t="s">
        <v>28</v>
      </c>
      <c r="D324" s="42" t="s">
        <v>29</v>
      </c>
      <c r="E324" s="42" t="s">
        <v>20</v>
      </c>
      <c r="F324" s="42">
        <v>48</v>
      </c>
      <c r="G324" s="44">
        <v>450000</v>
      </c>
      <c r="H324" s="44">
        <v>21600000</v>
      </c>
      <c r="I324" s="42" t="s">
        <v>2788</v>
      </c>
      <c r="J324" s="42" t="s">
        <v>69</v>
      </c>
    </row>
    <row r="325" spans="1:10" x14ac:dyDescent="0.3">
      <c r="A325" s="42" t="s">
        <v>107</v>
      </c>
      <c r="B325" s="43">
        <v>45720</v>
      </c>
      <c r="C325" s="42" t="s">
        <v>40</v>
      </c>
      <c r="D325" s="42" t="s">
        <v>41</v>
      </c>
      <c r="E325" s="42" t="s">
        <v>16</v>
      </c>
      <c r="F325" s="42">
        <v>160</v>
      </c>
      <c r="G325" s="44">
        <v>950000</v>
      </c>
      <c r="H325" s="44">
        <v>152000000</v>
      </c>
      <c r="I325" s="42" t="s">
        <v>853</v>
      </c>
      <c r="J325" s="42" t="s">
        <v>47</v>
      </c>
    </row>
    <row r="326" spans="1:10" x14ac:dyDescent="0.3">
      <c r="A326" s="42" t="s">
        <v>108</v>
      </c>
      <c r="B326" s="43">
        <v>45720</v>
      </c>
      <c r="C326" s="42" t="s">
        <v>14</v>
      </c>
      <c r="D326" s="42" t="s">
        <v>15</v>
      </c>
      <c r="E326" s="42" t="s">
        <v>16</v>
      </c>
      <c r="F326" s="42">
        <v>190</v>
      </c>
      <c r="G326" s="44">
        <v>350000</v>
      </c>
      <c r="H326" s="44">
        <v>66500000</v>
      </c>
      <c r="I326" s="42" t="s">
        <v>2266</v>
      </c>
      <c r="J326" s="42" t="s">
        <v>8</v>
      </c>
    </row>
    <row r="327" spans="1:10" x14ac:dyDescent="0.3">
      <c r="A327" s="42" t="s">
        <v>120</v>
      </c>
      <c r="B327" s="43">
        <v>45720</v>
      </c>
      <c r="C327" s="42" t="s">
        <v>31</v>
      </c>
      <c r="D327" s="42" t="s">
        <v>32</v>
      </c>
      <c r="E327" s="42" t="s">
        <v>20</v>
      </c>
      <c r="F327" s="42">
        <v>43</v>
      </c>
      <c r="G327" s="44">
        <v>180000</v>
      </c>
      <c r="H327" s="44">
        <v>7740000</v>
      </c>
      <c r="I327" s="42" t="s">
        <v>2173</v>
      </c>
      <c r="J327" s="42" t="s">
        <v>8</v>
      </c>
    </row>
    <row r="328" spans="1:10" x14ac:dyDescent="0.3">
      <c r="A328" s="42" t="s">
        <v>129</v>
      </c>
      <c r="B328" s="43">
        <v>45720</v>
      </c>
      <c r="C328" s="42" t="s">
        <v>38</v>
      </c>
      <c r="D328" s="42" t="s">
        <v>39</v>
      </c>
      <c r="E328" s="42" t="s">
        <v>16</v>
      </c>
      <c r="F328" s="42">
        <v>32</v>
      </c>
      <c r="G328" s="44">
        <v>200000</v>
      </c>
      <c r="H328" s="44">
        <v>6400000</v>
      </c>
      <c r="I328" s="42" t="s">
        <v>2411</v>
      </c>
      <c r="J328" s="42" t="s">
        <v>47</v>
      </c>
    </row>
    <row r="329" spans="1:10" x14ac:dyDescent="0.3">
      <c r="A329" s="42" t="s">
        <v>130</v>
      </c>
      <c r="B329" s="43">
        <v>45721</v>
      </c>
      <c r="C329" s="42" t="s">
        <v>22</v>
      </c>
      <c r="D329" s="42" t="s">
        <v>23</v>
      </c>
      <c r="E329" s="42" t="s">
        <v>12</v>
      </c>
      <c r="F329" s="42">
        <v>49</v>
      </c>
      <c r="G329" s="44">
        <v>25000</v>
      </c>
      <c r="H329" s="44">
        <v>1225000</v>
      </c>
      <c r="I329" s="42" t="s">
        <v>2305</v>
      </c>
      <c r="J329" s="42" t="s">
        <v>8</v>
      </c>
    </row>
    <row r="330" spans="1:10" x14ac:dyDescent="0.3">
      <c r="A330" s="42" t="s">
        <v>131</v>
      </c>
      <c r="B330" s="43">
        <v>45721</v>
      </c>
      <c r="C330" s="42" t="s">
        <v>31</v>
      </c>
      <c r="D330" s="42" t="s">
        <v>32</v>
      </c>
      <c r="E330" s="42" t="s">
        <v>20</v>
      </c>
      <c r="F330" s="42">
        <v>31</v>
      </c>
      <c r="G330" s="44">
        <v>180000</v>
      </c>
      <c r="H330" s="44">
        <v>5580000</v>
      </c>
      <c r="I330" s="42" t="s">
        <v>2591</v>
      </c>
      <c r="J330" s="42" t="s">
        <v>127</v>
      </c>
    </row>
    <row r="331" spans="1:10" x14ac:dyDescent="0.3">
      <c r="A331" s="42" t="s">
        <v>147</v>
      </c>
      <c r="B331" s="43">
        <v>45721</v>
      </c>
      <c r="C331" s="42" t="s">
        <v>38</v>
      </c>
      <c r="D331" s="42" t="s">
        <v>39</v>
      </c>
      <c r="E331" s="42" t="s">
        <v>16</v>
      </c>
      <c r="F331" s="42">
        <v>19</v>
      </c>
      <c r="G331" s="44">
        <v>200000</v>
      </c>
      <c r="H331" s="44">
        <v>3800000</v>
      </c>
      <c r="I331" s="42" t="s">
        <v>2444</v>
      </c>
      <c r="J331" s="42" t="s">
        <v>60</v>
      </c>
    </row>
    <row r="332" spans="1:10" x14ac:dyDescent="0.3">
      <c r="A332" s="42" t="s">
        <v>148</v>
      </c>
      <c r="B332" s="43">
        <v>45721</v>
      </c>
      <c r="C332" s="42" t="s">
        <v>10</v>
      </c>
      <c r="D332" s="42" t="s">
        <v>11</v>
      </c>
      <c r="E332" s="42" t="s">
        <v>12</v>
      </c>
      <c r="F332" s="42">
        <v>20</v>
      </c>
      <c r="G332" s="44">
        <v>120000</v>
      </c>
      <c r="H332" s="44">
        <v>2400000</v>
      </c>
      <c r="I332" s="42" t="s">
        <v>1584</v>
      </c>
      <c r="J332" s="42" t="s">
        <v>127</v>
      </c>
    </row>
    <row r="333" spans="1:10" x14ac:dyDescent="0.3">
      <c r="A333" s="42" t="s">
        <v>154</v>
      </c>
      <c r="B333" s="43">
        <v>45721</v>
      </c>
      <c r="C333" s="42" t="s">
        <v>42</v>
      </c>
      <c r="D333" s="42" t="s">
        <v>43</v>
      </c>
      <c r="E333" s="42" t="s">
        <v>16</v>
      </c>
      <c r="F333" s="42">
        <v>300</v>
      </c>
      <c r="G333" s="44">
        <v>1200000</v>
      </c>
      <c r="H333" s="44">
        <v>360000000</v>
      </c>
      <c r="I333" s="42" t="s">
        <v>728</v>
      </c>
      <c r="J333" s="42" t="s">
        <v>47</v>
      </c>
    </row>
    <row r="334" spans="1:10" x14ac:dyDescent="0.3">
      <c r="A334" s="42" t="s">
        <v>155</v>
      </c>
      <c r="B334" s="43">
        <v>45721</v>
      </c>
      <c r="C334" s="42" t="s">
        <v>18</v>
      </c>
      <c r="D334" s="42" t="s">
        <v>19</v>
      </c>
      <c r="E334" s="42" t="s">
        <v>20</v>
      </c>
      <c r="F334" s="42">
        <v>29</v>
      </c>
      <c r="G334" s="44">
        <v>500000</v>
      </c>
      <c r="H334" s="44">
        <v>14500000</v>
      </c>
      <c r="I334" s="42" t="s">
        <v>2662</v>
      </c>
      <c r="J334" s="42" t="s">
        <v>127</v>
      </c>
    </row>
    <row r="335" spans="1:10" x14ac:dyDescent="0.3">
      <c r="A335" s="42" t="s">
        <v>167</v>
      </c>
      <c r="B335" s="43">
        <v>45721</v>
      </c>
      <c r="C335" s="42" t="s">
        <v>14</v>
      </c>
      <c r="D335" s="42" t="s">
        <v>15</v>
      </c>
      <c r="E335" s="42" t="s">
        <v>16</v>
      </c>
      <c r="F335" s="42">
        <v>14</v>
      </c>
      <c r="G335" s="44">
        <v>350000</v>
      </c>
      <c r="H335" s="44">
        <v>4900000</v>
      </c>
      <c r="I335" s="42" t="s">
        <v>359</v>
      </c>
      <c r="J335" s="42" t="s">
        <v>60</v>
      </c>
    </row>
    <row r="336" spans="1:10" x14ac:dyDescent="0.3">
      <c r="A336" s="42" t="s">
        <v>168</v>
      </c>
      <c r="B336" s="43">
        <v>45721</v>
      </c>
      <c r="C336" s="42" t="s">
        <v>22</v>
      </c>
      <c r="D336" s="42" t="s">
        <v>23</v>
      </c>
      <c r="E336" s="42" t="s">
        <v>12</v>
      </c>
      <c r="F336" s="42">
        <v>40</v>
      </c>
      <c r="G336" s="44">
        <v>25000</v>
      </c>
      <c r="H336" s="44">
        <v>1000000</v>
      </c>
      <c r="I336" s="42" t="s">
        <v>2561</v>
      </c>
      <c r="J336" s="42" t="s">
        <v>8</v>
      </c>
    </row>
    <row r="337" spans="1:10" x14ac:dyDescent="0.3">
      <c r="A337" s="42" t="s">
        <v>187</v>
      </c>
      <c r="B337" s="43">
        <v>45721</v>
      </c>
      <c r="C337" s="42" t="s">
        <v>22</v>
      </c>
      <c r="D337" s="42" t="s">
        <v>23</v>
      </c>
      <c r="E337" s="42" t="s">
        <v>12</v>
      </c>
      <c r="F337" s="42">
        <v>24</v>
      </c>
      <c r="G337" s="44">
        <v>25000</v>
      </c>
      <c r="H337" s="44">
        <v>600000</v>
      </c>
      <c r="I337" s="42" t="s">
        <v>2448</v>
      </c>
      <c r="J337" s="42" t="s">
        <v>60</v>
      </c>
    </row>
    <row r="338" spans="1:10" x14ac:dyDescent="0.3">
      <c r="A338" s="42" t="s">
        <v>188</v>
      </c>
      <c r="B338" s="43">
        <v>45721</v>
      </c>
      <c r="C338" s="42" t="s">
        <v>18</v>
      </c>
      <c r="D338" s="42" t="s">
        <v>19</v>
      </c>
      <c r="E338" s="42" t="s">
        <v>20</v>
      </c>
      <c r="F338" s="42">
        <v>8</v>
      </c>
      <c r="G338" s="44">
        <v>500000</v>
      </c>
      <c r="H338" s="44">
        <v>4000000</v>
      </c>
      <c r="I338" s="42" t="s">
        <v>2638</v>
      </c>
      <c r="J338" s="42" t="s">
        <v>127</v>
      </c>
    </row>
    <row r="339" spans="1:10" x14ac:dyDescent="0.3">
      <c r="A339" s="42" t="s">
        <v>189</v>
      </c>
      <c r="B339" s="43">
        <v>45721</v>
      </c>
      <c r="C339" s="42" t="s">
        <v>18</v>
      </c>
      <c r="D339" s="42" t="s">
        <v>19</v>
      </c>
      <c r="E339" s="42" t="s">
        <v>20</v>
      </c>
      <c r="F339" s="42">
        <v>14</v>
      </c>
      <c r="G339" s="44">
        <v>500000</v>
      </c>
      <c r="H339" s="44">
        <v>7000000</v>
      </c>
      <c r="I339" s="42" t="s">
        <v>2440</v>
      </c>
      <c r="J339" s="42" t="s">
        <v>127</v>
      </c>
    </row>
    <row r="340" spans="1:10" x14ac:dyDescent="0.3">
      <c r="A340" s="42" t="s">
        <v>220</v>
      </c>
      <c r="B340" s="43">
        <v>45721</v>
      </c>
      <c r="C340" s="42" t="s">
        <v>14</v>
      </c>
      <c r="D340" s="42" t="s">
        <v>15</v>
      </c>
      <c r="E340" s="42" t="s">
        <v>16</v>
      </c>
      <c r="F340" s="42">
        <v>5</v>
      </c>
      <c r="G340" s="44">
        <v>350000</v>
      </c>
      <c r="H340" s="44">
        <v>1750000</v>
      </c>
      <c r="I340" s="42" t="s">
        <v>2124</v>
      </c>
      <c r="J340" s="42" t="s">
        <v>8</v>
      </c>
    </row>
    <row r="341" spans="1:10" x14ac:dyDescent="0.3">
      <c r="A341" s="42" t="s">
        <v>221</v>
      </c>
      <c r="B341" s="43">
        <v>45721</v>
      </c>
      <c r="C341" s="42" t="s">
        <v>42</v>
      </c>
      <c r="D341" s="42" t="s">
        <v>43</v>
      </c>
      <c r="E341" s="42" t="s">
        <v>16</v>
      </c>
      <c r="F341" s="42">
        <v>16</v>
      </c>
      <c r="G341" s="44">
        <v>1200000</v>
      </c>
      <c r="H341" s="44">
        <v>19200000</v>
      </c>
      <c r="I341" s="42" t="s">
        <v>2191</v>
      </c>
      <c r="J341" s="42" t="s">
        <v>69</v>
      </c>
    </row>
    <row r="342" spans="1:10" x14ac:dyDescent="0.3">
      <c r="A342" s="42" t="s">
        <v>230</v>
      </c>
      <c r="B342" s="43">
        <v>45721</v>
      </c>
      <c r="C342" s="42" t="s">
        <v>40</v>
      </c>
      <c r="D342" s="42" t="s">
        <v>41</v>
      </c>
      <c r="E342" s="42" t="s">
        <v>16</v>
      </c>
      <c r="F342" s="42">
        <v>24</v>
      </c>
      <c r="G342" s="44">
        <v>950000</v>
      </c>
      <c r="H342" s="44">
        <v>22800000</v>
      </c>
      <c r="I342" s="42" t="s">
        <v>2475</v>
      </c>
      <c r="J342" s="42" t="s">
        <v>47</v>
      </c>
    </row>
    <row r="343" spans="1:10" x14ac:dyDescent="0.3">
      <c r="A343" s="42" t="s">
        <v>231</v>
      </c>
      <c r="B343" s="43">
        <v>45722</v>
      </c>
      <c r="C343" s="42" t="s">
        <v>40</v>
      </c>
      <c r="D343" s="42" t="s">
        <v>41</v>
      </c>
      <c r="E343" s="42" t="s">
        <v>16</v>
      </c>
      <c r="F343" s="42">
        <v>290</v>
      </c>
      <c r="G343" s="44">
        <v>950000</v>
      </c>
      <c r="H343" s="44">
        <v>275500000</v>
      </c>
      <c r="I343" s="42" t="s">
        <v>2533</v>
      </c>
      <c r="J343" s="42" t="s">
        <v>8</v>
      </c>
    </row>
    <row r="344" spans="1:10" x14ac:dyDescent="0.3">
      <c r="A344" s="42" t="s">
        <v>242</v>
      </c>
      <c r="B344" s="43">
        <v>45722</v>
      </c>
      <c r="C344" s="42" t="s">
        <v>22</v>
      </c>
      <c r="D344" s="42" t="s">
        <v>23</v>
      </c>
      <c r="E344" s="42" t="s">
        <v>12</v>
      </c>
      <c r="F344" s="42">
        <v>39</v>
      </c>
      <c r="G344" s="44">
        <v>25000</v>
      </c>
      <c r="H344" s="44">
        <v>975000</v>
      </c>
      <c r="I344" s="42" t="s">
        <v>2593</v>
      </c>
      <c r="J344" s="42" t="s">
        <v>69</v>
      </c>
    </row>
    <row r="345" spans="1:10" x14ac:dyDescent="0.3">
      <c r="A345" s="42" t="s">
        <v>243</v>
      </c>
      <c r="B345" s="43">
        <v>45722</v>
      </c>
      <c r="C345" s="42" t="s">
        <v>18</v>
      </c>
      <c r="D345" s="42" t="s">
        <v>19</v>
      </c>
      <c r="E345" s="42" t="s">
        <v>20</v>
      </c>
      <c r="F345" s="42">
        <v>48</v>
      </c>
      <c r="G345" s="44">
        <v>500000</v>
      </c>
      <c r="H345" s="44">
        <v>24000000</v>
      </c>
      <c r="I345" s="42" t="s">
        <v>2756</v>
      </c>
      <c r="J345" s="42" t="s">
        <v>47</v>
      </c>
    </row>
    <row r="346" spans="1:10" x14ac:dyDescent="0.3">
      <c r="A346" s="42" t="s">
        <v>244</v>
      </c>
      <c r="B346" s="43">
        <v>45722</v>
      </c>
      <c r="C346" s="42" t="s">
        <v>22</v>
      </c>
      <c r="D346" s="42" t="s">
        <v>23</v>
      </c>
      <c r="E346" s="42" t="s">
        <v>12</v>
      </c>
      <c r="F346" s="42">
        <v>29</v>
      </c>
      <c r="G346" s="44">
        <v>25000</v>
      </c>
      <c r="H346" s="44">
        <v>725000</v>
      </c>
      <c r="I346" s="42" t="s">
        <v>2274</v>
      </c>
      <c r="J346" s="42" t="s">
        <v>60</v>
      </c>
    </row>
    <row r="347" spans="1:10" x14ac:dyDescent="0.3">
      <c r="A347" s="42" t="s">
        <v>245</v>
      </c>
      <c r="B347" s="43">
        <v>45722</v>
      </c>
      <c r="C347" s="42" t="s">
        <v>28</v>
      </c>
      <c r="D347" s="42" t="s">
        <v>29</v>
      </c>
      <c r="E347" s="42" t="s">
        <v>20</v>
      </c>
      <c r="F347" s="42">
        <v>12</v>
      </c>
      <c r="G347" s="44">
        <v>450000</v>
      </c>
      <c r="H347" s="44">
        <v>5400000</v>
      </c>
      <c r="I347" s="42" t="s">
        <v>2570</v>
      </c>
      <c r="J347" s="42" t="s">
        <v>8</v>
      </c>
    </row>
    <row r="348" spans="1:10" x14ac:dyDescent="0.3">
      <c r="A348" s="42" t="s">
        <v>260</v>
      </c>
      <c r="B348" s="43">
        <v>45722</v>
      </c>
      <c r="C348" s="42" t="s">
        <v>44</v>
      </c>
      <c r="D348" s="42" t="s">
        <v>45</v>
      </c>
      <c r="E348" s="42" t="s">
        <v>16</v>
      </c>
      <c r="F348" s="42">
        <v>420</v>
      </c>
      <c r="G348" s="44">
        <v>250000</v>
      </c>
      <c r="H348" s="44">
        <v>105000000</v>
      </c>
      <c r="I348" s="42" t="s">
        <v>2686</v>
      </c>
      <c r="J348" s="42" t="s">
        <v>8</v>
      </c>
    </row>
    <row r="349" spans="1:10" x14ac:dyDescent="0.3">
      <c r="A349" s="42" t="s">
        <v>261</v>
      </c>
      <c r="B349" s="43">
        <v>45722</v>
      </c>
      <c r="C349" s="42" t="s">
        <v>31</v>
      </c>
      <c r="D349" s="42" t="s">
        <v>32</v>
      </c>
      <c r="E349" s="42" t="s">
        <v>20</v>
      </c>
      <c r="F349" s="42">
        <v>9</v>
      </c>
      <c r="G349" s="44">
        <v>180000</v>
      </c>
      <c r="H349" s="44">
        <v>1620000</v>
      </c>
      <c r="I349" s="42" t="s">
        <v>2447</v>
      </c>
      <c r="J349" s="42" t="s">
        <v>8</v>
      </c>
    </row>
    <row r="350" spans="1:10" x14ac:dyDescent="0.3">
      <c r="A350" s="42" t="s">
        <v>262</v>
      </c>
      <c r="B350" s="43">
        <v>45722</v>
      </c>
      <c r="C350" s="42" t="s">
        <v>40</v>
      </c>
      <c r="D350" s="42" t="s">
        <v>41</v>
      </c>
      <c r="E350" s="42" t="s">
        <v>16</v>
      </c>
      <c r="F350" s="42">
        <v>42</v>
      </c>
      <c r="G350" s="44">
        <v>950000</v>
      </c>
      <c r="H350" s="44">
        <v>39900000</v>
      </c>
      <c r="I350" s="42" t="s">
        <v>89</v>
      </c>
      <c r="J350" s="42" t="s">
        <v>47</v>
      </c>
    </row>
    <row r="351" spans="1:10" x14ac:dyDescent="0.3">
      <c r="A351" s="42" t="s">
        <v>275</v>
      </c>
      <c r="B351" s="43">
        <v>45722</v>
      </c>
      <c r="C351" s="42" t="s">
        <v>10</v>
      </c>
      <c r="D351" s="42" t="s">
        <v>11</v>
      </c>
      <c r="E351" s="42" t="s">
        <v>12</v>
      </c>
      <c r="F351" s="42">
        <v>27</v>
      </c>
      <c r="G351" s="44">
        <v>120000</v>
      </c>
      <c r="H351" s="44">
        <v>3240000</v>
      </c>
      <c r="I351" s="42" t="s">
        <v>2484</v>
      </c>
      <c r="J351" s="42" t="s">
        <v>60</v>
      </c>
    </row>
    <row r="352" spans="1:10" x14ac:dyDescent="0.3">
      <c r="A352" s="42" t="s">
        <v>276</v>
      </c>
      <c r="B352" s="43">
        <v>45722</v>
      </c>
      <c r="C352" s="42" t="s">
        <v>18</v>
      </c>
      <c r="D352" s="42" t="s">
        <v>19</v>
      </c>
      <c r="E352" s="42" t="s">
        <v>20</v>
      </c>
      <c r="F352" s="42">
        <v>27</v>
      </c>
      <c r="G352" s="44">
        <v>500000</v>
      </c>
      <c r="H352" s="44">
        <v>13500000</v>
      </c>
      <c r="I352" s="42" t="s">
        <v>2696</v>
      </c>
      <c r="J352" s="42" t="s">
        <v>60</v>
      </c>
    </row>
    <row r="353" spans="1:10" x14ac:dyDescent="0.3">
      <c r="A353" s="42" t="s">
        <v>277</v>
      </c>
      <c r="B353" s="43">
        <v>45722</v>
      </c>
      <c r="C353" s="42" t="s">
        <v>28</v>
      </c>
      <c r="D353" s="42" t="s">
        <v>29</v>
      </c>
      <c r="E353" s="42" t="s">
        <v>20</v>
      </c>
      <c r="F353" s="42">
        <v>6</v>
      </c>
      <c r="G353" s="44">
        <v>450000</v>
      </c>
      <c r="H353" s="44">
        <v>2700000</v>
      </c>
      <c r="I353" s="42" t="s">
        <v>2365</v>
      </c>
      <c r="J353" s="42" t="s">
        <v>60</v>
      </c>
    </row>
    <row r="354" spans="1:10" x14ac:dyDescent="0.3">
      <c r="A354" s="42" t="s">
        <v>278</v>
      </c>
      <c r="B354" s="43">
        <v>45722</v>
      </c>
      <c r="C354" s="42" t="s">
        <v>14</v>
      </c>
      <c r="D354" s="42" t="s">
        <v>15</v>
      </c>
      <c r="E354" s="42" t="s">
        <v>16</v>
      </c>
      <c r="F354" s="42">
        <v>28</v>
      </c>
      <c r="G354" s="44">
        <v>350000</v>
      </c>
      <c r="H354" s="44">
        <v>9800000</v>
      </c>
      <c r="I354" s="42" t="s">
        <v>2292</v>
      </c>
      <c r="J354" s="42" t="s">
        <v>127</v>
      </c>
    </row>
    <row r="355" spans="1:10" x14ac:dyDescent="0.3">
      <c r="A355" s="42" t="s">
        <v>290</v>
      </c>
      <c r="B355" s="43">
        <v>45722</v>
      </c>
      <c r="C355" s="42" t="s">
        <v>38</v>
      </c>
      <c r="D355" s="42" t="s">
        <v>39</v>
      </c>
      <c r="E355" s="42" t="s">
        <v>16</v>
      </c>
      <c r="F355" s="42">
        <v>18</v>
      </c>
      <c r="G355" s="44">
        <v>200000</v>
      </c>
      <c r="H355" s="44">
        <v>3600000</v>
      </c>
      <c r="I355" s="42" t="s">
        <v>2602</v>
      </c>
      <c r="J355" s="42" t="s">
        <v>8</v>
      </c>
    </row>
    <row r="356" spans="1:10" x14ac:dyDescent="0.3">
      <c r="A356" s="42" t="s">
        <v>291</v>
      </c>
      <c r="B356" s="43">
        <v>45722</v>
      </c>
      <c r="C356" s="42" t="s">
        <v>40</v>
      </c>
      <c r="D356" s="42" t="s">
        <v>41</v>
      </c>
      <c r="E356" s="42" t="s">
        <v>16</v>
      </c>
      <c r="F356" s="42">
        <v>190</v>
      </c>
      <c r="G356" s="44">
        <v>950000</v>
      </c>
      <c r="H356" s="44">
        <v>180500000</v>
      </c>
      <c r="I356" s="42" t="s">
        <v>2169</v>
      </c>
      <c r="J356" s="42" t="s">
        <v>127</v>
      </c>
    </row>
    <row r="357" spans="1:10" x14ac:dyDescent="0.3">
      <c r="A357" s="42" t="s">
        <v>298</v>
      </c>
      <c r="B357" s="43">
        <v>45726</v>
      </c>
      <c r="C357" s="42" t="s">
        <v>14</v>
      </c>
      <c r="D357" s="42" t="s">
        <v>15</v>
      </c>
      <c r="E357" s="42" t="s">
        <v>16</v>
      </c>
      <c r="F357" s="42">
        <v>180</v>
      </c>
      <c r="G357" s="44">
        <v>350000</v>
      </c>
      <c r="H357" s="44">
        <v>63000000</v>
      </c>
      <c r="I357" s="42" t="s">
        <v>2604</v>
      </c>
      <c r="J357" s="42" t="s">
        <v>47</v>
      </c>
    </row>
    <row r="358" spans="1:10" x14ac:dyDescent="0.3">
      <c r="A358" s="42" t="s">
        <v>299</v>
      </c>
      <c r="B358" s="43">
        <v>45726</v>
      </c>
      <c r="C358" s="42" t="s">
        <v>38</v>
      </c>
      <c r="D358" s="42" t="s">
        <v>39</v>
      </c>
      <c r="E358" s="42" t="s">
        <v>16</v>
      </c>
      <c r="F358" s="42">
        <v>27</v>
      </c>
      <c r="G358" s="44">
        <v>200000</v>
      </c>
      <c r="H358" s="44">
        <v>5400000</v>
      </c>
      <c r="I358" s="42" t="s">
        <v>2271</v>
      </c>
      <c r="J358" s="42" t="s">
        <v>47</v>
      </c>
    </row>
    <row r="359" spans="1:10" x14ac:dyDescent="0.3">
      <c r="A359" s="42" t="s">
        <v>311</v>
      </c>
      <c r="B359" s="43">
        <v>45726</v>
      </c>
      <c r="C359" s="42" t="s">
        <v>38</v>
      </c>
      <c r="D359" s="42" t="s">
        <v>39</v>
      </c>
      <c r="E359" s="42" t="s">
        <v>16</v>
      </c>
      <c r="F359" s="42">
        <v>36</v>
      </c>
      <c r="G359" s="44">
        <v>200000</v>
      </c>
      <c r="H359" s="44">
        <v>7200000</v>
      </c>
      <c r="I359" s="42" t="s">
        <v>2497</v>
      </c>
      <c r="J359" s="42" t="s">
        <v>127</v>
      </c>
    </row>
    <row r="360" spans="1:10" x14ac:dyDescent="0.3">
      <c r="A360" s="42" t="s">
        <v>342</v>
      </c>
      <c r="B360" s="43">
        <v>45726</v>
      </c>
      <c r="C360" s="42" t="s">
        <v>22</v>
      </c>
      <c r="D360" s="42" t="s">
        <v>23</v>
      </c>
      <c r="E360" s="42" t="s">
        <v>12</v>
      </c>
      <c r="F360" s="42">
        <v>49</v>
      </c>
      <c r="G360" s="44">
        <v>25000</v>
      </c>
      <c r="H360" s="44">
        <v>1225000</v>
      </c>
      <c r="I360" s="42" t="s">
        <v>2737</v>
      </c>
      <c r="J360" s="42" t="s">
        <v>60</v>
      </c>
    </row>
    <row r="361" spans="1:10" x14ac:dyDescent="0.3">
      <c r="A361" s="42" t="s">
        <v>343</v>
      </c>
      <c r="B361" s="43">
        <v>45726</v>
      </c>
      <c r="C361" s="42" t="s">
        <v>28</v>
      </c>
      <c r="D361" s="42" t="s">
        <v>29</v>
      </c>
      <c r="E361" s="42" t="s">
        <v>20</v>
      </c>
      <c r="F361" s="42">
        <v>38</v>
      </c>
      <c r="G361" s="44">
        <v>450000</v>
      </c>
      <c r="H361" s="44">
        <v>17100000</v>
      </c>
      <c r="I361" s="42" t="s">
        <v>2838</v>
      </c>
      <c r="J361" s="42" t="s">
        <v>47</v>
      </c>
    </row>
    <row r="362" spans="1:10" x14ac:dyDescent="0.3">
      <c r="A362" s="42" t="s">
        <v>363</v>
      </c>
      <c r="B362" s="43">
        <v>45726</v>
      </c>
      <c r="C362" s="42" t="s">
        <v>44</v>
      </c>
      <c r="D362" s="42" t="s">
        <v>45</v>
      </c>
      <c r="E362" s="42" t="s">
        <v>16</v>
      </c>
      <c r="F362" s="42">
        <v>17</v>
      </c>
      <c r="G362" s="44">
        <v>250000</v>
      </c>
      <c r="H362" s="44">
        <v>4250000</v>
      </c>
      <c r="I362" s="42" t="s">
        <v>2458</v>
      </c>
      <c r="J362" s="42" t="s">
        <v>8</v>
      </c>
    </row>
    <row r="363" spans="1:10" x14ac:dyDescent="0.3">
      <c r="A363" s="42" t="s">
        <v>383</v>
      </c>
      <c r="B363" s="43">
        <v>45726</v>
      </c>
      <c r="C363" s="42" t="s">
        <v>14</v>
      </c>
      <c r="D363" s="42" t="s">
        <v>15</v>
      </c>
      <c r="E363" s="42" t="s">
        <v>16</v>
      </c>
      <c r="F363" s="42">
        <v>370</v>
      </c>
      <c r="G363" s="44">
        <v>350000</v>
      </c>
      <c r="H363" s="44">
        <v>129500000</v>
      </c>
      <c r="I363" s="42" t="s">
        <v>2184</v>
      </c>
      <c r="J363" s="42" t="s">
        <v>127</v>
      </c>
    </row>
    <row r="364" spans="1:10" x14ac:dyDescent="0.3">
      <c r="A364" s="42" t="s">
        <v>384</v>
      </c>
      <c r="B364" s="43">
        <v>45726</v>
      </c>
      <c r="C364" s="42" t="s">
        <v>14</v>
      </c>
      <c r="D364" s="42" t="s">
        <v>15</v>
      </c>
      <c r="E364" s="42" t="s">
        <v>16</v>
      </c>
      <c r="F364" s="42">
        <v>50</v>
      </c>
      <c r="G364" s="44">
        <v>350000</v>
      </c>
      <c r="H364" s="44">
        <v>17500000</v>
      </c>
      <c r="I364" s="42" t="s">
        <v>2646</v>
      </c>
      <c r="J364" s="42" t="s">
        <v>60</v>
      </c>
    </row>
    <row r="365" spans="1:10" x14ac:dyDescent="0.3">
      <c r="A365" s="42" t="s">
        <v>385</v>
      </c>
      <c r="B365" s="43">
        <v>45726</v>
      </c>
      <c r="C365" s="42" t="s">
        <v>31</v>
      </c>
      <c r="D365" s="42" t="s">
        <v>32</v>
      </c>
      <c r="E365" s="42" t="s">
        <v>20</v>
      </c>
      <c r="F365" s="42">
        <v>23</v>
      </c>
      <c r="G365" s="44">
        <v>180000</v>
      </c>
      <c r="H365" s="44">
        <v>4140000</v>
      </c>
      <c r="I365" s="42" t="s">
        <v>2630</v>
      </c>
      <c r="J365" s="42" t="s">
        <v>8</v>
      </c>
    </row>
    <row r="366" spans="1:10" x14ac:dyDescent="0.3">
      <c r="A366" s="42" t="s">
        <v>386</v>
      </c>
      <c r="B366" s="43">
        <v>45726</v>
      </c>
      <c r="C366" s="42" t="s">
        <v>44</v>
      </c>
      <c r="D366" s="42" t="s">
        <v>45</v>
      </c>
      <c r="E366" s="42" t="s">
        <v>16</v>
      </c>
      <c r="F366" s="42">
        <v>27</v>
      </c>
      <c r="G366" s="44">
        <v>250000</v>
      </c>
      <c r="H366" s="44">
        <v>6750000</v>
      </c>
      <c r="I366" s="42" t="s">
        <v>2705</v>
      </c>
      <c r="J366" s="42" t="s">
        <v>69</v>
      </c>
    </row>
    <row r="367" spans="1:10" x14ac:dyDescent="0.3">
      <c r="A367" s="42" t="s">
        <v>422</v>
      </c>
      <c r="B367" s="43">
        <v>45726</v>
      </c>
      <c r="C367" s="42" t="s">
        <v>31</v>
      </c>
      <c r="D367" s="42" t="s">
        <v>32</v>
      </c>
      <c r="E367" s="42" t="s">
        <v>20</v>
      </c>
      <c r="F367" s="42">
        <v>450</v>
      </c>
      <c r="G367" s="44">
        <v>180000</v>
      </c>
      <c r="H367" s="44">
        <v>81000000</v>
      </c>
      <c r="I367" s="42" t="s">
        <v>2169</v>
      </c>
      <c r="J367" s="42" t="s">
        <v>127</v>
      </c>
    </row>
    <row r="368" spans="1:10" x14ac:dyDescent="0.3">
      <c r="A368" s="42" t="s">
        <v>445</v>
      </c>
      <c r="B368" s="43">
        <v>45726</v>
      </c>
      <c r="C368" s="42" t="s">
        <v>14</v>
      </c>
      <c r="D368" s="42" t="s">
        <v>15</v>
      </c>
      <c r="E368" s="42" t="s">
        <v>16</v>
      </c>
      <c r="F368" s="42">
        <v>34</v>
      </c>
      <c r="G368" s="44">
        <v>350000</v>
      </c>
      <c r="H368" s="44">
        <v>11900000</v>
      </c>
      <c r="I368" s="42" t="s">
        <v>2697</v>
      </c>
      <c r="J368" s="42" t="s">
        <v>8</v>
      </c>
    </row>
    <row r="369" spans="1:10" x14ac:dyDescent="0.3">
      <c r="A369" s="42" t="s">
        <v>446</v>
      </c>
      <c r="B369" s="43">
        <v>45727</v>
      </c>
      <c r="C369" s="42" t="s">
        <v>22</v>
      </c>
      <c r="D369" s="42" t="s">
        <v>23</v>
      </c>
      <c r="E369" s="42" t="s">
        <v>12</v>
      </c>
      <c r="F369" s="42">
        <v>26</v>
      </c>
      <c r="G369" s="44">
        <v>25000</v>
      </c>
      <c r="H369" s="44">
        <v>650000</v>
      </c>
      <c r="I369" s="42" t="s">
        <v>2629</v>
      </c>
      <c r="J369" s="42" t="s">
        <v>8</v>
      </c>
    </row>
    <row r="370" spans="1:10" x14ac:dyDescent="0.3">
      <c r="A370" s="42" t="s">
        <v>465</v>
      </c>
      <c r="B370" s="43">
        <v>45727</v>
      </c>
      <c r="C370" s="42" t="s">
        <v>44</v>
      </c>
      <c r="D370" s="42" t="s">
        <v>45</v>
      </c>
      <c r="E370" s="42" t="s">
        <v>16</v>
      </c>
      <c r="F370" s="42">
        <v>36</v>
      </c>
      <c r="G370" s="44">
        <v>250000</v>
      </c>
      <c r="H370" s="44">
        <v>9000000</v>
      </c>
      <c r="I370" s="42" t="s">
        <v>216</v>
      </c>
      <c r="J370" s="42" t="s">
        <v>69</v>
      </c>
    </row>
    <row r="371" spans="1:10" x14ac:dyDescent="0.3">
      <c r="A371" s="42" t="s">
        <v>466</v>
      </c>
      <c r="B371" s="43">
        <v>45727</v>
      </c>
      <c r="C371" s="42" t="s">
        <v>28</v>
      </c>
      <c r="D371" s="42" t="s">
        <v>29</v>
      </c>
      <c r="E371" s="42" t="s">
        <v>20</v>
      </c>
      <c r="F371" s="42">
        <v>36</v>
      </c>
      <c r="G371" s="44">
        <v>450000</v>
      </c>
      <c r="H371" s="44">
        <v>16200000</v>
      </c>
      <c r="I371" s="42" t="s">
        <v>2722</v>
      </c>
      <c r="J371" s="42" t="s">
        <v>8</v>
      </c>
    </row>
    <row r="372" spans="1:10" x14ac:dyDescent="0.3">
      <c r="A372" s="42" t="s">
        <v>467</v>
      </c>
      <c r="B372" s="43">
        <v>45727</v>
      </c>
      <c r="C372" s="42" t="s">
        <v>44</v>
      </c>
      <c r="D372" s="42" t="s">
        <v>45</v>
      </c>
      <c r="E372" s="42" t="s">
        <v>16</v>
      </c>
      <c r="F372" s="42">
        <v>23</v>
      </c>
      <c r="G372" s="44">
        <v>250000</v>
      </c>
      <c r="H372" s="44">
        <v>5750000</v>
      </c>
      <c r="I372" s="42" t="s">
        <v>2256</v>
      </c>
      <c r="J372" s="42" t="s">
        <v>60</v>
      </c>
    </row>
    <row r="373" spans="1:10" x14ac:dyDescent="0.3">
      <c r="A373" s="42" t="s">
        <v>468</v>
      </c>
      <c r="B373" s="43">
        <v>45727</v>
      </c>
      <c r="C373" s="42" t="s">
        <v>18</v>
      </c>
      <c r="D373" s="42" t="s">
        <v>19</v>
      </c>
      <c r="E373" s="42" t="s">
        <v>20</v>
      </c>
      <c r="F373" s="42">
        <v>40</v>
      </c>
      <c r="G373" s="44">
        <v>500000</v>
      </c>
      <c r="H373" s="44">
        <v>20000000</v>
      </c>
      <c r="I373" s="42" t="s">
        <v>2173</v>
      </c>
      <c r="J373" s="42" t="s">
        <v>8</v>
      </c>
    </row>
    <row r="374" spans="1:10" x14ac:dyDescent="0.3">
      <c r="A374" s="42" t="s">
        <v>488</v>
      </c>
      <c r="B374" s="43">
        <v>45727</v>
      </c>
      <c r="C374" s="42" t="s">
        <v>22</v>
      </c>
      <c r="D374" s="42" t="s">
        <v>23</v>
      </c>
      <c r="E374" s="42" t="s">
        <v>12</v>
      </c>
      <c r="F374" s="42">
        <v>39</v>
      </c>
      <c r="G374" s="44">
        <v>25000</v>
      </c>
      <c r="H374" s="44">
        <v>975000</v>
      </c>
      <c r="I374" s="42" t="s">
        <v>2554</v>
      </c>
      <c r="J374" s="42" t="s">
        <v>127</v>
      </c>
    </row>
    <row r="375" spans="1:10" x14ac:dyDescent="0.3">
      <c r="A375" s="42" t="s">
        <v>489</v>
      </c>
      <c r="B375" s="43">
        <v>45727</v>
      </c>
      <c r="C375" s="42" t="s">
        <v>10</v>
      </c>
      <c r="D375" s="42" t="s">
        <v>11</v>
      </c>
      <c r="E375" s="42" t="s">
        <v>12</v>
      </c>
      <c r="F375" s="42">
        <v>40</v>
      </c>
      <c r="G375" s="44">
        <v>120000</v>
      </c>
      <c r="H375" s="44">
        <v>4800000</v>
      </c>
      <c r="I375" s="42" t="s">
        <v>2141</v>
      </c>
      <c r="J375" s="42" t="s">
        <v>8</v>
      </c>
    </row>
    <row r="376" spans="1:10" x14ac:dyDescent="0.3">
      <c r="A376" s="42" t="s">
        <v>513</v>
      </c>
      <c r="B376" s="43">
        <v>45727</v>
      </c>
      <c r="C376" s="42" t="s">
        <v>28</v>
      </c>
      <c r="D376" s="42" t="s">
        <v>29</v>
      </c>
      <c r="E376" s="42" t="s">
        <v>20</v>
      </c>
      <c r="F376" s="42">
        <v>34</v>
      </c>
      <c r="G376" s="44">
        <v>450000</v>
      </c>
      <c r="H376" s="44">
        <v>15300000</v>
      </c>
      <c r="I376" s="42" t="s">
        <v>2681</v>
      </c>
      <c r="J376" s="42" t="s">
        <v>47</v>
      </c>
    </row>
    <row r="377" spans="1:10" x14ac:dyDescent="0.3">
      <c r="A377" s="42" t="s">
        <v>514</v>
      </c>
      <c r="B377" s="43">
        <v>45727</v>
      </c>
      <c r="C377" s="42" t="s">
        <v>40</v>
      </c>
      <c r="D377" s="42" t="s">
        <v>41</v>
      </c>
      <c r="E377" s="42" t="s">
        <v>16</v>
      </c>
      <c r="F377" s="42">
        <v>20</v>
      </c>
      <c r="G377" s="44">
        <v>950000</v>
      </c>
      <c r="H377" s="44">
        <v>19000000</v>
      </c>
      <c r="I377" s="42" t="s">
        <v>117</v>
      </c>
      <c r="J377" s="42" t="s">
        <v>47</v>
      </c>
    </row>
    <row r="378" spans="1:10" x14ac:dyDescent="0.3">
      <c r="A378" s="42" t="s">
        <v>537</v>
      </c>
      <c r="B378" s="43">
        <v>45727</v>
      </c>
      <c r="C378" s="42" t="s">
        <v>28</v>
      </c>
      <c r="D378" s="42" t="s">
        <v>29</v>
      </c>
      <c r="E378" s="42" t="s">
        <v>20</v>
      </c>
      <c r="F378" s="42">
        <v>15</v>
      </c>
      <c r="G378" s="44">
        <v>450000</v>
      </c>
      <c r="H378" s="44">
        <v>6750000</v>
      </c>
      <c r="I378" s="42" t="s">
        <v>229</v>
      </c>
      <c r="J378" s="42" t="s">
        <v>8</v>
      </c>
    </row>
    <row r="379" spans="1:10" x14ac:dyDescent="0.3">
      <c r="A379" s="42" t="s">
        <v>538</v>
      </c>
      <c r="B379" s="43">
        <v>45727</v>
      </c>
      <c r="C379" s="42" t="s">
        <v>28</v>
      </c>
      <c r="D379" s="42" t="s">
        <v>29</v>
      </c>
      <c r="E379" s="42" t="s">
        <v>20</v>
      </c>
      <c r="F379" s="42">
        <v>30</v>
      </c>
      <c r="G379" s="44">
        <v>450000</v>
      </c>
      <c r="H379" s="44">
        <v>13500000</v>
      </c>
      <c r="I379" s="42" t="s">
        <v>2461</v>
      </c>
      <c r="J379" s="42" t="s">
        <v>69</v>
      </c>
    </row>
    <row r="380" spans="1:10" x14ac:dyDescent="0.3">
      <c r="A380" s="42" t="s">
        <v>539</v>
      </c>
      <c r="B380" s="43">
        <v>45728</v>
      </c>
      <c r="C380" s="42" t="s">
        <v>10</v>
      </c>
      <c r="D380" s="42" t="s">
        <v>11</v>
      </c>
      <c r="E380" s="42" t="s">
        <v>12</v>
      </c>
      <c r="F380" s="42">
        <v>430</v>
      </c>
      <c r="G380" s="44">
        <v>120000</v>
      </c>
      <c r="H380" s="44">
        <v>51600000</v>
      </c>
      <c r="I380" s="42" t="s">
        <v>2233</v>
      </c>
      <c r="J380" s="42" t="s">
        <v>8</v>
      </c>
    </row>
    <row r="381" spans="1:10" x14ac:dyDescent="0.3">
      <c r="A381" s="42" t="s">
        <v>540</v>
      </c>
      <c r="B381" s="43">
        <v>45728</v>
      </c>
      <c r="C381" s="42" t="s">
        <v>18</v>
      </c>
      <c r="D381" s="42" t="s">
        <v>19</v>
      </c>
      <c r="E381" s="42" t="s">
        <v>20</v>
      </c>
      <c r="F381" s="42">
        <v>29</v>
      </c>
      <c r="G381" s="44">
        <v>500000</v>
      </c>
      <c r="H381" s="44">
        <v>14500000</v>
      </c>
      <c r="I381" s="42" t="s">
        <v>2518</v>
      </c>
      <c r="J381" s="42" t="s">
        <v>60</v>
      </c>
    </row>
    <row r="382" spans="1:10" x14ac:dyDescent="0.3">
      <c r="A382" s="42" t="s">
        <v>561</v>
      </c>
      <c r="B382" s="43">
        <v>45728</v>
      </c>
      <c r="C382" s="42" t="s">
        <v>28</v>
      </c>
      <c r="D382" s="42" t="s">
        <v>29</v>
      </c>
      <c r="E382" s="42" t="s">
        <v>20</v>
      </c>
      <c r="F382" s="42">
        <v>30</v>
      </c>
      <c r="G382" s="44">
        <v>450000</v>
      </c>
      <c r="H382" s="44">
        <v>13500000</v>
      </c>
      <c r="I382" s="42" t="s">
        <v>2443</v>
      </c>
      <c r="J382" s="42" t="s">
        <v>8</v>
      </c>
    </row>
    <row r="383" spans="1:10" x14ac:dyDescent="0.3">
      <c r="A383" s="42" t="s">
        <v>562</v>
      </c>
      <c r="B383" s="43">
        <v>45728</v>
      </c>
      <c r="C383" s="42" t="s">
        <v>18</v>
      </c>
      <c r="D383" s="42" t="s">
        <v>19</v>
      </c>
      <c r="E383" s="42" t="s">
        <v>20</v>
      </c>
      <c r="F383" s="42">
        <v>29</v>
      </c>
      <c r="G383" s="44">
        <v>500000</v>
      </c>
      <c r="H383" s="44">
        <v>14500000</v>
      </c>
      <c r="I383" s="42" t="s">
        <v>2572</v>
      </c>
      <c r="J383" s="42" t="s">
        <v>8</v>
      </c>
    </row>
    <row r="384" spans="1:10" x14ac:dyDescent="0.3">
      <c r="A384" s="42" t="s">
        <v>578</v>
      </c>
      <c r="B384" s="43">
        <v>45728</v>
      </c>
      <c r="C384" s="42" t="s">
        <v>10</v>
      </c>
      <c r="D384" s="42" t="s">
        <v>11</v>
      </c>
      <c r="E384" s="42" t="s">
        <v>12</v>
      </c>
      <c r="F384" s="42">
        <v>32</v>
      </c>
      <c r="G384" s="44">
        <v>120000</v>
      </c>
      <c r="H384" s="44">
        <v>3840000</v>
      </c>
      <c r="I384" s="42" t="s">
        <v>2667</v>
      </c>
      <c r="J384" s="42" t="s">
        <v>8</v>
      </c>
    </row>
    <row r="385" spans="1:10" x14ac:dyDescent="0.3">
      <c r="A385" s="42" t="s">
        <v>579</v>
      </c>
      <c r="B385" s="43">
        <v>45728</v>
      </c>
      <c r="C385" s="42" t="s">
        <v>10</v>
      </c>
      <c r="D385" s="42" t="s">
        <v>11</v>
      </c>
      <c r="E385" s="42" t="s">
        <v>12</v>
      </c>
      <c r="F385" s="42">
        <v>31</v>
      </c>
      <c r="G385" s="44">
        <v>120000</v>
      </c>
      <c r="H385" s="44">
        <v>3720000</v>
      </c>
      <c r="I385" s="42" t="s">
        <v>2420</v>
      </c>
      <c r="J385" s="42" t="s">
        <v>127</v>
      </c>
    </row>
    <row r="386" spans="1:10" x14ac:dyDescent="0.3">
      <c r="A386" s="42" t="s">
        <v>598</v>
      </c>
      <c r="B386" s="43">
        <v>45728</v>
      </c>
      <c r="C386" s="42" t="s">
        <v>40</v>
      </c>
      <c r="D386" s="42" t="s">
        <v>41</v>
      </c>
      <c r="E386" s="42" t="s">
        <v>16</v>
      </c>
      <c r="F386" s="42">
        <v>6</v>
      </c>
      <c r="G386" s="44">
        <v>950000</v>
      </c>
      <c r="H386" s="44">
        <v>5700000</v>
      </c>
      <c r="I386" s="42" t="s">
        <v>2333</v>
      </c>
      <c r="J386" s="42" t="s">
        <v>60</v>
      </c>
    </row>
    <row r="387" spans="1:10" x14ac:dyDescent="0.3">
      <c r="A387" s="42" t="s">
        <v>599</v>
      </c>
      <c r="B387" s="43">
        <v>45728</v>
      </c>
      <c r="C387" s="42" t="s">
        <v>28</v>
      </c>
      <c r="D387" s="42" t="s">
        <v>29</v>
      </c>
      <c r="E387" s="42" t="s">
        <v>20</v>
      </c>
      <c r="F387" s="42">
        <v>37</v>
      </c>
      <c r="G387" s="44">
        <v>450000</v>
      </c>
      <c r="H387" s="44">
        <v>16650000</v>
      </c>
      <c r="I387" s="42" t="s">
        <v>2749</v>
      </c>
      <c r="J387" s="42" t="s">
        <v>47</v>
      </c>
    </row>
    <row r="388" spans="1:10" x14ac:dyDescent="0.3">
      <c r="A388" s="42" t="s">
        <v>617</v>
      </c>
      <c r="B388" s="43">
        <v>45728</v>
      </c>
      <c r="C388" s="42" t="s">
        <v>18</v>
      </c>
      <c r="D388" s="42" t="s">
        <v>19</v>
      </c>
      <c r="E388" s="42" t="s">
        <v>20</v>
      </c>
      <c r="F388" s="42">
        <v>49</v>
      </c>
      <c r="G388" s="44">
        <v>500000</v>
      </c>
      <c r="H388" s="44">
        <v>24500000</v>
      </c>
      <c r="I388" s="42" t="s">
        <v>2557</v>
      </c>
      <c r="J388" s="42" t="s">
        <v>127</v>
      </c>
    </row>
    <row r="389" spans="1:10" x14ac:dyDescent="0.3">
      <c r="A389" s="42" t="s">
        <v>618</v>
      </c>
      <c r="B389" s="43">
        <v>45728</v>
      </c>
      <c r="C389" s="42" t="s">
        <v>22</v>
      </c>
      <c r="D389" s="42" t="s">
        <v>23</v>
      </c>
      <c r="E389" s="42" t="s">
        <v>12</v>
      </c>
      <c r="F389" s="42">
        <v>24</v>
      </c>
      <c r="G389" s="44">
        <v>25000</v>
      </c>
      <c r="H389" s="44">
        <v>600000</v>
      </c>
      <c r="I389" s="42" t="s">
        <v>2053</v>
      </c>
      <c r="J389" s="42" t="s">
        <v>8</v>
      </c>
    </row>
    <row r="390" spans="1:10" x14ac:dyDescent="0.3">
      <c r="A390" s="42" t="s">
        <v>619</v>
      </c>
      <c r="B390" s="43">
        <v>45728</v>
      </c>
      <c r="C390" s="42" t="s">
        <v>22</v>
      </c>
      <c r="D390" s="42" t="s">
        <v>23</v>
      </c>
      <c r="E390" s="42" t="s">
        <v>12</v>
      </c>
      <c r="F390" s="42">
        <v>17</v>
      </c>
      <c r="G390" s="44">
        <v>25000</v>
      </c>
      <c r="H390" s="44">
        <v>425000</v>
      </c>
      <c r="I390" s="42" t="s">
        <v>2780</v>
      </c>
      <c r="J390" s="42" t="s">
        <v>127</v>
      </c>
    </row>
    <row r="391" spans="1:10" x14ac:dyDescent="0.3">
      <c r="A391" s="42" t="s">
        <v>620</v>
      </c>
      <c r="B391" s="43">
        <v>45728</v>
      </c>
      <c r="C391" s="42" t="s">
        <v>18</v>
      </c>
      <c r="D391" s="42" t="s">
        <v>19</v>
      </c>
      <c r="E391" s="42" t="s">
        <v>20</v>
      </c>
      <c r="F391" s="42">
        <v>46</v>
      </c>
      <c r="G391" s="44">
        <v>500000</v>
      </c>
      <c r="H391" s="44">
        <v>23000000</v>
      </c>
      <c r="I391" s="42" t="s">
        <v>2530</v>
      </c>
      <c r="J391" s="42" t="s">
        <v>127</v>
      </c>
    </row>
    <row r="392" spans="1:10" x14ac:dyDescent="0.3">
      <c r="A392" s="42" t="s">
        <v>621</v>
      </c>
      <c r="B392" s="43">
        <v>45729</v>
      </c>
      <c r="C392" s="42" t="s">
        <v>38</v>
      </c>
      <c r="D392" s="42" t="s">
        <v>39</v>
      </c>
      <c r="E392" s="42" t="s">
        <v>16</v>
      </c>
      <c r="F392" s="42">
        <v>35</v>
      </c>
      <c r="G392" s="44">
        <v>200000</v>
      </c>
      <c r="H392" s="44">
        <v>7000000</v>
      </c>
      <c r="I392" s="42" t="s">
        <v>2723</v>
      </c>
      <c r="J392" s="42" t="s">
        <v>8</v>
      </c>
    </row>
    <row r="393" spans="1:10" x14ac:dyDescent="0.3">
      <c r="A393" s="42" t="s">
        <v>622</v>
      </c>
      <c r="B393" s="43">
        <v>45729</v>
      </c>
      <c r="C393" s="42" t="s">
        <v>18</v>
      </c>
      <c r="D393" s="42" t="s">
        <v>19</v>
      </c>
      <c r="E393" s="42" t="s">
        <v>20</v>
      </c>
      <c r="F393" s="42">
        <v>11</v>
      </c>
      <c r="G393" s="44">
        <v>500000</v>
      </c>
      <c r="H393" s="44">
        <v>5500000</v>
      </c>
      <c r="I393" s="42" t="s">
        <v>2788</v>
      </c>
      <c r="J393" s="42" t="s">
        <v>69</v>
      </c>
    </row>
    <row r="394" spans="1:10" x14ac:dyDescent="0.3">
      <c r="A394" s="42" t="s">
        <v>644</v>
      </c>
      <c r="B394" s="43">
        <v>45729</v>
      </c>
      <c r="C394" s="42" t="s">
        <v>42</v>
      </c>
      <c r="D394" s="42" t="s">
        <v>43</v>
      </c>
      <c r="E394" s="42" t="s">
        <v>16</v>
      </c>
      <c r="F394" s="42">
        <v>55</v>
      </c>
      <c r="G394" s="44">
        <v>1200000</v>
      </c>
      <c r="H394" s="44">
        <v>66000000</v>
      </c>
      <c r="I394" s="42" t="s">
        <v>2563</v>
      </c>
      <c r="J394" s="42" t="s">
        <v>47</v>
      </c>
    </row>
    <row r="395" spans="1:10" x14ac:dyDescent="0.3">
      <c r="A395" s="42" t="s">
        <v>645</v>
      </c>
      <c r="B395" s="43">
        <v>45729</v>
      </c>
      <c r="C395" s="42" t="s">
        <v>40</v>
      </c>
      <c r="D395" s="42" t="s">
        <v>41</v>
      </c>
      <c r="E395" s="42" t="s">
        <v>16</v>
      </c>
      <c r="F395" s="42">
        <v>9</v>
      </c>
      <c r="G395" s="44">
        <v>950000</v>
      </c>
      <c r="H395" s="44">
        <v>8550000</v>
      </c>
      <c r="I395" s="42" t="s">
        <v>2134</v>
      </c>
      <c r="J395" s="42" t="s">
        <v>8</v>
      </c>
    </row>
    <row r="396" spans="1:10" x14ac:dyDescent="0.3">
      <c r="A396" s="42" t="s">
        <v>646</v>
      </c>
      <c r="B396" s="43">
        <v>45729</v>
      </c>
      <c r="C396" s="42" t="s">
        <v>42</v>
      </c>
      <c r="D396" s="42" t="s">
        <v>43</v>
      </c>
      <c r="E396" s="42" t="s">
        <v>16</v>
      </c>
      <c r="F396" s="42">
        <v>24</v>
      </c>
      <c r="G396" s="44">
        <v>1200000</v>
      </c>
      <c r="H396" s="44">
        <v>28800000</v>
      </c>
      <c r="I396" s="42" t="s">
        <v>2487</v>
      </c>
      <c r="J396" s="42" t="s">
        <v>47</v>
      </c>
    </row>
    <row r="397" spans="1:10" x14ac:dyDescent="0.3">
      <c r="A397" s="42" t="s">
        <v>647</v>
      </c>
      <c r="B397" s="43">
        <v>45729</v>
      </c>
      <c r="C397" s="42" t="s">
        <v>28</v>
      </c>
      <c r="D397" s="42" t="s">
        <v>29</v>
      </c>
      <c r="E397" s="42" t="s">
        <v>20</v>
      </c>
      <c r="F397" s="42">
        <v>32</v>
      </c>
      <c r="G397" s="44">
        <v>450000</v>
      </c>
      <c r="H397" s="44">
        <v>14400000</v>
      </c>
      <c r="I397" s="42" t="s">
        <v>2647</v>
      </c>
      <c r="J397" s="42" t="s">
        <v>8</v>
      </c>
    </row>
    <row r="398" spans="1:10" x14ac:dyDescent="0.3">
      <c r="A398" s="42" t="s">
        <v>648</v>
      </c>
      <c r="B398" s="43">
        <v>45729</v>
      </c>
      <c r="C398" s="42" t="s">
        <v>22</v>
      </c>
      <c r="D398" s="42" t="s">
        <v>23</v>
      </c>
      <c r="E398" s="42" t="s">
        <v>12</v>
      </c>
      <c r="F398" s="42">
        <v>28</v>
      </c>
      <c r="G398" s="44">
        <v>25000</v>
      </c>
      <c r="H398" s="44">
        <v>700000</v>
      </c>
      <c r="I398" s="42" t="s">
        <v>2679</v>
      </c>
      <c r="J398" s="42" t="s">
        <v>69</v>
      </c>
    </row>
    <row r="399" spans="1:10" x14ac:dyDescent="0.3">
      <c r="A399" s="42" t="s">
        <v>649</v>
      </c>
      <c r="B399" s="43">
        <v>45729</v>
      </c>
      <c r="C399" s="42" t="s">
        <v>42</v>
      </c>
      <c r="D399" s="42" t="s">
        <v>43</v>
      </c>
      <c r="E399" s="42" t="s">
        <v>16</v>
      </c>
      <c r="F399" s="42">
        <v>80</v>
      </c>
      <c r="G399" s="44">
        <v>1200000</v>
      </c>
      <c r="H399" s="44">
        <v>96000000</v>
      </c>
      <c r="I399" s="42" t="s">
        <v>2688</v>
      </c>
      <c r="J399" s="42" t="s">
        <v>60</v>
      </c>
    </row>
    <row r="400" spans="1:10" x14ac:dyDescent="0.3">
      <c r="A400" s="42" t="s">
        <v>650</v>
      </c>
      <c r="B400" s="43">
        <v>45729</v>
      </c>
      <c r="C400" s="42" t="s">
        <v>28</v>
      </c>
      <c r="D400" s="42" t="s">
        <v>29</v>
      </c>
      <c r="E400" s="42" t="s">
        <v>20</v>
      </c>
      <c r="F400" s="42">
        <v>22</v>
      </c>
      <c r="G400" s="44">
        <v>450000</v>
      </c>
      <c r="H400" s="44">
        <v>9900000</v>
      </c>
      <c r="I400" s="42" t="s">
        <v>2337</v>
      </c>
      <c r="J400" s="42" t="s">
        <v>127</v>
      </c>
    </row>
    <row r="401" spans="1:10" x14ac:dyDescent="0.3">
      <c r="A401" s="42" t="s">
        <v>677</v>
      </c>
      <c r="B401" s="43">
        <v>45729</v>
      </c>
      <c r="C401" s="42" t="s">
        <v>42</v>
      </c>
      <c r="D401" s="42" t="s">
        <v>43</v>
      </c>
      <c r="E401" s="42" t="s">
        <v>16</v>
      </c>
      <c r="F401" s="42">
        <v>47</v>
      </c>
      <c r="G401" s="44">
        <v>1200000</v>
      </c>
      <c r="H401" s="44">
        <v>56400000</v>
      </c>
      <c r="I401" s="42" t="s">
        <v>287</v>
      </c>
      <c r="J401" s="42" t="s">
        <v>69</v>
      </c>
    </row>
    <row r="402" spans="1:10" x14ac:dyDescent="0.3">
      <c r="A402" s="42" t="s">
        <v>678</v>
      </c>
      <c r="B402" s="43">
        <v>45729</v>
      </c>
      <c r="C402" s="42" t="s">
        <v>22</v>
      </c>
      <c r="D402" s="42" t="s">
        <v>23</v>
      </c>
      <c r="E402" s="42" t="s">
        <v>12</v>
      </c>
      <c r="F402" s="42">
        <v>250</v>
      </c>
      <c r="G402" s="44">
        <v>25000</v>
      </c>
      <c r="H402" s="44">
        <v>6250000</v>
      </c>
      <c r="I402" s="42" t="s">
        <v>2432</v>
      </c>
      <c r="J402" s="42" t="s">
        <v>8</v>
      </c>
    </row>
    <row r="403" spans="1:10" x14ac:dyDescent="0.3">
      <c r="A403" s="42" t="s">
        <v>679</v>
      </c>
      <c r="B403" s="43">
        <v>45729</v>
      </c>
      <c r="C403" s="42" t="s">
        <v>38</v>
      </c>
      <c r="D403" s="42" t="s">
        <v>39</v>
      </c>
      <c r="E403" s="42" t="s">
        <v>16</v>
      </c>
      <c r="F403" s="42">
        <v>16</v>
      </c>
      <c r="G403" s="44">
        <v>200000</v>
      </c>
      <c r="H403" s="44">
        <v>3200000</v>
      </c>
      <c r="I403" s="42" t="s">
        <v>2757</v>
      </c>
      <c r="J403" s="42" t="s">
        <v>127</v>
      </c>
    </row>
    <row r="404" spans="1:10" x14ac:dyDescent="0.3">
      <c r="A404" s="42" t="s">
        <v>680</v>
      </c>
      <c r="B404" s="43">
        <v>45729</v>
      </c>
      <c r="C404" s="42" t="s">
        <v>42</v>
      </c>
      <c r="D404" s="42" t="s">
        <v>43</v>
      </c>
      <c r="E404" s="42" t="s">
        <v>16</v>
      </c>
      <c r="F404" s="42">
        <v>21</v>
      </c>
      <c r="G404" s="44">
        <v>1200000</v>
      </c>
      <c r="H404" s="44">
        <v>25200000</v>
      </c>
      <c r="I404" s="42" t="s">
        <v>863</v>
      </c>
      <c r="J404" s="42" t="s">
        <v>69</v>
      </c>
    </row>
    <row r="405" spans="1:10" x14ac:dyDescent="0.3">
      <c r="A405" s="42" t="s">
        <v>696</v>
      </c>
      <c r="B405" s="43">
        <v>45730</v>
      </c>
      <c r="C405" s="42" t="s">
        <v>18</v>
      </c>
      <c r="D405" s="42" t="s">
        <v>19</v>
      </c>
      <c r="E405" s="42" t="s">
        <v>20</v>
      </c>
      <c r="F405" s="42">
        <v>14</v>
      </c>
      <c r="G405" s="44">
        <v>500000</v>
      </c>
      <c r="H405" s="44">
        <v>7000000</v>
      </c>
      <c r="I405" s="42" t="s">
        <v>2796</v>
      </c>
      <c r="J405" s="42" t="s">
        <v>127</v>
      </c>
    </row>
    <row r="406" spans="1:10" x14ac:dyDescent="0.3">
      <c r="A406" s="42" t="s">
        <v>714</v>
      </c>
      <c r="B406" s="43">
        <v>45730</v>
      </c>
      <c r="C406" s="42" t="s">
        <v>40</v>
      </c>
      <c r="D406" s="42" t="s">
        <v>41</v>
      </c>
      <c r="E406" s="42" t="s">
        <v>16</v>
      </c>
      <c r="F406" s="42">
        <v>12</v>
      </c>
      <c r="G406" s="44">
        <v>950000</v>
      </c>
      <c r="H406" s="44">
        <v>11400000</v>
      </c>
      <c r="I406" s="42" t="s">
        <v>2570</v>
      </c>
      <c r="J406" s="42" t="s">
        <v>8</v>
      </c>
    </row>
    <row r="407" spans="1:10" x14ac:dyDescent="0.3">
      <c r="A407" s="42" t="s">
        <v>715</v>
      </c>
      <c r="B407" s="43">
        <v>45730</v>
      </c>
      <c r="C407" s="42" t="s">
        <v>40</v>
      </c>
      <c r="D407" s="42" t="s">
        <v>41</v>
      </c>
      <c r="E407" s="42" t="s">
        <v>16</v>
      </c>
      <c r="F407" s="42">
        <v>12</v>
      </c>
      <c r="G407" s="44">
        <v>950000</v>
      </c>
      <c r="H407" s="44">
        <v>11400000</v>
      </c>
      <c r="I407" s="42" t="s">
        <v>2569</v>
      </c>
      <c r="J407" s="42" t="s">
        <v>127</v>
      </c>
    </row>
    <row r="408" spans="1:10" x14ac:dyDescent="0.3">
      <c r="A408" s="42" t="s">
        <v>716</v>
      </c>
      <c r="B408" s="43">
        <v>45730</v>
      </c>
      <c r="C408" s="42" t="s">
        <v>10</v>
      </c>
      <c r="D408" s="42" t="s">
        <v>11</v>
      </c>
      <c r="E408" s="42" t="s">
        <v>12</v>
      </c>
      <c r="F408" s="42">
        <v>38</v>
      </c>
      <c r="G408" s="44">
        <v>120000</v>
      </c>
      <c r="H408" s="44">
        <v>4560000</v>
      </c>
      <c r="I408" s="42" t="s">
        <v>2434</v>
      </c>
      <c r="J408" s="42" t="s">
        <v>47</v>
      </c>
    </row>
    <row r="409" spans="1:10" x14ac:dyDescent="0.3">
      <c r="A409" s="42" t="s">
        <v>730</v>
      </c>
      <c r="B409" s="43">
        <v>45730</v>
      </c>
      <c r="C409" s="42" t="s">
        <v>31</v>
      </c>
      <c r="D409" s="42" t="s">
        <v>32</v>
      </c>
      <c r="E409" s="42" t="s">
        <v>20</v>
      </c>
      <c r="F409" s="42">
        <v>36</v>
      </c>
      <c r="G409" s="44">
        <v>180000</v>
      </c>
      <c r="H409" s="44">
        <v>6480000</v>
      </c>
      <c r="I409" s="42" t="s">
        <v>2673</v>
      </c>
      <c r="J409" s="42" t="s">
        <v>8</v>
      </c>
    </row>
    <row r="410" spans="1:10" x14ac:dyDescent="0.3">
      <c r="A410" s="42" t="s">
        <v>750</v>
      </c>
      <c r="B410" s="43">
        <v>45730</v>
      </c>
      <c r="C410" s="42" t="s">
        <v>10</v>
      </c>
      <c r="D410" s="42" t="s">
        <v>11</v>
      </c>
      <c r="E410" s="42" t="s">
        <v>12</v>
      </c>
      <c r="F410" s="42">
        <v>21</v>
      </c>
      <c r="G410" s="44">
        <v>120000</v>
      </c>
      <c r="H410" s="44">
        <v>2520000</v>
      </c>
      <c r="I410" s="42" t="s">
        <v>2144</v>
      </c>
      <c r="J410" s="42" t="s">
        <v>69</v>
      </c>
    </row>
    <row r="411" spans="1:10" x14ac:dyDescent="0.3">
      <c r="A411" s="42" t="s">
        <v>751</v>
      </c>
      <c r="B411" s="43">
        <v>45730</v>
      </c>
      <c r="C411" s="42" t="s">
        <v>31</v>
      </c>
      <c r="D411" s="42" t="s">
        <v>32</v>
      </c>
      <c r="E411" s="42" t="s">
        <v>20</v>
      </c>
      <c r="F411" s="42">
        <v>36</v>
      </c>
      <c r="G411" s="44">
        <v>180000</v>
      </c>
      <c r="H411" s="44">
        <v>6480000</v>
      </c>
      <c r="I411" s="42" t="s">
        <v>359</v>
      </c>
      <c r="J411" s="42" t="s">
        <v>60</v>
      </c>
    </row>
    <row r="412" spans="1:10" x14ac:dyDescent="0.3">
      <c r="A412" s="42" t="s">
        <v>752</v>
      </c>
      <c r="B412" s="43">
        <v>45730</v>
      </c>
      <c r="C412" s="42" t="s">
        <v>14</v>
      </c>
      <c r="D412" s="42" t="s">
        <v>15</v>
      </c>
      <c r="E412" s="42" t="s">
        <v>16</v>
      </c>
      <c r="F412" s="42">
        <v>17</v>
      </c>
      <c r="G412" s="44">
        <v>350000</v>
      </c>
      <c r="H412" s="44">
        <v>5950000</v>
      </c>
      <c r="I412" s="42" t="s">
        <v>2405</v>
      </c>
      <c r="J412" s="42" t="s">
        <v>69</v>
      </c>
    </row>
    <row r="413" spans="1:10" x14ac:dyDescent="0.3">
      <c r="A413" s="42" t="s">
        <v>772</v>
      </c>
      <c r="B413" s="43">
        <v>45730</v>
      </c>
      <c r="C413" s="42" t="s">
        <v>42</v>
      </c>
      <c r="D413" s="42" t="s">
        <v>43</v>
      </c>
      <c r="E413" s="42" t="s">
        <v>16</v>
      </c>
      <c r="F413" s="42">
        <v>31</v>
      </c>
      <c r="G413" s="44">
        <v>1200000</v>
      </c>
      <c r="H413" s="44">
        <v>37200000</v>
      </c>
      <c r="I413" s="42" t="s">
        <v>2770</v>
      </c>
      <c r="J413" s="42" t="s">
        <v>127</v>
      </c>
    </row>
    <row r="414" spans="1:10" x14ac:dyDescent="0.3">
      <c r="A414" s="42" t="s">
        <v>773</v>
      </c>
      <c r="B414" s="43">
        <v>45730</v>
      </c>
      <c r="C414" s="42" t="s">
        <v>28</v>
      </c>
      <c r="D414" s="42" t="s">
        <v>29</v>
      </c>
      <c r="E414" s="42" t="s">
        <v>20</v>
      </c>
      <c r="F414" s="42">
        <v>12</v>
      </c>
      <c r="G414" s="44">
        <v>450000</v>
      </c>
      <c r="H414" s="44">
        <v>5400000</v>
      </c>
      <c r="I414" s="42" t="s">
        <v>2828</v>
      </c>
      <c r="J414" s="42" t="s">
        <v>127</v>
      </c>
    </row>
    <row r="415" spans="1:10" x14ac:dyDescent="0.3">
      <c r="A415" s="42" t="s">
        <v>774</v>
      </c>
      <c r="B415" s="43">
        <v>45730</v>
      </c>
      <c r="C415" s="42" t="s">
        <v>18</v>
      </c>
      <c r="D415" s="42" t="s">
        <v>19</v>
      </c>
      <c r="E415" s="42" t="s">
        <v>20</v>
      </c>
      <c r="F415" s="42">
        <v>100</v>
      </c>
      <c r="G415" s="44">
        <v>500000</v>
      </c>
      <c r="H415" s="44">
        <v>50000000</v>
      </c>
      <c r="I415" s="42" t="s">
        <v>2779</v>
      </c>
      <c r="J415" s="42" t="s">
        <v>8</v>
      </c>
    </row>
    <row r="416" spans="1:10" x14ac:dyDescent="0.3">
      <c r="A416" s="42" t="s">
        <v>775</v>
      </c>
      <c r="B416" s="43">
        <v>45733</v>
      </c>
      <c r="C416" s="42" t="s">
        <v>10</v>
      </c>
      <c r="D416" s="42" t="s">
        <v>11</v>
      </c>
      <c r="E416" s="42" t="s">
        <v>12</v>
      </c>
      <c r="F416" s="42">
        <v>44</v>
      </c>
      <c r="G416" s="44">
        <v>120000</v>
      </c>
      <c r="H416" s="44">
        <v>5280000</v>
      </c>
      <c r="I416" s="42" t="s">
        <v>2520</v>
      </c>
      <c r="J416" s="42" t="s">
        <v>8</v>
      </c>
    </row>
    <row r="417" spans="1:10" x14ac:dyDescent="0.3">
      <c r="A417" s="42" t="s">
        <v>796</v>
      </c>
      <c r="B417" s="43">
        <v>45733</v>
      </c>
      <c r="C417" s="42" t="s">
        <v>18</v>
      </c>
      <c r="D417" s="42" t="s">
        <v>19</v>
      </c>
      <c r="E417" s="42" t="s">
        <v>20</v>
      </c>
      <c r="F417" s="42">
        <v>35</v>
      </c>
      <c r="G417" s="44">
        <v>500000</v>
      </c>
      <c r="H417" s="44">
        <v>17500000</v>
      </c>
      <c r="I417" s="42" t="s">
        <v>2682</v>
      </c>
      <c r="J417" s="42" t="s">
        <v>60</v>
      </c>
    </row>
    <row r="418" spans="1:10" x14ac:dyDescent="0.3">
      <c r="A418" s="42" t="s">
        <v>797</v>
      </c>
      <c r="B418" s="43">
        <v>45733</v>
      </c>
      <c r="C418" s="42" t="s">
        <v>10</v>
      </c>
      <c r="D418" s="42" t="s">
        <v>11</v>
      </c>
      <c r="E418" s="42" t="s">
        <v>12</v>
      </c>
      <c r="F418" s="42">
        <v>23</v>
      </c>
      <c r="G418" s="44">
        <v>120000</v>
      </c>
      <c r="H418" s="44">
        <v>2760000</v>
      </c>
      <c r="I418" s="42" t="s">
        <v>2489</v>
      </c>
      <c r="J418" s="42" t="s">
        <v>69</v>
      </c>
    </row>
    <row r="419" spans="1:10" x14ac:dyDescent="0.3">
      <c r="A419" s="42" t="s">
        <v>798</v>
      </c>
      <c r="B419" s="43">
        <v>45733</v>
      </c>
      <c r="C419" s="42" t="s">
        <v>42</v>
      </c>
      <c r="D419" s="42" t="s">
        <v>43</v>
      </c>
      <c r="E419" s="42" t="s">
        <v>16</v>
      </c>
      <c r="F419" s="42">
        <v>43</v>
      </c>
      <c r="G419" s="44">
        <v>1200000</v>
      </c>
      <c r="H419" s="44">
        <v>51600000</v>
      </c>
      <c r="I419" s="42" t="s">
        <v>2229</v>
      </c>
      <c r="J419" s="42" t="s">
        <v>60</v>
      </c>
    </row>
    <row r="420" spans="1:10" x14ac:dyDescent="0.3">
      <c r="A420" s="42" t="s">
        <v>799</v>
      </c>
      <c r="B420" s="43">
        <v>45733</v>
      </c>
      <c r="C420" s="42" t="s">
        <v>18</v>
      </c>
      <c r="D420" s="42" t="s">
        <v>19</v>
      </c>
      <c r="E420" s="42" t="s">
        <v>20</v>
      </c>
      <c r="F420" s="42">
        <v>45</v>
      </c>
      <c r="G420" s="44">
        <v>500000</v>
      </c>
      <c r="H420" s="44">
        <v>22500000</v>
      </c>
      <c r="I420" s="42" t="s">
        <v>2670</v>
      </c>
      <c r="J420" s="42" t="s">
        <v>127</v>
      </c>
    </row>
    <row r="421" spans="1:10" x14ac:dyDescent="0.3">
      <c r="A421" s="42" t="s">
        <v>828</v>
      </c>
      <c r="B421" s="43">
        <v>45733</v>
      </c>
      <c r="C421" s="42" t="s">
        <v>18</v>
      </c>
      <c r="D421" s="42" t="s">
        <v>19</v>
      </c>
      <c r="E421" s="42" t="s">
        <v>20</v>
      </c>
      <c r="F421" s="42">
        <v>44</v>
      </c>
      <c r="G421" s="44">
        <v>500000</v>
      </c>
      <c r="H421" s="44">
        <v>22000000</v>
      </c>
      <c r="I421" s="42" t="s">
        <v>2628</v>
      </c>
      <c r="J421" s="42" t="s">
        <v>47</v>
      </c>
    </row>
    <row r="422" spans="1:10" x14ac:dyDescent="0.3">
      <c r="A422" s="42" t="s">
        <v>829</v>
      </c>
      <c r="B422" s="43">
        <v>45733</v>
      </c>
      <c r="C422" s="42" t="s">
        <v>22</v>
      </c>
      <c r="D422" s="42" t="s">
        <v>23</v>
      </c>
      <c r="E422" s="42" t="s">
        <v>12</v>
      </c>
      <c r="F422" s="42">
        <v>41</v>
      </c>
      <c r="G422" s="44">
        <v>25000</v>
      </c>
      <c r="H422" s="44">
        <v>1025000</v>
      </c>
      <c r="I422" s="42" t="s">
        <v>402</v>
      </c>
      <c r="J422" s="42" t="s">
        <v>47</v>
      </c>
    </row>
    <row r="423" spans="1:10" x14ac:dyDescent="0.3">
      <c r="A423" s="42" t="s">
        <v>841</v>
      </c>
      <c r="B423" s="43">
        <v>45740</v>
      </c>
      <c r="C423" s="42" t="s">
        <v>42</v>
      </c>
      <c r="D423" s="42" t="s">
        <v>43</v>
      </c>
      <c r="E423" s="42" t="s">
        <v>16</v>
      </c>
      <c r="F423" s="42">
        <v>45</v>
      </c>
      <c r="G423" s="44">
        <v>1200000</v>
      </c>
      <c r="H423" s="44">
        <v>54000000</v>
      </c>
      <c r="I423" s="42" t="s">
        <v>2784</v>
      </c>
      <c r="J423" s="42" t="s">
        <v>8</v>
      </c>
    </row>
    <row r="424" spans="1:10" x14ac:dyDescent="0.3">
      <c r="A424" s="42" t="s">
        <v>856</v>
      </c>
      <c r="B424" s="43">
        <v>45740</v>
      </c>
      <c r="C424" s="42" t="s">
        <v>28</v>
      </c>
      <c r="D424" s="42" t="s">
        <v>29</v>
      </c>
      <c r="E424" s="42" t="s">
        <v>20</v>
      </c>
      <c r="F424" s="42">
        <v>49</v>
      </c>
      <c r="G424" s="44">
        <v>450000</v>
      </c>
      <c r="H424" s="44">
        <v>22050000</v>
      </c>
      <c r="I424" s="42" t="s">
        <v>2803</v>
      </c>
      <c r="J424" s="42" t="s">
        <v>47</v>
      </c>
    </row>
    <row r="425" spans="1:10" x14ac:dyDescent="0.3">
      <c r="A425" s="42" t="s">
        <v>865</v>
      </c>
      <c r="B425" s="43">
        <v>45740</v>
      </c>
      <c r="C425" s="42" t="s">
        <v>10</v>
      </c>
      <c r="D425" s="42" t="s">
        <v>11</v>
      </c>
      <c r="E425" s="42" t="s">
        <v>12</v>
      </c>
      <c r="F425" s="42">
        <v>50</v>
      </c>
      <c r="G425" s="44">
        <v>120000</v>
      </c>
      <c r="H425" s="44">
        <v>6000000</v>
      </c>
      <c r="I425" s="42" t="s">
        <v>2239</v>
      </c>
      <c r="J425" s="42" t="s">
        <v>8</v>
      </c>
    </row>
    <row r="426" spans="1:10" x14ac:dyDescent="0.3">
      <c r="A426" s="42" t="s">
        <v>866</v>
      </c>
      <c r="B426" s="43">
        <v>45740</v>
      </c>
      <c r="C426" s="42" t="s">
        <v>31</v>
      </c>
      <c r="D426" s="42" t="s">
        <v>32</v>
      </c>
      <c r="E426" s="42" t="s">
        <v>20</v>
      </c>
      <c r="F426" s="42">
        <v>24</v>
      </c>
      <c r="G426" s="44">
        <v>180000</v>
      </c>
      <c r="H426" s="44">
        <v>4320000</v>
      </c>
      <c r="I426" s="42" t="s">
        <v>2282</v>
      </c>
      <c r="J426" s="42" t="s">
        <v>69</v>
      </c>
    </row>
    <row r="427" spans="1:10" x14ac:dyDescent="0.3">
      <c r="A427" s="42" t="s">
        <v>867</v>
      </c>
      <c r="B427" s="43">
        <v>45740</v>
      </c>
      <c r="C427" s="42" t="s">
        <v>44</v>
      </c>
      <c r="D427" s="42" t="s">
        <v>45</v>
      </c>
      <c r="E427" s="42" t="s">
        <v>16</v>
      </c>
      <c r="F427" s="42">
        <v>18</v>
      </c>
      <c r="G427" s="44">
        <v>250000</v>
      </c>
      <c r="H427" s="44">
        <v>4500000</v>
      </c>
      <c r="I427" s="42" t="s">
        <v>2455</v>
      </c>
      <c r="J427" s="42" t="s">
        <v>127</v>
      </c>
    </row>
    <row r="428" spans="1:10" x14ac:dyDescent="0.3">
      <c r="A428" s="42" t="s">
        <v>882</v>
      </c>
      <c r="B428" s="43">
        <v>45740</v>
      </c>
      <c r="C428" s="42" t="s">
        <v>10</v>
      </c>
      <c r="D428" s="42" t="s">
        <v>11</v>
      </c>
      <c r="E428" s="42" t="s">
        <v>12</v>
      </c>
      <c r="F428" s="42">
        <v>48</v>
      </c>
      <c r="G428" s="44">
        <v>120000</v>
      </c>
      <c r="H428" s="44">
        <v>5760000</v>
      </c>
      <c r="I428" s="42" t="s">
        <v>2464</v>
      </c>
      <c r="J428" s="42" t="s">
        <v>8</v>
      </c>
    </row>
    <row r="429" spans="1:10" x14ac:dyDescent="0.3">
      <c r="A429" s="42" t="s">
        <v>883</v>
      </c>
      <c r="B429" s="43">
        <v>45740</v>
      </c>
      <c r="C429" s="42" t="s">
        <v>22</v>
      </c>
      <c r="D429" s="42" t="s">
        <v>23</v>
      </c>
      <c r="E429" s="42" t="s">
        <v>12</v>
      </c>
      <c r="F429" s="42">
        <v>23</v>
      </c>
      <c r="G429" s="44">
        <v>25000</v>
      </c>
      <c r="H429" s="44">
        <v>575000</v>
      </c>
      <c r="I429" s="42" t="s">
        <v>2586</v>
      </c>
      <c r="J429" s="42" t="s">
        <v>8</v>
      </c>
    </row>
    <row r="430" spans="1:10" x14ac:dyDescent="0.3">
      <c r="A430" s="42" t="s">
        <v>884</v>
      </c>
      <c r="B430" s="43">
        <v>45740</v>
      </c>
      <c r="C430" s="42" t="s">
        <v>14</v>
      </c>
      <c r="D430" s="42" t="s">
        <v>15</v>
      </c>
      <c r="E430" s="42" t="s">
        <v>16</v>
      </c>
      <c r="F430" s="42">
        <v>31</v>
      </c>
      <c r="G430" s="44">
        <v>350000</v>
      </c>
      <c r="H430" s="44">
        <v>10850000</v>
      </c>
      <c r="I430" s="42" t="s">
        <v>2780</v>
      </c>
      <c r="J430" s="42" t="s">
        <v>127</v>
      </c>
    </row>
    <row r="431" spans="1:10" x14ac:dyDescent="0.3">
      <c r="A431" s="42" t="s">
        <v>885</v>
      </c>
      <c r="B431" s="43">
        <v>45741</v>
      </c>
      <c r="C431" s="42" t="s">
        <v>14</v>
      </c>
      <c r="D431" s="42" t="s">
        <v>15</v>
      </c>
      <c r="E431" s="42" t="s">
        <v>16</v>
      </c>
      <c r="F431" s="42">
        <v>7</v>
      </c>
      <c r="G431" s="44">
        <v>350000</v>
      </c>
      <c r="H431" s="44">
        <v>2450000</v>
      </c>
      <c r="I431" s="42" t="s">
        <v>2387</v>
      </c>
      <c r="J431" s="42" t="s">
        <v>8</v>
      </c>
    </row>
    <row r="432" spans="1:10" x14ac:dyDescent="0.3">
      <c r="A432" s="42" t="s">
        <v>898</v>
      </c>
      <c r="B432" s="43">
        <v>45741</v>
      </c>
      <c r="C432" s="42" t="s">
        <v>40</v>
      </c>
      <c r="D432" s="42" t="s">
        <v>41</v>
      </c>
      <c r="E432" s="42" t="s">
        <v>16</v>
      </c>
      <c r="F432" s="42">
        <v>22</v>
      </c>
      <c r="G432" s="44">
        <v>950000</v>
      </c>
      <c r="H432" s="44">
        <v>20900000</v>
      </c>
      <c r="I432" s="42" t="s">
        <v>2300</v>
      </c>
      <c r="J432" s="42" t="s">
        <v>60</v>
      </c>
    </row>
    <row r="433" spans="1:10" x14ac:dyDescent="0.3">
      <c r="A433" s="42" t="s">
        <v>899</v>
      </c>
      <c r="B433" s="43">
        <v>45741</v>
      </c>
      <c r="C433" s="42" t="s">
        <v>10</v>
      </c>
      <c r="D433" s="42" t="s">
        <v>11</v>
      </c>
      <c r="E433" s="42" t="s">
        <v>12</v>
      </c>
      <c r="F433" s="42">
        <v>9</v>
      </c>
      <c r="G433" s="44">
        <v>120000</v>
      </c>
      <c r="H433" s="44">
        <v>1080000</v>
      </c>
      <c r="I433" s="42" t="s">
        <v>152</v>
      </c>
      <c r="J433" s="42" t="s">
        <v>127</v>
      </c>
    </row>
    <row r="434" spans="1:10" x14ac:dyDescent="0.3">
      <c r="A434" s="42" t="s">
        <v>900</v>
      </c>
      <c r="B434" s="43">
        <v>45741</v>
      </c>
      <c r="C434" s="42" t="s">
        <v>14</v>
      </c>
      <c r="D434" s="42" t="s">
        <v>15</v>
      </c>
      <c r="E434" s="42" t="s">
        <v>16</v>
      </c>
      <c r="F434" s="42">
        <v>35</v>
      </c>
      <c r="G434" s="44">
        <v>350000</v>
      </c>
      <c r="H434" s="44">
        <v>12250000</v>
      </c>
      <c r="I434" s="42" t="s">
        <v>2200</v>
      </c>
      <c r="J434" s="42" t="s">
        <v>8</v>
      </c>
    </row>
    <row r="435" spans="1:10" x14ac:dyDescent="0.3">
      <c r="A435" s="42" t="s">
        <v>901</v>
      </c>
      <c r="B435" s="43">
        <v>45741</v>
      </c>
      <c r="C435" s="42" t="s">
        <v>10</v>
      </c>
      <c r="D435" s="42" t="s">
        <v>11</v>
      </c>
      <c r="E435" s="42" t="s">
        <v>12</v>
      </c>
      <c r="F435" s="42">
        <v>28</v>
      </c>
      <c r="G435" s="44">
        <v>120000</v>
      </c>
      <c r="H435" s="44">
        <v>3360000</v>
      </c>
      <c r="I435" s="42" t="s">
        <v>2760</v>
      </c>
      <c r="J435" s="42" t="s">
        <v>60</v>
      </c>
    </row>
    <row r="436" spans="1:10" x14ac:dyDescent="0.3">
      <c r="A436" s="42" t="s">
        <v>902</v>
      </c>
      <c r="B436" s="43">
        <v>45741</v>
      </c>
      <c r="C436" s="42" t="s">
        <v>22</v>
      </c>
      <c r="D436" s="42" t="s">
        <v>23</v>
      </c>
      <c r="E436" s="42" t="s">
        <v>12</v>
      </c>
      <c r="F436" s="42">
        <v>160</v>
      </c>
      <c r="G436" s="44">
        <v>25000</v>
      </c>
      <c r="H436" s="44">
        <v>4000000</v>
      </c>
      <c r="I436" s="42" t="s">
        <v>2160</v>
      </c>
      <c r="J436" s="42" t="s">
        <v>60</v>
      </c>
    </row>
    <row r="437" spans="1:10" x14ac:dyDescent="0.3">
      <c r="A437" s="42" t="s">
        <v>903</v>
      </c>
      <c r="B437" s="43">
        <v>45741</v>
      </c>
      <c r="C437" s="42" t="s">
        <v>38</v>
      </c>
      <c r="D437" s="42" t="s">
        <v>39</v>
      </c>
      <c r="E437" s="42" t="s">
        <v>16</v>
      </c>
      <c r="F437" s="42">
        <v>19</v>
      </c>
      <c r="G437" s="44">
        <v>200000</v>
      </c>
      <c r="H437" s="44">
        <v>3800000</v>
      </c>
      <c r="I437" s="42" t="s">
        <v>2133</v>
      </c>
      <c r="J437" s="42" t="s">
        <v>60</v>
      </c>
    </row>
    <row r="438" spans="1:10" x14ac:dyDescent="0.3">
      <c r="A438" s="42" t="s">
        <v>904</v>
      </c>
      <c r="B438" s="43">
        <v>45741</v>
      </c>
      <c r="C438" s="42" t="s">
        <v>22</v>
      </c>
      <c r="D438" s="42" t="s">
        <v>23</v>
      </c>
      <c r="E438" s="42" t="s">
        <v>12</v>
      </c>
      <c r="F438" s="42">
        <v>30</v>
      </c>
      <c r="G438" s="44">
        <v>25000</v>
      </c>
      <c r="H438" s="44">
        <v>750000</v>
      </c>
      <c r="I438" s="42" t="s">
        <v>2451</v>
      </c>
      <c r="J438" s="42" t="s">
        <v>60</v>
      </c>
    </row>
    <row r="439" spans="1:10" x14ac:dyDescent="0.3">
      <c r="A439" s="42" t="s">
        <v>929</v>
      </c>
      <c r="B439" s="43">
        <v>45741</v>
      </c>
      <c r="C439" s="42" t="s">
        <v>14</v>
      </c>
      <c r="D439" s="42" t="s">
        <v>15</v>
      </c>
      <c r="E439" s="42" t="s">
        <v>16</v>
      </c>
      <c r="F439" s="42">
        <v>9</v>
      </c>
      <c r="G439" s="44">
        <v>350000</v>
      </c>
      <c r="H439" s="44">
        <v>3150000</v>
      </c>
      <c r="I439" s="42" t="s">
        <v>2656</v>
      </c>
      <c r="J439" s="42" t="s">
        <v>127</v>
      </c>
    </row>
    <row r="440" spans="1:10" x14ac:dyDescent="0.3">
      <c r="A440" s="42" t="s">
        <v>930</v>
      </c>
      <c r="B440" s="43">
        <v>45741</v>
      </c>
      <c r="C440" s="42" t="s">
        <v>28</v>
      </c>
      <c r="D440" s="42" t="s">
        <v>29</v>
      </c>
      <c r="E440" s="42" t="s">
        <v>20</v>
      </c>
      <c r="F440" s="42">
        <v>165</v>
      </c>
      <c r="G440" s="44">
        <v>450000</v>
      </c>
      <c r="H440" s="44">
        <v>74250000</v>
      </c>
      <c r="I440" s="42" t="s">
        <v>2563</v>
      </c>
      <c r="J440" s="42" t="s">
        <v>47</v>
      </c>
    </row>
    <row r="441" spans="1:10" x14ac:dyDescent="0.3">
      <c r="A441" s="42" t="s">
        <v>931</v>
      </c>
      <c r="B441" s="43">
        <v>45741</v>
      </c>
      <c r="C441" s="42" t="s">
        <v>22</v>
      </c>
      <c r="D441" s="42" t="s">
        <v>23</v>
      </c>
      <c r="E441" s="42" t="s">
        <v>12</v>
      </c>
      <c r="F441" s="42">
        <v>5</v>
      </c>
      <c r="G441" s="44">
        <v>25000</v>
      </c>
      <c r="H441" s="44">
        <v>125000</v>
      </c>
      <c r="I441" s="42" t="s">
        <v>2179</v>
      </c>
      <c r="J441" s="42" t="s">
        <v>127</v>
      </c>
    </row>
    <row r="442" spans="1:10" x14ac:dyDescent="0.3">
      <c r="A442" s="42" t="s">
        <v>932</v>
      </c>
      <c r="B442" s="43">
        <v>45741</v>
      </c>
      <c r="C442" s="42" t="s">
        <v>28</v>
      </c>
      <c r="D442" s="42" t="s">
        <v>29</v>
      </c>
      <c r="E442" s="42" t="s">
        <v>20</v>
      </c>
      <c r="F442" s="42">
        <v>10</v>
      </c>
      <c r="G442" s="44">
        <v>450000</v>
      </c>
      <c r="H442" s="44">
        <v>4500000</v>
      </c>
      <c r="I442" s="42" t="s">
        <v>2556</v>
      </c>
      <c r="J442" s="42" t="s">
        <v>8</v>
      </c>
    </row>
    <row r="443" spans="1:10" x14ac:dyDescent="0.3">
      <c r="A443" s="42" t="s">
        <v>933</v>
      </c>
      <c r="B443" s="43">
        <v>45741</v>
      </c>
      <c r="C443" s="42" t="s">
        <v>10</v>
      </c>
      <c r="D443" s="42" t="s">
        <v>11</v>
      </c>
      <c r="E443" s="42" t="s">
        <v>12</v>
      </c>
      <c r="F443" s="42">
        <v>43</v>
      </c>
      <c r="G443" s="44">
        <v>120000</v>
      </c>
      <c r="H443" s="44">
        <v>5160000</v>
      </c>
      <c r="I443" s="42" t="s">
        <v>2129</v>
      </c>
      <c r="J443" s="42" t="s">
        <v>8</v>
      </c>
    </row>
    <row r="444" spans="1:10" x14ac:dyDescent="0.3">
      <c r="A444" s="42" t="s">
        <v>934</v>
      </c>
      <c r="B444" s="43">
        <v>45742</v>
      </c>
      <c r="C444" s="42" t="s">
        <v>28</v>
      </c>
      <c r="D444" s="42" t="s">
        <v>29</v>
      </c>
      <c r="E444" s="42" t="s">
        <v>20</v>
      </c>
      <c r="F444" s="42">
        <v>41</v>
      </c>
      <c r="G444" s="44">
        <v>450000</v>
      </c>
      <c r="H444" s="44">
        <v>18450000</v>
      </c>
      <c r="I444" s="42" t="s">
        <v>2814</v>
      </c>
      <c r="J444" s="42" t="s">
        <v>8</v>
      </c>
    </row>
    <row r="445" spans="1:10" x14ac:dyDescent="0.3">
      <c r="A445" s="42" t="s">
        <v>935</v>
      </c>
      <c r="B445" s="43">
        <v>45742</v>
      </c>
      <c r="C445" s="42" t="s">
        <v>22</v>
      </c>
      <c r="D445" s="42" t="s">
        <v>23</v>
      </c>
      <c r="E445" s="42" t="s">
        <v>12</v>
      </c>
      <c r="F445" s="42">
        <v>15</v>
      </c>
      <c r="G445" s="44">
        <v>25000</v>
      </c>
      <c r="H445" s="44">
        <v>375000</v>
      </c>
      <c r="I445" s="42" t="s">
        <v>2831</v>
      </c>
      <c r="J445" s="42" t="s">
        <v>8</v>
      </c>
    </row>
    <row r="446" spans="1:10" x14ac:dyDescent="0.3">
      <c r="A446" s="42" t="s">
        <v>972</v>
      </c>
      <c r="B446" s="43">
        <v>45742</v>
      </c>
      <c r="C446" s="42" t="s">
        <v>40</v>
      </c>
      <c r="D446" s="42" t="s">
        <v>41</v>
      </c>
      <c r="E446" s="42" t="s">
        <v>16</v>
      </c>
      <c r="F446" s="42">
        <v>500</v>
      </c>
      <c r="G446" s="44">
        <v>950000</v>
      </c>
      <c r="H446" s="44">
        <v>475000000</v>
      </c>
      <c r="I446" s="42" t="s">
        <v>2624</v>
      </c>
      <c r="J446" s="42" t="s">
        <v>60</v>
      </c>
    </row>
    <row r="447" spans="1:10" x14ac:dyDescent="0.3">
      <c r="A447" s="42" t="s">
        <v>973</v>
      </c>
      <c r="B447" s="43">
        <v>45742</v>
      </c>
      <c r="C447" s="42" t="s">
        <v>18</v>
      </c>
      <c r="D447" s="42" t="s">
        <v>19</v>
      </c>
      <c r="E447" s="42" t="s">
        <v>20</v>
      </c>
      <c r="F447" s="42">
        <v>14</v>
      </c>
      <c r="G447" s="44">
        <v>500000</v>
      </c>
      <c r="H447" s="44">
        <v>7000000</v>
      </c>
      <c r="I447" s="42" t="s">
        <v>2511</v>
      </c>
      <c r="J447" s="42" t="s">
        <v>127</v>
      </c>
    </row>
    <row r="448" spans="1:10" x14ac:dyDescent="0.3">
      <c r="A448" s="42" t="s">
        <v>974</v>
      </c>
      <c r="B448" s="43">
        <v>45742</v>
      </c>
      <c r="C448" s="42" t="s">
        <v>18</v>
      </c>
      <c r="D448" s="42" t="s">
        <v>19</v>
      </c>
      <c r="E448" s="42" t="s">
        <v>20</v>
      </c>
      <c r="F448" s="42">
        <v>46</v>
      </c>
      <c r="G448" s="44">
        <v>500000</v>
      </c>
      <c r="H448" s="44">
        <v>23000000</v>
      </c>
      <c r="I448" s="42" t="s">
        <v>2600</v>
      </c>
      <c r="J448" s="42" t="s">
        <v>8</v>
      </c>
    </row>
    <row r="449" spans="1:10" x14ac:dyDescent="0.3">
      <c r="A449" s="42" t="s">
        <v>975</v>
      </c>
      <c r="B449" s="43">
        <v>45742</v>
      </c>
      <c r="C449" s="42" t="s">
        <v>22</v>
      </c>
      <c r="D449" s="42" t="s">
        <v>23</v>
      </c>
      <c r="E449" s="42" t="s">
        <v>12</v>
      </c>
      <c r="F449" s="42">
        <v>6</v>
      </c>
      <c r="G449" s="44">
        <v>25000</v>
      </c>
      <c r="H449" s="44">
        <v>150000</v>
      </c>
      <c r="I449" s="42" t="s">
        <v>2738</v>
      </c>
      <c r="J449" s="42" t="s">
        <v>8</v>
      </c>
    </row>
    <row r="450" spans="1:10" x14ac:dyDescent="0.3">
      <c r="A450" s="42" t="s">
        <v>1012</v>
      </c>
      <c r="B450" s="43">
        <v>45742</v>
      </c>
      <c r="C450" s="42" t="s">
        <v>42</v>
      </c>
      <c r="D450" s="42" t="s">
        <v>43</v>
      </c>
      <c r="E450" s="42" t="s">
        <v>16</v>
      </c>
      <c r="F450" s="42">
        <v>7</v>
      </c>
      <c r="G450" s="44">
        <v>1200000</v>
      </c>
      <c r="H450" s="44">
        <v>8400000</v>
      </c>
      <c r="I450" s="42" t="s">
        <v>2260</v>
      </c>
      <c r="J450" s="42" t="s">
        <v>127</v>
      </c>
    </row>
    <row r="451" spans="1:10" x14ac:dyDescent="0.3">
      <c r="A451" s="42" t="s">
        <v>1013</v>
      </c>
      <c r="B451" s="43">
        <v>45742</v>
      </c>
      <c r="C451" s="42" t="s">
        <v>22</v>
      </c>
      <c r="D451" s="42" t="s">
        <v>23</v>
      </c>
      <c r="E451" s="42" t="s">
        <v>12</v>
      </c>
      <c r="F451" s="42">
        <v>11</v>
      </c>
      <c r="G451" s="44">
        <v>25000</v>
      </c>
      <c r="H451" s="44">
        <v>275000</v>
      </c>
      <c r="I451" s="42" t="s">
        <v>2572</v>
      </c>
      <c r="J451" s="42" t="s">
        <v>8</v>
      </c>
    </row>
    <row r="452" spans="1:10" x14ac:dyDescent="0.3">
      <c r="A452" s="42" t="s">
        <v>1014</v>
      </c>
      <c r="B452" s="43">
        <v>45742</v>
      </c>
      <c r="C452" s="42" t="s">
        <v>14</v>
      </c>
      <c r="D452" s="42" t="s">
        <v>15</v>
      </c>
      <c r="E452" s="42" t="s">
        <v>16</v>
      </c>
      <c r="F452" s="42">
        <v>45</v>
      </c>
      <c r="G452" s="44">
        <v>350000</v>
      </c>
      <c r="H452" s="44">
        <v>15750000</v>
      </c>
      <c r="I452" s="42" t="s">
        <v>2641</v>
      </c>
      <c r="J452" s="42" t="s">
        <v>47</v>
      </c>
    </row>
    <row r="453" spans="1:10" x14ac:dyDescent="0.3">
      <c r="A453" s="42" t="s">
        <v>1015</v>
      </c>
      <c r="B453" s="43">
        <v>45742</v>
      </c>
      <c r="C453" s="42" t="s">
        <v>40</v>
      </c>
      <c r="D453" s="42" t="s">
        <v>41</v>
      </c>
      <c r="E453" s="42" t="s">
        <v>16</v>
      </c>
      <c r="F453" s="42">
        <v>34</v>
      </c>
      <c r="G453" s="44">
        <v>950000</v>
      </c>
      <c r="H453" s="44">
        <v>32300000</v>
      </c>
      <c r="I453" s="42" t="s">
        <v>2253</v>
      </c>
      <c r="J453" s="42" t="s">
        <v>8</v>
      </c>
    </row>
    <row r="454" spans="1:10" x14ac:dyDescent="0.3">
      <c r="A454" s="42" t="s">
        <v>1016</v>
      </c>
      <c r="B454" s="43">
        <v>45742</v>
      </c>
      <c r="C454" s="42" t="s">
        <v>18</v>
      </c>
      <c r="D454" s="42" t="s">
        <v>19</v>
      </c>
      <c r="E454" s="42" t="s">
        <v>20</v>
      </c>
      <c r="F454" s="42">
        <v>7</v>
      </c>
      <c r="G454" s="44">
        <v>500000</v>
      </c>
      <c r="H454" s="44">
        <v>3500000</v>
      </c>
      <c r="I454" s="42" t="s">
        <v>2673</v>
      </c>
      <c r="J454" s="42" t="s">
        <v>8</v>
      </c>
    </row>
    <row r="455" spans="1:10" x14ac:dyDescent="0.3">
      <c r="A455" s="42" t="s">
        <v>1017</v>
      </c>
      <c r="B455" s="43">
        <v>45743</v>
      </c>
      <c r="C455" s="42" t="s">
        <v>44</v>
      </c>
      <c r="D455" s="42" t="s">
        <v>45</v>
      </c>
      <c r="E455" s="42" t="s">
        <v>16</v>
      </c>
      <c r="F455" s="42">
        <v>50</v>
      </c>
      <c r="G455" s="44">
        <v>250000</v>
      </c>
      <c r="H455" s="44">
        <v>12500000</v>
      </c>
      <c r="I455" s="42" t="s">
        <v>2652</v>
      </c>
      <c r="J455" s="42" t="s">
        <v>8</v>
      </c>
    </row>
    <row r="456" spans="1:10" x14ac:dyDescent="0.3">
      <c r="A456" s="42" t="s">
        <v>1018</v>
      </c>
      <c r="B456" s="43">
        <v>45743</v>
      </c>
      <c r="C456" s="42" t="s">
        <v>10</v>
      </c>
      <c r="D456" s="42" t="s">
        <v>11</v>
      </c>
      <c r="E456" s="42" t="s">
        <v>12</v>
      </c>
      <c r="F456" s="42">
        <v>44</v>
      </c>
      <c r="G456" s="44">
        <v>120000</v>
      </c>
      <c r="H456" s="44">
        <v>5280000</v>
      </c>
      <c r="I456" s="42" t="s">
        <v>2759</v>
      </c>
      <c r="J456" s="42" t="s">
        <v>60</v>
      </c>
    </row>
    <row r="457" spans="1:10" x14ac:dyDescent="0.3">
      <c r="A457" s="42" t="s">
        <v>1045</v>
      </c>
      <c r="B457" s="43">
        <v>45743</v>
      </c>
      <c r="C457" s="42" t="s">
        <v>28</v>
      </c>
      <c r="D457" s="42" t="s">
        <v>29</v>
      </c>
      <c r="E457" s="42" t="s">
        <v>20</v>
      </c>
      <c r="F457" s="42">
        <v>26</v>
      </c>
      <c r="G457" s="44">
        <v>450000</v>
      </c>
      <c r="H457" s="44">
        <v>11700000</v>
      </c>
      <c r="I457" s="42" t="s">
        <v>2643</v>
      </c>
      <c r="J457" s="42" t="s">
        <v>60</v>
      </c>
    </row>
    <row r="458" spans="1:10" x14ac:dyDescent="0.3">
      <c r="A458" s="42" t="s">
        <v>1046</v>
      </c>
      <c r="B458" s="43">
        <v>45743</v>
      </c>
      <c r="C458" s="42" t="s">
        <v>28</v>
      </c>
      <c r="D458" s="42" t="s">
        <v>29</v>
      </c>
      <c r="E458" s="42" t="s">
        <v>20</v>
      </c>
      <c r="F458" s="42">
        <v>19</v>
      </c>
      <c r="G458" s="44">
        <v>450000</v>
      </c>
      <c r="H458" s="44">
        <v>8550000</v>
      </c>
      <c r="I458" s="42" t="s">
        <v>2372</v>
      </c>
      <c r="J458" s="42" t="s">
        <v>8</v>
      </c>
    </row>
    <row r="459" spans="1:10" x14ac:dyDescent="0.3">
      <c r="A459" s="42" t="s">
        <v>1047</v>
      </c>
      <c r="B459" s="43">
        <v>45743</v>
      </c>
      <c r="C459" s="42" t="s">
        <v>28</v>
      </c>
      <c r="D459" s="42" t="s">
        <v>29</v>
      </c>
      <c r="E459" s="42" t="s">
        <v>20</v>
      </c>
      <c r="F459" s="42">
        <v>18</v>
      </c>
      <c r="G459" s="44">
        <v>450000</v>
      </c>
      <c r="H459" s="44">
        <v>8100000</v>
      </c>
      <c r="I459" s="42" t="s">
        <v>2663</v>
      </c>
      <c r="J459" s="42" t="s">
        <v>8</v>
      </c>
    </row>
    <row r="460" spans="1:10" x14ac:dyDescent="0.3">
      <c r="A460" s="42" t="s">
        <v>1048</v>
      </c>
      <c r="B460" s="43">
        <v>45744</v>
      </c>
      <c r="C460" s="42" t="s">
        <v>31</v>
      </c>
      <c r="D460" s="42" t="s">
        <v>32</v>
      </c>
      <c r="E460" s="42" t="s">
        <v>20</v>
      </c>
      <c r="F460" s="42">
        <v>22</v>
      </c>
      <c r="G460" s="44">
        <v>180000</v>
      </c>
      <c r="H460" s="44">
        <v>3960000</v>
      </c>
      <c r="I460" s="42" t="s">
        <v>2825</v>
      </c>
      <c r="J460" s="42" t="s">
        <v>127</v>
      </c>
    </row>
    <row r="461" spans="1:10" x14ac:dyDescent="0.3">
      <c r="A461" s="42" t="s">
        <v>1049</v>
      </c>
      <c r="B461" s="43">
        <v>45744</v>
      </c>
      <c r="C461" s="42" t="s">
        <v>28</v>
      </c>
      <c r="D461" s="42" t="s">
        <v>29</v>
      </c>
      <c r="E461" s="42" t="s">
        <v>20</v>
      </c>
      <c r="F461" s="42">
        <v>49</v>
      </c>
      <c r="G461" s="44">
        <v>450000</v>
      </c>
      <c r="H461" s="44">
        <v>22050000</v>
      </c>
      <c r="I461" s="42" t="s">
        <v>2190</v>
      </c>
      <c r="J461" s="42" t="s">
        <v>8</v>
      </c>
    </row>
    <row r="462" spans="1:10" x14ac:dyDescent="0.3">
      <c r="A462" s="42" t="s">
        <v>1050</v>
      </c>
      <c r="B462" s="43">
        <v>45744</v>
      </c>
      <c r="C462" s="42" t="s">
        <v>10</v>
      </c>
      <c r="D462" s="42" t="s">
        <v>11</v>
      </c>
      <c r="E462" s="42" t="s">
        <v>12</v>
      </c>
      <c r="F462" s="42">
        <v>21</v>
      </c>
      <c r="G462" s="44">
        <v>120000</v>
      </c>
      <c r="H462" s="44">
        <v>2520000</v>
      </c>
      <c r="I462" s="42" t="s">
        <v>2248</v>
      </c>
      <c r="J462" s="42" t="s">
        <v>60</v>
      </c>
    </row>
    <row r="463" spans="1:10" x14ac:dyDescent="0.3">
      <c r="A463" s="42" t="s">
        <v>1051</v>
      </c>
      <c r="B463" s="43">
        <v>45744</v>
      </c>
      <c r="C463" s="42" t="s">
        <v>28</v>
      </c>
      <c r="D463" s="42" t="s">
        <v>29</v>
      </c>
      <c r="E463" s="42" t="s">
        <v>20</v>
      </c>
      <c r="F463" s="42">
        <v>19</v>
      </c>
      <c r="G463" s="44">
        <v>450000</v>
      </c>
      <c r="H463" s="44">
        <v>8550000</v>
      </c>
      <c r="I463" s="42" t="s">
        <v>379</v>
      </c>
      <c r="J463" s="42" t="s">
        <v>127</v>
      </c>
    </row>
    <row r="464" spans="1:10" x14ac:dyDescent="0.3">
      <c r="A464" s="42" t="s">
        <v>1052</v>
      </c>
      <c r="B464" s="43">
        <v>45744</v>
      </c>
      <c r="C464" s="42" t="s">
        <v>22</v>
      </c>
      <c r="D464" s="42" t="s">
        <v>23</v>
      </c>
      <c r="E464" s="42" t="s">
        <v>12</v>
      </c>
      <c r="F464" s="42">
        <v>19</v>
      </c>
      <c r="G464" s="44">
        <v>25000</v>
      </c>
      <c r="H464" s="44">
        <v>475000</v>
      </c>
      <c r="I464" s="42" t="s">
        <v>2126</v>
      </c>
      <c r="J464" s="42" t="s">
        <v>127</v>
      </c>
    </row>
    <row r="465" spans="1:10" x14ac:dyDescent="0.3">
      <c r="A465" s="42" t="s">
        <v>1080</v>
      </c>
      <c r="B465" s="43">
        <v>45744</v>
      </c>
      <c r="C465" s="42" t="s">
        <v>10</v>
      </c>
      <c r="D465" s="42" t="s">
        <v>11</v>
      </c>
      <c r="E465" s="42" t="s">
        <v>12</v>
      </c>
      <c r="F465" s="42">
        <v>12</v>
      </c>
      <c r="G465" s="44">
        <v>120000</v>
      </c>
      <c r="H465" s="44">
        <v>1440000</v>
      </c>
      <c r="I465" s="42" t="s">
        <v>2274</v>
      </c>
      <c r="J465" s="42" t="s">
        <v>60</v>
      </c>
    </row>
    <row r="466" spans="1:10" x14ac:dyDescent="0.3">
      <c r="A466" s="42" t="s">
        <v>1081</v>
      </c>
      <c r="B466" s="43">
        <v>45744</v>
      </c>
      <c r="C466" s="42" t="s">
        <v>18</v>
      </c>
      <c r="D466" s="42" t="s">
        <v>19</v>
      </c>
      <c r="E466" s="42" t="s">
        <v>20</v>
      </c>
      <c r="F466" s="42">
        <v>34</v>
      </c>
      <c r="G466" s="44">
        <v>500000</v>
      </c>
      <c r="H466" s="44">
        <v>17000000</v>
      </c>
      <c r="I466" s="42" t="s">
        <v>2191</v>
      </c>
      <c r="J466" s="42" t="s">
        <v>69</v>
      </c>
    </row>
    <row r="467" spans="1:10" x14ac:dyDescent="0.3">
      <c r="A467" s="42" t="s">
        <v>1082</v>
      </c>
      <c r="B467" s="43">
        <v>45744</v>
      </c>
      <c r="C467" s="42" t="s">
        <v>31</v>
      </c>
      <c r="D467" s="42" t="s">
        <v>32</v>
      </c>
      <c r="E467" s="42" t="s">
        <v>20</v>
      </c>
      <c r="F467" s="42">
        <v>44</v>
      </c>
      <c r="G467" s="44">
        <v>180000</v>
      </c>
      <c r="H467" s="44">
        <v>7920000</v>
      </c>
      <c r="I467" s="42" t="s">
        <v>2597</v>
      </c>
      <c r="J467" s="42" t="s">
        <v>8</v>
      </c>
    </row>
    <row r="468" spans="1:10" x14ac:dyDescent="0.3">
      <c r="A468" s="42" t="s">
        <v>1083</v>
      </c>
      <c r="B468" s="43">
        <v>45744</v>
      </c>
      <c r="C468" s="42" t="s">
        <v>44</v>
      </c>
      <c r="D468" s="42" t="s">
        <v>45</v>
      </c>
      <c r="E468" s="42" t="s">
        <v>16</v>
      </c>
      <c r="F468" s="42">
        <v>30</v>
      </c>
      <c r="G468" s="44">
        <v>250000</v>
      </c>
      <c r="H468" s="44">
        <v>7500000</v>
      </c>
      <c r="I468" s="42" t="s">
        <v>1320</v>
      </c>
      <c r="J468" s="42" t="s">
        <v>47</v>
      </c>
    </row>
    <row r="469" spans="1:10" x14ac:dyDescent="0.3">
      <c r="A469" s="42" t="s">
        <v>1084</v>
      </c>
      <c r="B469" s="43">
        <v>45744</v>
      </c>
      <c r="C469" s="42" t="s">
        <v>44</v>
      </c>
      <c r="D469" s="42" t="s">
        <v>45</v>
      </c>
      <c r="E469" s="42" t="s">
        <v>16</v>
      </c>
      <c r="F469" s="42">
        <v>10</v>
      </c>
      <c r="G469" s="44">
        <v>250000</v>
      </c>
      <c r="H469" s="44">
        <v>2500000</v>
      </c>
      <c r="I469" s="42" t="s">
        <v>2582</v>
      </c>
      <c r="J469" s="42" t="s">
        <v>69</v>
      </c>
    </row>
    <row r="470" spans="1:10" x14ac:dyDescent="0.3">
      <c r="A470" s="42" t="s">
        <v>1085</v>
      </c>
      <c r="B470" s="43">
        <v>45744</v>
      </c>
      <c r="C470" s="42" t="s">
        <v>28</v>
      </c>
      <c r="D470" s="42" t="s">
        <v>29</v>
      </c>
      <c r="E470" s="42" t="s">
        <v>20</v>
      </c>
      <c r="F470" s="42">
        <v>45</v>
      </c>
      <c r="G470" s="44">
        <v>450000</v>
      </c>
      <c r="H470" s="44">
        <v>20250000</v>
      </c>
      <c r="I470" s="42" t="s">
        <v>2288</v>
      </c>
      <c r="J470" s="42" t="s">
        <v>60</v>
      </c>
    </row>
    <row r="471" spans="1:10" x14ac:dyDescent="0.3">
      <c r="A471" s="42" t="s">
        <v>1086</v>
      </c>
      <c r="B471" s="43">
        <v>45744</v>
      </c>
      <c r="C471" s="42" t="s">
        <v>10</v>
      </c>
      <c r="D471" s="42" t="s">
        <v>11</v>
      </c>
      <c r="E471" s="42" t="s">
        <v>12</v>
      </c>
      <c r="F471" s="42">
        <v>28</v>
      </c>
      <c r="G471" s="44">
        <v>120000</v>
      </c>
      <c r="H471" s="44">
        <v>3360000</v>
      </c>
      <c r="I471" s="42" t="s">
        <v>164</v>
      </c>
      <c r="J471" s="42" t="s">
        <v>8</v>
      </c>
    </row>
    <row r="472" spans="1:10" x14ac:dyDescent="0.3">
      <c r="A472" s="42" t="s">
        <v>1087</v>
      </c>
      <c r="B472" s="43">
        <v>45747</v>
      </c>
      <c r="C472" s="42" t="s">
        <v>10</v>
      </c>
      <c r="D472" s="42" t="s">
        <v>11</v>
      </c>
      <c r="E472" s="42" t="s">
        <v>12</v>
      </c>
      <c r="F472" s="42">
        <v>100</v>
      </c>
      <c r="G472" s="44">
        <v>120000</v>
      </c>
      <c r="H472" s="44">
        <v>12000000</v>
      </c>
      <c r="I472" s="42" t="s">
        <v>2779</v>
      </c>
      <c r="J472" s="42" t="s">
        <v>8</v>
      </c>
    </row>
    <row r="473" spans="1:10" x14ac:dyDescent="0.3">
      <c r="A473" s="42" t="s">
        <v>1088</v>
      </c>
      <c r="B473" s="43">
        <v>45747</v>
      </c>
      <c r="C473" s="42" t="s">
        <v>44</v>
      </c>
      <c r="D473" s="42" t="s">
        <v>45</v>
      </c>
      <c r="E473" s="42" t="s">
        <v>16</v>
      </c>
      <c r="F473" s="42">
        <v>25</v>
      </c>
      <c r="G473" s="44">
        <v>250000</v>
      </c>
      <c r="H473" s="44">
        <v>6250000</v>
      </c>
      <c r="I473" s="42" t="s">
        <v>2728</v>
      </c>
      <c r="J473" s="42" t="s">
        <v>47</v>
      </c>
    </row>
    <row r="474" spans="1:10" x14ac:dyDescent="0.3">
      <c r="A474" s="42" t="s">
        <v>1117</v>
      </c>
      <c r="B474" s="43">
        <v>45747</v>
      </c>
      <c r="C474" s="42" t="s">
        <v>38</v>
      </c>
      <c r="D474" s="42" t="s">
        <v>39</v>
      </c>
      <c r="E474" s="42" t="s">
        <v>16</v>
      </c>
      <c r="F474" s="42">
        <v>42</v>
      </c>
      <c r="G474" s="44">
        <v>200000</v>
      </c>
      <c r="H474" s="44">
        <v>8400000</v>
      </c>
      <c r="I474" s="42" t="s">
        <v>2329</v>
      </c>
      <c r="J474" s="42" t="s">
        <v>69</v>
      </c>
    </row>
    <row r="475" spans="1:10" x14ac:dyDescent="0.3">
      <c r="A475" s="42" t="s">
        <v>1118</v>
      </c>
      <c r="B475" s="43">
        <v>45747</v>
      </c>
      <c r="C475" s="42" t="s">
        <v>40</v>
      </c>
      <c r="D475" s="42" t="s">
        <v>41</v>
      </c>
      <c r="E475" s="42" t="s">
        <v>16</v>
      </c>
      <c r="F475" s="42">
        <v>46</v>
      </c>
      <c r="G475" s="44">
        <v>950000</v>
      </c>
      <c r="H475" s="44">
        <v>43700000</v>
      </c>
      <c r="I475" s="42" t="s">
        <v>2262</v>
      </c>
      <c r="J475" s="42" t="s">
        <v>127</v>
      </c>
    </row>
    <row r="476" spans="1:10" x14ac:dyDescent="0.3">
      <c r="A476" s="42" t="s">
        <v>1119</v>
      </c>
      <c r="B476" s="43">
        <v>45747</v>
      </c>
      <c r="C476" s="42" t="s">
        <v>38</v>
      </c>
      <c r="D476" s="42" t="s">
        <v>39</v>
      </c>
      <c r="E476" s="42" t="s">
        <v>16</v>
      </c>
      <c r="F476" s="42">
        <v>47</v>
      </c>
      <c r="G476" s="44">
        <v>200000</v>
      </c>
      <c r="H476" s="44">
        <v>9400000</v>
      </c>
      <c r="I476" s="42" t="s">
        <v>2547</v>
      </c>
      <c r="J476" s="42" t="s">
        <v>47</v>
      </c>
    </row>
    <row r="477" spans="1:10" x14ac:dyDescent="0.3">
      <c r="A477" s="42" t="s">
        <v>1120</v>
      </c>
      <c r="B477" s="43">
        <v>45747</v>
      </c>
      <c r="C477" s="42" t="s">
        <v>31</v>
      </c>
      <c r="D477" s="42" t="s">
        <v>32</v>
      </c>
      <c r="E477" s="42" t="s">
        <v>20</v>
      </c>
      <c r="F477" s="42">
        <v>41</v>
      </c>
      <c r="G477" s="44">
        <v>180000</v>
      </c>
      <c r="H477" s="44">
        <v>7380000</v>
      </c>
      <c r="I477" s="42" t="s">
        <v>2635</v>
      </c>
      <c r="J477" s="42" t="s">
        <v>47</v>
      </c>
    </row>
    <row r="478" spans="1:10" x14ac:dyDescent="0.3">
      <c r="A478" s="42" t="s">
        <v>1121</v>
      </c>
      <c r="B478" s="43">
        <v>45747</v>
      </c>
      <c r="C478" s="42" t="s">
        <v>44</v>
      </c>
      <c r="D478" s="42" t="s">
        <v>45</v>
      </c>
      <c r="E478" s="42" t="s">
        <v>16</v>
      </c>
      <c r="F478" s="42">
        <v>39</v>
      </c>
      <c r="G478" s="44">
        <v>250000</v>
      </c>
      <c r="H478" s="44">
        <v>9750000</v>
      </c>
      <c r="I478" s="42" t="s">
        <v>2346</v>
      </c>
      <c r="J478" s="42" t="s">
        <v>127</v>
      </c>
    </row>
    <row r="479" spans="1:10" x14ac:dyDescent="0.3">
      <c r="A479" s="42" t="s">
        <v>1122</v>
      </c>
      <c r="B479" s="43">
        <v>45747</v>
      </c>
      <c r="C479" s="42" t="s">
        <v>10</v>
      </c>
      <c r="D479" s="42" t="s">
        <v>11</v>
      </c>
      <c r="E479" s="42" t="s">
        <v>12</v>
      </c>
      <c r="F479" s="42">
        <v>50</v>
      </c>
      <c r="G479" s="44">
        <v>120000</v>
      </c>
      <c r="H479" s="44">
        <v>6000000</v>
      </c>
      <c r="I479" s="42" t="s">
        <v>2507</v>
      </c>
      <c r="J479" s="42" t="s">
        <v>127</v>
      </c>
    </row>
    <row r="480" spans="1:10" x14ac:dyDescent="0.3">
      <c r="A480" s="42" t="s">
        <v>1123</v>
      </c>
      <c r="B480" s="43">
        <v>45747</v>
      </c>
      <c r="C480" s="42" t="s">
        <v>10</v>
      </c>
      <c r="D480" s="42" t="s">
        <v>11</v>
      </c>
      <c r="E480" s="42" t="s">
        <v>12</v>
      </c>
      <c r="F480" s="42">
        <v>50</v>
      </c>
      <c r="G480" s="44">
        <v>120000</v>
      </c>
      <c r="H480" s="44">
        <v>6000000</v>
      </c>
      <c r="I480" s="42" t="s">
        <v>2396</v>
      </c>
      <c r="J480" s="42" t="s">
        <v>127</v>
      </c>
    </row>
    <row r="481" spans="1:10" x14ac:dyDescent="0.3">
      <c r="A481" s="42" t="s">
        <v>1124</v>
      </c>
      <c r="B481" s="43">
        <v>45747</v>
      </c>
      <c r="C481" s="42" t="s">
        <v>22</v>
      </c>
      <c r="D481" s="42" t="s">
        <v>23</v>
      </c>
      <c r="E481" s="42" t="s">
        <v>12</v>
      </c>
      <c r="F481" s="42">
        <v>28</v>
      </c>
      <c r="G481" s="44">
        <v>25000</v>
      </c>
      <c r="H481" s="44">
        <v>700000</v>
      </c>
      <c r="I481" s="42" t="s">
        <v>2297</v>
      </c>
      <c r="J481" s="42" t="s">
        <v>69</v>
      </c>
    </row>
    <row r="482" spans="1:10" x14ac:dyDescent="0.3">
      <c r="A482" s="42" t="s">
        <v>1125</v>
      </c>
      <c r="B482" s="43">
        <v>45747</v>
      </c>
      <c r="C482" s="42" t="s">
        <v>40</v>
      </c>
      <c r="D482" s="42" t="s">
        <v>41</v>
      </c>
      <c r="E482" s="42" t="s">
        <v>16</v>
      </c>
      <c r="F482" s="42">
        <v>5</v>
      </c>
      <c r="G482" s="44">
        <v>950000</v>
      </c>
      <c r="H482" s="44">
        <v>4750000</v>
      </c>
      <c r="I482" s="42" t="s">
        <v>2743</v>
      </c>
      <c r="J482" s="42" t="s">
        <v>127</v>
      </c>
    </row>
    <row r="483" spans="1:10" x14ac:dyDescent="0.3">
      <c r="A483" s="42" t="s">
        <v>1126</v>
      </c>
      <c r="B483" s="43">
        <v>45747</v>
      </c>
      <c r="C483" s="42" t="s">
        <v>31</v>
      </c>
      <c r="D483" s="42" t="s">
        <v>32</v>
      </c>
      <c r="E483" s="42" t="s">
        <v>20</v>
      </c>
      <c r="F483" s="42">
        <v>16</v>
      </c>
      <c r="G483" s="44">
        <v>180000</v>
      </c>
      <c r="H483" s="44">
        <v>2880000</v>
      </c>
      <c r="I483" s="42" t="s">
        <v>2576</v>
      </c>
      <c r="J483" s="42" t="s">
        <v>69</v>
      </c>
    </row>
    <row r="484" spans="1:10" x14ac:dyDescent="0.3">
      <c r="A484" s="42" t="s">
        <v>1127</v>
      </c>
      <c r="B484" s="43">
        <v>45747</v>
      </c>
      <c r="C484" s="42" t="s">
        <v>10</v>
      </c>
      <c r="D484" s="42" t="s">
        <v>11</v>
      </c>
      <c r="E484" s="42" t="s">
        <v>12</v>
      </c>
      <c r="F484" s="42">
        <v>44</v>
      </c>
      <c r="G484" s="44">
        <v>120000</v>
      </c>
      <c r="H484" s="44">
        <v>5280000</v>
      </c>
      <c r="I484" s="42" t="s">
        <v>2435</v>
      </c>
      <c r="J484" s="42" t="s">
        <v>127</v>
      </c>
    </row>
    <row r="485" spans="1:10" x14ac:dyDescent="0.3">
      <c r="A485" s="42" t="s">
        <v>1128</v>
      </c>
      <c r="B485" s="43">
        <v>45748</v>
      </c>
      <c r="C485" s="42" t="s">
        <v>14</v>
      </c>
      <c r="D485" s="42" t="s">
        <v>15</v>
      </c>
      <c r="E485" s="42" t="s">
        <v>16</v>
      </c>
      <c r="F485" s="42">
        <v>28</v>
      </c>
      <c r="G485" s="44">
        <v>350000</v>
      </c>
      <c r="H485" s="44">
        <v>9800000</v>
      </c>
      <c r="I485" s="42" t="s">
        <v>2383</v>
      </c>
      <c r="J485" s="42" t="s">
        <v>69</v>
      </c>
    </row>
    <row r="486" spans="1:10" x14ac:dyDescent="0.3">
      <c r="A486" s="42" t="s">
        <v>1168</v>
      </c>
      <c r="B486" s="43">
        <v>45748</v>
      </c>
      <c r="C486" s="42" t="s">
        <v>42</v>
      </c>
      <c r="D486" s="42" t="s">
        <v>43</v>
      </c>
      <c r="E486" s="42" t="s">
        <v>16</v>
      </c>
      <c r="F486" s="42">
        <v>22</v>
      </c>
      <c r="G486" s="44">
        <v>1200000</v>
      </c>
      <c r="H486" s="44">
        <v>26400000</v>
      </c>
      <c r="I486" s="42" t="s">
        <v>2644</v>
      </c>
      <c r="J486" s="42" t="s">
        <v>69</v>
      </c>
    </row>
    <row r="487" spans="1:10" x14ac:dyDescent="0.3">
      <c r="A487" s="42" t="s">
        <v>1169</v>
      </c>
      <c r="B487" s="43">
        <v>45748</v>
      </c>
      <c r="C487" s="42" t="s">
        <v>38</v>
      </c>
      <c r="D487" s="42" t="s">
        <v>39</v>
      </c>
      <c r="E487" s="42" t="s">
        <v>16</v>
      </c>
      <c r="F487" s="42">
        <v>13</v>
      </c>
      <c r="G487" s="44">
        <v>200000</v>
      </c>
      <c r="H487" s="44">
        <v>2600000</v>
      </c>
      <c r="I487" s="42" t="s">
        <v>2591</v>
      </c>
      <c r="J487" s="42" t="s">
        <v>127</v>
      </c>
    </row>
    <row r="488" spans="1:10" x14ac:dyDescent="0.3">
      <c r="A488" s="42" t="s">
        <v>1170</v>
      </c>
      <c r="B488" s="43">
        <v>45748</v>
      </c>
      <c r="C488" s="42" t="s">
        <v>14</v>
      </c>
      <c r="D488" s="42" t="s">
        <v>15</v>
      </c>
      <c r="E488" s="42" t="s">
        <v>16</v>
      </c>
      <c r="F488" s="42">
        <v>47</v>
      </c>
      <c r="G488" s="44">
        <v>350000</v>
      </c>
      <c r="H488" s="44">
        <v>16450000</v>
      </c>
      <c r="I488" s="42" t="s">
        <v>2133</v>
      </c>
      <c r="J488" s="42" t="s">
        <v>60</v>
      </c>
    </row>
    <row r="489" spans="1:10" x14ac:dyDescent="0.3">
      <c r="A489" s="42" t="s">
        <v>1204</v>
      </c>
      <c r="B489" s="43">
        <v>45748</v>
      </c>
      <c r="C489" s="42" t="s">
        <v>31</v>
      </c>
      <c r="D489" s="42" t="s">
        <v>32</v>
      </c>
      <c r="E489" s="42" t="s">
        <v>20</v>
      </c>
      <c r="F489" s="42">
        <v>27</v>
      </c>
      <c r="G489" s="44">
        <v>180000</v>
      </c>
      <c r="H489" s="44">
        <v>4860000</v>
      </c>
      <c r="I489" s="42" t="s">
        <v>2398</v>
      </c>
      <c r="J489" s="42" t="s">
        <v>47</v>
      </c>
    </row>
    <row r="490" spans="1:10" x14ac:dyDescent="0.3">
      <c r="A490" s="42" t="s">
        <v>1205</v>
      </c>
      <c r="B490" s="43">
        <v>45748</v>
      </c>
      <c r="C490" s="42" t="s">
        <v>22</v>
      </c>
      <c r="D490" s="42" t="s">
        <v>23</v>
      </c>
      <c r="E490" s="42" t="s">
        <v>12</v>
      </c>
      <c r="F490" s="42">
        <v>370</v>
      </c>
      <c r="G490" s="44">
        <v>25000</v>
      </c>
      <c r="H490" s="44">
        <v>9250000</v>
      </c>
      <c r="I490" s="42" t="s">
        <v>2169</v>
      </c>
      <c r="J490" s="42" t="s">
        <v>127</v>
      </c>
    </row>
    <row r="491" spans="1:10" x14ac:dyDescent="0.3">
      <c r="A491" s="42" t="s">
        <v>1206</v>
      </c>
      <c r="B491" s="43">
        <v>45748</v>
      </c>
      <c r="C491" s="42" t="s">
        <v>44</v>
      </c>
      <c r="D491" s="42" t="s">
        <v>45</v>
      </c>
      <c r="E491" s="42" t="s">
        <v>16</v>
      </c>
      <c r="F491" s="42">
        <v>8</v>
      </c>
      <c r="G491" s="44">
        <v>250000</v>
      </c>
      <c r="H491" s="44">
        <v>2000000</v>
      </c>
      <c r="I491" s="42" t="s">
        <v>2757</v>
      </c>
      <c r="J491" s="42" t="s">
        <v>127</v>
      </c>
    </row>
    <row r="492" spans="1:10" x14ac:dyDescent="0.3">
      <c r="A492" s="42" t="s">
        <v>1207</v>
      </c>
      <c r="B492" s="43">
        <v>45748</v>
      </c>
      <c r="C492" s="42" t="s">
        <v>14</v>
      </c>
      <c r="D492" s="42" t="s">
        <v>15</v>
      </c>
      <c r="E492" s="42" t="s">
        <v>16</v>
      </c>
      <c r="F492" s="42">
        <v>9</v>
      </c>
      <c r="G492" s="44">
        <v>350000</v>
      </c>
      <c r="H492" s="44">
        <v>3150000</v>
      </c>
      <c r="I492" s="42" t="s">
        <v>2846</v>
      </c>
      <c r="J492" s="42" t="s">
        <v>127</v>
      </c>
    </row>
    <row r="493" spans="1:10" x14ac:dyDescent="0.3">
      <c r="A493" s="42" t="s">
        <v>1208</v>
      </c>
      <c r="B493" s="43">
        <v>45748</v>
      </c>
      <c r="C493" s="42" t="s">
        <v>28</v>
      </c>
      <c r="D493" s="42" t="s">
        <v>29</v>
      </c>
      <c r="E493" s="42" t="s">
        <v>20</v>
      </c>
      <c r="F493" s="42">
        <v>320</v>
      </c>
      <c r="G493" s="44">
        <v>450000</v>
      </c>
      <c r="H493" s="44">
        <v>144000000</v>
      </c>
      <c r="I493" s="42" t="s">
        <v>2291</v>
      </c>
      <c r="J493" s="42" t="s">
        <v>127</v>
      </c>
    </row>
    <row r="494" spans="1:10" x14ac:dyDescent="0.3">
      <c r="A494" s="42" t="s">
        <v>1209</v>
      </c>
      <c r="B494" s="43">
        <v>45748</v>
      </c>
      <c r="C494" s="42" t="s">
        <v>31</v>
      </c>
      <c r="D494" s="42" t="s">
        <v>32</v>
      </c>
      <c r="E494" s="42" t="s">
        <v>20</v>
      </c>
      <c r="F494" s="42">
        <v>37</v>
      </c>
      <c r="G494" s="44">
        <v>180000</v>
      </c>
      <c r="H494" s="44">
        <v>6660000</v>
      </c>
      <c r="I494" s="42" t="s">
        <v>2560</v>
      </c>
      <c r="J494" s="42" t="s">
        <v>47</v>
      </c>
    </row>
    <row r="495" spans="1:10" x14ac:dyDescent="0.3">
      <c r="A495" s="42" t="s">
        <v>1210</v>
      </c>
      <c r="B495" s="43">
        <v>45748</v>
      </c>
      <c r="C495" s="42" t="s">
        <v>18</v>
      </c>
      <c r="D495" s="42" t="s">
        <v>19</v>
      </c>
      <c r="E495" s="42" t="s">
        <v>20</v>
      </c>
      <c r="F495" s="42">
        <v>5</v>
      </c>
      <c r="G495" s="44">
        <v>500000</v>
      </c>
      <c r="H495" s="44">
        <v>2500000</v>
      </c>
      <c r="I495" s="42" t="s">
        <v>2531</v>
      </c>
      <c r="J495" s="42" t="s">
        <v>47</v>
      </c>
    </row>
    <row r="496" spans="1:10" x14ac:dyDescent="0.3">
      <c r="A496" s="42" t="s">
        <v>1247</v>
      </c>
      <c r="B496" s="43">
        <v>45750</v>
      </c>
      <c r="C496" s="42" t="s">
        <v>31</v>
      </c>
      <c r="D496" s="42" t="s">
        <v>32</v>
      </c>
      <c r="E496" s="42" t="s">
        <v>20</v>
      </c>
      <c r="F496" s="42">
        <v>29</v>
      </c>
      <c r="G496" s="44">
        <v>180000</v>
      </c>
      <c r="H496" s="44">
        <v>5220000</v>
      </c>
      <c r="I496" s="42" t="s">
        <v>2209</v>
      </c>
      <c r="J496" s="42" t="s">
        <v>8</v>
      </c>
    </row>
    <row r="497" spans="1:10" x14ac:dyDescent="0.3">
      <c r="A497" s="42" t="s">
        <v>1248</v>
      </c>
      <c r="B497" s="43">
        <v>45750</v>
      </c>
      <c r="C497" s="42" t="s">
        <v>44</v>
      </c>
      <c r="D497" s="42" t="s">
        <v>45</v>
      </c>
      <c r="E497" s="42" t="s">
        <v>16</v>
      </c>
      <c r="F497" s="42">
        <v>39</v>
      </c>
      <c r="G497" s="44">
        <v>250000</v>
      </c>
      <c r="H497" s="44">
        <v>9750000</v>
      </c>
      <c r="I497" s="42" t="s">
        <v>2763</v>
      </c>
      <c r="J497" s="42" t="s">
        <v>127</v>
      </c>
    </row>
    <row r="498" spans="1:10" x14ac:dyDescent="0.3">
      <c r="A498" s="42" t="s">
        <v>1249</v>
      </c>
      <c r="B498" s="43">
        <v>45750</v>
      </c>
      <c r="C498" s="42" t="s">
        <v>44</v>
      </c>
      <c r="D498" s="42" t="s">
        <v>45</v>
      </c>
      <c r="E498" s="42" t="s">
        <v>16</v>
      </c>
      <c r="F498" s="42">
        <v>20</v>
      </c>
      <c r="G498" s="44">
        <v>250000</v>
      </c>
      <c r="H498" s="44">
        <v>5000000</v>
      </c>
      <c r="I498" s="42" t="s">
        <v>2826</v>
      </c>
      <c r="J498" s="42" t="s">
        <v>60</v>
      </c>
    </row>
    <row r="499" spans="1:10" x14ac:dyDescent="0.3">
      <c r="A499" s="42" t="s">
        <v>1288</v>
      </c>
      <c r="B499" s="43">
        <v>45750</v>
      </c>
      <c r="C499" s="42" t="s">
        <v>42</v>
      </c>
      <c r="D499" s="42" t="s">
        <v>43</v>
      </c>
      <c r="E499" s="42" t="s">
        <v>16</v>
      </c>
      <c r="F499" s="42">
        <v>6</v>
      </c>
      <c r="G499" s="44">
        <v>1200000</v>
      </c>
      <c r="H499" s="44">
        <v>7200000</v>
      </c>
      <c r="I499" s="42" t="s">
        <v>2323</v>
      </c>
      <c r="J499" s="42" t="s">
        <v>47</v>
      </c>
    </row>
    <row r="500" spans="1:10" x14ac:dyDescent="0.3">
      <c r="A500" s="42" t="s">
        <v>1289</v>
      </c>
      <c r="B500" s="43">
        <v>45750</v>
      </c>
      <c r="C500" s="42" t="s">
        <v>40</v>
      </c>
      <c r="D500" s="42" t="s">
        <v>41</v>
      </c>
      <c r="E500" s="42" t="s">
        <v>16</v>
      </c>
      <c r="F500" s="42">
        <v>9</v>
      </c>
      <c r="G500" s="44">
        <v>950000</v>
      </c>
      <c r="H500" s="44">
        <v>8550000</v>
      </c>
      <c r="I500" s="42" t="s">
        <v>2309</v>
      </c>
      <c r="J500" s="42" t="s">
        <v>8</v>
      </c>
    </row>
    <row r="501" spans="1:10" x14ac:dyDescent="0.3">
      <c r="A501" s="42" t="s">
        <v>1290</v>
      </c>
      <c r="B501" s="43">
        <v>45750</v>
      </c>
      <c r="C501" s="42" t="s">
        <v>44</v>
      </c>
      <c r="D501" s="42" t="s">
        <v>45</v>
      </c>
      <c r="E501" s="42" t="s">
        <v>16</v>
      </c>
      <c r="F501" s="42">
        <v>6</v>
      </c>
      <c r="G501" s="44">
        <v>250000</v>
      </c>
      <c r="H501" s="44">
        <v>1500000</v>
      </c>
      <c r="I501" s="42" t="s">
        <v>2723</v>
      </c>
      <c r="J501" s="42" t="s">
        <v>8</v>
      </c>
    </row>
    <row r="502" spans="1:10" x14ac:dyDescent="0.3">
      <c r="A502" s="42" t="s">
        <v>1291</v>
      </c>
      <c r="B502" s="43">
        <v>45750</v>
      </c>
      <c r="C502" s="42" t="s">
        <v>28</v>
      </c>
      <c r="D502" s="42" t="s">
        <v>29</v>
      </c>
      <c r="E502" s="42" t="s">
        <v>20</v>
      </c>
      <c r="F502" s="42">
        <v>21</v>
      </c>
      <c r="G502" s="44">
        <v>450000</v>
      </c>
      <c r="H502" s="44">
        <v>9450000</v>
      </c>
      <c r="I502" s="42" t="s">
        <v>2843</v>
      </c>
      <c r="J502" s="42" t="s">
        <v>8</v>
      </c>
    </row>
    <row r="503" spans="1:10" x14ac:dyDescent="0.3">
      <c r="A503" s="42" t="s">
        <v>1292</v>
      </c>
      <c r="B503" s="43">
        <v>45750</v>
      </c>
      <c r="C503" s="42" t="s">
        <v>22</v>
      </c>
      <c r="D503" s="42" t="s">
        <v>23</v>
      </c>
      <c r="E503" s="42" t="s">
        <v>12</v>
      </c>
      <c r="F503" s="42">
        <v>21</v>
      </c>
      <c r="G503" s="44">
        <v>25000</v>
      </c>
      <c r="H503" s="44">
        <v>525000</v>
      </c>
      <c r="I503" s="42" t="s">
        <v>2420</v>
      </c>
      <c r="J503" s="42" t="s">
        <v>127</v>
      </c>
    </row>
    <row r="504" spans="1:10" x14ac:dyDescent="0.3">
      <c r="A504" s="42" t="s">
        <v>1293</v>
      </c>
      <c r="B504" s="43">
        <v>45750</v>
      </c>
      <c r="C504" s="42" t="s">
        <v>14</v>
      </c>
      <c r="D504" s="42" t="s">
        <v>15</v>
      </c>
      <c r="E504" s="42" t="s">
        <v>16</v>
      </c>
      <c r="F504" s="42">
        <v>15</v>
      </c>
      <c r="G504" s="44">
        <v>350000</v>
      </c>
      <c r="H504" s="44">
        <v>5250000</v>
      </c>
      <c r="I504" s="42" t="s">
        <v>2523</v>
      </c>
      <c r="J504" s="42" t="s">
        <v>127</v>
      </c>
    </row>
    <row r="505" spans="1:10" x14ac:dyDescent="0.3">
      <c r="A505" s="42" t="s">
        <v>1294</v>
      </c>
      <c r="B505" s="43">
        <v>45750</v>
      </c>
      <c r="C505" s="42" t="s">
        <v>42</v>
      </c>
      <c r="D505" s="42" t="s">
        <v>43</v>
      </c>
      <c r="E505" s="42" t="s">
        <v>16</v>
      </c>
      <c r="F505" s="42">
        <v>13</v>
      </c>
      <c r="G505" s="44">
        <v>1200000</v>
      </c>
      <c r="H505" s="44">
        <v>15600000</v>
      </c>
      <c r="I505" s="42" t="s">
        <v>2590</v>
      </c>
      <c r="J505" s="42" t="s">
        <v>60</v>
      </c>
    </row>
    <row r="506" spans="1:10" x14ac:dyDescent="0.3">
      <c r="A506" s="42" t="s">
        <v>1295</v>
      </c>
      <c r="B506" s="43">
        <v>45750</v>
      </c>
      <c r="C506" s="42" t="s">
        <v>28</v>
      </c>
      <c r="D506" s="42" t="s">
        <v>29</v>
      </c>
      <c r="E506" s="42" t="s">
        <v>20</v>
      </c>
      <c r="F506" s="42">
        <v>18</v>
      </c>
      <c r="G506" s="44">
        <v>450000</v>
      </c>
      <c r="H506" s="44">
        <v>8100000</v>
      </c>
      <c r="I506" s="42" t="s">
        <v>2330</v>
      </c>
      <c r="J506" s="42" t="s">
        <v>69</v>
      </c>
    </row>
    <row r="507" spans="1:10" x14ac:dyDescent="0.3">
      <c r="A507" s="42" t="s">
        <v>1330</v>
      </c>
      <c r="B507" s="43">
        <v>45750</v>
      </c>
      <c r="C507" s="42" t="s">
        <v>40</v>
      </c>
      <c r="D507" s="42" t="s">
        <v>41</v>
      </c>
      <c r="E507" s="42" t="s">
        <v>16</v>
      </c>
      <c r="F507" s="42">
        <v>27</v>
      </c>
      <c r="G507" s="44">
        <v>950000</v>
      </c>
      <c r="H507" s="44">
        <v>25650000</v>
      </c>
      <c r="I507" s="42" t="s">
        <v>2234</v>
      </c>
      <c r="J507" s="42" t="s">
        <v>60</v>
      </c>
    </row>
    <row r="508" spans="1:10" x14ac:dyDescent="0.3">
      <c r="A508" s="42" t="s">
        <v>1331</v>
      </c>
      <c r="B508" s="43">
        <v>45751</v>
      </c>
      <c r="C508" s="42" t="s">
        <v>18</v>
      </c>
      <c r="D508" s="42" t="s">
        <v>19</v>
      </c>
      <c r="E508" s="42" t="s">
        <v>20</v>
      </c>
      <c r="F508" s="42">
        <v>400</v>
      </c>
      <c r="G508" s="44">
        <v>500000</v>
      </c>
      <c r="H508" s="44">
        <v>200000000</v>
      </c>
      <c r="I508" s="42" t="s">
        <v>2197</v>
      </c>
      <c r="J508" s="42" t="s">
        <v>8</v>
      </c>
    </row>
    <row r="509" spans="1:10" x14ac:dyDescent="0.3">
      <c r="A509" s="42" t="s">
        <v>1332</v>
      </c>
      <c r="B509" s="43">
        <v>45751</v>
      </c>
      <c r="C509" s="42" t="s">
        <v>28</v>
      </c>
      <c r="D509" s="42" t="s">
        <v>29</v>
      </c>
      <c r="E509" s="42" t="s">
        <v>20</v>
      </c>
      <c r="F509" s="42">
        <v>300</v>
      </c>
      <c r="G509" s="44">
        <v>450000</v>
      </c>
      <c r="H509" s="44">
        <v>135000000</v>
      </c>
      <c r="I509" s="42" t="s">
        <v>2533</v>
      </c>
      <c r="J509" s="42" t="s">
        <v>8</v>
      </c>
    </row>
    <row r="510" spans="1:10" x14ac:dyDescent="0.3">
      <c r="A510" s="42" t="s">
        <v>1333</v>
      </c>
      <c r="B510" s="43">
        <v>45751</v>
      </c>
      <c r="C510" s="42" t="s">
        <v>40</v>
      </c>
      <c r="D510" s="42" t="s">
        <v>41</v>
      </c>
      <c r="E510" s="42" t="s">
        <v>16</v>
      </c>
      <c r="F510" s="42">
        <v>23</v>
      </c>
      <c r="G510" s="44">
        <v>950000</v>
      </c>
      <c r="H510" s="44">
        <v>21850000</v>
      </c>
      <c r="I510" s="42" t="s">
        <v>1358</v>
      </c>
      <c r="J510" s="42" t="s">
        <v>47</v>
      </c>
    </row>
    <row r="511" spans="1:10" x14ac:dyDescent="0.3">
      <c r="A511" s="42" t="s">
        <v>1334</v>
      </c>
      <c r="B511" s="43">
        <v>45751</v>
      </c>
      <c r="C511" s="42" t="s">
        <v>31</v>
      </c>
      <c r="D511" s="42" t="s">
        <v>32</v>
      </c>
      <c r="E511" s="42" t="s">
        <v>20</v>
      </c>
      <c r="F511" s="42">
        <v>45</v>
      </c>
      <c r="G511" s="44">
        <v>180000</v>
      </c>
      <c r="H511" s="44">
        <v>8100000</v>
      </c>
      <c r="I511" s="42" t="s">
        <v>2437</v>
      </c>
      <c r="J511" s="42" t="s">
        <v>69</v>
      </c>
    </row>
    <row r="512" spans="1:10" x14ac:dyDescent="0.3">
      <c r="A512" s="42" t="s">
        <v>1335</v>
      </c>
      <c r="B512" s="43">
        <v>45751</v>
      </c>
      <c r="C512" s="42" t="s">
        <v>18</v>
      </c>
      <c r="D512" s="42" t="s">
        <v>19</v>
      </c>
      <c r="E512" s="42" t="s">
        <v>20</v>
      </c>
      <c r="F512" s="42">
        <v>30</v>
      </c>
      <c r="G512" s="44">
        <v>500000</v>
      </c>
      <c r="H512" s="44">
        <v>15000000</v>
      </c>
      <c r="I512" s="42" t="s">
        <v>2278</v>
      </c>
      <c r="J512" s="42" t="s">
        <v>60</v>
      </c>
    </row>
    <row r="513" spans="1:10" x14ac:dyDescent="0.3">
      <c r="A513" s="42" t="s">
        <v>1336</v>
      </c>
      <c r="B513" s="43">
        <v>45751</v>
      </c>
      <c r="C513" s="42" t="s">
        <v>28</v>
      </c>
      <c r="D513" s="42" t="s">
        <v>29</v>
      </c>
      <c r="E513" s="42" t="s">
        <v>20</v>
      </c>
      <c r="F513" s="42">
        <v>12</v>
      </c>
      <c r="G513" s="44">
        <v>450000</v>
      </c>
      <c r="H513" s="44">
        <v>5400000</v>
      </c>
      <c r="I513" s="42" t="s">
        <v>2570</v>
      </c>
      <c r="J513" s="42" t="s">
        <v>8</v>
      </c>
    </row>
    <row r="514" spans="1:10" x14ac:dyDescent="0.3">
      <c r="A514" s="42" t="s">
        <v>1363</v>
      </c>
      <c r="B514" s="43">
        <v>45751</v>
      </c>
      <c r="C514" s="42" t="s">
        <v>42</v>
      </c>
      <c r="D514" s="42" t="s">
        <v>43</v>
      </c>
      <c r="E514" s="42" t="s">
        <v>16</v>
      </c>
      <c r="F514" s="42">
        <v>360</v>
      </c>
      <c r="G514" s="44">
        <v>1200000</v>
      </c>
      <c r="H514" s="44">
        <v>432000000</v>
      </c>
      <c r="I514" s="42" t="s">
        <v>2604</v>
      </c>
      <c r="J514" s="42" t="s">
        <v>47</v>
      </c>
    </row>
    <row r="515" spans="1:10" x14ac:dyDescent="0.3">
      <c r="A515" s="42" t="s">
        <v>1364</v>
      </c>
      <c r="B515" s="43">
        <v>45751</v>
      </c>
      <c r="C515" s="42" t="s">
        <v>42</v>
      </c>
      <c r="D515" s="42" t="s">
        <v>43</v>
      </c>
      <c r="E515" s="42" t="s">
        <v>16</v>
      </c>
      <c r="F515" s="42">
        <v>14</v>
      </c>
      <c r="G515" s="44">
        <v>1200000</v>
      </c>
      <c r="H515" s="44">
        <v>16800000</v>
      </c>
      <c r="I515" s="42" t="s">
        <v>2501</v>
      </c>
      <c r="J515" s="42" t="s">
        <v>69</v>
      </c>
    </row>
    <row r="516" spans="1:10" x14ac:dyDescent="0.3">
      <c r="A516" s="42" t="s">
        <v>1365</v>
      </c>
      <c r="B516" s="43">
        <v>45751</v>
      </c>
      <c r="C516" s="42" t="s">
        <v>31</v>
      </c>
      <c r="D516" s="42" t="s">
        <v>32</v>
      </c>
      <c r="E516" s="42" t="s">
        <v>20</v>
      </c>
      <c r="F516" s="42">
        <v>8</v>
      </c>
      <c r="G516" s="44">
        <v>180000</v>
      </c>
      <c r="H516" s="44">
        <v>1440000</v>
      </c>
      <c r="I516" s="42" t="s">
        <v>2721</v>
      </c>
      <c r="J516" s="42" t="s">
        <v>8</v>
      </c>
    </row>
    <row r="517" spans="1:10" x14ac:dyDescent="0.3">
      <c r="A517" s="42" t="s">
        <v>1366</v>
      </c>
      <c r="B517" s="43">
        <v>45751</v>
      </c>
      <c r="C517" s="42" t="s">
        <v>14</v>
      </c>
      <c r="D517" s="42" t="s">
        <v>15</v>
      </c>
      <c r="E517" s="42" t="s">
        <v>16</v>
      </c>
      <c r="F517" s="42">
        <v>370</v>
      </c>
      <c r="G517" s="44">
        <v>350000</v>
      </c>
      <c r="H517" s="44">
        <v>129500000</v>
      </c>
      <c r="I517" s="42" t="s">
        <v>2668</v>
      </c>
      <c r="J517" s="42" t="s">
        <v>127</v>
      </c>
    </row>
    <row r="518" spans="1:10" x14ac:dyDescent="0.3">
      <c r="A518" s="42" t="s">
        <v>1367</v>
      </c>
      <c r="B518" s="43">
        <v>45754</v>
      </c>
      <c r="C518" s="42" t="s">
        <v>14</v>
      </c>
      <c r="D518" s="42" t="s">
        <v>15</v>
      </c>
      <c r="E518" s="42" t="s">
        <v>16</v>
      </c>
      <c r="F518" s="42">
        <v>18</v>
      </c>
      <c r="G518" s="44">
        <v>350000</v>
      </c>
      <c r="H518" s="44">
        <v>6300000</v>
      </c>
      <c r="I518" s="42" t="s">
        <v>126</v>
      </c>
      <c r="J518" s="42" t="s">
        <v>127</v>
      </c>
    </row>
    <row r="519" spans="1:10" x14ac:dyDescent="0.3">
      <c r="A519" s="42" t="s">
        <v>1368</v>
      </c>
      <c r="B519" s="43">
        <v>45754</v>
      </c>
      <c r="C519" s="42" t="s">
        <v>22</v>
      </c>
      <c r="D519" s="42" t="s">
        <v>23</v>
      </c>
      <c r="E519" s="42" t="s">
        <v>12</v>
      </c>
      <c r="F519" s="42">
        <v>11</v>
      </c>
      <c r="G519" s="44">
        <v>25000</v>
      </c>
      <c r="H519" s="44">
        <v>275000</v>
      </c>
      <c r="I519" s="42" t="s">
        <v>2471</v>
      </c>
      <c r="J519" s="42" t="s">
        <v>47</v>
      </c>
    </row>
    <row r="520" spans="1:10" x14ac:dyDescent="0.3">
      <c r="A520" s="42" t="s">
        <v>1405</v>
      </c>
      <c r="B520" s="43">
        <v>45754</v>
      </c>
      <c r="C520" s="42" t="s">
        <v>31</v>
      </c>
      <c r="D520" s="42" t="s">
        <v>32</v>
      </c>
      <c r="E520" s="42" t="s">
        <v>20</v>
      </c>
      <c r="F520" s="42">
        <v>36</v>
      </c>
      <c r="G520" s="44">
        <v>180000</v>
      </c>
      <c r="H520" s="44">
        <v>6480000</v>
      </c>
      <c r="I520" s="42" t="s">
        <v>2591</v>
      </c>
      <c r="J520" s="42" t="s">
        <v>127</v>
      </c>
    </row>
    <row r="521" spans="1:10" x14ac:dyDescent="0.3">
      <c r="A521" s="42" t="s">
        <v>1406</v>
      </c>
      <c r="B521" s="43">
        <v>45754</v>
      </c>
      <c r="C521" s="42" t="s">
        <v>18</v>
      </c>
      <c r="D521" s="42" t="s">
        <v>19</v>
      </c>
      <c r="E521" s="42" t="s">
        <v>20</v>
      </c>
      <c r="F521" s="42">
        <v>32</v>
      </c>
      <c r="G521" s="44">
        <v>500000</v>
      </c>
      <c r="H521" s="44">
        <v>16000000</v>
      </c>
      <c r="I521" s="42" t="s">
        <v>325</v>
      </c>
      <c r="J521" s="42" t="s">
        <v>8</v>
      </c>
    </row>
    <row r="522" spans="1:10" x14ac:dyDescent="0.3">
      <c r="A522" s="42" t="s">
        <v>1407</v>
      </c>
      <c r="B522" s="43">
        <v>45754</v>
      </c>
      <c r="C522" s="42" t="s">
        <v>18</v>
      </c>
      <c r="D522" s="42" t="s">
        <v>19</v>
      </c>
      <c r="E522" s="42" t="s">
        <v>20</v>
      </c>
      <c r="F522" s="42">
        <v>37</v>
      </c>
      <c r="G522" s="44">
        <v>500000</v>
      </c>
      <c r="H522" s="44">
        <v>18500000</v>
      </c>
      <c r="I522" s="42" t="s">
        <v>2599</v>
      </c>
      <c r="J522" s="42" t="s">
        <v>127</v>
      </c>
    </row>
    <row r="523" spans="1:10" x14ac:dyDescent="0.3">
      <c r="A523" s="42" t="s">
        <v>1408</v>
      </c>
      <c r="B523" s="43">
        <v>45754</v>
      </c>
      <c r="C523" s="42" t="s">
        <v>18</v>
      </c>
      <c r="D523" s="42" t="s">
        <v>19</v>
      </c>
      <c r="E523" s="42" t="s">
        <v>20</v>
      </c>
      <c r="F523" s="42">
        <v>100</v>
      </c>
      <c r="G523" s="44">
        <v>500000</v>
      </c>
      <c r="H523" s="44">
        <v>50000000</v>
      </c>
      <c r="I523" s="42" t="s">
        <v>2779</v>
      </c>
      <c r="J523" s="42" t="s">
        <v>8</v>
      </c>
    </row>
    <row r="524" spans="1:10" x14ac:dyDescent="0.3">
      <c r="A524" s="42" t="s">
        <v>1409</v>
      </c>
      <c r="B524" s="43">
        <v>45754</v>
      </c>
      <c r="C524" s="42" t="s">
        <v>44</v>
      </c>
      <c r="D524" s="42" t="s">
        <v>45</v>
      </c>
      <c r="E524" s="42" t="s">
        <v>16</v>
      </c>
      <c r="F524" s="42">
        <v>12</v>
      </c>
      <c r="G524" s="44">
        <v>250000</v>
      </c>
      <c r="H524" s="44">
        <v>3000000</v>
      </c>
      <c r="I524" s="42" t="s">
        <v>2334</v>
      </c>
      <c r="J524" s="42" t="s">
        <v>127</v>
      </c>
    </row>
    <row r="525" spans="1:10" x14ac:dyDescent="0.3">
      <c r="A525" s="42" t="s">
        <v>1410</v>
      </c>
      <c r="B525" s="43">
        <v>45754</v>
      </c>
      <c r="C525" s="42" t="s">
        <v>42</v>
      </c>
      <c r="D525" s="42" t="s">
        <v>43</v>
      </c>
      <c r="E525" s="42" t="s">
        <v>16</v>
      </c>
      <c r="F525" s="42">
        <v>49</v>
      </c>
      <c r="G525" s="44">
        <v>1200000</v>
      </c>
      <c r="H525" s="44">
        <v>58800000</v>
      </c>
      <c r="I525" s="42" t="s">
        <v>2759</v>
      </c>
      <c r="J525" s="42" t="s">
        <v>60</v>
      </c>
    </row>
    <row r="526" spans="1:10" x14ac:dyDescent="0.3">
      <c r="A526" s="42" t="s">
        <v>1411</v>
      </c>
      <c r="B526" s="43">
        <v>45754</v>
      </c>
      <c r="C526" s="42" t="s">
        <v>28</v>
      </c>
      <c r="D526" s="42" t="s">
        <v>29</v>
      </c>
      <c r="E526" s="42" t="s">
        <v>20</v>
      </c>
      <c r="F526" s="42">
        <v>39</v>
      </c>
      <c r="G526" s="44">
        <v>450000</v>
      </c>
      <c r="H526" s="44">
        <v>17550000</v>
      </c>
      <c r="I526" s="42" t="s">
        <v>2706</v>
      </c>
      <c r="J526" s="42" t="s">
        <v>60</v>
      </c>
    </row>
    <row r="527" spans="1:10" x14ac:dyDescent="0.3">
      <c r="A527" s="42" t="s">
        <v>1440</v>
      </c>
      <c r="B527" s="43">
        <v>45754</v>
      </c>
      <c r="C527" s="42" t="s">
        <v>31</v>
      </c>
      <c r="D527" s="42" t="s">
        <v>32</v>
      </c>
      <c r="E527" s="42" t="s">
        <v>20</v>
      </c>
      <c r="F527" s="42">
        <v>6</v>
      </c>
      <c r="G527" s="44">
        <v>180000</v>
      </c>
      <c r="H527" s="44">
        <v>1080000</v>
      </c>
      <c r="I527" s="42" t="s">
        <v>2513</v>
      </c>
      <c r="J527" s="42" t="s">
        <v>47</v>
      </c>
    </row>
    <row r="528" spans="1:10" x14ac:dyDescent="0.3">
      <c r="A528" s="42" t="s">
        <v>1441</v>
      </c>
      <c r="B528" s="43">
        <v>45754</v>
      </c>
      <c r="C528" s="42" t="s">
        <v>22</v>
      </c>
      <c r="D528" s="42" t="s">
        <v>23</v>
      </c>
      <c r="E528" s="42" t="s">
        <v>12</v>
      </c>
      <c r="F528" s="42">
        <v>9</v>
      </c>
      <c r="G528" s="44">
        <v>25000</v>
      </c>
      <c r="H528" s="44">
        <v>225000</v>
      </c>
      <c r="I528" s="42" t="s">
        <v>2462</v>
      </c>
      <c r="J528" s="42" t="s">
        <v>60</v>
      </c>
    </row>
    <row r="529" spans="1:10" x14ac:dyDescent="0.3">
      <c r="A529" s="42" t="s">
        <v>1442</v>
      </c>
      <c r="B529" s="43">
        <v>45754</v>
      </c>
      <c r="C529" s="42" t="s">
        <v>40</v>
      </c>
      <c r="D529" s="42" t="s">
        <v>41</v>
      </c>
      <c r="E529" s="42" t="s">
        <v>16</v>
      </c>
      <c r="F529" s="42">
        <v>15</v>
      </c>
      <c r="G529" s="44">
        <v>950000</v>
      </c>
      <c r="H529" s="44">
        <v>14250000</v>
      </c>
      <c r="I529" s="42" t="s">
        <v>2356</v>
      </c>
      <c r="J529" s="42" t="s">
        <v>8</v>
      </c>
    </row>
    <row r="530" spans="1:10" x14ac:dyDescent="0.3">
      <c r="A530" s="42" t="s">
        <v>1443</v>
      </c>
      <c r="B530" s="43">
        <v>45754</v>
      </c>
      <c r="C530" s="42" t="s">
        <v>38</v>
      </c>
      <c r="D530" s="42" t="s">
        <v>39</v>
      </c>
      <c r="E530" s="42" t="s">
        <v>16</v>
      </c>
      <c r="F530" s="42">
        <v>33</v>
      </c>
      <c r="G530" s="44">
        <v>200000</v>
      </c>
      <c r="H530" s="44">
        <v>6600000</v>
      </c>
      <c r="I530" s="42" t="s">
        <v>2176</v>
      </c>
      <c r="J530" s="42" t="s">
        <v>127</v>
      </c>
    </row>
    <row r="531" spans="1:10" x14ac:dyDescent="0.3">
      <c r="A531" s="42" t="s">
        <v>1444</v>
      </c>
      <c r="B531" s="43">
        <v>45754</v>
      </c>
      <c r="C531" s="42" t="s">
        <v>18</v>
      </c>
      <c r="D531" s="42" t="s">
        <v>19</v>
      </c>
      <c r="E531" s="42" t="s">
        <v>20</v>
      </c>
      <c r="F531" s="42">
        <v>42</v>
      </c>
      <c r="G531" s="44">
        <v>500000</v>
      </c>
      <c r="H531" s="44">
        <v>21000000</v>
      </c>
      <c r="I531" s="42" t="s">
        <v>2665</v>
      </c>
      <c r="J531" s="42" t="s">
        <v>127</v>
      </c>
    </row>
    <row r="532" spans="1:10" x14ac:dyDescent="0.3">
      <c r="A532" s="42" t="s">
        <v>1481</v>
      </c>
      <c r="B532" s="43">
        <v>45754</v>
      </c>
      <c r="C532" s="42" t="s">
        <v>38</v>
      </c>
      <c r="D532" s="42" t="s">
        <v>39</v>
      </c>
      <c r="E532" s="42" t="s">
        <v>16</v>
      </c>
      <c r="F532" s="42">
        <v>22</v>
      </c>
      <c r="G532" s="44">
        <v>200000</v>
      </c>
      <c r="H532" s="44">
        <v>4400000</v>
      </c>
      <c r="I532" s="42" t="s">
        <v>2263</v>
      </c>
      <c r="J532" s="42" t="s">
        <v>8</v>
      </c>
    </row>
    <row r="533" spans="1:10" x14ac:dyDescent="0.3">
      <c r="A533" s="42" t="s">
        <v>1482</v>
      </c>
      <c r="B533" s="43">
        <v>45755</v>
      </c>
      <c r="C533" s="42" t="s">
        <v>10</v>
      </c>
      <c r="D533" s="42" t="s">
        <v>11</v>
      </c>
      <c r="E533" s="42" t="s">
        <v>12</v>
      </c>
      <c r="F533" s="42">
        <v>30</v>
      </c>
      <c r="G533" s="44">
        <v>120000</v>
      </c>
      <c r="H533" s="44">
        <v>3600000</v>
      </c>
      <c r="I533" s="42" t="s">
        <v>2413</v>
      </c>
      <c r="J533" s="42" t="s">
        <v>8</v>
      </c>
    </row>
    <row r="534" spans="1:10" x14ac:dyDescent="0.3">
      <c r="A534" s="42" t="s">
        <v>1483</v>
      </c>
      <c r="B534" s="43">
        <v>45755</v>
      </c>
      <c r="C534" s="42" t="s">
        <v>10</v>
      </c>
      <c r="D534" s="42" t="s">
        <v>11</v>
      </c>
      <c r="E534" s="42" t="s">
        <v>12</v>
      </c>
      <c r="F534" s="42">
        <v>8</v>
      </c>
      <c r="G534" s="44">
        <v>120000</v>
      </c>
      <c r="H534" s="44">
        <v>960000</v>
      </c>
      <c r="I534" s="42" t="s">
        <v>2466</v>
      </c>
      <c r="J534" s="42" t="s">
        <v>127</v>
      </c>
    </row>
    <row r="535" spans="1:10" x14ac:dyDescent="0.3">
      <c r="A535" s="42" t="s">
        <v>1484</v>
      </c>
      <c r="B535" s="43">
        <v>45755</v>
      </c>
      <c r="C535" s="42" t="s">
        <v>44</v>
      </c>
      <c r="D535" s="42" t="s">
        <v>45</v>
      </c>
      <c r="E535" s="42" t="s">
        <v>16</v>
      </c>
      <c r="F535" s="42">
        <v>22</v>
      </c>
      <c r="G535" s="44">
        <v>250000</v>
      </c>
      <c r="H535" s="44">
        <v>5500000</v>
      </c>
      <c r="I535" s="42" t="s">
        <v>2433</v>
      </c>
      <c r="J535" s="42" t="s">
        <v>69</v>
      </c>
    </row>
    <row r="536" spans="1:10" x14ac:dyDescent="0.3">
      <c r="A536" s="42" t="s">
        <v>1529</v>
      </c>
      <c r="B536" s="43">
        <v>45755</v>
      </c>
      <c r="C536" s="42" t="s">
        <v>18</v>
      </c>
      <c r="D536" s="42" t="s">
        <v>19</v>
      </c>
      <c r="E536" s="42" t="s">
        <v>20</v>
      </c>
      <c r="F536" s="42">
        <v>7</v>
      </c>
      <c r="G536" s="44">
        <v>500000</v>
      </c>
      <c r="H536" s="44">
        <v>3500000</v>
      </c>
      <c r="I536" s="42" t="s">
        <v>2280</v>
      </c>
      <c r="J536" s="42" t="s">
        <v>60</v>
      </c>
    </row>
    <row r="537" spans="1:10" x14ac:dyDescent="0.3">
      <c r="A537" s="42" t="s">
        <v>1530</v>
      </c>
      <c r="B537" s="43">
        <v>45755</v>
      </c>
      <c r="C537" s="42" t="s">
        <v>42</v>
      </c>
      <c r="D537" s="42" t="s">
        <v>43</v>
      </c>
      <c r="E537" s="42" t="s">
        <v>16</v>
      </c>
      <c r="F537" s="42">
        <v>14</v>
      </c>
      <c r="G537" s="44">
        <v>1200000</v>
      </c>
      <c r="H537" s="44">
        <v>16800000</v>
      </c>
      <c r="I537" s="42" t="s">
        <v>2833</v>
      </c>
      <c r="J537" s="42" t="s">
        <v>60</v>
      </c>
    </row>
    <row r="538" spans="1:10" x14ac:dyDescent="0.3">
      <c r="A538" s="42" t="s">
        <v>1531</v>
      </c>
      <c r="B538" s="43">
        <v>45755</v>
      </c>
      <c r="C538" s="42" t="s">
        <v>18</v>
      </c>
      <c r="D538" s="42" t="s">
        <v>19</v>
      </c>
      <c r="E538" s="42" t="s">
        <v>20</v>
      </c>
      <c r="F538" s="42">
        <v>8</v>
      </c>
      <c r="G538" s="44">
        <v>500000</v>
      </c>
      <c r="H538" s="44">
        <v>4000000</v>
      </c>
      <c r="I538" s="42" t="s">
        <v>2548</v>
      </c>
      <c r="J538" s="42" t="s">
        <v>47</v>
      </c>
    </row>
    <row r="539" spans="1:10" x14ac:dyDescent="0.3">
      <c r="A539" s="42" t="s">
        <v>1532</v>
      </c>
      <c r="B539" s="43">
        <v>45755</v>
      </c>
      <c r="C539" s="42" t="s">
        <v>22</v>
      </c>
      <c r="D539" s="42" t="s">
        <v>23</v>
      </c>
      <c r="E539" s="42" t="s">
        <v>12</v>
      </c>
      <c r="F539" s="42">
        <v>5</v>
      </c>
      <c r="G539" s="44">
        <v>25000</v>
      </c>
      <c r="H539" s="44">
        <v>125000</v>
      </c>
      <c r="I539" s="42" t="s">
        <v>1855</v>
      </c>
      <c r="J539" s="42" t="s">
        <v>69</v>
      </c>
    </row>
    <row r="540" spans="1:10" x14ac:dyDescent="0.3">
      <c r="A540" s="42" t="s">
        <v>1533</v>
      </c>
      <c r="B540" s="43">
        <v>45756</v>
      </c>
      <c r="C540" s="42" t="s">
        <v>22</v>
      </c>
      <c r="D540" s="42" t="s">
        <v>23</v>
      </c>
      <c r="E540" s="42" t="s">
        <v>12</v>
      </c>
      <c r="F540" s="42">
        <v>21</v>
      </c>
      <c r="G540" s="44">
        <v>25000</v>
      </c>
      <c r="H540" s="44">
        <v>525000</v>
      </c>
      <c r="I540" s="42" t="s">
        <v>2295</v>
      </c>
      <c r="J540" s="42" t="s">
        <v>127</v>
      </c>
    </row>
    <row r="541" spans="1:10" x14ac:dyDescent="0.3">
      <c r="A541" s="42" t="s">
        <v>1562</v>
      </c>
      <c r="B541" s="43">
        <v>45756</v>
      </c>
      <c r="C541" s="42" t="s">
        <v>18</v>
      </c>
      <c r="D541" s="42" t="s">
        <v>19</v>
      </c>
      <c r="E541" s="42" t="s">
        <v>20</v>
      </c>
      <c r="F541" s="42">
        <v>400</v>
      </c>
      <c r="G541" s="44">
        <v>500000</v>
      </c>
      <c r="H541" s="44">
        <v>200000000</v>
      </c>
      <c r="I541" s="42" t="s">
        <v>2432</v>
      </c>
      <c r="J541" s="42" t="s">
        <v>8</v>
      </c>
    </row>
    <row r="542" spans="1:10" x14ac:dyDescent="0.3">
      <c r="A542" s="42" t="s">
        <v>1563</v>
      </c>
      <c r="B542" s="43">
        <v>45756</v>
      </c>
      <c r="C542" s="42" t="s">
        <v>38</v>
      </c>
      <c r="D542" s="42" t="s">
        <v>39</v>
      </c>
      <c r="E542" s="42" t="s">
        <v>16</v>
      </c>
      <c r="F542" s="42">
        <v>22</v>
      </c>
      <c r="G542" s="44">
        <v>200000</v>
      </c>
      <c r="H542" s="44">
        <v>4400000</v>
      </c>
      <c r="I542" s="42" t="s">
        <v>2796</v>
      </c>
      <c r="J542" s="42" t="s">
        <v>127</v>
      </c>
    </row>
    <row r="543" spans="1:10" x14ac:dyDescent="0.3">
      <c r="A543" s="42" t="s">
        <v>1564</v>
      </c>
      <c r="B543" s="43">
        <v>45756</v>
      </c>
      <c r="C543" s="42" t="s">
        <v>18</v>
      </c>
      <c r="D543" s="42" t="s">
        <v>19</v>
      </c>
      <c r="E543" s="42" t="s">
        <v>20</v>
      </c>
      <c r="F543" s="42">
        <v>49</v>
      </c>
      <c r="G543" s="44">
        <v>500000</v>
      </c>
      <c r="H543" s="44">
        <v>24500000</v>
      </c>
      <c r="I543" s="42" t="s">
        <v>2217</v>
      </c>
      <c r="J543" s="42" t="s">
        <v>8</v>
      </c>
    </row>
    <row r="544" spans="1:10" x14ac:dyDescent="0.3">
      <c r="A544" s="42" t="s">
        <v>1565</v>
      </c>
      <c r="B544" s="43">
        <v>45756</v>
      </c>
      <c r="C544" s="42" t="s">
        <v>22</v>
      </c>
      <c r="D544" s="42" t="s">
        <v>23</v>
      </c>
      <c r="E544" s="42" t="s">
        <v>12</v>
      </c>
      <c r="F544" s="42">
        <v>50</v>
      </c>
      <c r="G544" s="44">
        <v>25000</v>
      </c>
      <c r="H544" s="44">
        <v>1250000</v>
      </c>
      <c r="I544" s="42" t="s">
        <v>2673</v>
      </c>
      <c r="J544" s="42" t="s">
        <v>8</v>
      </c>
    </row>
    <row r="545" spans="1:10" x14ac:dyDescent="0.3">
      <c r="A545" s="42" t="s">
        <v>1590</v>
      </c>
      <c r="B545" s="43">
        <v>45756</v>
      </c>
      <c r="C545" s="42" t="s">
        <v>40</v>
      </c>
      <c r="D545" s="42" t="s">
        <v>41</v>
      </c>
      <c r="E545" s="42" t="s">
        <v>16</v>
      </c>
      <c r="F545" s="42">
        <v>37</v>
      </c>
      <c r="G545" s="44">
        <v>950000</v>
      </c>
      <c r="H545" s="44">
        <v>35150000</v>
      </c>
      <c r="I545" s="42" t="s">
        <v>2479</v>
      </c>
      <c r="J545" s="42" t="s">
        <v>127</v>
      </c>
    </row>
    <row r="546" spans="1:10" x14ac:dyDescent="0.3">
      <c r="A546" s="42" t="s">
        <v>1610</v>
      </c>
      <c r="B546" s="43">
        <v>45756</v>
      </c>
      <c r="C546" s="42" t="s">
        <v>14</v>
      </c>
      <c r="D546" s="42" t="s">
        <v>15</v>
      </c>
      <c r="E546" s="42" t="s">
        <v>16</v>
      </c>
      <c r="F546" s="42">
        <v>8</v>
      </c>
      <c r="G546" s="44">
        <v>350000</v>
      </c>
      <c r="H546" s="44">
        <v>2800000</v>
      </c>
      <c r="I546" s="42" t="s">
        <v>2673</v>
      </c>
      <c r="J546" s="42" t="s">
        <v>8</v>
      </c>
    </row>
    <row r="547" spans="1:10" x14ac:dyDescent="0.3">
      <c r="A547" s="42" t="s">
        <v>1611</v>
      </c>
      <c r="B547" s="43">
        <v>45756</v>
      </c>
      <c r="C547" s="42" t="s">
        <v>22</v>
      </c>
      <c r="D547" s="42" t="s">
        <v>23</v>
      </c>
      <c r="E547" s="42" t="s">
        <v>12</v>
      </c>
      <c r="F547" s="42">
        <v>6</v>
      </c>
      <c r="G547" s="44">
        <v>25000</v>
      </c>
      <c r="H547" s="44">
        <v>150000</v>
      </c>
      <c r="I547" s="42" t="s">
        <v>2780</v>
      </c>
      <c r="J547" s="42" t="s">
        <v>127</v>
      </c>
    </row>
    <row r="548" spans="1:10" x14ac:dyDescent="0.3">
      <c r="A548" s="42" t="s">
        <v>1612</v>
      </c>
      <c r="B548" s="43">
        <v>45756</v>
      </c>
      <c r="C548" s="42" t="s">
        <v>18</v>
      </c>
      <c r="D548" s="42" t="s">
        <v>19</v>
      </c>
      <c r="E548" s="42" t="s">
        <v>20</v>
      </c>
      <c r="F548" s="42">
        <v>32</v>
      </c>
      <c r="G548" s="44">
        <v>500000</v>
      </c>
      <c r="H548" s="44">
        <v>16000000</v>
      </c>
      <c r="I548" s="42" t="s">
        <v>2650</v>
      </c>
      <c r="J548" s="42" t="s">
        <v>127</v>
      </c>
    </row>
    <row r="549" spans="1:10" x14ac:dyDescent="0.3">
      <c r="A549" s="42" t="s">
        <v>1613</v>
      </c>
      <c r="B549" s="43">
        <v>45756</v>
      </c>
      <c r="C549" s="42" t="s">
        <v>44</v>
      </c>
      <c r="D549" s="42" t="s">
        <v>45</v>
      </c>
      <c r="E549" s="42" t="s">
        <v>16</v>
      </c>
      <c r="F549" s="42">
        <v>180</v>
      </c>
      <c r="G549" s="44">
        <v>250000</v>
      </c>
      <c r="H549" s="44">
        <v>45000000</v>
      </c>
      <c r="I549" s="42" t="s">
        <v>2776</v>
      </c>
      <c r="J549" s="42" t="s">
        <v>8</v>
      </c>
    </row>
    <row r="550" spans="1:10" x14ac:dyDescent="0.3">
      <c r="A550" s="42" t="s">
        <v>1614</v>
      </c>
      <c r="B550" s="43">
        <v>45756</v>
      </c>
      <c r="C550" s="42" t="s">
        <v>40</v>
      </c>
      <c r="D550" s="42" t="s">
        <v>41</v>
      </c>
      <c r="E550" s="42" t="s">
        <v>16</v>
      </c>
      <c r="F550" s="42">
        <v>47</v>
      </c>
      <c r="G550" s="44">
        <v>950000</v>
      </c>
      <c r="H550" s="44">
        <v>44650000</v>
      </c>
      <c r="I550" s="42" t="s">
        <v>2175</v>
      </c>
      <c r="J550" s="42" t="s">
        <v>127</v>
      </c>
    </row>
    <row r="551" spans="1:10" x14ac:dyDescent="0.3">
      <c r="A551" s="42" t="s">
        <v>1615</v>
      </c>
      <c r="B551" s="43">
        <v>45758</v>
      </c>
      <c r="C551" s="42" t="s">
        <v>10</v>
      </c>
      <c r="D551" s="42" t="s">
        <v>11</v>
      </c>
      <c r="E551" s="42" t="s">
        <v>12</v>
      </c>
      <c r="F551" s="42">
        <v>17</v>
      </c>
      <c r="G551" s="44">
        <v>120000</v>
      </c>
      <c r="H551" s="44">
        <v>2040000</v>
      </c>
      <c r="I551" s="42" t="s">
        <v>2575</v>
      </c>
      <c r="J551" s="42" t="s">
        <v>8</v>
      </c>
    </row>
    <row r="552" spans="1:10" x14ac:dyDescent="0.3">
      <c r="A552" s="42" t="s">
        <v>1616</v>
      </c>
      <c r="B552" s="43">
        <v>45758</v>
      </c>
      <c r="C552" s="42" t="s">
        <v>40</v>
      </c>
      <c r="D552" s="42" t="s">
        <v>41</v>
      </c>
      <c r="E552" s="42" t="s">
        <v>16</v>
      </c>
      <c r="F552" s="42">
        <v>80</v>
      </c>
      <c r="G552" s="44">
        <v>950000</v>
      </c>
      <c r="H552" s="44">
        <v>76000000</v>
      </c>
      <c r="I552" s="42" t="s">
        <v>2824</v>
      </c>
      <c r="J552" s="42" t="s">
        <v>127</v>
      </c>
    </row>
    <row r="553" spans="1:10" x14ac:dyDescent="0.3">
      <c r="A553" s="42" t="s">
        <v>1647</v>
      </c>
      <c r="B553" s="43">
        <v>45758</v>
      </c>
      <c r="C553" s="42" t="s">
        <v>31</v>
      </c>
      <c r="D553" s="42" t="s">
        <v>32</v>
      </c>
      <c r="E553" s="42" t="s">
        <v>20</v>
      </c>
      <c r="F553" s="42">
        <v>42</v>
      </c>
      <c r="G553" s="44">
        <v>180000</v>
      </c>
      <c r="H553" s="44">
        <v>7560000</v>
      </c>
      <c r="I553" s="42" t="s">
        <v>2640</v>
      </c>
      <c r="J553" s="42" t="s">
        <v>60</v>
      </c>
    </row>
    <row r="554" spans="1:10" x14ac:dyDescent="0.3">
      <c r="A554" s="42" t="s">
        <v>1648</v>
      </c>
      <c r="B554" s="43">
        <v>45758</v>
      </c>
      <c r="C554" s="42" t="s">
        <v>31</v>
      </c>
      <c r="D554" s="42" t="s">
        <v>32</v>
      </c>
      <c r="E554" s="42" t="s">
        <v>20</v>
      </c>
      <c r="F554" s="42">
        <v>220</v>
      </c>
      <c r="G554" s="44">
        <v>180000</v>
      </c>
      <c r="H554" s="44">
        <v>39600000</v>
      </c>
      <c r="I554" s="42" t="s">
        <v>2162</v>
      </c>
      <c r="J554" s="42" t="s">
        <v>8</v>
      </c>
    </row>
    <row r="555" spans="1:10" x14ac:dyDescent="0.3">
      <c r="A555" s="42" t="s">
        <v>1649</v>
      </c>
      <c r="B555" s="43">
        <v>45758</v>
      </c>
      <c r="C555" s="42" t="s">
        <v>40</v>
      </c>
      <c r="D555" s="42" t="s">
        <v>41</v>
      </c>
      <c r="E555" s="42" t="s">
        <v>16</v>
      </c>
      <c r="F555" s="42">
        <v>14</v>
      </c>
      <c r="G555" s="44">
        <v>950000</v>
      </c>
      <c r="H555" s="44">
        <v>13300000</v>
      </c>
      <c r="I555" s="42" t="s">
        <v>2587</v>
      </c>
      <c r="J555" s="42" t="s">
        <v>8</v>
      </c>
    </row>
    <row r="556" spans="1:10" x14ac:dyDescent="0.3">
      <c r="A556" s="42" t="s">
        <v>1650</v>
      </c>
      <c r="B556" s="43">
        <v>45758</v>
      </c>
      <c r="C556" s="42" t="s">
        <v>10</v>
      </c>
      <c r="D556" s="42" t="s">
        <v>11</v>
      </c>
      <c r="E556" s="42" t="s">
        <v>12</v>
      </c>
      <c r="F556" s="42">
        <v>7</v>
      </c>
      <c r="G556" s="44">
        <v>120000</v>
      </c>
      <c r="H556" s="44">
        <v>840000</v>
      </c>
      <c r="I556" s="42" t="s">
        <v>1584</v>
      </c>
      <c r="J556" s="42" t="s">
        <v>127</v>
      </c>
    </row>
    <row r="557" spans="1:10" x14ac:dyDescent="0.3">
      <c r="A557" s="42" t="s">
        <v>1651</v>
      </c>
      <c r="B557" s="43">
        <v>45758</v>
      </c>
      <c r="C557" s="42" t="s">
        <v>14</v>
      </c>
      <c r="D557" s="42" t="s">
        <v>15</v>
      </c>
      <c r="E557" s="42" t="s">
        <v>16</v>
      </c>
      <c r="F557" s="42">
        <v>34</v>
      </c>
      <c r="G557" s="44">
        <v>350000</v>
      </c>
      <c r="H557" s="44">
        <v>11900000</v>
      </c>
      <c r="I557" s="42" t="s">
        <v>2817</v>
      </c>
      <c r="J557" s="42" t="s">
        <v>127</v>
      </c>
    </row>
    <row r="558" spans="1:10" x14ac:dyDescent="0.3">
      <c r="A558" s="42" t="s">
        <v>1652</v>
      </c>
      <c r="B558" s="43">
        <v>45758</v>
      </c>
      <c r="C558" s="42" t="s">
        <v>22</v>
      </c>
      <c r="D558" s="42" t="s">
        <v>23</v>
      </c>
      <c r="E558" s="42" t="s">
        <v>12</v>
      </c>
      <c r="F558" s="42">
        <v>49</v>
      </c>
      <c r="G558" s="44">
        <v>25000</v>
      </c>
      <c r="H558" s="44">
        <v>1225000</v>
      </c>
      <c r="I558" s="42" t="s">
        <v>2394</v>
      </c>
      <c r="J558" s="42" t="s">
        <v>127</v>
      </c>
    </row>
    <row r="559" spans="1:10" x14ac:dyDescent="0.3">
      <c r="A559" s="42" t="s">
        <v>1653</v>
      </c>
      <c r="B559" s="43">
        <v>45758</v>
      </c>
      <c r="C559" s="42" t="s">
        <v>44</v>
      </c>
      <c r="D559" s="42" t="s">
        <v>45</v>
      </c>
      <c r="E559" s="42" t="s">
        <v>16</v>
      </c>
      <c r="F559" s="42">
        <v>12</v>
      </c>
      <c r="G559" s="44">
        <v>250000</v>
      </c>
      <c r="H559" s="44">
        <v>3000000</v>
      </c>
      <c r="I559" s="42" t="s">
        <v>229</v>
      </c>
      <c r="J559" s="42" t="s">
        <v>8</v>
      </c>
    </row>
    <row r="560" spans="1:10" x14ac:dyDescent="0.3">
      <c r="A560" s="42" t="s">
        <v>1687</v>
      </c>
      <c r="B560" s="43">
        <v>45758</v>
      </c>
      <c r="C560" s="42" t="s">
        <v>40</v>
      </c>
      <c r="D560" s="42" t="s">
        <v>41</v>
      </c>
      <c r="E560" s="42" t="s">
        <v>16</v>
      </c>
      <c r="F560" s="42">
        <v>46</v>
      </c>
      <c r="G560" s="44">
        <v>950000</v>
      </c>
      <c r="H560" s="44">
        <v>43700000</v>
      </c>
      <c r="I560" s="42" t="s">
        <v>2172</v>
      </c>
      <c r="J560" s="42" t="s">
        <v>60</v>
      </c>
    </row>
    <row r="561" spans="1:10" x14ac:dyDescent="0.3">
      <c r="A561" s="42" t="s">
        <v>1688</v>
      </c>
      <c r="B561" s="43">
        <v>45758</v>
      </c>
      <c r="C561" s="42" t="s">
        <v>40</v>
      </c>
      <c r="D561" s="42" t="s">
        <v>41</v>
      </c>
      <c r="E561" s="42" t="s">
        <v>16</v>
      </c>
      <c r="F561" s="42">
        <v>19</v>
      </c>
      <c r="G561" s="44">
        <v>950000</v>
      </c>
      <c r="H561" s="44">
        <v>18050000</v>
      </c>
      <c r="I561" s="42" t="s">
        <v>2711</v>
      </c>
      <c r="J561" s="42" t="s">
        <v>127</v>
      </c>
    </row>
    <row r="562" spans="1:10" x14ac:dyDescent="0.3">
      <c r="A562" s="42" t="s">
        <v>1689</v>
      </c>
      <c r="B562" s="43">
        <v>45762</v>
      </c>
      <c r="C562" s="42" t="s">
        <v>40</v>
      </c>
      <c r="D562" s="42" t="s">
        <v>41</v>
      </c>
      <c r="E562" s="42" t="s">
        <v>16</v>
      </c>
      <c r="F562" s="42">
        <v>33</v>
      </c>
      <c r="G562" s="44">
        <v>950000</v>
      </c>
      <c r="H562" s="44">
        <v>31350000</v>
      </c>
      <c r="I562" s="42" t="s">
        <v>2731</v>
      </c>
      <c r="J562" s="42" t="s">
        <v>47</v>
      </c>
    </row>
    <row r="563" spans="1:10" x14ac:dyDescent="0.3">
      <c r="A563" s="42" t="s">
        <v>1724</v>
      </c>
      <c r="B563" s="43">
        <v>45762</v>
      </c>
      <c r="C563" s="42" t="s">
        <v>22</v>
      </c>
      <c r="D563" s="42" t="s">
        <v>23</v>
      </c>
      <c r="E563" s="42" t="s">
        <v>12</v>
      </c>
      <c r="F563" s="42">
        <v>10</v>
      </c>
      <c r="G563" s="44">
        <v>25000</v>
      </c>
      <c r="H563" s="44">
        <v>250000</v>
      </c>
      <c r="I563" s="42" t="s">
        <v>2135</v>
      </c>
      <c r="J563" s="42" t="s">
        <v>8</v>
      </c>
    </row>
    <row r="564" spans="1:10" x14ac:dyDescent="0.3">
      <c r="A564" s="42" t="s">
        <v>1725</v>
      </c>
      <c r="B564" s="43">
        <v>45762</v>
      </c>
      <c r="C564" s="42" t="s">
        <v>22</v>
      </c>
      <c r="D564" s="42" t="s">
        <v>23</v>
      </c>
      <c r="E564" s="42" t="s">
        <v>12</v>
      </c>
      <c r="F564" s="42">
        <v>43</v>
      </c>
      <c r="G564" s="44">
        <v>25000</v>
      </c>
      <c r="H564" s="44">
        <v>1075000</v>
      </c>
      <c r="I564" s="42" t="s">
        <v>2310</v>
      </c>
      <c r="J564" s="42" t="s">
        <v>8</v>
      </c>
    </row>
    <row r="565" spans="1:10" x14ac:dyDescent="0.3">
      <c r="A565" s="42" t="s">
        <v>1726</v>
      </c>
      <c r="B565" s="43">
        <v>45762</v>
      </c>
      <c r="C565" s="42" t="s">
        <v>22</v>
      </c>
      <c r="D565" s="42" t="s">
        <v>23</v>
      </c>
      <c r="E565" s="42" t="s">
        <v>12</v>
      </c>
      <c r="F565" s="42">
        <v>45</v>
      </c>
      <c r="G565" s="44">
        <v>25000</v>
      </c>
      <c r="H565" s="44">
        <v>1125000</v>
      </c>
      <c r="I565" s="42" t="s">
        <v>2675</v>
      </c>
      <c r="J565" s="42" t="s">
        <v>69</v>
      </c>
    </row>
    <row r="566" spans="1:10" x14ac:dyDescent="0.3">
      <c r="A566" s="42" t="s">
        <v>1762</v>
      </c>
      <c r="B566" s="43">
        <v>45762</v>
      </c>
      <c r="C566" s="42" t="s">
        <v>18</v>
      </c>
      <c r="D566" s="42" t="s">
        <v>19</v>
      </c>
      <c r="E566" s="42" t="s">
        <v>20</v>
      </c>
      <c r="F566" s="42">
        <v>49</v>
      </c>
      <c r="G566" s="44">
        <v>500000</v>
      </c>
      <c r="H566" s="44">
        <v>24500000</v>
      </c>
      <c r="I566" s="42" t="s">
        <v>2335</v>
      </c>
      <c r="J566" s="42" t="s">
        <v>47</v>
      </c>
    </row>
    <row r="567" spans="1:10" x14ac:dyDescent="0.3">
      <c r="A567" s="42" t="s">
        <v>1763</v>
      </c>
      <c r="B567" s="43">
        <v>45762</v>
      </c>
      <c r="C567" s="42" t="s">
        <v>28</v>
      </c>
      <c r="D567" s="42" t="s">
        <v>29</v>
      </c>
      <c r="E567" s="42" t="s">
        <v>20</v>
      </c>
      <c r="F567" s="42">
        <v>11</v>
      </c>
      <c r="G567" s="44">
        <v>450000</v>
      </c>
      <c r="H567" s="44">
        <v>4950000</v>
      </c>
      <c r="I567" s="42" t="s">
        <v>2146</v>
      </c>
      <c r="J567" s="42" t="s">
        <v>69</v>
      </c>
    </row>
    <row r="568" spans="1:10" x14ac:dyDescent="0.3">
      <c r="A568" s="42" t="s">
        <v>1764</v>
      </c>
      <c r="B568" s="43">
        <v>45762</v>
      </c>
      <c r="C568" s="42" t="s">
        <v>14</v>
      </c>
      <c r="D568" s="42" t="s">
        <v>15</v>
      </c>
      <c r="E568" s="42" t="s">
        <v>16</v>
      </c>
      <c r="F568" s="42">
        <v>17</v>
      </c>
      <c r="G568" s="44">
        <v>350000</v>
      </c>
      <c r="H568" s="44">
        <v>5950000</v>
      </c>
      <c r="I568" s="42" t="s">
        <v>2545</v>
      </c>
      <c r="J568" s="42" t="s">
        <v>60</v>
      </c>
    </row>
    <row r="569" spans="1:10" x14ac:dyDescent="0.3">
      <c r="A569" s="42" t="s">
        <v>1765</v>
      </c>
      <c r="B569" s="43">
        <v>45762</v>
      </c>
      <c r="C569" s="42" t="s">
        <v>10</v>
      </c>
      <c r="D569" s="42" t="s">
        <v>11</v>
      </c>
      <c r="E569" s="42" t="s">
        <v>12</v>
      </c>
      <c r="F569" s="42">
        <v>35</v>
      </c>
      <c r="G569" s="44">
        <v>120000</v>
      </c>
      <c r="H569" s="44">
        <v>4200000</v>
      </c>
      <c r="I569" s="42" t="s">
        <v>2190</v>
      </c>
      <c r="J569" s="42" t="s">
        <v>8</v>
      </c>
    </row>
    <row r="570" spans="1:10" x14ac:dyDescent="0.3">
      <c r="A570" s="42" t="s">
        <v>1766</v>
      </c>
      <c r="B570" s="43">
        <v>45762</v>
      </c>
      <c r="C570" s="42" t="s">
        <v>42</v>
      </c>
      <c r="D570" s="42" t="s">
        <v>43</v>
      </c>
      <c r="E570" s="42" t="s">
        <v>16</v>
      </c>
      <c r="F570" s="42">
        <v>8</v>
      </c>
      <c r="G570" s="44">
        <v>1200000</v>
      </c>
      <c r="H570" s="44">
        <v>9600000</v>
      </c>
      <c r="I570" s="42" t="s">
        <v>2483</v>
      </c>
      <c r="J570" s="42" t="s">
        <v>8</v>
      </c>
    </row>
    <row r="571" spans="1:10" x14ac:dyDescent="0.3">
      <c r="A571" s="42" t="s">
        <v>1767</v>
      </c>
      <c r="B571" s="43">
        <v>45762</v>
      </c>
      <c r="C571" s="42" t="s">
        <v>18</v>
      </c>
      <c r="D571" s="42" t="s">
        <v>19</v>
      </c>
      <c r="E571" s="42" t="s">
        <v>20</v>
      </c>
      <c r="F571" s="42">
        <v>8</v>
      </c>
      <c r="G571" s="44">
        <v>500000</v>
      </c>
      <c r="H571" s="44">
        <v>4000000</v>
      </c>
      <c r="I571" s="42" t="s">
        <v>2250</v>
      </c>
      <c r="J571" s="42" t="s">
        <v>69</v>
      </c>
    </row>
    <row r="572" spans="1:10" x14ac:dyDescent="0.3">
      <c r="A572" s="42" t="s">
        <v>1796</v>
      </c>
      <c r="B572" s="43">
        <v>45762</v>
      </c>
      <c r="C572" s="42" t="s">
        <v>18</v>
      </c>
      <c r="D572" s="42" t="s">
        <v>19</v>
      </c>
      <c r="E572" s="42" t="s">
        <v>20</v>
      </c>
      <c r="F572" s="42">
        <v>310</v>
      </c>
      <c r="G572" s="44">
        <v>500000</v>
      </c>
      <c r="H572" s="44">
        <v>155000000</v>
      </c>
      <c r="I572" s="42" t="s">
        <v>2684</v>
      </c>
      <c r="J572" s="42" t="s">
        <v>127</v>
      </c>
    </row>
    <row r="573" spans="1:10" x14ac:dyDescent="0.3">
      <c r="A573" s="42" t="s">
        <v>1797</v>
      </c>
      <c r="B573" s="43">
        <v>45762</v>
      </c>
      <c r="C573" s="42" t="s">
        <v>22</v>
      </c>
      <c r="D573" s="42" t="s">
        <v>23</v>
      </c>
      <c r="E573" s="42" t="s">
        <v>12</v>
      </c>
      <c r="F573" s="42">
        <v>42</v>
      </c>
      <c r="G573" s="44">
        <v>25000</v>
      </c>
      <c r="H573" s="44">
        <v>1050000</v>
      </c>
      <c r="I573" s="42" t="s">
        <v>1242</v>
      </c>
      <c r="J573" s="42" t="s">
        <v>60</v>
      </c>
    </row>
    <row r="574" spans="1:10" x14ac:dyDescent="0.3">
      <c r="A574" s="42" t="s">
        <v>1798</v>
      </c>
      <c r="B574" s="43">
        <v>45762</v>
      </c>
      <c r="C574" s="42" t="s">
        <v>10</v>
      </c>
      <c r="D574" s="42" t="s">
        <v>11</v>
      </c>
      <c r="E574" s="42" t="s">
        <v>12</v>
      </c>
      <c r="F574" s="42">
        <v>48</v>
      </c>
      <c r="G574" s="44">
        <v>120000</v>
      </c>
      <c r="H574" s="44">
        <v>5760000</v>
      </c>
      <c r="I574" s="42" t="s">
        <v>2422</v>
      </c>
      <c r="J574" s="42" t="s">
        <v>8</v>
      </c>
    </row>
    <row r="575" spans="1:10" x14ac:dyDescent="0.3">
      <c r="A575" s="42" t="s">
        <v>1799</v>
      </c>
      <c r="B575" s="43">
        <v>45762</v>
      </c>
      <c r="C575" s="42" t="s">
        <v>22</v>
      </c>
      <c r="D575" s="42" t="s">
        <v>23</v>
      </c>
      <c r="E575" s="42" t="s">
        <v>12</v>
      </c>
      <c r="F575" s="42">
        <v>45</v>
      </c>
      <c r="G575" s="44">
        <v>25000</v>
      </c>
      <c r="H575" s="44">
        <v>1125000</v>
      </c>
      <c r="I575" s="42" t="s">
        <v>2128</v>
      </c>
      <c r="J575" s="42" t="s">
        <v>69</v>
      </c>
    </row>
    <row r="576" spans="1:10" x14ac:dyDescent="0.3">
      <c r="A576" s="42" t="s">
        <v>1829</v>
      </c>
      <c r="B576" s="43">
        <v>45762</v>
      </c>
      <c r="C576" s="42" t="s">
        <v>28</v>
      </c>
      <c r="D576" s="42" t="s">
        <v>29</v>
      </c>
      <c r="E576" s="42" t="s">
        <v>20</v>
      </c>
      <c r="F576" s="42">
        <v>45</v>
      </c>
      <c r="G576" s="44">
        <v>450000</v>
      </c>
      <c r="H576" s="44">
        <v>20250000</v>
      </c>
      <c r="I576" s="42" t="s">
        <v>2520</v>
      </c>
      <c r="J576" s="42" t="s">
        <v>8</v>
      </c>
    </row>
    <row r="577" spans="1:10" x14ac:dyDescent="0.3">
      <c r="A577" s="42" t="s">
        <v>1830</v>
      </c>
      <c r="B577" s="43">
        <v>45763</v>
      </c>
      <c r="C577" s="42" t="s">
        <v>44</v>
      </c>
      <c r="D577" s="42" t="s">
        <v>45</v>
      </c>
      <c r="E577" s="42" t="s">
        <v>16</v>
      </c>
      <c r="F577" s="42">
        <v>21</v>
      </c>
      <c r="G577" s="44">
        <v>250000</v>
      </c>
      <c r="H577" s="44">
        <v>5250000</v>
      </c>
      <c r="I577" s="42" t="s">
        <v>2411</v>
      </c>
      <c r="J577" s="42" t="s">
        <v>47</v>
      </c>
    </row>
    <row r="578" spans="1:10" x14ac:dyDescent="0.3">
      <c r="A578" s="42" t="s">
        <v>1831</v>
      </c>
      <c r="B578" s="43">
        <v>45763</v>
      </c>
      <c r="C578" s="42" t="s">
        <v>14</v>
      </c>
      <c r="D578" s="42" t="s">
        <v>15</v>
      </c>
      <c r="E578" s="42" t="s">
        <v>16</v>
      </c>
      <c r="F578" s="42">
        <v>27</v>
      </c>
      <c r="G578" s="44">
        <v>350000</v>
      </c>
      <c r="H578" s="44">
        <v>9450000</v>
      </c>
      <c r="I578" s="42" t="s">
        <v>2524</v>
      </c>
      <c r="J578" s="42" t="s">
        <v>127</v>
      </c>
    </row>
    <row r="579" spans="1:10" x14ac:dyDescent="0.3">
      <c r="A579" s="42" t="s">
        <v>1860</v>
      </c>
      <c r="B579" s="43">
        <v>45763</v>
      </c>
      <c r="C579" s="42" t="s">
        <v>44</v>
      </c>
      <c r="D579" s="42" t="s">
        <v>45</v>
      </c>
      <c r="E579" s="42" t="s">
        <v>16</v>
      </c>
      <c r="F579" s="42">
        <v>49</v>
      </c>
      <c r="G579" s="44">
        <v>250000</v>
      </c>
      <c r="H579" s="44">
        <v>12250000</v>
      </c>
      <c r="I579" s="42" t="s">
        <v>2316</v>
      </c>
      <c r="J579" s="42" t="s">
        <v>60</v>
      </c>
    </row>
    <row r="580" spans="1:10" x14ac:dyDescent="0.3">
      <c r="A580" s="42" t="s">
        <v>1861</v>
      </c>
      <c r="B580" s="43">
        <v>45763</v>
      </c>
      <c r="C580" s="42" t="s">
        <v>40</v>
      </c>
      <c r="D580" s="42" t="s">
        <v>41</v>
      </c>
      <c r="E580" s="42" t="s">
        <v>16</v>
      </c>
      <c r="F580" s="42">
        <v>470</v>
      </c>
      <c r="G580" s="44">
        <v>950000</v>
      </c>
      <c r="H580" s="44">
        <v>446500000</v>
      </c>
      <c r="I580" s="42" t="s">
        <v>2169</v>
      </c>
      <c r="J580" s="42" t="s">
        <v>127</v>
      </c>
    </row>
    <row r="581" spans="1:10" x14ac:dyDescent="0.3">
      <c r="A581" s="42" t="s">
        <v>1862</v>
      </c>
      <c r="B581" s="43">
        <v>45763</v>
      </c>
      <c r="C581" s="42" t="s">
        <v>18</v>
      </c>
      <c r="D581" s="42" t="s">
        <v>19</v>
      </c>
      <c r="E581" s="42" t="s">
        <v>20</v>
      </c>
      <c r="F581" s="42">
        <v>17</v>
      </c>
      <c r="G581" s="44">
        <v>500000</v>
      </c>
      <c r="H581" s="44">
        <v>8500000</v>
      </c>
      <c r="I581" s="42" t="s">
        <v>2582</v>
      </c>
      <c r="J581" s="42" t="s">
        <v>69</v>
      </c>
    </row>
    <row r="582" spans="1:10" x14ac:dyDescent="0.3">
      <c r="A582" s="42" t="s">
        <v>1887</v>
      </c>
      <c r="B582" s="43">
        <v>45763</v>
      </c>
      <c r="C582" s="42" t="s">
        <v>14</v>
      </c>
      <c r="D582" s="42" t="s">
        <v>15</v>
      </c>
      <c r="E582" s="42" t="s">
        <v>16</v>
      </c>
      <c r="F582" s="42">
        <v>11</v>
      </c>
      <c r="G582" s="44">
        <v>350000</v>
      </c>
      <c r="H582" s="44">
        <v>3850000</v>
      </c>
      <c r="I582" s="42" t="s">
        <v>2259</v>
      </c>
      <c r="J582" s="42" t="s">
        <v>127</v>
      </c>
    </row>
    <row r="583" spans="1:10" x14ac:dyDescent="0.3">
      <c r="A583" s="42" t="s">
        <v>1888</v>
      </c>
      <c r="B583" s="43">
        <v>45763</v>
      </c>
      <c r="C583" s="42" t="s">
        <v>22</v>
      </c>
      <c r="D583" s="42" t="s">
        <v>23</v>
      </c>
      <c r="E583" s="42" t="s">
        <v>12</v>
      </c>
      <c r="F583" s="42">
        <v>370</v>
      </c>
      <c r="G583" s="44">
        <v>25000</v>
      </c>
      <c r="H583" s="44">
        <v>9250000</v>
      </c>
      <c r="I583" s="42" t="s">
        <v>2160</v>
      </c>
      <c r="J583" s="42" t="s">
        <v>60</v>
      </c>
    </row>
    <row r="584" spans="1:10" x14ac:dyDescent="0.3">
      <c r="A584" s="42" t="s">
        <v>1889</v>
      </c>
      <c r="B584" s="43">
        <v>45763</v>
      </c>
      <c r="C584" s="42" t="s">
        <v>38</v>
      </c>
      <c r="D584" s="42" t="s">
        <v>39</v>
      </c>
      <c r="E584" s="42" t="s">
        <v>16</v>
      </c>
      <c r="F584" s="42">
        <v>46</v>
      </c>
      <c r="G584" s="44">
        <v>200000</v>
      </c>
      <c r="H584" s="44">
        <v>9200000</v>
      </c>
      <c r="I584" s="42" t="s">
        <v>2676</v>
      </c>
      <c r="J584" s="42" t="s">
        <v>69</v>
      </c>
    </row>
    <row r="585" spans="1:10" x14ac:dyDescent="0.3">
      <c r="A585" s="42" t="s">
        <v>1901</v>
      </c>
      <c r="B585" s="43">
        <v>45763</v>
      </c>
      <c r="C585" s="42" t="s">
        <v>18</v>
      </c>
      <c r="D585" s="42" t="s">
        <v>19</v>
      </c>
      <c r="E585" s="42" t="s">
        <v>20</v>
      </c>
      <c r="F585" s="42">
        <v>50</v>
      </c>
      <c r="G585" s="44">
        <v>500000</v>
      </c>
      <c r="H585" s="44">
        <v>25000000</v>
      </c>
      <c r="I585" s="42" t="s">
        <v>2634</v>
      </c>
      <c r="J585" s="42" t="s">
        <v>69</v>
      </c>
    </row>
    <row r="586" spans="1:10" x14ac:dyDescent="0.3">
      <c r="A586" s="42" t="s">
        <v>1902</v>
      </c>
      <c r="B586" s="43">
        <v>45763</v>
      </c>
      <c r="C586" s="42" t="s">
        <v>18</v>
      </c>
      <c r="D586" s="42" t="s">
        <v>19</v>
      </c>
      <c r="E586" s="42" t="s">
        <v>20</v>
      </c>
      <c r="F586" s="42">
        <v>29</v>
      </c>
      <c r="G586" s="44">
        <v>500000</v>
      </c>
      <c r="H586" s="44">
        <v>14500000</v>
      </c>
      <c r="I586" s="42" t="s">
        <v>1959</v>
      </c>
      <c r="J586" s="42" t="s">
        <v>8</v>
      </c>
    </row>
    <row r="587" spans="1:10" x14ac:dyDescent="0.3">
      <c r="A587" s="42" t="s">
        <v>1903</v>
      </c>
      <c r="B587" s="43">
        <v>45763</v>
      </c>
      <c r="C587" s="42" t="s">
        <v>42</v>
      </c>
      <c r="D587" s="42" t="s">
        <v>43</v>
      </c>
      <c r="E587" s="42" t="s">
        <v>16</v>
      </c>
      <c r="F587" s="42">
        <v>220</v>
      </c>
      <c r="G587" s="44">
        <v>1200000</v>
      </c>
      <c r="H587" s="44">
        <v>264000000</v>
      </c>
      <c r="I587" s="42" t="s">
        <v>2488</v>
      </c>
      <c r="J587" s="42" t="s">
        <v>8</v>
      </c>
    </row>
    <row r="588" spans="1:10" x14ac:dyDescent="0.3">
      <c r="A588" s="42" t="s">
        <v>1931</v>
      </c>
      <c r="B588" s="43">
        <v>45764</v>
      </c>
      <c r="C588" s="42" t="s">
        <v>10</v>
      </c>
      <c r="D588" s="42" t="s">
        <v>11</v>
      </c>
      <c r="E588" s="42" t="s">
        <v>12</v>
      </c>
      <c r="F588" s="42">
        <v>39</v>
      </c>
      <c r="G588" s="44">
        <v>120000</v>
      </c>
      <c r="H588" s="44">
        <v>4680000</v>
      </c>
      <c r="I588" s="42" t="s">
        <v>2815</v>
      </c>
      <c r="J588" s="42" t="s">
        <v>127</v>
      </c>
    </row>
    <row r="589" spans="1:10" x14ac:dyDescent="0.3">
      <c r="A589" s="42" t="s">
        <v>1932</v>
      </c>
      <c r="B589" s="43">
        <v>45764</v>
      </c>
      <c r="C589" s="42" t="s">
        <v>44</v>
      </c>
      <c r="D589" s="42" t="s">
        <v>45</v>
      </c>
      <c r="E589" s="42" t="s">
        <v>16</v>
      </c>
      <c r="F589" s="42">
        <v>48</v>
      </c>
      <c r="G589" s="44">
        <v>250000</v>
      </c>
      <c r="H589" s="44">
        <v>12000000</v>
      </c>
      <c r="I589" s="42" t="s">
        <v>2171</v>
      </c>
      <c r="J589" s="42" t="s">
        <v>47</v>
      </c>
    </row>
    <row r="590" spans="1:10" x14ac:dyDescent="0.3">
      <c r="A590" s="42" t="s">
        <v>1942</v>
      </c>
      <c r="B590" s="43">
        <v>45764</v>
      </c>
      <c r="C590" s="42" t="s">
        <v>40</v>
      </c>
      <c r="D590" s="42" t="s">
        <v>41</v>
      </c>
      <c r="E590" s="42" t="s">
        <v>16</v>
      </c>
      <c r="F590" s="42">
        <v>8</v>
      </c>
      <c r="G590" s="44">
        <v>950000</v>
      </c>
      <c r="H590" s="44">
        <v>7600000</v>
      </c>
      <c r="I590" s="42" t="s">
        <v>2798</v>
      </c>
      <c r="J590" s="42" t="s">
        <v>47</v>
      </c>
    </row>
    <row r="591" spans="1:10" x14ac:dyDescent="0.3">
      <c r="A591" s="42" t="s">
        <v>1943</v>
      </c>
      <c r="B591" s="43">
        <v>45764</v>
      </c>
      <c r="C591" s="42" t="s">
        <v>40</v>
      </c>
      <c r="D591" s="42" t="s">
        <v>41</v>
      </c>
      <c r="E591" s="42" t="s">
        <v>16</v>
      </c>
      <c r="F591" s="42">
        <v>310</v>
      </c>
      <c r="G591" s="44">
        <v>950000</v>
      </c>
      <c r="H591" s="44">
        <v>294500000</v>
      </c>
      <c r="I591" s="42" t="s">
        <v>728</v>
      </c>
      <c r="J591" s="42" t="s">
        <v>47</v>
      </c>
    </row>
    <row r="592" spans="1:10" x14ac:dyDescent="0.3">
      <c r="A592" s="42" t="s">
        <v>1961</v>
      </c>
      <c r="B592" s="43">
        <v>45764</v>
      </c>
      <c r="C592" s="42" t="s">
        <v>22</v>
      </c>
      <c r="D592" s="42" t="s">
        <v>23</v>
      </c>
      <c r="E592" s="42" t="s">
        <v>12</v>
      </c>
      <c r="F592" s="42">
        <v>340</v>
      </c>
      <c r="G592" s="44">
        <v>25000</v>
      </c>
      <c r="H592" s="44">
        <v>8500000</v>
      </c>
      <c r="I592" s="42" t="s">
        <v>2668</v>
      </c>
      <c r="J592" s="42" t="s">
        <v>127</v>
      </c>
    </row>
    <row r="593" spans="1:10" x14ac:dyDescent="0.3">
      <c r="A593" s="42" t="s">
        <v>1962</v>
      </c>
      <c r="B593" s="43">
        <v>45764</v>
      </c>
      <c r="C593" s="42" t="s">
        <v>38</v>
      </c>
      <c r="D593" s="42" t="s">
        <v>39</v>
      </c>
      <c r="E593" s="42" t="s">
        <v>16</v>
      </c>
      <c r="F593" s="42">
        <v>28</v>
      </c>
      <c r="G593" s="44">
        <v>200000</v>
      </c>
      <c r="H593" s="44">
        <v>5600000</v>
      </c>
      <c r="I593" s="42" t="s">
        <v>1470</v>
      </c>
      <c r="J593" s="42" t="s">
        <v>69</v>
      </c>
    </row>
    <row r="594" spans="1:10" x14ac:dyDescent="0.3">
      <c r="A594" s="42" t="s">
        <v>1974</v>
      </c>
      <c r="B594" s="43">
        <v>45764</v>
      </c>
      <c r="C594" s="42" t="s">
        <v>10</v>
      </c>
      <c r="D594" s="42" t="s">
        <v>11</v>
      </c>
      <c r="E594" s="42" t="s">
        <v>12</v>
      </c>
      <c r="F594" s="42">
        <v>28</v>
      </c>
      <c r="G594" s="44">
        <v>120000</v>
      </c>
      <c r="H594" s="44">
        <v>3360000</v>
      </c>
      <c r="I594" s="42" t="s">
        <v>2173</v>
      </c>
      <c r="J594" s="42" t="s">
        <v>8</v>
      </c>
    </row>
    <row r="595" spans="1:10" x14ac:dyDescent="0.3">
      <c r="A595" s="42" t="s">
        <v>1979</v>
      </c>
      <c r="B595" s="43">
        <v>45764</v>
      </c>
      <c r="C595" s="42" t="s">
        <v>40</v>
      </c>
      <c r="D595" s="42" t="s">
        <v>41</v>
      </c>
      <c r="E595" s="42" t="s">
        <v>16</v>
      </c>
      <c r="F595" s="42">
        <v>40</v>
      </c>
      <c r="G595" s="44">
        <v>950000</v>
      </c>
      <c r="H595" s="44">
        <v>38000000</v>
      </c>
      <c r="I595" s="42" t="s">
        <v>2662</v>
      </c>
      <c r="J595" s="42" t="s">
        <v>127</v>
      </c>
    </row>
    <row r="596" spans="1:10" x14ac:dyDescent="0.3">
      <c r="A596" s="42" t="s">
        <v>1980</v>
      </c>
      <c r="B596" s="43">
        <v>45764</v>
      </c>
      <c r="C596" s="42" t="s">
        <v>44</v>
      </c>
      <c r="D596" s="42" t="s">
        <v>45</v>
      </c>
      <c r="E596" s="42" t="s">
        <v>16</v>
      </c>
      <c r="F596" s="42">
        <v>40</v>
      </c>
      <c r="G596" s="44">
        <v>250000</v>
      </c>
      <c r="H596" s="44">
        <v>10000000</v>
      </c>
      <c r="I596" s="42" t="s">
        <v>2323</v>
      </c>
      <c r="J596" s="42" t="s">
        <v>47</v>
      </c>
    </row>
    <row r="597" spans="1:10" x14ac:dyDescent="0.3">
      <c r="A597" s="42" t="s">
        <v>1989</v>
      </c>
      <c r="B597" s="43">
        <v>45768</v>
      </c>
      <c r="C597" s="42" t="s">
        <v>38</v>
      </c>
      <c r="D597" s="42" t="s">
        <v>39</v>
      </c>
      <c r="E597" s="42" t="s">
        <v>16</v>
      </c>
      <c r="F597" s="42">
        <v>6</v>
      </c>
      <c r="G597" s="44">
        <v>200000</v>
      </c>
      <c r="H597" s="44">
        <v>1200000</v>
      </c>
      <c r="I597" s="42" t="s">
        <v>2789</v>
      </c>
      <c r="J597" s="42" t="s">
        <v>127</v>
      </c>
    </row>
    <row r="598" spans="1:10" x14ac:dyDescent="0.3">
      <c r="A598" s="42" t="s">
        <v>1990</v>
      </c>
      <c r="B598" s="43">
        <v>45768</v>
      </c>
      <c r="C598" s="42" t="s">
        <v>14</v>
      </c>
      <c r="D598" s="42" t="s">
        <v>15</v>
      </c>
      <c r="E598" s="42" t="s">
        <v>16</v>
      </c>
      <c r="F598" s="42">
        <v>35</v>
      </c>
      <c r="G598" s="44">
        <v>350000</v>
      </c>
      <c r="H598" s="44">
        <v>12250000</v>
      </c>
      <c r="I598" s="42" t="s">
        <v>2178</v>
      </c>
      <c r="J598" s="42" t="s">
        <v>47</v>
      </c>
    </row>
    <row r="599" spans="1:10" x14ac:dyDescent="0.3">
      <c r="A599" s="42" t="s">
        <v>1991</v>
      </c>
      <c r="B599" s="43">
        <v>45768</v>
      </c>
      <c r="C599" s="42" t="s">
        <v>22</v>
      </c>
      <c r="D599" s="42" t="s">
        <v>23</v>
      </c>
      <c r="E599" s="42" t="s">
        <v>12</v>
      </c>
      <c r="F599" s="42">
        <v>27</v>
      </c>
      <c r="G599" s="44">
        <v>25000</v>
      </c>
      <c r="H599" s="44">
        <v>675000</v>
      </c>
      <c r="I599" s="42" t="s">
        <v>2161</v>
      </c>
      <c r="J599" s="42" t="s">
        <v>69</v>
      </c>
    </row>
    <row r="600" spans="1:10" x14ac:dyDescent="0.3">
      <c r="A600" s="42" t="s">
        <v>1992</v>
      </c>
      <c r="B600" s="43">
        <v>45768</v>
      </c>
      <c r="C600" s="42" t="s">
        <v>31</v>
      </c>
      <c r="D600" s="42" t="s">
        <v>32</v>
      </c>
      <c r="E600" s="42" t="s">
        <v>20</v>
      </c>
      <c r="F600" s="42">
        <v>29</v>
      </c>
      <c r="G600" s="44">
        <v>180000</v>
      </c>
      <c r="H600" s="44">
        <v>5220000</v>
      </c>
      <c r="I600" s="42" t="s">
        <v>2406</v>
      </c>
      <c r="J600" s="42" t="s">
        <v>47</v>
      </c>
    </row>
    <row r="601" spans="1:10" x14ac:dyDescent="0.3">
      <c r="A601" s="42" t="s">
        <v>1993</v>
      </c>
      <c r="B601" s="43">
        <v>45768</v>
      </c>
      <c r="C601" s="42" t="s">
        <v>31</v>
      </c>
      <c r="D601" s="42" t="s">
        <v>32</v>
      </c>
      <c r="E601" s="42" t="s">
        <v>20</v>
      </c>
      <c r="F601" s="42">
        <v>23</v>
      </c>
      <c r="G601" s="44">
        <v>180000</v>
      </c>
      <c r="H601" s="44">
        <v>4140000</v>
      </c>
      <c r="I601" s="42" t="s">
        <v>2619</v>
      </c>
      <c r="J601" s="42" t="s">
        <v>8</v>
      </c>
    </row>
    <row r="602" spans="1:10" x14ac:dyDescent="0.3">
      <c r="A602" s="42" t="s">
        <v>2005</v>
      </c>
      <c r="B602" s="43">
        <v>45768</v>
      </c>
      <c r="C602" s="42" t="s">
        <v>18</v>
      </c>
      <c r="D602" s="42" t="s">
        <v>19</v>
      </c>
      <c r="E602" s="42" t="s">
        <v>20</v>
      </c>
      <c r="F602" s="42">
        <v>24</v>
      </c>
      <c r="G602" s="44">
        <v>500000</v>
      </c>
      <c r="H602" s="44">
        <v>12000000</v>
      </c>
      <c r="I602" s="42" t="s">
        <v>2351</v>
      </c>
      <c r="J602" s="42" t="s">
        <v>47</v>
      </c>
    </row>
    <row r="603" spans="1:10" x14ac:dyDescent="0.3">
      <c r="A603" s="42" t="s">
        <v>2018</v>
      </c>
      <c r="B603" s="43">
        <v>45768</v>
      </c>
      <c r="C603" s="42" t="s">
        <v>14</v>
      </c>
      <c r="D603" s="42" t="s">
        <v>15</v>
      </c>
      <c r="E603" s="42" t="s">
        <v>16</v>
      </c>
      <c r="F603" s="42">
        <v>43</v>
      </c>
      <c r="G603" s="44">
        <v>350000</v>
      </c>
      <c r="H603" s="44">
        <v>15050000</v>
      </c>
      <c r="I603" s="42" t="s">
        <v>2679</v>
      </c>
      <c r="J603" s="42" t="s">
        <v>69</v>
      </c>
    </row>
    <row r="604" spans="1:10" x14ac:dyDescent="0.3">
      <c r="A604" s="42" t="s">
        <v>2019</v>
      </c>
      <c r="B604" s="43">
        <v>45768</v>
      </c>
      <c r="C604" s="42" t="s">
        <v>44</v>
      </c>
      <c r="D604" s="42" t="s">
        <v>45</v>
      </c>
      <c r="E604" s="42" t="s">
        <v>16</v>
      </c>
      <c r="F604" s="42">
        <v>39</v>
      </c>
      <c r="G604" s="44">
        <v>250000</v>
      </c>
      <c r="H604" s="44">
        <v>9750000</v>
      </c>
      <c r="I604" s="42" t="s">
        <v>2499</v>
      </c>
      <c r="J604" s="42" t="s">
        <v>60</v>
      </c>
    </row>
    <row r="605" spans="1:10" x14ac:dyDescent="0.3">
      <c r="A605" s="42" t="s">
        <v>2028</v>
      </c>
      <c r="B605" s="43">
        <v>45768</v>
      </c>
      <c r="C605" s="42" t="s">
        <v>31</v>
      </c>
      <c r="D605" s="42" t="s">
        <v>32</v>
      </c>
      <c r="E605" s="42" t="s">
        <v>20</v>
      </c>
      <c r="F605" s="42">
        <v>29</v>
      </c>
      <c r="G605" s="44">
        <v>180000</v>
      </c>
      <c r="H605" s="44">
        <v>5220000</v>
      </c>
      <c r="I605" s="42" t="s">
        <v>2148</v>
      </c>
      <c r="J605" s="42" t="s">
        <v>127</v>
      </c>
    </row>
    <row r="606" spans="1:10" x14ac:dyDescent="0.3">
      <c r="A606" s="42" t="s">
        <v>2029</v>
      </c>
      <c r="B606" s="43">
        <v>45768</v>
      </c>
      <c r="C606" s="42" t="s">
        <v>28</v>
      </c>
      <c r="D606" s="42" t="s">
        <v>29</v>
      </c>
      <c r="E606" s="42" t="s">
        <v>20</v>
      </c>
      <c r="F606" s="42">
        <v>30</v>
      </c>
      <c r="G606" s="44">
        <v>450000</v>
      </c>
      <c r="H606" s="44">
        <v>13500000</v>
      </c>
      <c r="I606" s="42" t="s">
        <v>2214</v>
      </c>
      <c r="J606" s="42" t="s">
        <v>69</v>
      </c>
    </row>
    <row r="607" spans="1:10" x14ac:dyDescent="0.3">
      <c r="A607" s="42" t="s">
        <v>2042</v>
      </c>
      <c r="B607" s="43">
        <v>45768</v>
      </c>
      <c r="C607" s="42" t="s">
        <v>31</v>
      </c>
      <c r="D607" s="42" t="s">
        <v>32</v>
      </c>
      <c r="E607" s="42" t="s">
        <v>20</v>
      </c>
      <c r="F607" s="42">
        <v>30</v>
      </c>
      <c r="G607" s="44">
        <v>180000</v>
      </c>
      <c r="H607" s="44">
        <v>5400000</v>
      </c>
      <c r="I607" s="42" t="s">
        <v>126</v>
      </c>
      <c r="J607" s="42" t="s">
        <v>127</v>
      </c>
    </row>
    <row r="608" spans="1:10" x14ac:dyDescent="0.3">
      <c r="A608" s="42" t="s">
        <v>2043</v>
      </c>
      <c r="B608" s="43">
        <v>45768</v>
      </c>
      <c r="C608" s="42" t="s">
        <v>22</v>
      </c>
      <c r="D608" s="42" t="s">
        <v>23</v>
      </c>
      <c r="E608" s="42" t="s">
        <v>12</v>
      </c>
      <c r="F608" s="42">
        <v>19</v>
      </c>
      <c r="G608" s="44">
        <v>25000</v>
      </c>
      <c r="H608" s="44">
        <v>475000</v>
      </c>
      <c r="I608" s="42" t="s">
        <v>1885</v>
      </c>
      <c r="J608" s="42" t="s">
        <v>127</v>
      </c>
    </row>
    <row r="609" spans="1:10" x14ac:dyDescent="0.3">
      <c r="A609" s="42" t="s">
        <v>2054</v>
      </c>
      <c r="B609" s="43">
        <v>45768</v>
      </c>
      <c r="C609" s="42" t="s">
        <v>14</v>
      </c>
      <c r="D609" s="42" t="s">
        <v>15</v>
      </c>
      <c r="E609" s="42" t="s">
        <v>16</v>
      </c>
      <c r="F609" s="42">
        <v>25</v>
      </c>
      <c r="G609" s="44">
        <v>350000</v>
      </c>
      <c r="H609" s="44">
        <v>8750000</v>
      </c>
      <c r="I609" s="42" t="s">
        <v>2771</v>
      </c>
      <c r="J609" s="42" t="s">
        <v>8</v>
      </c>
    </row>
    <row r="610" spans="1:10" x14ac:dyDescent="0.3">
      <c r="A610" s="42" t="s">
        <v>2055</v>
      </c>
      <c r="B610" s="43">
        <v>45768</v>
      </c>
      <c r="C610" s="42" t="s">
        <v>10</v>
      </c>
      <c r="D610" s="42" t="s">
        <v>11</v>
      </c>
      <c r="E610" s="42" t="s">
        <v>12</v>
      </c>
      <c r="F610" s="42">
        <v>34</v>
      </c>
      <c r="G610" s="44">
        <v>120000</v>
      </c>
      <c r="H610" s="44">
        <v>4080000</v>
      </c>
      <c r="I610" s="42" t="s">
        <v>2468</v>
      </c>
      <c r="J610" s="42" t="s">
        <v>60</v>
      </c>
    </row>
    <row r="611" spans="1:10" x14ac:dyDescent="0.3">
      <c r="A611" s="42" t="s">
        <v>2056</v>
      </c>
      <c r="B611" s="43">
        <v>45768</v>
      </c>
      <c r="C611" s="42" t="s">
        <v>42</v>
      </c>
      <c r="D611" s="42" t="s">
        <v>43</v>
      </c>
      <c r="E611" s="42" t="s">
        <v>16</v>
      </c>
      <c r="F611" s="42">
        <v>29</v>
      </c>
      <c r="G611" s="44">
        <v>1200000</v>
      </c>
      <c r="H611" s="44">
        <v>34800000</v>
      </c>
      <c r="I611" s="42" t="s">
        <v>2551</v>
      </c>
      <c r="J611" s="42" t="s">
        <v>8</v>
      </c>
    </row>
    <row r="612" spans="1:10" x14ac:dyDescent="0.3">
      <c r="A612" s="42" t="s">
        <v>2067</v>
      </c>
      <c r="B612" s="43">
        <v>45768</v>
      </c>
      <c r="C612" s="42" t="s">
        <v>14</v>
      </c>
      <c r="D612" s="42" t="s">
        <v>15</v>
      </c>
      <c r="E612" s="42" t="s">
        <v>16</v>
      </c>
      <c r="F612" s="42">
        <v>330</v>
      </c>
      <c r="G612" s="44">
        <v>350000</v>
      </c>
      <c r="H612" s="44">
        <v>115500000</v>
      </c>
      <c r="I612" s="42" t="s">
        <v>2266</v>
      </c>
      <c r="J612" s="42" t="s">
        <v>8</v>
      </c>
    </row>
    <row r="613" spans="1:10" x14ac:dyDescent="0.3">
      <c r="A613" s="42" t="s">
        <v>2068</v>
      </c>
      <c r="B613" s="43">
        <v>45768</v>
      </c>
      <c r="C613" s="42" t="s">
        <v>10</v>
      </c>
      <c r="D613" s="42" t="s">
        <v>11</v>
      </c>
      <c r="E613" s="42" t="s">
        <v>12</v>
      </c>
      <c r="F613" s="42">
        <v>39</v>
      </c>
      <c r="G613" s="44">
        <v>120000</v>
      </c>
      <c r="H613" s="44">
        <v>4680000</v>
      </c>
      <c r="I613" s="42" t="s">
        <v>2818</v>
      </c>
      <c r="J613" s="42" t="s">
        <v>127</v>
      </c>
    </row>
    <row r="614" spans="1:10" x14ac:dyDescent="0.3">
      <c r="A614" s="42" t="s">
        <v>2076</v>
      </c>
      <c r="B614" s="43">
        <v>45769</v>
      </c>
      <c r="C614" s="42" t="s">
        <v>42</v>
      </c>
      <c r="D614" s="42" t="s">
        <v>43</v>
      </c>
      <c r="E614" s="42" t="s">
        <v>16</v>
      </c>
      <c r="F614" s="42">
        <v>7</v>
      </c>
      <c r="G614" s="44">
        <v>1200000</v>
      </c>
      <c r="H614" s="44">
        <v>8400000</v>
      </c>
      <c r="I614" s="42" t="s">
        <v>2594</v>
      </c>
      <c r="J614" s="42" t="s">
        <v>69</v>
      </c>
    </row>
    <row r="615" spans="1:10" x14ac:dyDescent="0.3">
      <c r="A615" s="42" t="s">
        <v>2077</v>
      </c>
      <c r="B615" s="43">
        <v>45769</v>
      </c>
      <c r="C615" s="42" t="s">
        <v>44</v>
      </c>
      <c r="D615" s="42" t="s">
        <v>45</v>
      </c>
      <c r="E615" s="42" t="s">
        <v>16</v>
      </c>
      <c r="F615" s="42">
        <v>44</v>
      </c>
      <c r="G615" s="44">
        <v>250000</v>
      </c>
      <c r="H615" s="44">
        <v>11000000</v>
      </c>
      <c r="I615" s="42" t="s">
        <v>2287</v>
      </c>
      <c r="J615" s="42" t="s">
        <v>127</v>
      </c>
    </row>
    <row r="616" spans="1:10" x14ac:dyDescent="0.3">
      <c r="A616" s="42" t="s">
        <v>2078</v>
      </c>
      <c r="B616" s="43">
        <v>45769</v>
      </c>
      <c r="C616" s="42" t="s">
        <v>14</v>
      </c>
      <c r="D616" s="42" t="s">
        <v>15</v>
      </c>
      <c r="E616" s="42" t="s">
        <v>16</v>
      </c>
      <c r="F616" s="42">
        <v>25</v>
      </c>
      <c r="G616" s="44">
        <v>350000</v>
      </c>
      <c r="H616" s="44">
        <v>8750000</v>
      </c>
      <c r="I616" s="42" t="s">
        <v>2127</v>
      </c>
      <c r="J616" s="42" t="s">
        <v>127</v>
      </c>
    </row>
    <row r="617" spans="1:10" x14ac:dyDescent="0.3">
      <c r="A617" s="42" t="s">
        <v>2079</v>
      </c>
      <c r="B617" s="43">
        <v>45769</v>
      </c>
      <c r="C617" s="42" t="s">
        <v>14</v>
      </c>
      <c r="D617" s="42" t="s">
        <v>15</v>
      </c>
      <c r="E617" s="42" t="s">
        <v>16</v>
      </c>
      <c r="F617" s="42">
        <v>33</v>
      </c>
      <c r="G617" s="44">
        <v>350000</v>
      </c>
      <c r="H617" s="44">
        <v>11550000</v>
      </c>
      <c r="I617" s="42" t="s">
        <v>2413</v>
      </c>
      <c r="J617" s="42" t="s">
        <v>8</v>
      </c>
    </row>
    <row r="618" spans="1:10" x14ac:dyDescent="0.3">
      <c r="A618" s="42" t="s">
        <v>2089</v>
      </c>
      <c r="B618" s="43">
        <v>45769</v>
      </c>
      <c r="C618" s="42" t="s">
        <v>44</v>
      </c>
      <c r="D618" s="42" t="s">
        <v>45</v>
      </c>
      <c r="E618" s="42" t="s">
        <v>16</v>
      </c>
      <c r="F618" s="42">
        <v>35</v>
      </c>
      <c r="G618" s="44">
        <v>250000</v>
      </c>
      <c r="H618" s="44">
        <v>8750000</v>
      </c>
      <c r="I618" s="42" t="s">
        <v>2579</v>
      </c>
      <c r="J618" s="42" t="s">
        <v>60</v>
      </c>
    </row>
    <row r="619" spans="1:10" x14ac:dyDescent="0.3">
      <c r="A619" s="42" t="s">
        <v>2098</v>
      </c>
      <c r="B619" s="43">
        <v>45769</v>
      </c>
      <c r="C619" s="42" t="s">
        <v>18</v>
      </c>
      <c r="D619" s="42" t="s">
        <v>19</v>
      </c>
      <c r="E619" s="42" t="s">
        <v>20</v>
      </c>
      <c r="F619" s="42">
        <v>27</v>
      </c>
      <c r="G619" s="44">
        <v>500000</v>
      </c>
      <c r="H619" s="44">
        <v>13500000</v>
      </c>
      <c r="I619" s="42" t="s">
        <v>2156</v>
      </c>
      <c r="J619" s="42" t="s">
        <v>47</v>
      </c>
    </row>
    <row r="620" spans="1:10" x14ac:dyDescent="0.3">
      <c r="A620" s="42" t="s">
        <v>2106</v>
      </c>
      <c r="B620" s="43">
        <v>45769</v>
      </c>
      <c r="C620" s="42" t="s">
        <v>22</v>
      </c>
      <c r="D620" s="42" t="s">
        <v>23</v>
      </c>
      <c r="E620" s="42" t="s">
        <v>12</v>
      </c>
      <c r="F620" s="42">
        <v>48</v>
      </c>
      <c r="G620" s="44">
        <v>25000</v>
      </c>
      <c r="H620" s="44">
        <v>1200000</v>
      </c>
      <c r="I620" s="42" t="s">
        <v>2548</v>
      </c>
      <c r="J620" s="42" t="s">
        <v>47</v>
      </c>
    </row>
    <row r="621" spans="1:10" x14ac:dyDescent="0.3">
      <c r="A621" s="42" t="s">
        <v>2107</v>
      </c>
      <c r="B621" s="43">
        <v>45769</v>
      </c>
      <c r="C621" s="42" t="s">
        <v>22</v>
      </c>
      <c r="D621" s="42" t="s">
        <v>23</v>
      </c>
      <c r="E621" s="42" t="s">
        <v>12</v>
      </c>
      <c r="F621" s="42">
        <v>49</v>
      </c>
      <c r="G621" s="44">
        <v>25000</v>
      </c>
      <c r="H621" s="44">
        <v>1225000</v>
      </c>
      <c r="I621" s="42" t="s">
        <v>2442</v>
      </c>
      <c r="J621" s="42" t="s">
        <v>47</v>
      </c>
    </row>
    <row r="622" spans="1:10" x14ac:dyDescent="0.3">
      <c r="A622" s="42" t="s">
        <v>25</v>
      </c>
      <c r="B622" s="43">
        <v>45769</v>
      </c>
      <c r="C622" s="42" t="s">
        <v>31</v>
      </c>
      <c r="D622" s="42" t="s">
        <v>32</v>
      </c>
      <c r="E622" s="42" t="s">
        <v>20</v>
      </c>
      <c r="F622" s="42">
        <v>24</v>
      </c>
      <c r="G622" s="44">
        <v>180000</v>
      </c>
      <c r="H622" s="44">
        <v>4320000</v>
      </c>
      <c r="I622" s="42" t="s">
        <v>2657</v>
      </c>
      <c r="J622" s="42" t="s">
        <v>47</v>
      </c>
    </row>
    <row r="623" spans="1:10" x14ac:dyDescent="0.3">
      <c r="A623" s="42" t="s">
        <v>26</v>
      </c>
      <c r="B623" s="43">
        <v>45769</v>
      </c>
      <c r="C623" s="42" t="s">
        <v>10</v>
      </c>
      <c r="D623" s="42" t="s">
        <v>11</v>
      </c>
      <c r="E623" s="42" t="s">
        <v>12</v>
      </c>
      <c r="F623" s="42">
        <v>11</v>
      </c>
      <c r="G623" s="44">
        <v>120000</v>
      </c>
      <c r="H623" s="44">
        <v>1320000</v>
      </c>
      <c r="I623" s="42" t="s">
        <v>2693</v>
      </c>
      <c r="J623" s="42" t="s">
        <v>127</v>
      </c>
    </row>
    <row r="624" spans="1:10" x14ac:dyDescent="0.3">
      <c r="A624" s="42" t="s">
        <v>50</v>
      </c>
      <c r="B624" s="43">
        <v>45769</v>
      </c>
      <c r="C624" s="42" t="s">
        <v>14</v>
      </c>
      <c r="D624" s="42" t="s">
        <v>15</v>
      </c>
      <c r="E624" s="42" t="s">
        <v>16</v>
      </c>
      <c r="F624" s="42">
        <v>50</v>
      </c>
      <c r="G624" s="44">
        <v>350000</v>
      </c>
      <c r="H624" s="44">
        <v>17500000</v>
      </c>
      <c r="I624" s="42" t="s">
        <v>2229</v>
      </c>
      <c r="J624" s="42" t="s">
        <v>60</v>
      </c>
    </row>
    <row r="625" spans="1:10" x14ac:dyDescent="0.3">
      <c r="A625" s="42" t="s">
        <v>51</v>
      </c>
      <c r="B625" s="43">
        <v>45769</v>
      </c>
      <c r="C625" s="42" t="s">
        <v>38</v>
      </c>
      <c r="D625" s="42" t="s">
        <v>39</v>
      </c>
      <c r="E625" s="42" t="s">
        <v>16</v>
      </c>
      <c r="F625" s="42">
        <v>50</v>
      </c>
      <c r="G625" s="44">
        <v>200000</v>
      </c>
      <c r="H625" s="44">
        <v>10000000</v>
      </c>
      <c r="I625" s="42" t="s">
        <v>2135</v>
      </c>
      <c r="J625" s="42" t="s">
        <v>8</v>
      </c>
    </row>
    <row r="626" spans="1:10" x14ac:dyDescent="0.3">
      <c r="A626" s="42" t="s">
        <v>72</v>
      </c>
      <c r="B626" s="43">
        <v>45769</v>
      </c>
      <c r="C626" s="42" t="s">
        <v>28</v>
      </c>
      <c r="D626" s="42" t="s">
        <v>29</v>
      </c>
      <c r="E626" s="42" t="s">
        <v>20</v>
      </c>
      <c r="F626" s="42">
        <v>33</v>
      </c>
      <c r="G626" s="44">
        <v>450000</v>
      </c>
      <c r="H626" s="44">
        <v>14850000</v>
      </c>
      <c r="I626" s="42" t="s">
        <v>2647</v>
      </c>
      <c r="J626" s="42" t="s">
        <v>8</v>
      </c>
    </row>
    <row r="627" spans="1:10" x14ac:dyDescent="0.3">
      <c r="A627" s="42" t="s">
        <v>83</v>
      </c>
      <c r="B627" s="43">
        <v>45769</v>
      </c>
      <c r="C627" s="42" t="s">
        <v>28</v>
      </c>
      <c r="D627" s="42" t="s">
        <v>29</v>
      </c>
      <c r="E627" s="42" t="s">
        <v>20</v>
      </c>
      <c r="F627" s="42">
        <v>48</v>
      </c>
      <c r="G627" s="44">
        <v>450000</v>
      </c>
      <c r="H627" s="44">
        <v>21600000</v>
      </c>
      <c r="I627" s="42" t="s">
        <v>2519</v>
      </c>
      <c r="J627" s="42" t="s">
        <v>127</v>
      </c>
    </row>
    <row r="628" spans="1:10" x14ac:dyDescent="0.3">
      <c r="A628" s="42" t="s">
        <v>93</v>
      </c>
      <c r="B628" s="43">
        <v>45769</v>
      </c>
      <c r="C628" s="42" t="s">
        <v>14</v>
      </c>
      <c r="D628" s="42" t="s">
        <v>15</v>
      </c>
      <c r="E628" s="42" t="s">
        <v>16</v>
      </c>
      <c r="F628" s="42">
        <v>21</v>
      </c>
      <c r="G628" s="44">
        <v>350000</v>
      </c>
      <c r="H628" s="44">
        <v>7350000</v>
      </c>
      <c r="I628" s="42" t="s">
        <v>2585</v>
      </c>
      <c r="J628" s="42" t="s">
        <v>8</v>
      </c>
    </row>
    <row r="629" spans="1:10" x14ac:dyDescent="0.3">
      <c r="A629" s="42" t="s">
        <v>94</v>
      </c>
      <c r="B629" s="43">
        <v>45769</v>
      </c>
      <c r="C629" s="42" t="s">
        <v>40</v>
      </c>
      <c r="D629" s="42" t="s">
        <v>41</v>
      </c>
      <c r="E629" s="42" t="s">
        <v>16</v>
      </c>
      <c r="F629" s="42">
        <v>44</v>
      </c>
      <c r="G629" s="44">
        <v>950000</v>
      </c>
      <c r="H629" s="44">
        <v>41800000</v>
      </c>
      <c r="I629" s="42" t="s">
        <v>2716</v>
      </c>
      <c r="J629" s="42" t="s">
        <v>127</v>
      </c>
    </row>
    <row r="630" spans="1:10" x14ac:dyDescent="0.3">
      <c r="A630" s="42" t="s">
        <v>95</v>
      </c>
      <c r="B630" s="43">
        <v>45769</v>
      </c>
      <c r="C630" s="42" t="s">
        <v>44</v>
      </c>
      <c r="D630" s="42" t="s">
        <v>45</v>
      </c>
      <c r="E630" s="42" t="s">
        <v>16</v>
      </c>
      <c r="F630" s="42">
        <v>38</v>
      </c>
      <c r="G630" s="44">
        <v>250000</v>
      </c>
      <c r="H630" s="44">
        <v>9500000</v>
      </c>
      <c r="I630" s="42" t="s">
        <v>2369</v>
      </c>
      <c r="J630" s="42" t="s">
        <v>127</v>
      </c>
    </row>
    <row r="631" spans="1:10" x14ac:dyDescent="0.3">
      <c r="A631" s="42" t="s">
        <v>96</v>
      </c>
      <c r="B631" s="43">
        <v>45770</v>
      </c>
      <c r="C631" s="42" t="s">
        <v>42</v>
      </c>
      <c r="D631" s="42" t="s">
        <v>43</v>
      </c>
      <c r="E631" s="42" t="s">
        <v>16</v>
      </c>
      <c r="F631" s="42">
        <v>12</v>
      </c>
      <c r="G631" s="44">
        <v>1200000</v>
      </c>
      <c r="H631" s="44">
        <v>14400000</v>
      </c>
      <c r="I631" s="42" t="s">
        <v>2570</v>
      </c>
      <c r="J631" s="42" t="s">
        <v>8</v>
      </c>
    </row>
    <row r="632" spans="1:10" x14ac:dyDescent="0.3">
      <c r="A632" s="42" t="s">
        <v>109</v>
      </c>
      <c r="B632" s="43">
        <v>45770</v>
      </c>
      <c r="C632" s="42" t="s">
        <v>22</v>
      </c>
      <c r="D632" s="42" t="s">
        <v>23</v>
      </c>
      <c r="E632" s="42" t="s">
        <v>12</v>
      </c>
      <c r="F632" s="42">
        <v>39</v>
      </c>
      <c r="G632" s="44">
        <v>25000</v>
      </c>
      <c r="H632" s="44">
        <v>975000</v>
      </c>
      <c r="I632" s="42" t="s">
        <v>2562</v>
      </c>
      <c r="J632" s="42" t="s">
        <v>8</v>
      </c>
    </row>
    <row r="633" spans="1:10" x14ac:dyDescent="0.3">
      <c r="A633" s="42" t="s">
        <v>121</v>
      </c>
      <c r="B633" s="43">
        <v>45770</v>
      </c>
      <c r="C633" s="42" t="s">
        <v>31</v>
      </c>
      <c r="D633" s="42" t="s">
        <v>32</v>
      </c>
      <c r="E633" s="42" t="s">
        <v>20</v>
      </c>
      <c r="F633" s="42">
        <v>22</v>
      </c>
      <c r="G633" s="44">
        <v>180000</v>
      </c>
      <c r="H633" s="44">
        <v>3960000</v>
      </c>
      <c r="I633" s="42" t="s">
        <v>2806</v>
      </c>
      <c r="J633" s="42" t="s">
        <v>69</v>
      </c>
    </row>
    <row r="634" spans="1:10" x14ac:dyDescent="0.3">
      <c r="A634" s="42" t="s">
        <v>132</v>
      </c>
      <c r="B634" s="43">
        <v>45770</v>
      </c>
      <c r="C634" s="42" t="s">
        <v>18</v>
      </c>
      <c r="D634" s="42" t="s">
        <v>19</v>
      </c>
      <c r="E634" s="42" t="s">
        <v>20</v>
      </c>
      <c r="F634" s="42">
        <v>28</v>
      </c>
      <c r="G634" s="44">
        <v>500000</v>
      </c>
      <c r="H634" s="44">
        <v>14000000</v>
      </c>
      <c r="I634" s="42" t="s">
        <v>2789</v>
      </c>
      <c r="J634" s="42" t="s">
        <v>127</v>
      </c>
    </row>
    <row r="635" spans="1:10" x14ac:dyDescent="0.3">
      <c r="A635" s="42" t="s">
        <v>149</v>
      </c>
      <c r="B635" s="43">
        <v>45770</v>
      </c>
      <c r="C635" s="42" t="s">
        <v>28</v>
      </c>
      <c r="D635" s="42" t="s">
        <v>29</v>
      </c>
      <c r="E635" s="42" t="s">
        <v>20</v>
      </c>
      <c r="F635" s="42">
        <v>9</v>
      </c>
      <c r="G635" s="44">
        <v>450000</v>
      </c>
      <c r="H635" s="44">
        <v>4050000</v>
      </c>
      <c r="I635" s="42" t="s">
        <v>2823</v>
      </c>
      <c r="J635" s="42" t="s">
        <v>69</v>
      </c>
    </row>
    <row r="636" spans="1:10" x14ac:dyDescent="0.3">
      <c r="A636" s="42" t="s">
        <v>156</v>
      </c>
      <c r="B636" s="43">
        <v>45770</v>
      </c>
      <c r="C636" s="42" t="s">
        <v>14</v>
      </c>
      <c r="D636" s="42" t="s">
        <v>15</v>
      </c>
      <c r="E636" s="42" t="s">
        <v>16</v>
      </c>
      <c r="F636" s="42">
        <v>350</v>
      </c>
      <c r="G636" s="44">
        <v>350000</v>
      </c>
      <c r="H636" s="44">
        <v>122500000</v>
      </c>
      <c r="I636" s="42" t="s">
        <v>2291</v>
      </c>
      <c r="J636" s="42" t="s">
        <v>127</v>
      </c>
    </row>
    <row r="637" spans="1:10" x14ac:dyDescent="0.3">
      <c r="A637" s="42" t="s">
        <v>169</v>
      </c>
      <c r="B637" s="43">
        <v>45770</v>
      </c>
      <c r="C637" s="42" t="s">
        <v>42</v>
      </c>
      <c r="D637" s="42" t="s">
        <v>43</v>
      </c>
      <c r="E637" s="42" t="s">
        <v>16</v>
      </c>
      <c r="F637" s="42">
        <v>39</v>
      </c>
      <c r="G637" s="44">
        <v>1200000</v>
      </c>
      <c r="H637" s="44">
        <v>46800000</v>
      </c>
      <c r="I637" s="42" t="s">
        <v>2176</v>
      </c>
      <c r="J637" s="42" t="s">
        <v>127</v>
      </c>
    </row>
    <row r="638" spans="1:10" x14ac:dyDescent="0.3">
      <c r="A638" s="42" t="s">
        <v>190</v>
      </c>
      <c r="B638" s="43">
        <v>45770</v>
      </c>
      <c r="C638" s="42" t="s">
        <v>40</v>
      </c>
      <c r="D638" s="42" t="s">
        <v>41</v>
      </c>
      <c r="E638" s="42" t="s">
        <v>16</v>
      </c>
      <c r="F638" s="42">
        <v>9</v>
      </c>
      <c r="G638" s="44">
        <v>950000</v>
      </c>
      <c r="H638" s="44">
        <v>8550000</v>
      </c>
      <c r="I638" s="42" t="s">
        <v>2251</v>
      </c>
      <c r="J638" s="42" t="s">
        <v>127</v>
      </c>
    </row>
    <row r="639" spans="1:10" x14ac:dyDescent="0.3">
      <c r="A639" s="42" t="s">
        <v>191</v>
      </c>
      <c r="B639" s="43">
        <v>45770</v>
      </c>
      <c r="C639" s="42" t="s">
        <v>44</v>
      </c>
      <c r="D639" s="42" t="s">
        <v>45</v>
      </c>
      <c r="E639" s="42" t="s">
        <v>16</v>
      </c>
      <c r="F639" s="42">
        <v>16</v>
      </c>
      <c r="G639" s="44">
        <v>250000</v>
      </c>
      <c r="H639" s="44">
        <v>4000000</v>
      </c>
      <c r="I639" s="42" t="s">
        <v>2206</v>
      </c>
      <c r="J639" s="42" t="s">
        <v>8</v>
      </c>
    </row>
    <row r="640" spans="1:10" x14ac:dyDescent="0.3">
      <c r="A640" s="42" t="s">
        <v>192</v>
      </c>
      <c r="B640" s="43">
        <v>45770</v>
      </c>
      <c r="C640" s="42" t="s">
        <v>31</v>
      </c>
      <c r="D640" s="42" t="s">
        <v>32</v>
      </c>
      <c r="E640" s="42" t="s">
        <v>20</v>
      </c>
      <c r="F640" s="42">
        <v>15</v>
      </c>
      <c r="G640" s="44">
        <v>180000</v>
      </c>
      <c r="H640" s="44">
        <v>2700000</v>
      </c>
      <c r="I640" s="42" t="s">
        <v>2320</v>
      </c>
      <c r="J640" s="42" t="s">
        <v>47</v>
      </c>
    </row>
    <row r="641" spans="1:10" x14ac:dyDescent="0.3">
      <c r="A641" s="42" t="s">
        <v>193</v>
      </c>
      <c r="B641" s="43">
        <v>45770</v>
      </c>
      <c r="C641" s="42" t="s">
        <v>42</v>
      </c>
      <c r="D641" s="42" t="s">
        <v>43</v>
      </c>
      <c r="E641" s="42" t="s">
        <v>16</v>
      </c>
      <c r="F641" s="42">
        <v>5</v>
      </c>
      <c r="G641" s="44">
        <v>1200000</v>
      </c>
      <c r="H641" s="44">
        <v>6000000</v>
      </c>
      <c r="I641" s="42" t="s">
        <v>2788</v>
      </c>
      <c r="J641" s="42" t="s">
        <v>69</v>
      </c>
    </row>
    <row r="642" spans="1:10" x14ac:dyDescent="0.3">
      <c r="A642" s="42" t="s">
        <v>194</v>
      </c>
      <c r="B642" s="43">
        <v>45770</v>
      </c>
      <c r="C642" s="42" t="s">
        <v>44</v>
      </c>
      <c r="D642" s="42" t="s">
        <v>45</v>
      </c>
      <c r="E642" s="42" t="s">
        <v>16</v>
      </c>
      <c r="F642" s="42">
        <v>8</v>
      </c>
      <c r="G642" s="44">
        <v>250000</v>
      </c>
      <c r="H642" s="44">
        <v>2000000</v>
      </c>
      <c r="I642" s="42" t="s">
        <v>2541</v>
      </c>
      <c r="J642" s="42" t="s">
        <v>8</v>
      </c>
    </row>
    <row r="643" spans="1:10" x14ac:dyDescent="0.3">
      <c r="A643" s="42" t="s">
        <v>205</v>
      </c>
      <c r="B643" s="43">
        <v>45770</v>
      </c>
      <c r="C643" s="42" t="s">
        <v>44</v>
      </c>
      <c r="D643" s="42" t="s">
        <v>45</v>
      </c>
      <c r="E643" s="42" t="s">
        <v>16</v>
      </c>
      <c r="F643" s="42">
        <v>13</v>
      </c>
      <c r="G643" s="44">
        <v>250000</v>
      </c>
      <c r="H643" s="44">
        <v>3250000</v>
      </c>
      <c r="I643" s="42" t="s">
        <v>2465</v>
      </c>
      <c r="J643" s="42" t="s">
        <v>127</v>
      </c>
    </row>
    <row r="644" spans="1:10" x14ac:dyDescent="0.3">
      <c r="A644" s="42" t="s">
        <v>206</v>
      </c>
      <c r="B644" s="43">
        <v>45770</v>
      </c>
      <c r="C644" s="42" t="s">
        <v>40</v>
      </c>
      <c r="D644" s="42" t="s">
        <v>41</v>
      </c>
      <c r="E644" s="42" t="s">
        <v>16</v>
      </c>
      <c r="F644" s="42">
        <v>34</v>
      </c>
      <c r="G644" s="44">
        <v>950000</v>
      </c>
      <c r="H644" s="44">
        <v>32300000</v>
      </c>
      <c r="I644" s="42" t="s">
        <v>216</v>
      </c>
      <c r="J644" s="42" t="s">
        <v>69</v>
      </c>
    </row>
    <row r="645" spans="1:10" x14ac:dyDescent="0.3">
      <c r="A645" s="42" t="s">
        <v>222</v>
      </c>
      <c r="B645" s="43">
        <v>45771</v>
      </c>
      <c r="C645" s="42" t="s">
        <v>28</v>
      </c>
      <c r="D645" s="42" t="s">
        <v>29</v>
      </c>
      <c r="E645" s="42" t="s">
        <v>20</v>
      </c>
      <c r="F645" s="42">
        <v>44</v>
      </c>
      <c r="G645" s="44">
        <v>450000</v>
      </c>
      <c r="H645" s="44">
        <v>19800000</v>
      </c>
      <c r="I645" s="42" t="s">
        <v>2818</v>
      </c>
      <c r="J645" s="42" t="s">
        <v>127</v>
      </c>
    </row>
    <row r="646" spans="1:10" x14ac:dyDescent="0.3">
      <c r="A646" s="42" t="s">
        <v>263</v>
      </c>
      <c r="B646" s="43">
        <v>45771</v>
      </c>
      <c r="C646" s="42" t="s">
        <v>31</v>
      </c>
      <c r="D646" s="42" t="s">
        <v>32</v>
      </c>
      <c r="E646" s="42" t="s">
        <v>20</v>
      </c>
      <c r="F646" s="42">
        <v>35</v>
      </c>
      <c r="G646" s="44">
        <v>180000</v>
      </c>
      <c r="H646" s="44">
        <v>6300000</v>
      </c>
      <c r="I646" s="42" t="s">
        <v>2538</v>
      </c>
      <c r="J646" s="42" t="s">
        <v>127</v>
      </c>
    </row>
    <row r="647" spans="1:10" x14ac:dyDescent="0.3">
      <c r="A647" s="42" t="s">
        <v>264</v>
      </c>
      <c r="B647" s="43">
        <v>45771</v>
      </c>
      <c r="C647" s="42" t="s">
        <v>22</v>
      </c>
      <c r="D647" s="42" t="s">
        <v>23</v>
      </c>
      <c r="E647" s="42" t="s">
        <v>12</v>
      </c>
      <c r="F647" s="42">
        <v>47</v>
      </c>
      <c r="G647" s="44">
        <v>25000</v>
      </c>
      <c r="H647" s="44">
        <v>1175000</v>
      </c>
      <c r="I647" s="42" t="s">
        <v>2465</v>
      </c>
      <c r="J647" s="42" t="s">
        <v>127</v>
      </c>
    </row>
    <row r="648" spans="1:10" x14ac:dyDescent="0.3">
      <c r="A648" s="42" t="s">
        <v>265</v>
      </c>
      <c r="B648" s="43">
        <v>45771</v>
      </c>
      <c r="C648" s="42" t="s">
        <v>28</v>
      </c>
      <c r="D648" s="42" t="s">
        <v>29</v>
      </c>
      <c r="E648" s="42" t="s">
        <v>20</v>
      </c>
      <c r="F648" s="42">
        <v>450</v>
      </c>
      <c r="G648" s="44">
        <v>450000</v>
      </c>
      <c r="H648" s="44">
        <v>202500000</v>
      </c>
      <c r="I648" s="42" t="s">
        <v>1640</v>
      </c>
      <c r="J648" s="42" t="s">
        <v>47</v>
      </c>
    </row>
    <row r="649" spans="1:10" x14ac:dyDescent="0.3">
      <c r="A649" s="42" t="s">
        <v>279</v>
      </c>
      <c r="B649" s="43">
        <v>45771</v>
      </c>
      <c r="C649" s="42" t="s">
        <v>10</v>
      </c>
      <c r="D649" s="42" t="s">
        <v>11</v>
      </c>
      <c r="E649" s="42" t="s">
        <v>12</v>
      </c>
      <c r="F649" s="42">
        <v>37</v>
      </c>
      <c r="G649" s="44">
        <v>120000</v>
      </c>
      <c r="H649" s="44">
        <v>4440000</v>
      </c>
      <c r="I649" s="42" t="s">
        <v>2137</v>
      </c>
      <c r="J649" s="42" t="s">
        <v>47</v>
      </c>
    </row>
    <row r="650" spans="1:10" x14ac:dyDescent="0.3">
      <c r="A650" s="42" t="s">
        <v>280</v>
      </c>
      <c r="B650" s="43">
        <v>45771</v>
      </c>
      <c r="C650" s="42" t="s">
        <v>22</v>
      </c>
      <c r="D650" s="42" t="s">
        <v>23</v>
      </c>
      <c r="E650" s="42" t="s">
        <v>12</v>
      </c>
      <c r="F650" s="42">
        <v>37</v>
      </c>
      <c r="G650" s="44">
        <v>25000</v>
      </c>
      <c r="H650" s="44">
        <v>925000</v>
      </c>
      <c r="I650" s="42" t="s">
        <v>46</v>
      </c>
      <c r="J650" s="42" t="s">
        <v>127</v>
      </c>
    </row>
    <row r="651" spans="1:10" x14ac:dyDescent="0.3">
      <c r="A651" s="42" t="s">
        <v>300</v>
      </c>
      <c r="B651" s="43">
        <v>45771</v>
      </c>
      <c r="C651" s="42" t="s">
        <v>22</v>
      </c>
      <c r="D651" s="42" t="s">
        <v>23</v>
      </c>
      <c r="E651" s="42" t="s">
        <v>12</v>
      </c>
      <c r="F651" s="42">
        <v>42</v>
      </c>
      <c r="G651" s="44">
        <v>25000</v>
      </c>
      <c r="H651" s="44">
        <v>1050000</v>
      </c>
      <c r="I651" s="42" t="s">
        <v>2502</v>
      </c>
      <c r="J651" s="42" t="s">
        <v>47</v>
      </c>
    </row>
    <row r="652" spans="1:10" x14ac:dyDescent="0.3">
      <c r="A652" s="42" t="s">
        <v>301</v>
      </c>
      <c r="B652" s="43">
        <v>45771</v>
      </c>
      <c r="C652" s="42" t="s">
        <v>14</v>
      </c>
      <c r="D652" s="42" t="s">
        <v>15</v>
      </c>
      <c r="E652" s="42" t="s">
        <v>16</v>
      </c>
      <c r="F652" s="42">
        <v>33</v>
      </c>
      <c r="G652" s="44">
        <v>350000</v>
      </c>
      <c r="H652" s="44">
        <v>11550000</v>
      </c>
      <c r="I652" s="42" t="s">
        <v>2646</v>
      </c>
      <c r="J652" s="42" t="s">
        <v>60</v>
      </c>
    </row>
    <row r="653" spans="1:10" x14ac:dyDescent="0.3">
      <c r="A653" s="42" t="s">
        <v>302</v>
      </c>
      <c r="B653" s="43">
        <v>45771</v>
      </c>
      <c r="C653" s="42" t="s">
        <v>31</v>
      </c>
      <c r="D653" s="42" t="s">
        <v>32</v>
      </c>
      <c r="E653" s="42" t="s">
        <v>20</v>
      </c>
      <c r="F653" s="42">
        <v>40</v>
      </c>
      <c r="G653" s="44">
        <v>180000</v>
      </c>
      <c r="H653" s="44">
        <v>7200000</v>
      </c>
      <c r="I653" s="42" t="s">
        <v>2324</v>
      </c>
      <c r="J653" s="42" t="s">
        <v>8</v>
      </c>
    </row>
    <row r="654" spans="1:10" x14ac:dyDescent="0.3">
      <c r="A654" s="42" t="s">
        <v>312</v>
      </c>
      <c r="B654" s="43">
        <v>45771</v>
      </c>
      <c r="C654" s="42" t="s">
        <v>40</v>
      </c>
      <c r="D654" s="42" t="s">
        <v>41</v>
      </c>
      <c r="E654" s="42" t="s">
        <v>16</v>
      </c>
      <c r="F654" s="42">
        <v>42</v>
      </c>
      <c r="G654" s="44">
        <v>950000</v>
      </c>
      <c r="H654" s="44">
        <v>39900000</v>
      </c>
      <c r="I654" s="42" t="s">
        <v>2660</v>
      </c>
      <c r="J654" s="42" t="s">
        <v>69</v>
      </c>
    </row>
    <row r="655" spans="1:10" x14ac:dyDescent="0.3">
      <c r="A655" s="42" t="s">
        <v>328</v>
      </c>
      <c r="B655" s="43">
        <v>45772</v>
      </c>
      <c r="C655" s="42" t="s">
        <v>44</v>
      </c>
      <c r="D655" s="42" t="s">
        <v>45</v>
      </c>
      <c r="E655" s="42" t="s">
        <v>16</v>
      </c>
      <c r="F655" s="42">
        <v>49</v>
      </c>
      <c r="G655" s="44">
        <v>250000</v>
      </c>
      <c r="H655" s="44">
        <v>12250000</v>
      </c>
      <c r="I655" s="42" t="s">
        <v>2670</v>
      </c>
      <c r="J655" s="42" t="s">
        <v>127</v>
      </c>
    </row>
    <row r="656" spans="1:10" x14ac:dyDescent="0.3">
      <c r="A656" s="42" t="s">
        <v>344</v>
      </c>
      <c r="B656" s="43">
        <v>45772</v>
      </c>
      <c r="C656" s="42" t="s">
        <v>10</v>
      </c>
      <c r="D656" s="42" t="s">
        <v>11</v>
      </c>
      <c r="E656" s="42" t="s">
        <v>12</v>
      </c>
      <c r="F656" s="42">
        <v>28</v>
      </c>
      <c r="G656" s="44">
        <v>120000</v>
      </c>
      <c r="H656" s="44">
        <v>3360000</v>
      </c>
      <c r="I656" s="42" t="s">
        <v>2806</v>
      </c>
      <c r="J656" s="42" t="s">
        <v>69</v>
      </c>
    </row>
    <row r="657" spans="1:10" x14ac:dyDescent="0.3">
      <c r="A657" s="42" t="s">
        <v>345</v>
      </c>
      <c r="B657" s="43">
        <v>45772</v>
      </c>
      <c r="C657" s="42" t="s">
        <v>22</v>
      </c>
      <c r="D657" s="42" t="s">
        <v>23</v>
      </c>
      <c r="E657" s="42" t="s">
        <v>12</v>
      </c>
      <c r="F657" s="42">
        <v>34</v>
      </c>
      <c r="G657" s="44">
        <v>25000</v>
      </c>
      <c r="H657" s="44">
        <v>850000</v>
      </c>
      <c r="I657" s="42" t="s">
        <v>2633</v>
      </c>
      <c r="J657" s="42" t="s">
        <v>60</v>
      </c>
    </row>
    <row r="658" spans="1:10" x14ac:dyDescent="0.3">
      <c r="A658" s="42" t="s">
        <v>364</v>
      </c>
      <c r="B658" s="43">
        <v>45772</v>
      </c>
      <c r="C658" s="42" t="s">
        <v>31</v>
      </c>
      <c r="D658" s="42" t="s">
        <v>32</v>
      </c>
      <c r="E658" s="42" t="s">
        <v>20</v>
      </c>
      <c r="F658" s="42">
        <v>31</v>
      </c>
      <c r="G658" s="44">
        <v>180000</v>
      </c>
      <c r="H658" s="44">
        <v>5580000</v>
      </c>
      <c r="I658" s="42" t="s">
        <v>2655</v>
      </c>
      <c r="J658" s="42" t="s">
        <v>8</v>
      </c>
    </row>
    <row r="659" spans="1:10" x14ac:dyDescent="0.3">
      <c r="A659" s="42" t="s">
        <v>365</v>
      </c>
      <c r="B659" s="43">
        <v>45772</v>
      </c>
      <c r="C659" s="42" t="s">
        <v>10</v>
      </c>
      <c r="D659" s="42" t="s">
        <v>11</v>
      </c>
      <c r="E659" s="42" t="s">
        <v>12</v>
      </c>
      <c r="F659" s="42">
        <v>40</v>
      </c>
      <c r="G659" s="44">
        <v>120000</v>
      </c>
      <c r="H659" s="44">
        <v>4800000</v>
      </c>
      <c r="I659" s="42" t="s">
        <v>2395</v>
      </c>
      <c r="J659" s="42" t="s">
        <v>8</v>
      </c>
    </row>
    <row r="660" spans="1:10" x14ac:dyDescent="0.3">
      <c r="A660" s="42" t="s">
        <v>366</v>
      </c>
      <c r="B660" s="43">
        <v>45772</v>
      </c>
      <c r="C660" s="42" t="s">
        <v>14</v>
      </c>
      <c r="D660" s="42" t="s">
        <v>15</v>
      </c>
      <c r="E660" s="42" t="s">
        <v>16</v>
      </c>
      <c r="F660" s="42">
        <v>15</v>
      </c>
      <c r="G660" s="44">
        <v>350000</v>
      </c>
      <c r="H660" s="44">
        <v>5250000</v>
      </c>
      <c r="I660" s="42" t="s">
        <v>2345</v>
      </c>
      <c r="J660" s="42" t="s">
        <v>8</v>
      </c>
    </row>
    <row r="661" spans="1:10" x14ac:dyDescent="0.3">
      <c r="A661" s="42" t="s">
        <v>387</v>
      </c>
      <c r="B661" s="43">
        <v>45772</v>
      </c>
      <c r="C661" s="42" t="s">
        <v>31</v>
      </c>
      <c r="D661" s="42" t="s">
        <v>32</v>
      </c>
      <c r="E661" s="42" t="s">
        <v>20</v>
      </c>
      <c r="F661" s="42">
        <v>45</v>
      </c>
      <c r="G661" s="44">
        <v>180000</v>
      </c>
      <c r="H661" s="44">
        <v>8100000</v>
      </c>
      <c r="I661" s="42" t="s">
        <v>2711</v>
      </c>
      <c r="J661" s="42" t="s">
        <v>127</v>
      </c>
    </row>
    <row r="662" spans="1:10" x14ac:dyDescent="0.3">
      <c r="A662" s="42" t="s">
        <v>388</v>
      </c>
      <c r="B662" s="43">
        <v>45772</v>
      </c>
      <c r="C662" s="42" t="s">
        <v>28</v>
      </c>
      <c r="D662" s="42" t="s">
        <v>29</v>
      </c>
      <c r="E662" s="42" t="s">
        <v>20</v>
      </c>
      <c r="F662" s="42">
        <v>27</v>
      </c>
      <c r="G662" s="44">
        <v>450000</v>
      </c>
      <c r="H662" s="44">
        <v>12150000</v>
      </c>
      <c r="I662" s="42" t="s">
        <v>2714</v>
      </c>
      <c r="J662" s="42" t="s">
        <v>8</v>
      </c>
    </row>
    <row r="663" spans="1:10" x14ac:dyDescent="0.3">
      <c r="A663" s="42" t="s">
        <v>405</v>
      </c>
      <c r="B663" s="43">
        <v>45775</v>
      </c>
      <c r="C663" s="42" t="s">
        <v>44</v>
      </c>
      <c r="D663" s="42" t="s">
        <v>45</v>
      </c>
      <c r="E663" s="42" t="s">
        <v>16</v>
      </c>
      <c r="F663" s="42">
        <v>12</v>
      </c>
      <c r="G663" s="44">
        <v>250000</v>
      </c>
      <c r="H663" s="44">
        <v>3000000</v>
      </c>
      <c r="I663" s="42" t="s">
        <v>2570</v>
      </c>
      <c r="J663" s="42" t="s">
        <v>8</v>
      </c>
    </row>
    <row r="664" spans="1:10" x14ac:dyDescent="0.3">
      <c r="A664" s="42" t="s">
        <v>423</v>
      </c>
      <c r="B664" s="43">
        <v>45775</v>
      </c>
      <c r="C664" s="42" t="s">
        <v>22</v>
      </c>
      <c r="D664" s="42" t="s">
        <v>23</v>
      </c>
      <c r="E664" s="42" t="s">
        <v>12</v>
      </c>
      <c r="F664" s="42">
        <v>23</v>
      </c>
      <c r="G664" s="44">
        <v>25000</v>
      </c>
      <c r="H664" s="44">
        <v>575000</v>
      </c>
      <c r="I664" s="42" t="s">
        <v>2404</v>
      </c>
      <c r="J664" s="42" t="s">
        <v>60</v>
      </c>
    </row>
    <row r="665" spans="1:10" x14ac:dyDescent="0.3">
      <c r="A665" s="42" t="s">
        <v>424</v>
      </c>
      <c r="B665" s="43">
        <v>45775</v>
      </c>
      <c r="C665" s="42" t="s">
        <v>22</v>
      </c>
      <c r="D665" s="42" t="s">
        <v>23</v>
      </c>
      <c r="E665" s="42" t="s">
        <v>12</v>
      </c>
      <c r="F665" s="42">
        <v>23</v>
      </c>
      <c r="G665" s="44">
        <v>25000</v>
      </c>
      <c r="H665" s="44">
        <v>575000</v>
      </c>
      <c r="I665" s="42" t="s">
        <v>2657</v>
      </c>
      <c r="J665" s="42" t="s">
        <v>47</v>
      </c>
    </row>
    <row r="666" spans="1:10" x14ac:dyDescent="0.3">
      <c r="A666" s="42" t="s">
        <v>425</v>
      </c>
      <c r="B666" s="43">
        <v>45775</v>
      </c>
      <c r="C666" s="42" t="s">
        <v>18</v>
      </c>
      <c r="D666" s="42" t="s">
        <v>19</v>
      </c>
      <c r="E666" s="42" t="s">
        <v>20</v>
      </c>
      <c r="F666" s="42">
        <v>6</v>
      </c>
      <c r="G666" s="44">
        <v>500000</v>
      </c>
      <c r="H666" s="44">
        <v>3000000</v>
      </c>
      <c r="I666" s="42" t="s">
        <v>2694</v>
      </c>
      <c r="J666" s="42" t="s">
        <v>127</v>
      </c>
    </row>
    <row r="667" spans="1:10" x14ac:dyDescent="0.3">
      <c r="A667" s="42" t="s">
        <v>426</v>
      </c>
      <c r="B667" s="43">
        <v>45775</v>
      </c>
      <c r="C667" s="42" t="s">
        <v>42</v>
      </c>
      <c r="D667" s="42" t="s">
        <v>43</v>
      </c>
      <c r="E667" s="42" t="s">
        <v>16</v>
      </c>
      <c r="F667" s="42">
        <v>22</v>
      </c>
      <c r="G667" s="44">
        <v>1200000</v>
      </c>
      <c r="H667" s="44">
        <v>26400000</v>
      </c>
      <c r="I667" s="42" t="s">
        <v>2216</v>
      </c>
      <c r="J667" s="42" t="s">
        <v>60</v>
      </c>
    </row>
    <row r="668" spans="1:10" x14ac:dyDescent="0.3">
      <c r="A668" s="42" t="s">
        <v>436</v>
      </c>
      <c r="B668" s="43">
        <v>45775</v>
      </c>
      <c r="C668" s="42" t="s">
        <v>31</v>
      </c>
      <c r="D668" s="42" t="s">
        <v>32</v>
      </c>
      <c r="E668" s="42" t="s">
        <v>20</v>
      </c>
      <c r="F668" s="42">
        <v>47</v>
      </c>
      <c r="G668" s="44">
        <v>180000</v>
      </c>
      <c r="H668" s="44">
        <v>8460000</v>
      </c>
      <c r="I668" s="42" t="s">
        <v>2257</v>
      </c>
      <c r="J668" s="42" t="s">
        <v>127</v>
      </c>
    </row>
    <row r="669" spans="1:10" x14ac:dyDescent="0.3">
      <c r="A669" s="42" t="s">
        <v>447</v>
      </c>
      <c r="B669" s="43">
        <v>45775</v>
      </c>
      <c r="C669" s="42" t="s">
        <v>38</v>
      </c>
      <c r="D669" s="42" t="s">
        <v>39</v>
      </c>
      <c r="E669" s="42" t="s">
        <v>16</v>
      </c>
      <c r="F669" s="42">
        <v>13</v>
      </c>
      <c r="G669" s="44">
        <v>200000</v>
      </c>
      <c r="H669" s="44">
        <v>2600000</v>
      </c>
      <c r="I669" s="42" t="s">
        <v>2413</v>
      </c>
      <c r="J669" s="42" t="s">
        <v>8</v>
      </c>
    </row>
    <row r="670" spans="1:10" x14ac:dyDescent="0.3">
      <c r="A670" s="42" t="s">
        <v>448</v>
      </c>
      <c r="B670" s="43">
        <v>45775</v>
      </c>
      <c r="C670" s="42" t="s">
        <v>38</v>
      </c>
      <c r="D670" s="42" t="s">
        <v>39</v>
      </c>
      <c r="E670" s="42" t="s">
        <v>16</v>
      </c>
      <c r="F670" s="42">
        <v>10</v>
      </c>
      <c r="G670" s="44">
        <v>200000</v>
      </c>
      <c r="H670" s="44">
        <v>2000000</v>
      </c>
      <c r="I670" s="42" t="s">
        <v>2351</v>
      </c>
      <c r="J670" s="42" t="s">
        <v>47</v>
      </c>
    </row>
    <row r="671" spans="1:10" x14ac:dyDescent="0.3">
      <c r="A671" s="42" t="s">
        <v>449</v>
      </c>
      <c r="B671" s="43">
        <v>45775</v>
      </c>
      <c r="C671" s="42" t="s">
        <v>44</v>
      </c>
      <c r="D671" s="42" t="s">
        <v>45</v>
      </c>
      <c r="E671" s="42" t="s">
        <v>16</v>
      </c>
      <c r="F671" s="42">
        <v>22</v>
      </c>
      <c r="G671" s="44">
        <v>250000</v>
      </c>
      <c r="H671" s="44">
        <v>5500000</v>
      </c>
      <c r="I671" s="42" t="s">
        <v>2589</v>
      </c>
      <c r="J671" s="42" t="s">
        <v>127</v>
      </c>
    </row>
    <row r="672" spans="1:10" x14ac:dyDescent="0.3">
      <c r="A672" s="42" t="s">
        <v>469</v>
      </c>
      <c r="B672" s="43">
        <v>45775</v>
      </c>
      <c r="C672" s="42" t="s">
        <v>40</v>
      </c>
      <c r="D672" s="42" t="s">
        <v>41</v>
      </c>
      <c r="E672" s="42" t="s">
        <v>16</v>
      </c>
      <c r="F672" s="42">
        <v>14</v>
      </c>
      <c r="G672" s="44">
        <v>950000</v>
      </c>
      <c r="H672" s="44">
        <v>13300000</v>
      </c>
      <c r="I672" s="42" t="s">
        <v>2309</v>
      </c>
      <c r="J672" s="42" t="s">
        <v>8</v>
      </c>
    </row>
    <row r="673" spans="1:10" x14ac:dyDescent="0.3">
      <c r="A673" s="42" t="s">
        <v>470</v>
      </c>
      <c r="B673" s="43">
        <v>45777</v>
      </c>
      <c r="C673" s="42" t="s">
        <v>14</v>
      </c>
      <c r="D673" s="42" t="s">
        <v>15</v>
      </c>
      <c r="E673" s="42" t="s">
        <v>16</v>
      </c>
      <c r="F673" s="42">
        <v>33</v>
      </c>
      <c r="G673" s="44">
        <v>350000</v>
      </c>
      <c r="H673" s="44">
        <v>11550000</v>
      </c>
      <c r="I673" s="42" t="s">
        <v>2789</v>
      </c>
      <c r="J673" s="42" t="s">
        <v>127</v>
      </c>
    </row>
    <row r="674" spans="1:10" x14ac:dyDescent="0.3">
      <c r="A674" s="42" t="s">
        <v>471</v>
      </c>
      <c r="B674" s="43">
        <v>45777</v>
      </c>
      <c r="C674" s="42" t="s">
        <v>40</v>
      </c>
      <c r="D674" s="42" t="s">
        <v>41</v>
      </c>
      <c r="E674" s="42" t="s">
        <v>16</v>
      </c>
      <c r="F674" s="42">
        <v>29</v>
      </c>
      <c r="G674" s="44">
        <v>950000</v>
      </c>
      <c r="H674" s="44">
        <v>27550000</v>
      </c>
      <c r="I674" s="42" t="s">
        <v>2514</v>
      </c>
      <c r="J674" s="42" t="s">
        <v>127</v>
      </c>
    </row>
    <row r="675" spans="1:10" x14ac:dyDescent="0.3">
      <c r="A675" s="42" t="s">
        <v>490</v>
      </c>
      <c r="B675" s="43">
        <v>45777</v>
      </c>
      <c r="C675" s="42" t="s">
        <v>18</v>
      </c>
      <c r="D675" s="42" t="s">
        <v>19</v>
      </c>
      <c r="E675" s="42" t="s">
        <v>20</v>
      </c>
      <c r="F675" s="42">
        <v>16</v>
      </c>
      <c r="G675" s="44">
        <v>500000</v>
      </c>
      <c r="H675" s="44">
        <v>8000000</v>
      </c>
      <c r="I675" s="42" t="s">
        <v>2140</v>
      </c>
      <c r="J675" s="42" t="s">
        <v>127</v>
      </c>
    </row>
    <row r="676" spans="1:10" x14ac:dyDescent="0.3">
      <c r="A676" s="42" t="s">
        <v>491</v>
      </c>
      <c r="B676" s="43">
        <v>45777</v>
      </c>
      <c r="C676" s="42" t="s">
        <v>31</v>
      </c>
      <c r="D676" s="42" t="s">
        <v>32</v>
      </c>
      <c r="E676" s="42" t="s">
        <v>20</v>
      </c>
      <c r="F676" s="42">
        <v>12</v>
      </c>
      <c r="G676" s="44">
        <v>180000</v>
      </c>
      <c r="H676" s="44">
        <v>2160000</v>
      </c>
      <c r="I676" s="42" t="s">
        <v>2760</v>
      </c>
      <c r="J676" s="42" t="s">
        <v>60</v>
      </c>
    </row>
    <row r="677" spans="1:10" x14ac:dyDescent="0.3">
      <c r="A677" s="42" t="s">
        <v>492</v>
      </c>
      <c r="B677" s="43">
        <v>45777</v>
      </c>
      <c r="C677" s="42" t="s">
        <v>18</v>
      </c>
      <c r="D677" s="42" t="s">
        <v>19</v>
      </c>
      <c r="E677" s="42" t="s">
        <v>20</v>
      </c>
      <c r="F677" s="42">
        <v>40</v>
      </c>
      <c r="G677" s="44">
        <v>500000</v>
      </c>
      <c r="H677" s="44">
        <v>20000000</v>
      </c>
      <c r="I677" s="42" t="s">
        <v>2465</v>
      </c>
      <c r="J677" s="42" t="s">
        <v>127</v>
      </c>
    </row>
    <row r="678" spans="1:10" x14ac:dyDescent="0.3">
      <c r="A678" s="42" t="s">
        <v>493</v>
      </c>
      <c r="B678" s="43">
        <v>45777</v>
      </c>
      <c r="C678" s="42" t="s">
        <v>42</v>
      </c>
      <c r="D678" s="42" t="s">
        <v>43</v>
      </c>
      <c r="E678" s="42" t="s">
        <v>16</v>
      </c>
      <c r="F678" s="42">
        <v>45</v>
      </c>
      <c r="G678" s="44">
        <v>1200000</v>
      </c>
      <c r="H678" s="44">
        <v>54000000</v>
      </c>
      <c r="I678" s="42" t="s">
        <v>2223</v>
      </c>
      <c r="J678" s="42" t="s">
        <v>8</v>
      </c>
    </row>
    <row r="679" spans="1:10" x14ac:dyDescent="0.3">
      <c r="A679" s="42" t="s">
        <v>494</v>
      </c>
      <c r="B679" s="43">
        <v>45777</v>
      </c>
      <c r="C679" s="42" t="s">
        <v>14</v>
      </c>
      <c r="D679" s="42" t="s">
        <v>15</v>
      </c>
      <c r="E679" s="42" t="s">
        <v>16</v>
      </c>
      <c r="F679" s="42">
        <v>35</v>
      </c>
      <c r="G679" s="44">
        <v>350000</v>
      </c>
      <c r="H679" s="44">
        <v>12250000</v>
      </c>
      <c r="I679" s="42" t="s">
        <v>2537</v>
      </c>
      <c r="J679" s="42" t="s">
        <v>127</v>
      </c>
    </row>
    <row r="680" spans="1:10" x14ac:dyDescent="0.3">
      <c r="A680" s="42" t="s">
        <v>515</v>
      </c>
      <c r="B680" s="43">
        <v>45777</v>
      </c>
      <c r="C680" s="42" t="s">
        <v>38</v>
      </c>
      <c r="D680" s="42" t="s">
        <v>39</v>
      </c>
      <c r="E680" s="42" t="s">
        <v>16</v>
      </c>
      <c r="F680" s="42">
        <v>48</v>
      </c>
      <c r="G680" s="44">
        <v>200000</v>
      </c>
      <c r="H680" s="44">
        <v>9600000</v>
      </c>
      <c r="I680" s="42" t="s">
        <v>2395</v>
      </c>
      <c r="J680" s="42" t="s">
        <v>8</v>
      </c>
    </row>
    <row r="681" spans="1:10" x14ac:dyDescent="0.3">
      <c r="A681" s="42" t="s">
        <v>541</v>
      </c>
      <c r="B681" s="43">
        <v>45777</v>
      </c>
      <c r="C681" s="42" t="s">
        <v>31</v>
      </c>
      <c r="D681" s="42" t="s">
        <v>32</v>
      </c>
      <c r="E681" s="42" t="s">
        <v>20</v>
      </c>
      <c r="F681" s="42">
        <v>10</v>
      </c>
      <c r="G681" s="44">
        <v>180000</v>
      </c>
      <c r="H681" s="44">
        <v>1800000</v>
      </c>
      <c r="I681" s="42" t="s">
        <v>2715</v>
      </c>
      <c r="J681" s="42" t="s">
        <v>60</v>
      </c>
    </row>
    <row r="682" spans="1:10" x14ac:dyDescent="0.3">
      <c r="A682" s="42" t="s">
        <v>542</v>
      </c>
      <c r="B682" s="43">
        <v>45777</v>
      </c>
      <c r="C682" s="42" t="s">
        <v>22</v>
      </c>
      <c r="D682" s="42" t="s">
        <v>23</v>
      </c>
      <c r="E682" s="42" t="s">
        <v>12</v>
      </c>
      <c r="F682" s="42">
        <v>38</v>
      </c>
      <c r="G682" s="44">
        <v>25000</v>
      </c>
      <c r="H682" s="44">
        <v>950000</v>
      </c>
      <c r="I682" s="42" t="s">
        <v>2434</v>
      </c>
      <c r="J682" s="42" t="s">
        <v>47</v>
      </c>
    </row>
    <row r="683" spans="1:10" x14ac:dyDescent="0.3">
      <c r="A683" s="42" t="s">
        <v>543</v>
      </c>
      <c r="B683" s="43">
        <v>45778</v>
      </c>
      <c r="C683" s="42" t="s">
        <v>18</v>
      </c>
      <c r="D683" s="42" t="s">
        <v>19</v>
      </c>
      <c r="E683" s="42" t="s">
        <v>20</v>
      </c>
      <c r="F683" s="42">
        <v>16</v>
      </c>
      <c r="G683" s="44">
        <v>500000</v>
      </c>
      <c r="H683" s="44">
        <v>8000000</v>
      </c>
      <c r="I683" s="42" t="s">
        <v>2260</v>
      </c>
      <c r="J683" s="42" t="s">
        <v>127</v>
      </c>
    </row>
    <row r="684" spans="1:10" x14ac:dyDescent="0.3">
      <c r="A684" s="42" t="s">
        <v>563</v>
      </c>
      <c r="B684" s="43">
        <v>45778</v>
      </c>
      <c r="C684" s="42" t="s">
        <v>18</v>
      </c>
      <c r="D684" s="42" t="s">
        <v>19</v>
      </c>
      <c r="E684" s="42" t="s">
        <v>20</v>
      </c>
      <c r="F684" s="42">
        <v>15</v>
      </c>
      <c r="G684" s="44">
        <v>500000</v>
      </c>
      <c r="H684" s="44">
        <v>7500000</v>
      </c>
      <c r="I684" s="42" t="s">
        <v>461</v>
      </c>
      <c r="J684" s="42" t="s">
        <v>127</v>
      </c>
    </row>
    <row r="685" spans="1:10" x14ac:dyDescent="0.3">
      <c r="A685" s="42" t="s">
        <v>564</v>
      </c>
      <c r="B685" s="43">
        <v>45778</v>
      </c>
      <c r="C685" s="42" t="s">
        <v>31</v>
      </c>
      <c r="D685" s="42" t="s">
        <v>32</v>
      </c>
      <c r="E685" s="42" t="s">
        <v>20</v>
      </c>
      <c r="F685" s="42">
        <v>14</v>
      </c>
      <c r="G685" s="44">
        <v>180000</v>
      </c>
      <c r="H685" s="44">
        <v>2520000</v>
      </c>
      <c r="I685" s="42" t="s">
        <v>2385</v>
      </c>
      <c r="J685" s="42" t="s">
        <v>47</v>
      </c>
    </row>
    <row r="686" spans="1:10" x14ac:dyDescent="0.3">
      <c r="A686" s="42" t="s">
        <v>565</v>
      </c>
      <c r="B686" s="43">
        <v>45778</v>
      </c>
      <c r="C686" s="42" t="s">
        <v>44</v>
      </c>
      <c r="D686" s="42" t="s">
        <v>45</v>
      </c>
      <c r="E686" s="42" t="s">
        <v>16</v>
      </c>
      <c r="F686" s="42">
        <v>21</v>
      </c>
      <c r="G686" s="44">
        <v>250000</v>
      </c>
      <c r="H686" s="44">
        <v>5250000</v>
      </c>
      <c r="I686" s="42" t="s">
        <v>2301</v>
      </c>
      <c r="J686" s="42" t="s">
        <v>8</v>
      </c>
    </row>
    <row r="687" spans="1:10" x14ac:dyDescent="0.3">
      <c r="A687" s="42" t="s">
        <v>566</v>
      </c>
      <c r="B687" s="43">
        <v>45778</v>
      </c>
      <c r="C687" s="42" t="s">
        <v>42</v>
      </c>
      <c r="D687" s="42" t="s">
        <v>43</v>
      </c>
      <c r="E687" s="42" t="s">
        <v>16</v>
      </c>
      <c r="F687" s="42">
        <v>15</v>
      </c>
      <c r="G687" s="44">
        <v>1200000</v>
      </c>
      <c r="H687" s="44">
        <v>18000000</v>
      </c>
      <c r="I687" s="42" t="s">
        <v>2710</v>
      </c>
      <c r="J687" s="42" t="s">
        <v>47</v>
      </c>
    </row>
    <row r="688" spans="1:10" x14ac:dyDescent="0.3">
      <c r="A688" s="42" t="s">
        <v>580</v>
      </c>
      <c r="B688" s="43">
        <v>45778</v>
      </c>
      <c r="C688" s="42" t="s">
        <v>38</v>
      </c>
      <c r="D688" s="42" t="s">
        <v>39</v>
      </c>
      <c r="E688" s="42" t="s">
        <v>16</v>
      </c>
      <c r="F688" s="42">
        <v>38</v>
      </c>
      <c r="G688" s="44">
        <v>200000</v>
      </c>
      <c r="H688" s="44">
        <v>7600000</v>
      </c>
      <c r="I688" s="42" t="s">
        <v>2335</v>
      </c>
      <c r="J688" s="42" t="s">
        <v>47</v>
      </c>
    </row>
    <row r="689" spans="1:10" x14ac:dyDescent="0.3">
      <c r="A689" s="42" t="s">
        <v>581</v>
      </c>
      <c r="B689" s="43">
        <v>45778</v>
      </c>
      <c r="C689" s="42" t="s">
        <v>18</v>
      </c>
      <c r="D689" s="42" t="s">
        <v>19</v>
      </c>
      <c r="E689" s="42" t="s">
        <v>20</v>
      </c>
      <c r="F689" s="42">
        <v>38</v>
      </c>
      <c r="G689" s="44">
        <v>500000</v>
      </c>
      <c r="H689" s="44">
        <v>19000000</v>
      </c>
      <c r="I689" s="42" t="s">
        <v>2653</v>
      </c>
      <c r="J689" s="42" t="s">
        <v>60</v>
      </c>
    </row>
    <row r="690" spans="1:10" x14ac:dyDescent="0.3">
      <c r="A690" s="42" t="s">
        <v>600</v>
      </c>
      <c r="B690" s="43">
        <v>45778</v>
      </c>
      <c r="C690" s="42" t="s">
        <v>18</v>
      </c>
      <c r="D690" s="42" t="s">
        <v>19</v>
      </c>
      <c r="E690" s="42" t="s">
        <v>20</v>
      </c>
      <c r="F690" s="42">
        <v>10</v>
      </c>
      <c r="G690" s="44">
        <v>500000</v>
      </c>
      <c r="H690" s="44">
        <v>5000000</v>
      </c>
      <c r="I690" s="42" t="s">
        <v>2356</v>
      </c>
      <c r="J690" s="42" t="s">
        <v>8</v>
      </c>
    </row>
    <row r="691" spans="1:10" x14ac:dyDescent="0.3">
      <c r="A691" s="42" t="s">
        <v>601</v>
      </c>
      <c r="B691" s="43">
        <v>45778</v>
      </c>
      <c r="C691" s="42" t="s">
        <v>22</v>
      </c>
      <c r="D691" s="42" t="s">
        <v>23</v>
      </c>
      <c r="E691" s="42" t="s">
        <v>12</v>
      </c>
      <c r="F691" s="42">
        <v>41</v>
      </c>
      <c r="G691" s="44">
        <v>25000</v>
      </c>
      <c r="H691" s="44">
        <v>1025000</v>
      </c>
      <c r="I691" s="42" t="s">
        <v>2789</v>
      </c>
      <c r="J691" s="42" t="s">
        <v>127</v>
      </c>
    </row>
    <row r="692" spans="1:10" x14ac:dyDescent="0.3">
      <c r="A692" s="42" t="s">
        <v>623</v>
      </c>
      <c r="B692" s="43">
        <v>45778</v>
      </c>
      <c r="C692" s="42" t="s">
        <v>14</v>
      </c>
      <c r="D692" s="42" t="s">
        <v>15</v>
      </c>
      <c r="E692" s="42" t="s">
        <v>16</v>
      </c>
      <c r="F692" s="42">
        <v>24</v>
      </c>
      <c r="G692" s="44">
        <v>350000</v>
      </c>
      <c r="H692" s="44">
        <v>8400000</v>
      </c>
      <c r="I692" s="42" t="s">
        <v>2586</v>
      </c>
      <c r="J692" s="42" t="s">
        <v>8</v>
      </c>
    </row>
    <row r="693" spans="1:10" x14ac:dyDescent="0.3">
      <c r="A693" s="42" t="s">
        <v>624</v>
      </c>
      <c r="B693" s="43">
        <v>45778</v>
      </c>
      <c r="C693" s="42" t="s">
        <v>22</v>
      </c>
      <c r="D693" s="42" t="s">
        <v>23</v>
      </c>
      <c r="E693" s="42" t="s">
        <v>12</v>
      </c>
      <c r="F693" s="42">
        <v>17</v>
      </c>
      <c r="G693" s="44">
        <v>25000</v>
      </c>
      <c r="H693" s="44">
        <v>425000</v>
      </c>
      <c r="I693" s="42" t="s">
        <v>2253</v>
      </c>
      <c r="J693" s="42" t="s">
        <v>8</v>
      </c>
    </row>
    <row r="694" spans="1:10" x14ac:dyDescent="0.3">
      <c r="A694" s="42" t="s">
        <v>625</v>
      </c>
      <c r="B694" s="43">
        <v>45778</v>
      </c>
      <c r="C694" s="42" t="s">
        <v>40</v>
      </c>
      <c r="D694" s="42" t="s">
        <v>41</v>
      </c>
      <c r="E694" s="42" t="s">
        <v>16</v>
      </c>
      <c r="F694" s="42">
        <v>42</v>
      </c>
      <c r="G694" s="44">
        <v>950000</v>
      </c>
      <c r="H694" s="44">
        <v>39900000</v>
      </c>
      <c r="I694" s="42" t="s">
        <v>533</v>
      </c>
      <c r="J694" s="42" t="s">
        <v>47</v>
      </c>
    </row>
    <row r="695" spans="1:10" x14ac:dyDescent="0.3">
      <c r="A695" s="42" t="s">
        <v>626</v>
      </c>
      <c r="B695" s="43">
        <v>45779</v>
      </c>
      <c r="C695" s="42" t="s">
        <v>18</v>
      </c>
      <c r="D695" s="42" t="s">
        <v>19</v>
      </c>
      <c r="E695" s="42" t="s">
        <v>20</v>
      </c>
      <c r="F695" s="42">
        <v>210</v>
      </c>
      <c r="G695" s="44">
        <v>500000</v>
      </c>
      <c r="H695" s="44">
        <v>105000000</v>
      </c>
      <c r="I695" s="42" t="s">
        <v>2432</v>
      </c>
      <c r="J695" s="42" t="s">
        <v>8</v>
      </c>
    </row>
    <row r="696" spans="1:10" x14ac:dyDescent="0.3">
      <c r="A696" s="42" t="s">
        <v>627</v>
      </c>
      <c r="B696" s="43">
        <v>45779</v>
      </c>
      <c r="C696" s="42" t="s">
        <v>42</v>
      </c>
      <c r="D696" s="42" t="s">
        <v>43</v>
      </c>
      <c r="E696" s="42" t="s">
        <v>16</v>
      </c>
      <c r="F696" s="42">
        <v>17</v>
      </c>
      <c r="G696" s="44">
        <v>1200000</v>
      </c>
      <c r="H696" s="44">
        <v>20400000</v>
      </c>
      <c r="I696" s="42" t="s">
        <v>2341</v>
      </c>
      <c r="J696" s="42" t="s">
        <v>47</v>
      </c>
    </row>
    <row r="697" spans="1:10" x14ac:dyDescent="0.3">
      <c r="A697" s="42" t="s">
        <v>651</v>
      </c>
      <c r="B697" s="43">
        <v>45779</v>
      </c>
      <c r="C697" s="42" t="s">
        <v>38</v>
      </c>
      <c r="D697" s="42" t="s">
        <v>39</v>
      </c>
      <c r="E697" s="42" t="s">
        <v>16</v>
      </c>
      <c r="F697" s="42">
        <v>24</v>
      </c>
      <c r="G697" s="44">
        <v>200000</v>
      </c>
      <c r="H697" s="44">
        <v>4800000</v>
      </c>
      <c r="I697" s="42" t="s">
        <v>2609</v>
      </c>
      <c r="J697" s="42" t="s">
        <v>60</v>
      </c>
    </row>
    <row r="698" spans="1:10" x14ac:dyDescent="0.3">
      <c r="A698" s="42" t="s">
        <v>652</v>
      </c>
      <c r="B698" s="43">
        <v>45779</v>
      </c>
      <c r="C698" s="42" t="s">
        <v>10</v>
      </c>
      <c r="D698" s="42" t="s">
        <v>11</v>
      </c>
      <c r="E698" s="42" t="s">
        <v>12</v>
      </c>
      <c r="F698" s="42">
        <v>7</v>
      </c>
      <c r="G698" s="44">
        <v>120000</v>
      </c>
      <c r="H698" s="44">
        <v>840000</v>
      </c>
      <c r="I698" s="42" t="s">
        <v>2334</v>
      </c>
      <c r="J698" s="42" t="s">
        <v>127</v>
      </c>
    </row>
    <row r="699" spans="1:10" x14ac:dyDescent="0.3">
      <c r="A699" s="42" t="s">
        <v>653</v>
      </c>
      <c r="B699" s="43">
        <v>45779</v>
      </c>
      <c r="C699" s="42" t="s">
        <v>38</v>
      </c>
      <c r="D699" s="42" t="s">
        <v>39</v>
      </c>
      <c r="E699" s="42" t="s">
        <v>16</v>
      </c>
      <c r="F699" s="42">
        <v>19</v>
      </c>
      <c r="G699" s="44">
        <v>200000</v>
      </c>
      <c r="H699" s="44">
        <v>3800000</v>
      </c>
      <c r="I699" s="42" t="s">
        <v>1716</v>
      </c>
      <c r="J699" s="42" t="s">
        <v>127</v>
      </c>
    </row>
    <row r="700" spans="1:10" x14ac:dyDescent="0.3">
      <c r="A700" s="42" t="s">
        <v>681</v>
      </c>
      <c r="B700" s="43">
        <v>45779</v>
      </c>
      <c r="C700" s="42" t="s">
        <v>40</v>
      </c>
      <c r="D700" s="42" t="s">
        <v>41</v>
      </c>
      <c r="E700" s="42" t="s">
        <v>16</v>
      </c>
      <c r="F700" s="42">
        <v>10</v>
      </c>
      <c r="G700" s="44">
        <v>950000</v>
      </c>
      <c r="H700" s="44">
        <v>9500000</v>
      </c>
      <c r="I700" s="42" t="s">
        <v>2403</v>
      </c>
      <c r="J700" s="42" t="s">
        <v>8</v>
      </c>
    </row>
    <row r="701" spans="1:10" x14ac:dyDescent="0.3">
      <c r="A701" s="42" t="s">
        <v>697</v>
      </c>
      <c r="B701" s="43">
        <v>45782</v>
      </c>
      <c r="C701" s="42" t="s">
        <v>18</v>
      </c>
      <c r="D701" s="42" t="s">
        <v>19</v>
      </c>
      <c r="E701" s="42" t="s">
        <v>20</v>
      </c>
      <c r="F701" s="42">
        <v>6</v>
      </c>
      <c r="G701" s="44">
        <v>500000</v>
      </c>
      <c r="H701" s="44">
        <v>3000000</v>
      </c>
      <c r="I701" s="42" t="s">
        <v>2588</v>
      </c>
      <c r="J701" s="42" t="s">
        <v>47</v>
      </c>
    </row>
    <row r="702" spans="1:10" x14ac:dyDescent="0.3">
      <c r="A702" s="42" t="s">
        <v>698</v>
      </c>
      <c r="B702" s="43">
        <v>45782</v>
      </c>
      <c r="C702" s="42" t="s">
        <v>42</v>
      </c>
      <c r="D702" s="42" t="s">
        <v>43</v>
      </c>
      <c r="E702" s="42" t="s">
        <v>16</v>
      </c>
      <c r="F702" s="42">
        <v>500</v>
      </c>
      <c r="G702" s="44">
        <v>1200000</v>
      </c>
      <c r="H702" s="44">
        <v>600000000</v>
      </c>
      <c r="I702" s="42" t="s">
        <v>2197</v>
      </c>
      <c r="J702" s="42" t="s">
        <v>8</v>
      </c>
    </row>
    <row r="703" spans="1:10" x14ac:dyDescent="0.3">
      <c r="A703" s="42" t="s">
        <v>699</v>
      </c>
      <c r="B703" s="43">
        <v>45782</v>
      </c>
      <c r="C703" s="42" t="s">
        <v>31</v>
      </c>
      <c r="D703" s="42" t="s">
        <v>32</v>
      </c>
      <c r="E703" s="42" t="s">
        <v>20</v>
      </c>
      <c r="F703" s="42">
        <v>14</v>
      </c>
      <c r="G703" s="44">
        <v>180000</v>
      </c>
      <c r="H703" s="44">
        <v>2520000</v>
      </c>
      <c r="I703" s="42" t="s">
        <v>2379</v>
      </c>
      <c r="J703" s="42" t="s">
        <v>127</v>
      </c>
    </row>
    <row r="704" spans="1:10" x14ac:dyDescent="0.3">
      <c r="A704" s="42" t="s">
        <v>700</v>
      </c>
      <c r="B704" s="43">
        <v>45782</v>
      </c>
      <c r="C704" s="42" t="s">
        <v>14</v>
      </c>
      <c r="D704" s="42" t="s">
        <v>15</v>
      </c>
      <c r="E704" s="42" t="s">
        <v>16</v>
      </c>
      <c r="F704" s="42">
        <v>34</v>
      </c>
      <c r="G704" s="44">
        <v>350000</v>
      </c>
      <c r="H704" s="44">
        <v>11900000</v>
      </c>
      <c r="I704" s="42" t="s">
        <v>2782</v>
      </c>
      <c r="J704" s="42" t="s">
        <v>69</v>
      </c>
    </row>
    <row r="705" spans="1:10" x14ac:dyDescent="0.3">
      <c r="A705" s="42" t="s">
        <v>701</v>
      </c>
      <c r="B705" s="43">
        <v>45782</v>
      </c>
      <c r="C705" s="42" t="s">
        <v>28</v>
      </c>
      <c r="D705" s="42" t="s">
        <v>29</v>
      </c>
      <c r="E705" s="42" t="s">
        <v>20</v>
      </c>
      <c r="F705" s="42">
        <v>15</v>
      </c>
      <c r="G705" s="44">
        <v>450000</v>
      </c>
      <c r="H705" s="44">
        <v>6750000</v>
      </c>
      <c r="I705" s="42" t="s">
        <v>2495</v>
      </c>
      <c r="J705" s="42" t="s">
        <v>60</v>
      </c>
    </row>
    <row r="706" spans="1:10" x14ac:dyDescent="0.3">
      <c r="A706" s="42" t="s">
        <v>702</v>
      </c>
      <c r="B706" s="43">
        <v>45782</v>
      </c>
      <c r="C706" s="42" t="s">
        <v>10</v>
      </c>
      <c r="D706" s="42" t="s">
        <v>11</v>
      </c>
      <c r="E706" s="42" t="s">
        <v>12</v>
      </c>
      <c r="F706" s="42">
        <v>48</v>
      </c>
      <c r="G706" s="44">
        <v>120000</v>
      </c>
      <c r="H706" s="44">
        <v>5760000</v>
      </c>
      <c r="I706" s="42" t="s">
        <v>2273</v>
      </c>
      <c r="J706" s="42" t="s">
        <v>60</v>
      </c>
    </row>
    <row r="707" spans="1:10" x14ac:dyDescent="0.3">
      <c r="A707" s="42" t="s">
        <v>703</v>
      </c>
      <c r="B707" s="43">
        <v>45782</v>
      </c>
      <c r="C707" s="42" t="s">
        <v>28</v>
      </c>
      <c r="D707" s="42" t="s">
        <v>29</v>
      </c>
      <c r="E707" s="42" t="s">
        <v>20</v>
      </c>
      <c r="F707" s="42">
        <v>40</v>
      </c>
      <c r="G707" s="44">
        <v>450000</v>
      </c>
      <c r="H707" s="44">
        <v>18000000</v>
      </c>
      <c r="I707" s="42" t="s">
        <v>1242</v>
      </c>
      <c r="J707" s="42" t="s">
        <v>60</v>
      </c>
    </row>
    <row r="708" spans="1:10" x14ac:dyDescent="0.3">
      <c r="A708" s="42" t="s">
        <v>717</v>
      </c>
      <c r="B708" s="43">
        <v>45782</v>
      </c>
      <c r="C708" s="42" t="s">
        <v>38</v>
      </c>
      <c r="D708" s="42" t="s">
        <v>39</v>
      </c>
      <c r="E708" s="42" t="s">
        <v>16</v>
      </c>
      <c r="F708" s="42">
        <v>24</v>
      </c>
      <c r="G708" s="44">
        <v>200000</v>
      </c>
      <c r="H708" s="44">
        <v>4800000</v>
      </c>
      <c r="I708" s="42" t="s">
        <v>2509</v>
      </c>
      <c r="J708" s="42" t="s">
        <v>8</v>
      </c>
    </row>
    <row r="709" spans="1:10" x14ac:dyDescent="0.3">
      <c r="A709" s="42" t="s">
        <v>718</v>
      </c>
      <c r="B709" s="43">
        <v>45782</v>
      </c>
      <c r="C709" s="42" t="s">
        <v>38</v>
      </c>
      <c r="D709" s="42" t="s">
        <v>39</v>
      </c>
      <c r="E709" s="42" t="s">
        <v>16</v>
      </c>
      <c r="F709" s="42">
        <v>27</v>
      </c>
      <c r="G709" s="44">
        <v>200000</v>
      </c>
      <c r="H709" s="44">
        <v>5400000</v>
      </c>
      <c r="I709" s="42" t="s">
        <v>2738</v>
      </c>
      <c r="J709" s="42" t="s">
        <v>8</v>
      </c>
    </row>
    <row r="710" spans="1:10" x14ac:dyDescent="0.3">
      <c r="A710" s="42" t="s">
        <v>719</v>
      </c>
      <c r="B710" s="43">
        <v>45782</v>
      </c>
      <c r="C710" s="42" t="s">
        <v>44</v>
      </c>
      <c r="D710" s="42" t="s">
        <v>45</v>
      </c>
      <c r="E710" s="42" t="s">
        <v>16</v>
      </c>
      <c r="F710" s="42">
        <v>21</v>
      </c>
      <c r="G710" s="44">
        <v>250000</v>
      </c>
      <c r="H710" s="44">
        <v>5250000</v>
      </c>
      <c r="I710" s="42" t="s">
        <v>2815</v>
      </c>
      <c r="J710" s="42" t="s">
        <v>127</v>
      </c>
    </row>
    <row r="711" spans="1:10" x14ac:dyDescent="0.3">
      <c r="A711" s="42" t="s">
        <v>720</v>
      </c>
      <c r="B711" s="43">
        <v>45782</v>
      </c>
      <c r="C711" s="42" t="s">
        <v>42</v>
      </c>
      <c r="D711" s="42" t="s">
        <v>43</v>
      </c>
      <c r="E711" s="42" t="s">
        <v>16</v>
      </c>
      <c r="F711" s="42">
        <v>8</v>
      </c>
      <c r="G711" s="44">
        <v>1200000</v>
      </c>
      <c r="H711" s="44">
        <v>9600000</v>
      </c>
      <c r="I711" s="42" t="s">
        <v>2619</v>
      </c>
      <c r="J711" s="42" t="s">
        <v>8</v>
      </c>
    </row>
    <row r="712" spans="1:10" x14ac:dyDescent="0.3">
      <c r="A712" s="42" t="s">
        <v>731</v>
      </c>
      <c r="B712" s="43">
        <v>45782</v>
      </c>
      <c r="C712" s="42" t="s">
        <v>42</v>
      </c>
      <c r="D712" s="42" t="s">
        <v>43</v>
      </c>
      <c r="E712" s="42" t="s">
        <v>16</v>
      </c>
      <c r="F712" s="42">
        <v>15</v>
      </c>
      <c r="G712" s="44">
        <v>1200000</v>
      </c>
      <c r="H712" s="44">
        <v>18000000</v>
      </c>
      <c r="I712" s="42" t="s">
        <v>2256</v>
      </c>
      <c r="J712" s="42" t="s">
        <v>60</v>
      </c>
    </row>
    <row r="713" spans="1:10" x14ac:dyDescent="0.3">
      <c r="A713" s="42" t="s">
        <v>732</v>
      </c>
      <c r="B713" s="43">
        <v>45782</v>
      </c>
      <c r="C713" s="42" t="s">
        <v>18</v>
      </c>
      <c r="D713" s="42" t="s">
        <v>19</v>
      </c>
      <c r="E713" s="42" t="s">
        <v>20</v>
      </c>
      <c r="F713" s="42">
        <v>30</v>
      </c>
      <c r="G713" s="44">
        <v>500000</v>
      </c>
      <c r="H713" s="44">
        <v>15000000</v>
      </c>
      <c r="I713" s="42" t="s">
        <v>68</v>
      </c>
      <c r="J713" s="42" t="s">
        <v>8</v>
      </c>
    </row>
    <row r="714" spans="1:10" x14ac:dyDescent="0.3">
      <c r="A714" s="42" t="s">
        <v>733</v>
      </c>
      <c r="B714" s="43">
        <v>45785</v>
      </c>
      <c r="C714" s="42" t="s">
        <v>22</v>
      </c>
      <c r="D714" s="42" t="s">
        <v>23</v>
      </c>
      <c r="E714" s="42" t="s">
        <v>12</v>
      </c>
      <c r="F714" s="42">
        <v>22</v>
      </c>
      <c r="G714" s="44">
        <v>25000</v>
      </c>
      <c r="H714" s="44">
        <v>550000</v>
      </c>
      <c r="I714" s="42" t="s">
        <v>2154</v>
      </c>
      <c r="J714" s="42" t="s">
        <v>127</v>
      </c>
    </row>
    <row r="715" spans="1:10" x14ac:dyDescent="0.3">
      <c r="A715" s="42" t="s">
        <v>734</v>
      </c>
      <c r="B715" s="43">
        <v>45785</v>
      </c>
      <c r="C715" s="42" t="s">
        <v>44</v>
      </c>
      <c r="D715" s="42" t="s">
        <v>45</v>
      </c>
      <c r="E715" s="42" t="s">
        <v>16</v>
      </c>
      <c r="F715" s="42">
        <v>370</v>
      </c>
      <c r="G715" s="44">
        <v>250000</v>
      </c>
      <c r="H715" s="44">
        <v>92500000</v>
      </c>
      <c r="I715" s="42" t="s">
        <v>2567</v>
      </c>
      <c r="J715" s="42" t="s">
        <v>8</v>
      </c>
    </row>
    <row r="716" spans="1:10" x14ac:dyDescent="0.3">
      <c r="A716" s="42" t="s">
        <v>753</v>
      </c>
      <c r="B716" s="43">
        <v>45785</v>
      </c>
      <c r="C716" s="42" t="s">
        <v>42</v>
      </c>
      <c r="D716" s="42" t="s">
        <v>43</v>
      </c>
      <c r="E716" s="42" t="s">
        <v>16</v>
      </c>
      <c r="F716" s="42">
        <v>23</v>
      </c>
      <c r="G716" s="44">
        <v>1200000</v>
      </c>
      <c r="H716" s="44">
        <v>27600000</v>
      </c>
      <c r="I716" s="42" t="s">
        <v>2421</v>
      </c>
      <c r="J716" s="42" t="s">
        <v>69</v>
      </c>
    </row>
    <row r="717" spans="1:10" x14ac:dyDescent="0.3">
      <c r="A717" s="42" t="s">
        <v>754</v>
      </c>
      <c r="B717" s="43">
        <v>45785</v>
      </c>
      <c r="C717" s="42" t="s">
        <v>44</v>
      </c>
      <c r="D717" s="42" t="s">
        <v>45</v>
      </c>
      <c r="E717" s="42" t="s">
        <v>16</v>
      </c>
      <c r="F717" s="42">
        <v>37</v>
      </c>
      <c r="G717" s="44">
        <v>250000</v>
      </c>
      <c r="H717" s="44">
        <v>9250000</v>
      </c>
      <c r="I717" s="42" t="s">
        <v>2260</v>
      </c>
      <c r="J717" s="42" t="s">
        <v>127</v>
      </c>
    </row>
    <row r="718" spans="1:10" x14ac:dyDescent="0.3">
      <c r="A718" s="42" t="s">
        <v>776</v>
      </c>
      <c r="B718" s="43">
        <v>45785</v>
      </c>
      <c r="C718" s="42" t="s">
        <v>28</v>
      </c>
      <c r="D718" s="42" t="s">
        <v>29</v>
      </c>
      <c r="E718" s="42" t="s">
        <v>20</v>
      </c>
      <c r="F718" s="42">
        <v>14</v>
      </c>
      <c r="G718" s="44">
        <v>450000</v>
      </c>
      <c r="H718" s="44">
        <v>6300000</v>
      </c>
      <c r="I718" s="42" t="s">
        <v>2546</v>
      </c>
      <c r="J718" s="42" t="s">
        <v>47</v>
      </c>
    </row>
    <row r="719" spans="1:10" x14ac:dyDescent="0.3">
      <c r="A719" s="42" t="s">
        <v>777</v>
      </c>
      <c r="B719" s="43">
        <v>45785</v>
      </c>
      <c r="C719" s="42" t="s">
        <v>28</v>
      </c>
      <c r="D719" s="42" t="s">
        <v>29</v>
      </c>
      <c r="E719" s="42" t="s">
        <v>20</v>
      </c>
      <c r="F719" s="42">
        <v>24</v>
      </c>
      <c r="G719" s="44">
        <v>450000</v>
      </c>
      <c r="H719" s="44">
        <v>10800000</v>
      </c>
      <c r="I719" s="42" t="s">
        <v>2601</v>
      </c>
      <c r="J719" s="42" t="s">
        <v>127</v>
      </c>
    </row>
    <row r="720" spans="1:10" x14ac:dyDescent="0.3">
      <c r="A720" s="42" t="s">
        <v>778</v>
      </c>
      <c r="B720" s="43">
        <v>45785</v>
      </c>
      <c r="C720" s="42" t="s">
        <v>10</v>
      </c>
      <c r="D720" s="42" t="s">
        <v>11</v>
      </c>
      <c r="E720" s="42" t="s">
        <v>12</v>
      </c>
      <c r="F720" s="42">
        <v>28</v>
      </c>
      <c r="G720" s="44">
        <v>120000</v>
      </c>
      <c r="H720" s="44">
        <v>3360000</v>
      </c>
      <c r="I720" s="42" t="s">
        <v>2319</v>
      </c>
      <c r="J720" s="42" t="s">
        <v>60</v>
      </c>
    </row>
    <row r="721" spans="1:10" x14ac:dyDescent="0.3">
      <c r="A721" s="42" t="s">
        <v>800</v>
      </c>
      <c r="B721" s="43">
        <v>45789</v>
      </c>
      <c r="C721" s="42" t="s">
        <v>44</v>
      </c>
      <c r="D721" s="42" t="s">
        <v>45</v>
      </c>
      <c r="E721" s="42" t="s">
        <v>16</v>
      </c>
      <c r="F721" s="42">
        <v>28</v>
      </c>
      <c r="G721" s="44">
        <v>250000</v>
      </c>
      <c r="H721" s="44">
        <v>7000000</v>
      </c>
      <c r="I721" s="42" t="s">
        <v>2447</v>
      </c>
      <c r="J721" s="42" t="s">
        <v>8</v>
      </c>
    </row>
    <row r="722" spans="1:10" x14ac:dyDescent="0.3">
      <c r="A722" s="42" t="s">
        <v>830</v>
      </c>
      <c r="B722" s="43">
        <v>45789</v>
      </c>
      <c r="C722" s="42" t="s">
        <v>18</v>
      </c>
      <c r="D722" s="42" t="s">
        <v>19</v>
      </c>
      <c r="E722" s="42" t="s">
        <v>20</v>
      </c>
      <c r="F722" s="42">
        <v>30</v>
      </c>
      <c r="G722" s="44">
        <v>500000</v>
      </c>
      <c r="H722" s="44">
        <v>15000000</v>
      </c>
      <c r="I722" s="42" t="s">
        <v>573</v>
      </c>
      <c r="J722" s="42" t="s">
        <v>47</v>
      </c>
    </row>
    <row r="723" spans="1:10" x14ac:dyDescent="0.3">
      <c r="A723" s="42" t="s">
        <v>831</v>
      </c>
      <c r="B723" s="43">
        <v>45789</v>
      </c>
      <c r="C723" s="42" t="s">
        <v>10</v>
      </c>
      <c r="D723" s="42" t="s">
        <v>11</v>
      </c>
      <c r="E723" s="42" t="s">
        <v>12</v>
      </c>
      <c r="F723" s="42">
        <v>7</v>
      </c>
      <c r="G723" s="44">
        <v>120000</v>
      </c>
      <c r="H723" s="44">
        <v>840000</v>
      </c>
      <c r="I723" s="42" t="s">
        <v>258</v>
      </c>
      <c r="J723" s="42" t="s">
        <v>47</v>
      </c>
    </row>
    <row r="724" spans="1:10" x14ac:dyDescent="0.3">
      <c r="A724" s="42" t="s">
        <v>842</v>
      </c>
      <c r="B724" s="43">
        <v>45789</v>
      </c>
      <c r="C724" s="42" t="s">
        <v>14</v>
      </c>
      <c r="D724" s="42" t="s">
        <v>15</v>
      </c>
      <c r="E724" s="42" t="s">
        <v>16</v>
      </c>
      <c r="F724" s="42">
        <v>500</v>
      </c>
      <c r="G724" s="44">
        <v>350000</v>
      </c>
      <c r="H724" s="44">
        <v>175000000</v>
      </c>
      <c r="I724" s="42" t="s">
        <v>2235</v>
      </c>
      <c r="J724" s="42" t="s">
        <v>127</v>
      </c>
    </row>
    <row r="725" spans="1:10" x14ac:dyDescent="0.3">
      <c r="A725" s="42" t="s">
        <v>868</v>
      </c>
      <c r="B725" s="43">
        <v>45789</v>
      </c>
      <c r="C725" s="42" t="s">
        <v>38</v>
      </c>
      <c r="D725" s="42" t="s">
        <v>39</v>
      </c>
      <c r="E725" s="42" t="s">
        <v>16</v>
      </c>
      <c r="F725" s="42">
        <v>27</v>
      </c>
      <c r="G725" s="44">
        <v>200000</v>
      </c>
      <c r="H725" s="44">
        <v>5400000</v>
      </c>
      <c r="I725" s="42" t="s">
        <v>2820</v>
      </c>
      <c r="J725" s="42" t="s">
        <v>127</v>
      </c>
    </row>
    <row r="726" spans="1:10" x14ac:dyDescent="0.3">
      <c r="A726" s="42" t="s">
        <v>869</v>
      </c>
      <c r="B726" s="43">
        <v>45789</v>
      </c>
      <c r="C726" s="42" t="s">
        <v>40</v>
      </c>
      <c r="D726" s="42" t="s">
        <v>41</v>
      </c>
      <c r="E726" s="42" t="s">
        <v>16</v>
      </c>
      <c r="F726" s="42">
        <v>31</v>
      </c>
      <c r="G726" s="44">
        <v>950000</v>
      </c>
      <c r="H726" s="44">
        <v>29450000</v>
      </c>
      <c r="I726" s="42" t="s">
        <v>2800</v>
      </c>
      <c r="J726" s="42" t="s">
        <v>69</v>
      </c>
    </row>
    <row r="727" spans="1:10" x14ac:dyDescent="0.3">
      <c r="A727" s="42" t="s">
        <v>870</v>
      </c>
      <c r="B727" s="43">
        <v>45789</v>
      </c>
      <c r="C727" s="42" t="s">
        <v>28</v>
      </c>
      <c r="D727" s="42" t="s">
        <v>29</v>
      </c>
      <c r="E727" s="42" t="s">
        <v>20</v>
      </c>
      <c r="F727" s="42">
        <v>43</v>
      </c>
      <c r="G727" s="44">
        <v>450000</v>
      </c>
      <c r="H727" s="44">
        <v>19350000</v>
      </c>
      <c r="I727" s="42" t="s">
        <v>2627</v>
      </c>
      <c r="J727" s="42" t="s">
        <v>8</v>
      </c>
    </row>
    <row r="728" spans="1:10" x14ac:dyDescent="0.3">
      <c r="A728" s="42" t="s">
        <v>886</v>
      </c>
      <c r="B728" s="43">
        <v>45789</v>
      </c>
      <c r="C728" s="42" t="s">
        <v>28</v>
      </c>
      <c r="D728" s="42" t="s">
        <v>29</v>
      </c>
      <c r="E728" s="42" t="s">
        <v>20</v>
      </c>
      <c r="F728" s="42">
        <v>30</v>
      </c>
      <c r="G728" s="44">
        <v>450000</v>
      </c>
      <c r="H728" s="44">
        <v>13500000</v>
      </c>
      <c r="I728" s="42" t="s">
        <v>2719</v>
      </c>
      <c r="J728" s="42" t="s">
        <v>69</v>
      </c>
    </row>
    <row r="729" spans="1:10" x14ac:dyDescent="0.3">
      <c r="A729" s="42" t="s">
        <v>887</v>
      </c>
      <c r="B729" s="43">
        <v>45789</v>
      </c>
      <c r="C729" s="42" t="s">
        <v>31</v>
      </c>
      <c r="D729" s="42" t="s">
        <v>32</v>
      </c>
      <c r="E729" s="42" t="s">
        <v>20</v>
      </c>
      <c r="F729" s="42">
        <v>490</v>
      </c>
      <c r="G729" s="44">
        <v>180000</v>
      </c>
      <c r="H729" s="44">
        <v>88200000</v>
      </c>
      <c r="I729" s="42" t="s">
        <v>2668</v>
      </c>
      <c r="J729" s="42" t="s">
        <v>127</v>
      </c>
    </row>
    <row r="730" spans="1:10" x14ac:dyDescent="0.3">
      <c r="A730" s="42" t="s">
        <v>905</v>
      </c>
      <c r="B730" s="43">
        <v>45789</v>
      </c>
      <c r="C730" s="42" t="s">
        <v>14</v>
      </c>
      <c r="D730" s="42" t="s">
        <v>15</v>
      </c>
      <c r="E730" s="42" t="s">
        <v>16</v>
      </c>
      <c r="F730" s="42">
        <v>460</v>
      </c>
      <c r="G730" s="44">
        <v>350000</v>
      </c>
      <c r="H730" s="44">
        <v>161000000</v>
      </c>
      <c r="I730" s="42" t="s">
        <v>2233</v>
      </c>
      <c r="J730" s="42" t="s">
        <v>8</v>
      </c>
    </row>
    <row r="731" spans="1:10" x14ac:dyDescent="0.3">
      <c r="A731" s="42" t="s">
        <v>936</v>
      </c>
      <c r="B731" s="43">
        <v>45789</v>
      </c>
      <c r="C731" s="42" t="s">
        <v>10</v>
      </c>
      <c r="D731" s="42" t="s">
        <v>11</v>
      </c>
      <c r="E731" s="42" t="s">
        <v>12</v>
      </c>
      <c r="F731" s="42">
        <v>39</v>
      </c>
      <c r="G731" s="44">
        <v>120000</v>
      </c>
      <c r="H731" s="44">
        <v>4680000</v>
      </c>
      <c r="I731" s="42" t="s">
        <v>2251</v>
      </c>
      <c r="J731" s="42" t="s">
        <v>127</v>
      </c>
    </row>
    <row r="732" spans="1:10" x14ac:dyDescent="0.3">
      <c r="A732" s="42" t="s">
        <v>937</v>
      </c>
      <c r="B732" s="43">
        <v>45789</v>
      </c>
      <c r="C732" s="42" t="s">
        <v>22</v>
      </c>
      <c r="D732" s="42" t="s">
        <v>23</v>
      </c>
      <c r="E732" s="42" t="s">
        <v>12</v>
      </c>
      <c r="F732" s="42">
        <v>37</v>
      </c>
      <c r="G732" s="44">
        <v>25000</v>
      </c>
      <c r="H732" s="44">
        <v>925000</v>
      </c>
      <c r="I732" s="42" t="s">
        <v>2537</v>
      </c>
      <c r="J732" s="42" t="s">
        <v>127</v>
      </c>
    </row>
    <row r="733" spans="1:10" x14ac:dyDescent="0.3">
      <c r="A733" s="42" t="s">
        <v>938</v>
      </c>
      <c r="B733" s="43">
        <v>45789</v>
      </c>
      <c r="C733" s="42" t="s">
        <v>42</v>
      </c>
      <c r="D733" s="42" t="s">
        <v>43</v>
      </c>
      <c r="E733" s="42" t="s">
        <v>16</v>
      </c>
      <c r="F733" s="42">
        <v>48</v>
      </c>
      <c r="G733" s="44">
        <v>1200000</v>
      </c>
      <c r="H733" s="44">
        <v>57600000</v>
      </c>
      <c r="I733" s="42" t="s">
        <v>2136</v>
      </c>
      <c r="J733" s="42" t="s">
        <v>69</v>
      </c>
    </row>
    <row r="734" spans="1:10" x14ac:dyDescent="0.3">
      <c r="A734" s="42" t="s">
        <v>939</v>
      </c>
      <c r="B734" s="43">
        <v>45789</v>
      </c>
      <c r="C734" s="42" t="s">
        <v>22</v>
      </c>
      <c r="D734" s="42" t="s">
        <v>23</v>
      </c>
      <c r="E734" s="42" t="s">
        <v>12</v>
      </c>
      <c r="F734" s="42">
        <v>42</v>
      </c>
      <c r="G734" s="44">
        <v>25000</v>
      </c>
      <c r="H734" s="44">
        <v>1050000</v>
      </c>
      <c r="I734" s="42" t="s">
        <v>2127</v>
      </c>
      <c r="J734" s="42" t="s">
        <v>127</v>
      </c>
    </row>
    <row r="735" spans="1:10" x14ac:dyDescent="0.3">
      <c r="A735" s="42" t="s">
        <v>940</v>
      </c>
      <c r="B735" s="43">
        <v>45789</v>
      </c>
      <c r="C735" s="42" t="s">
        <v>28</v>
      </c>
      <c r="D735" s="42" t="s">
        <v>29</v>
      </c>
      <c r="E735" s="42" t="s">
        <v>20</v>
      </c>
      <c r="F735" s="42">
        <v>9</v>
      </c>
      <c r="G735" s="44">
        <v>450000</v>
      </c>
      <c r="H735" s="44">
        <v>4050000</v>
      </c>
      <c r="I735" s="42" t="s">
        <v>2227</v>
      </c>
      <c r="J735" s="42" t="s">
        <v>60</v>
      </c>
    </row>
    <row r="736" spans="1:10" x14ac:dyDescent="0.3">
      <c r="A736" s="42" t="s">
        <v>941</v>
      </c>
      <c r="B736" s="43">
        <v>45789</v>
      </c>
      <c r="C736" s="42" t="s">
        <v>22</v>
      </c>
      <c r="D736" s="42" t="s">
        <v>23</v>
      </c>
      <c r="E736" s="42" t="s">
        <v>12</v>
      </c>
      <c r="F736" s="42">
        <v>11</v>
      </c>
      <c r="G736" s="44">
        <v>25000</v>
      </c>
      <c r="H736" s="44">
        <v>275000</v>
      </c>
      <c r="I736" s="42" t="s">
        <v>2768</v>
      </c>
      <c r="J736" s="42" t="s">
        <v>60</v>
      </c>
    </row>
    <row r="737" spans="1:10" x14ac:dyDescent="0.3">
      <c r="A737" s="42" t="s">
        <v>976</v>
      </c>
      <c r="B737" s="43">
        <v>45789</v>
      </c>
      <c r="C737" s="42" t="s">
        <v>14</v>
      </c>
      <c r="D737" s="42" t="s">
        <v>15</v>
      </c>
      <c r="E737" s="42" t="s">
        <v>16</v>
      </c>
      <c r="F737" s="42">
        <v>12</v>
      </c>
      <c r="G737" s="44">
        <v>350000</v>
      </c>
      <c r="H737" s="44">
        <v>4200000</v>
      </c>
      <c r="I737" s="42" t="s">
        <v>2385</v>
      </c>
      <c r="J737" s="42" t="s">
        <v>47</v>
      </c>
    </row>
    <row r="738" spans="1:10" x14ac:dyDescent="0.3">
      <c r="A738" s="42" t="s">
        <v>977</v>
      </c>
      <c r="B738" s="43">
        <v>45790</v>
      </c>
      <c r="C738" s="42" t="s">
        <v>42</v>
      </c>
      <c r="D738" s="42" t="s">
        <v>43</v>
      </c>
      <c r="E738" s="42" t="s">
        <v>16</v>
      </c>
      <c r="F738" s="42">
        <v>35</v>
      </c>
      <c r="G738" s="44">
        <v>1200000</v>
      </c>
      <c r="H738" s="44">
        <v>42000000</v>
      </c>
      <c r="I738" s="42" t="s">
        <v>2234</v>
      </c>
      <c r="J738" s="42" t="s">
        <v>60</v>
      </c>
    </row>
    <row r="739" spans="1:10" x14ac:dyDescent="0.3">
      <c r="A739" s="42" t="s">
        <v>978</v>
      </c>
      <c r="B739" s="43">
        <v>45790</v>
      </c>
      <c r="C739" s="42" t="s">
        <v>42</v>
      </c>
      <c r="D739" s="42" t="s">
        <v>43</v>
      </c>
      <c r="E739" s="42" t="s">
        <v>16</v>
      </c>
      <c r="F739" s="42">
        <v>260</v>
      </c>
      <c r="G739" s="44">
        <v>1200000</v>
      </c>
      <c r="H739" s="44">
        <v>312000000</v>
      </c>
      <c r="I739" s="42" t="s">
        <v>1789</v>
      </c>
      <c r="J739" s="42" t="s">
        <v>8</v>
      </c>
    </row>
    <row r="740" spans="1:10" x14ac:dyDescent="0.3">
      <c r="A740" s="42" t="s">
        <v>979</v>
      </c>
      <c r="B740" s="43">
        <v>45790</v>
      </c>
      <c r="C740" s="42" t="s">
        <v>18</v>
      </c>
      <c r="D740" s="42" t="s">
        <v>19</v>
      </c>
      <c r="E740" s="42" t="s">
        <v>20</v>
      </c>
      <c r="F740" s="42">
        <v>23</v>
      </c>
      <c r="G740" s="44">
        <v>500000</v>
      </c>
      <c r="H740" s="44">
        <v>11500000</v>
      </c>
      <c r="I740" s="42" t="s">
        <v>1280</v>
      </c>
      <c r="J740" s="42" t="s">
        <v>69</v>
      </c>
    </row>
    <row r="741" spans="1:10" x14ac:dyDescent="0.3">
      <c r="A741" s="42" t="s">
        <v>980</v>
      </c>
      <c r="B741" s="43">
        <v>45790</v>
      </c>
      <c r="C741" s="42" t="s">
        <v>18</v>
      </c>
      <c r="D741" s="42" t="s">
        <v>19</v>
      </c>
      <c r="E741" s="42" t="s">
        <v>20</v>
      </c>
      <c r="F741" s="42">
        <v>44</v>
      </c>
      <c r="G741" s="44">
        <v>500000</v>
      </c>
      <c r="H741" s="44">
        <v>22000000</v>
      </c>
      <c r="I741" s="42" t="s">
        <v>2603</v>
      </c>
      <c r="J741" s="42" t="s">
        <v>8</v>
      </c>
    </row>
    <row r="742" spans="1:10" x14ac:dyDescent="0.3">
      <c r="A742" s="42" t="s">
        <v>981</v>
      </c>
      <c r="B742" s="43">
        <v>45790</v>
      </c>
      <c r="C742" s="42" t="s">
        <v>18</v>
      </c>
      <c r="D742" s="42" t="s">
        <v>19</v>
      </c>
      <c r="E742" s="42" t="s">
        <v>20</v>
      </c>
      <c r="F742" s="42">
        <v>22</v>
      </c>
      <c r="G742" s="44">
        <v>500000</v>
      </c>
      <c r="H742" s="44">
        <v>11000000</v>
      </c>
      <c r="I742" s="42" t="s">
        <v>2073</v>
      </c>
      <c r="J742" s="42" t="s">
        <v>47</v>
      </c>
    </row>
    <row r="743" spans="1:10" x14ac:dyDescent="0.3">
      <c r="A743" s="42" t="s">
        <v>982</v>
      </c>
      <c r="B743" s="43">
        <v>45790</v>
      </c>
      <c r="C743" s="42" t="s">
        <v>10</v>
      </c>
      <c r="D743" s="42" t="s">
        <v>11</v>
      </c>
      <c r="E743" s="42" t="s">
        <v>12</v>
      </c>
      <c r="F743" s="42">
        <v>44</v>
      </c>
      <c r="G743" s="44">
        <v>120000</v>
      </c>
      <c r="H743" s="44">
        <v>5280000</v>
      </c>
      <c r="I743" s="42" t="s">
        <v>2629</v>
      </c>
      <c r="J743" s="42" t="s">
        <v>8</v>
      </c>
    </row>
    <row r="744" spans="1:10" x14ac:dyDescent="0.3">
      <c r="A744" s="42" t="s">
        <v>983</v>
      </c>
      <c r="B744" s="43">
        <v>45790</v>
      </c>
      <c r="C744" s="42" t="s">
        <v>28</v>
      </c>
      <c r="D744" s="42" t="s">
        <v>29</v>
      </c>
      <c r="E744" s="42" t="s">
        <v>20</v>
      </c>
      <c r="F744" s="42">
        <v>15</v>
      </c>
      <c r="G744" s="44">
        <v>450000</v>
      </c>
      <c r="H744" s="44">
        <v>6750000</v>
      </c>
      <c r="I744" s="42" t="s">
        <v>2842</v>
      </c>
      <c r="J744" s="42" t="s">
        <v>127</v>
      </c>
    </row>
    <row r="745" spans="1:10" x14ac:dyDescent="0.3">
      <c r="A745" s="42" t="s">
        <v>984</v>
      </c>
      <c r="B745" s="43">
        <v>45790</v>
      </c>
      <c r="C745" s="42" t="s">
        <v>40</v>
      </c>
      <c r="D745" s="42" t="s">
        <v>41</v>
      </c>
      <c r="E745" s="42" t="s">
        <v>16</v>
      </c>
      <c r="F745" s="42">
        <v>42</v>
      </c>
      <c r="G745" s="44">
        <v>950000</v>
      </c>
      <c r="H745" s="44">
        <v>39900000</v>
      </c>
      <c r="I745" s="42" t="s">
        <v>2152</v>
      </c>
      <c r="J745" s="42" t="s">
        <v>69</v>
      </c>
    </row>
    <row r="746" spans="1:10" x14ac:dyDescent="0.3">
      <c r="A746" s="42" t="s">
        <v>985</v>
      </c>
      <c r="B746" s="43">
        <v>45790</v>
      </c>
      <c r="C746" s="42" t="s">
        <v>31</v>
      </c>
      <c r="D746" s="42" t="s">
        <v>32</v>
      </c>
      <c r="E746" s="42" t="s">
        <v>20</v>
      </c>
      <c r="F746" s="42">
        <v>47</v>
      </c>
      <c r="G746" s="44">
        <v>180000</v>
      </c>
      <c r="H746" s="44">
        <v>8460000</v>
      </c>
      <c r="I746" s="42" t="s">
        <v>2180</v>
      </c>
      <c r="J746" s="42" t="s">
        <v>127</v>
      </c>
    </row>
    <row r="747" spans="1:10" x14ac:dyDescent="0.3">
      <c r="A747" s="42" t="s">
        <v>1019</v>
      </c>
      <c r="B747" s="43">
        <v>45790</v>
      </c>
      <c r="C747" s="42" t="s">
        <v>31</v>
      </c>
      <c r="D747" s="42" t="s">
        <v>32</v>
      </c>
      <c r="E747" s="42" t="s">
        <v>20</v>
      </c>
      <c r="F747" s="42">
        <v>10</v>
      </c>
      <c r="G747" s="44">
        <v>180000</v>
      </c>
      <c r="H747" s="44">
        <v>1800000</v>
      </c>
      <c r="I747" s="42" t="s">
        <v>2381</v>
      </c>
      <c r="J747" s="42" t="s">
        <v>8</v>
      </c>
    </row>
    <row r="748" spans="1:10" x14ac:dyDescent="0.3">
      <c r="A748" s="42" t="s">
        <v>1020</v>
      </c>
      <c r="B748" s="43">
        <v>45790</v>
      </c>
      <c r="C748" s="42" t="s">
        <v>38</v>
      </c>
      <c r="D748" s="42" t="s">
        <v>39</v>
      </c>
      <c r="E748" s="42" t="s">
        <v>16</v>
      </c>
      <c r="F748" s="42">
        <v>43</v>
      </c>
      <c r="G748" s="44">
        <v>200000</v>
      </c>
      <c r="H748" s="44">
        <v>8600000</v>
      </c>
      <c r="I748" s="42" t="s">
        <v>2817</v>
      </c>
      <c r="J748" s="42" t="s">
        <v>127</v>
      </c>
    </row>
    <row r="749" spans="1:10" x14ac:dyDescent="0.3">
      <c r="A749" s="42" t="s">
        <v>1021</v>
      </c>
      <c r="B749" s="43">
        <v>45790</v>
      </c>
      <c r="C749" s="42" t="s">
        <v>38</v>
      </c>
      <c r="D749" s="42" t="s">
        <v>39</v>
      </c>
      <c r="E749" s="42" t="s">
        <v>16</v>
      </c>
      <c r="F749" s="42">
        <v>4</v>
      </c>
      <c r="G749" s="44">
        <v>200000</v>
      </c>
      <c r="H749" s="44">
        <v>800000</v>
      </c>
      <c r="I749" s="42" t="s">
        <v>2276</v>
      </c>
      <c r="J749" s="42" t="s">
        <v>8</v>
      </c>
    </row>
    <row r="750" spans="1:10" x14ac:dyDescent="0.3">
      <c r="A750" s="42" t="s">
        <v>1022</v>
      </c>
      <c r="B750" s="43">
        <v>45790</v>
      </c>
      <c r="C750" s="42" t="s">
        <v>14</v>
      </c>
      <c r="D750" s="42" t="s">
        <v>15</v>
      </c>
      <c r="E750" s="42" t="s">
        <v>16</v>
      </c>
      <c r="F750" s="42">
        <v>36</v>
      </c>
      <c r="G750" s="44">
        <v>350000</v>
      </c>
      <c r="H750" s="44">
        <v>12600000</v>
      </c>
      <c r="I750" s="42" t="s">
        <v>229</v>
      </c>
      <c r="J750" s="42" t="s">
        <v>8</v>
      </c>
    </row>
    <row r="751" spans="1:10" x14ac:dyDescent="0.3">
      <c r="A751" s="42" t="s">
        <v>1023</v>
      </c>
      <c r="B751" s="43">
        <v>45790</v>
      </c>
      <c r="C751" s="42" t="s">
        <v>44</v>
      </c>
      <c r="D751" s="42" t="s">
        <v>45</v>
      </c>
      <c r="E751" s="42" t="s">
        <v>16</v>
      </c>
      <c r="F751" s="42">
        <v>13</v>
      </c>
      <c r="G751" s="44">
        <v>250000</v>
      </c>
      <c r="H751" s="44">
        <v>3250000</v>
      </c>
      <c r="I751" s="42" t="s">
        <v>2367</v>
      </c>
      <c r="J751" s="42" t="s">
        <v>127</v>
      </c>
    </row>
    <row r="752" spans="1:10" x14ac:dyDescent="0.3">
      <c r="A752" s="42" t="s">
        <v>1024</v>
      </c>
      <c r="B752" s="43">
        <v>45792</v>
      </c>
      <c r="C752" s="42" t="s">
        <v>40</v>
      </c>
      <c r="D752" s="42" t="s">
        <v>41</v>
      </c>
      <c r="E752" s="42" t="s">
        <v>16</v>
      </c>
      <c r="F752" s="42">
        <v>39</v>
      </c>
      <c r="G752" s="44">
        <v>950000</v>
      </c>
      <c r="H752" s="44">
        <v>37050000</v>
      </c>
      <c r="I752" s="42" t="s">
        <v>2786</v>
      </c>
      <c r="J752" s="42" t="s">
        <v>127</v>
      </c>
    </row>
    <row r="753" spans="1:10" x14ac:dyDescent="0.3">
      <c r="A753" s="42" t="s">
        <v>1053</v>
      </c>
      <c r="B753" s="43">
        <v>45792</v>
      </c>
      <c r="C753" s="42" t="s">
        <v>18</v>
      </c>
      <c r="D753" s="42" t="s">
        <v>19</v>
      </c>
      <c r="E753" s="42" t="s">
        <v>20</v>
      </c>
      <c r="F753" s="42">
        <v>48</v>
      </c>
      <c r="G753" s="44">
        <v>500000</v>
      </c>
      <c r="H753" s="44">
        <v>24000000</v>
      </c>
      <c r="I753" s="42" t="s">
        <v>274</v>
      </c>
      <c r="J753" s="42" t="s">
        <v>8</v>
      </c>
    </row>
    <row r="754" spans="1:10" x14ac:dyDescent="0.3">
      <c r="A754" s="42" t="s">
        <v>1054</v>
      </c>
      <c r="B754" s="43">
        <v>45792</v>
      </c>
      <c r="C754" s="42" t="s">
        <v>18</v>
      </c>
      <c r="D754" s="42" t="s">
        <v>19</v>
      </c>
      <c r="E754" s="42" t="s">
        <v>20</v>
      </c>
      <c r="F754" s="42">
        <v>20</v>
      </c>
      <c r="G754" s="44">
        <v>500000</v>
      </c>
      <c r="H754" s="44">
        <v>10000000</v>
      </c>
      <c r="I754" s="42" t="s">
        <v>2440</v>
      </c>
      <c r="J754" s="42" t="s">
        <v>127</v>
      </c>
    </row>
    <row r="755" spans="1:10" x14ac:dyDescent="0.3">
      <c r="A755" s="42" t="s">
        <v>1055</v>
      </c>
      <c r="B755" s="43">
        <v>45792</v>
      </c>
      <c r="C755" s="42" t="s">
        <v>22</v>
      </c>
      <c r="D755" s="42" t="s">
        <v>23</v>
      </c>
      <c r="E755" s="42" t="s">
        <v>12</v>
      </c>
      <c r="F755" s="42">
        <v>29</v>
      </c>
      <c r="G755" s="44">
        <v>25000</v>
      </c>
      <c r="H755" s="44">
        <v>725000</v>
      </c>
      <c r="I755" s="42" t="s">
        <v>2756</v>
      </c>
      <c r="J755" s="42" t="s">
        <v>47</v>
      </c>
    </row>
    <row r="756" spans="1:10" x14ac:dyDescent="0.3">
      <c r="A756" s="42" t="s">
        <v>1056</v>
      </c>
      <c r="B756" s="43">
        <v>45792</v>
      </c>
      <c r="C756" s="42" t="s">
        <v>14</v>
      </c>
      <c r="D756" s="42" t="s">
        <v>15</v>
      </c>
      <c r="E756" s="42" t="s">
        <v>16</v>
      </c>
      <c r="F756" s="42">
        <v>30</v>
      </c>
      <c r="G756" s="44">
        <v>350000</v>
      </c>
      <c r="H756" s="44">
        <v>10500000</v>
      </c>
      <c r="I756" s="42" t="s">
        <v>2808</v>
      </c>
      <c r="J756" s="42" t="s">
        <v>8</v>
      </c>
    </row>
    <row r="757" spans="1:10" x14ac:dyDescent="0.3">
      <c r="A757" s="42" t="s">
        <v>1057</v>
      </c>
      <c r="B757" s="43">
        <v>45792</v>
      </c>
      <c r="C757" s="42" t="s">
        <v>22</v>
      </c>
      <c r="D757" s="42" t="s">
        <v>23</v>
      </c>
      <c r="E757" s="42" t="s">
        <v>12</v>
      </c>
      <c r="F757" s="42">
        <v>170</v>
      </c>
      <c r="G757" s="44">
        <v>25000</v>
      </c>
      <c r="H757" s="44">
        <v>4250000</v>
      </c>
      <c r="I757" s="42" t="s">
        <v>2184</v>
      </c>
      <c r="J757" s="42" t="s">
        <v>127</v>
      </c>
    </row>
    <row r="758" spans="1:10" x14ac:dyDescent="0.3">
      <c r="A758" s="42" t="s">
        <v>1089</v>
      </c>
      <c r="B758" s="43">
        <v>45792</v>
      </c>
      <c r="C758" s="42" t="s">
        <v>22</v>
      </c>
      <c r="D758" s="42" t="s">
        <v>23</v>
      </c>
      <c r="E758" s="42" t="s">
        <v>12</v>
      </c>
      <c r="F758" s="42">
        <v>46</v>
      </c>
      <c r="G758" s="44">
        <v>25000</v>
      </c>
      <c r="H758" s="44">
        <v>1150000</v>
      </c>
      <c r="I758" s="42" t="s">
        <v>2569</v>
      </c>
      <c r="J758" s="42" t="s">
        <v>127</v>
      </c>
    </row>
    <row r="759" spans="1:10" x14ac:dyDescent="0.3">
      <c r="A759" s="42" t="s">
        <v>1090</v>
      </c>
      <c r="B759" s="43">
        <v>45792</v>
      </c>
      <c r="C759" s="42" t="s">
        <v>31</v>
      </c>
      <c r="D759" s="42" t="s">
        <v>32</v>
      </c>
      <c r="E759" s="42" t="s">
        <v>20</v>
      </c>
      <c r="F759" s="42">
        <v>17</v>
      </c>
      <c r="G759" s="44">
        <v>180000</v>
      </c>
      <c r="H759" s="44">
        <v>3060000</v>
      </c>
      <c r="I759" s="42" t="s">
        <v>2345</v>
      </c>
      <c r="J759" s="42" t="s">
        <v>8</v>
      </c>
    </row>
    <row r="760" spans="1:10" x14ac:dyDescent="0.3">
      <c r="A760" s="42" t="s">
        <v>1091</v>
      </c>
      <c r="B760" s="43">
        <v>45792</v>
      </c>
      <c r="C760" s="42" t="s">
        <v>28</v>
      </c>
      <c r="D760" s="42" t="s">
        <v>29</v>
      </c>
      <c r="E760" s="42" t="s">
        <v>20</v>
      </c>
      <c r="F760" s="42">
        <v>7</v>
      </c>
      <c r="G760" s="44">
        <v>450000</v>
      </c>
      <c r="H760" s="44">
        <v>3150000</v>
      </c>
      <c r="I760" s="42" t="s">
        <v>2785</v>
      </c>
      <c r="J760" s="42" t="s">
        <v>69</v>
      </c>
    </row>
    <row r="761" spans="1:10" x14ac:dyDescent="0.3">
      <c r="A761" s="42" t="s">
        <v>1092</v>
      </c>
      <c r="B761" s="43">
        <v>45792</v>
      </c>
      <c r="C761" s="42" t="s">
        <v>44</v>
      </c>
      <c r="D761" s="42" t="s">
        <v>45</v>
      </c>
      <c r="E761" s="42" t="s">
        <v>16</v>
      </c>
      <c r="F761" s="42">
        <v>30</v>
      </c>
      <c r="G761" s="44">
        <v>250000</v>
      </c>
      <c r="H761" s="44">
        <v>7500000</v>
      </c>
      <c r="I761" s="42" t="s">
        <v>2820</v>
      </c>
      <c r="J761" s="42" t="s">
        <v>127</v>
      </c>
    </row>
    <row r="762" spans="1:10" x14ac:dyDescent="0.3">
      <c r="A762" s="42" t="s">
        <v>1093</v>
      </c>
      <c r="B762" s="43">
        <v>45793</v>
      </c>
      <c r="C762" s="42" t="s">
        <v>40</v>
      </c>
      <c r="D762" s="42" t="s">
        <v>41</v>
      </c>
      <c r="E762" s="42" t="s">
        <v>16</v>
      </c>
      <c r="F762" s="42">
        <v>29</v>
      </c>
      <c r="G762" s="44">
        <v>950000</v>
      </c>
      <c r="H762" s="44">
        <v>27550000</v>
      </c>
      <c r="I762" s="42" t="s">
        <v>2364</v>
      </c>
      <c r="J762" s="42" t="s">
        <v>127</v>
      </c>
    </row>
    <row r="763" spans="1:10" x14ac:dyDescent="0.3">
      <c r="A763" s="42" t="s">
        <v>1094</v>
      </c>
      <c r="B763" s="43">
        <v>45793</v>
      </c>
      <c r="C763" s="42" t="s">
        <v>40</v>
      </c>
      <c r="D763" s="42" t="s">
        <v>41</v>
      </c>
      <c r="E763" s="42" t="s">
        <v>16</v>
      </c>
      <c r="F763" s="42">
        <v>18</v>
      </c>
      <c r="G763" s="44">
        <v>950000</v>
      </c>
      <c r="H763" s="44">
        <v>17100000</v>
      </c>
      <c r="I763" s="42" t="s">
        <v>2485</v>
      </c>
      <c r="J763" s="42" t="s">
        <v>127</v>
      </c>
    </row>
    <row r="764" spans="1:10" x14ac:dyDescent="0.3">
      <c r="A764" s="42" t="s">
        <v>1095</v>
      </c>
      <c r="B764" s="43">
        <v>45793</v>
      </c>
      <c r="C764" s="42" t="s">
        <v>14</v>
      </c>
      <c r="D764" s="42" t="s">
        <v>15</v>
      </c>
      <c r="E764" s="42" t="s">
        <v>16</v>
      </c>
      <c r="F764" s="42">
        <v>33</v>
      </c>
      <c r="G764" s="44">
        <v>350000</v>
      </c>
      <c r="H764" s="44">
        <v>11550000</v>
      </c>
      <c r="I764" s="42" t="s">
        <v>2712</v>
      </c>
      <c r="J764" s="42" t="s">
        <v>8</v>
      </c>
    </row>
    <row r="765" spans="1:10" x14ac:dyDescent="0.3">
      <c r="A765" s="42" t="s">
        <v>1129</v>
      </c>
      <c r="B765" s="43">
        <v>45793</v>
      </c>
      <c r="C765" s="42" t="s">
        <v>28</v>
      </c>
      <c r="D765" s="42" t="s">
        <v>29</v>
      </c>
      <c r="E765" s="42" t="s">
        <v>20</v>
      </c>
      <c r="F765" s="42">
        <v>18</v>
      </c>
      <c r="G765" s="44">
        <v>450000</v>
      </c>
      <c r="H765" s="44">
        <v>8100000</v>
      </c>
      <c r="I765" s="42" t="s">
        <v>596</v>
      </c>
      <c r="J765" s="42" t="s">
        <v>60</v>
      </c>
    </row>
    <row r="766" spans="1:10" x14ac:dyDescent="0.3">
      <c r="A766" s="42" t="s">
        <v>1130</v>
      </c>
      <c r="B766" s="43">
        <v>45793</v>
      </c>
      <c r="C766" s="42" t="s">
        <v>44</v>
      </c>
      <c r="D766" s="42" t="s">
        <v>45</v>
      </c>
      <c r="E766" s="42" t="s">
        <v>16</v>
      </c>
      <c r="F766" s="42">
        <v>490</v>
      </c>
      <c r="G766" s="44">
        <v>250000</v>
      </c>
      <c r="H766" s="44">
        <v>122500000</v>
      </c>
      <c r="I766" s="42" t="s">
        <v>2266</v>
      </c>
      <c r="J766" s="42" t="s">
        <v>8</v>
      </c>
    </row>
    <row r="767" spans="1:10" x14ac:dyDescent="0.3">
      <c r="A767" s="42" t="s">
        <v>1131</v>
      </c>
      <c r="B767" s="43">
        <v>45793</v>
      </c>
      <c r="C767" s="42" t="s">
        <v>38</v>
      </c>
      <c r="D767" s="42" t="s">
        <v>39</v>
      </c>
      <c r="E767" s="42" t="s">
        <v>16</v>
      </c>
      <c r="F767" s="42">
        <v>90</v>
      </c>
      <c r="G767" s="44">
        <v>200000</v>
      </c>
      <c r="H767" s="44">
        <v>18000000</v>
      </c>
      <c r="I767" s="42" t="s">
        <v>2184</v>
      </c>
      <c r="J767" s="42" t="s">
        <v>127</v>
      </c>
    </row>
    <row r="768" spans="1:10" x14ac:dyDescent="0.3">
      <c r="A768" s="42" t="s">
        <v>1132</v>
      </c>
      <c r="B768" s="43">
        <v>45793</v>
      </c>
      <c r="C768" s="42" t="s">
        <v>40</v>
      </c>
      <c r="D768" s="42" t="s">
        <v>41</v>
      </c>
      <c r="E768" s="42" t="s">
        <v>16</v>
      </c>
      <c r="F768" s="42">
        <v>22</v>
      </c>
      <c r="G768" s="44">
        <v>950000</v>
      </c>
      <c r="H768" s="44">
        <v>20900000</v>
      </c>
      <c r="I768" s="42" t="s">
        <v>2367</v>
      </c>
      <c r="J768" s="42" t="s">
        <v>127</v>
      </c>
    </row>
    <row r="769" spans="1:10" x14ac:dyDescent="0.3">
      <c r="A769" s="42" t="s">
        <v>1133</v>
      </c>
      <c r="B769" s="43">
        <v>45796</v>
      </c>
      <c r="C769" s="42" t="s">
        <v>28</v>
      </c>
      <c r="D769" s="42" t="s">
        <v>29</v>
      </c>
      <c r="E769" s="42" t="s">
        <v>20</v>
      </c>
      <c r="F769" s="42">
        <v>47</v>
      </c>
      <c r="G769" s="44">
        <v>450000</v>
      </c>
      <c r="H769" s="44">
        <v>21150000</v>
      </c>
      <c r="I769" s="42" t="s">
        <v>2293</v>
      </c>
      <c r="J769" s="42" t="s">
        <v>47</v>
      </c>
    </row>
    <row r="770" spans="1:10" x14ac:dyDescent="0.3">
      <c r="A770" s="42" t="s">
        <v>1134</v>
      </c>
      <c r="B770" s="43">
        <v>45796</v>
      </c>
      <c r="C770" s="42" t="s">
        <v>28</v>
      </c>
      <c r="D770" s="42" t="s">
        <v>29</v>
      </c>
      <c r="E770" s="42" t="s">
        <v>20</v>
      </c>
      <c r="F770" s="42">
        <v>40</v>
      </c>
      <c r="G770" s="44">
        <v>450000</v>
      </c>
      <c r="H770" s="44">
        <v>18000000</v>
      </c>
      <c r="I770" s="42" t="s">
        <v>2120</v>
      </c>
      <c r="J770" s="42" t="s">
        <v>8</v>
      </c>
    </row>
    <row r="771" spans="1:10" x14ac:dyDescent="0.3">
      <c r="A771" s="42" t="s">
        <v>1135</v>
      </c>
      <c r="B771" s="43">
        <v>45796</v>
      </c>
      <c r="C771" s="42" t="s">
        <v>40</v>
      </c>
      <c r="D771" s="42" t="s">
        <v>41</v>
      </c>
      <c r="E771" s="42" t="s">
        <v>16</v>
      </c>
      <c r="F771" s="42">
        <v>20</v>
      </c>
      <c r="G771" s="44">
        <v>950000</v>
      </c>
      <c r="H771" s="44">
        <v>19000000</v>
      </c>
      <c r="I771" s="42" t="s">
        <v>2501</v>
      </c>
      <c r="J771" s="42" t="s">
        <v>69</v>
      </c>
    </row>
    <row r="772" spans="1:10" x14ac:dyDescent="0.3">
      <c r="A772" s="42" t="s">
        <v>1171</v>
      </c>
      <c r="B772" s="43">
        <v>45796</v>
      </c>
      <c r="C772" s="42" t="s">
        <v>38</v>
      </c>
      <c r="D772" s="42" t="s">
        <v>39</v>
      </c>
      <c r="E772" s="42" t="s">
        <v>16</v>
      </c>
      <c r="F772" s="42">
        <v>34</v>
      </c>
      <c r="G772" s="44">
        <v>200000</v>
      </c>
      <c r="H772" s="44">
        <v>6800000</v>
      </c>
      <c r="I772" s="42" t="s">
        <v>2179</v>
      </c>
      <c r="J772" s="42" t="s">
        <v>127</v>
      </c>
    </row>
    <row r="773" spans="1:10" x14ac:dyDescent="0.3">
      <c r="A773" s="42" t="s">
        <v>1211</v>
      </c>
      <c r="B773" s="43">
        <v>45796</v>
      </c>
      <c r="C773" s="42" t="s">
        <v>40</v>
      </c>
      <c r="D773" s="42" t="s">
        <v>41</v>
      </c>
      <c r="E773" s="42" t="s">
        <v>16</v>
      </c>
      <c r="F773" s="42">
        <v>38</v>
      </c>
      <c r="G773" s="44">
        <v>950000</v>
      </c>
      <c r="H773" s="44">
        <v>36100000</v>
      </c>
      <c r="I773" s="42" t="s">
        <v>2443</v>
      </c>
      <c r="J773" s="42" t="s">
        <v>8</v>
      </c>
    </row>
    <row r="774" spans="1:10" x14ac:dyDescent="0.3">
      <c r="A774" s="42" t="s">
        <v>1212</v>
      </c>
      <c r="B774" s="43">
        <v>45796</v>
      </c>
      <c r="C774" s="42" t="s">
        <v>28</v>
      </c>
      <c r="D774" s="42" t="s">
        <v>29</v>
      </c>
      <c r="E774" s="42" t="s">
        <v>20</v>
      </c>
      <c r="F774" s="42">
        <v>12</v>
      </c>
      <c r="G774" s="44">
        <v>450000</v>
      </c>
      <c r="H774" s="44">
        <v>5400000</v>
      </c>
      <c r="I774" s="42" t="s">
        <v>2570</v>
      </c>
      <c r="J774" s="42" t="s">
        <v>8</v>
      </c>
    </row>
    <row r="775" spans="1:10" x14ac:dyDescent="0.3">
      <c r="A775" s="42" t="s">
        <v>1213</v>
      </c>
      <c r="B775" s="43">
        <v>45796</v>
      </c>
      <c r="C775" s="42" t="s">
        <v>31</v>
      </c>
      <c r="D775" s="42" t="s">
        <v>32</v>
      </c>
      <c r="E775" s="42" t="s">
        <v>20</v>
      </c>
      <c r="F775" s="42">
        <v>36</v>
      </c>
      <c r="G775" s="44">
        <v>180000</v>
      </c>
      <c r="H775" s="44">
        <v>6480000</v>
      </c>
      <c r="I775" s="42" t="s">
        <v>2498</v>
      </c>
      <c r="J775" s="42" t="s">
        <v>8</v>
      </c>
    </row>
    <row r="776" spans="1:10" x14ac:dyDescent="0.3">
      <c r="A776" s="42" t="s">
        <v>1214</v>
      </c>
      <c r="B776" s="43">
        <v>45796</v>
      </c>
      <c r="C776" s="42" t="s">
        <v>22</v>
      </c>
      <c r="D776" s="42" t="s">
        <v>23</v>
      </c>
      <c r="E776" s="42" t="s">
        <v>12</v>
      </c>
      <c r="F776" s="42">
        <v>430</v>
      </c>
      <c r="G776" s="44">
        <v>25000</v>
      </c>
      <c r="H776" s="44">
        <v>10750000</v>
      </c>
      <c r="I776" s="42" t="s">
        <v>2753</v>
      </c>
      <c r="J776" s="42" t="s">
        <v>47</v>
      </c>
    </row>
    <row r="777" spans="1:10" x14ac:dyDescent="0.3">
      <c r="A777" s="42" t="s">
        <v>1215</v>
      </c>
      <c r="B777" s="43">
        <v>45796</v>
      </c>
      <c r="C777" s="42" t="s">
        <v>31</v>
      </c>
      <c r="D777" s="42" t="s">
        <v>32</v>
      </c>
      <c r="E777" s="42" t="s">
        <v>20</v>
      </c>
      <c r="F777" s="42">
        <v>8</v>
      </c>
      <c r="G777" s="44">
        <v>180000</v>
      </c>
      <c r="H777" s="44">
        <v>1440000</v>
      </c>
      <c r="I777" s="42" t="s">
        <v>2544</v>
      </c>
      <c r="J777" s="42" t="s">
        <v>60</v>
      </c>
    </row>
    <row r="778" spans="1:10" x14ac:dyDescent="0.3">
      <c r="A778" s="42" t="s">
        <v>1216</v>
      </c>
      <c r="B778" s="43">
        <v>45796</v>
      </c>
      <c r="C778" s="42" t="s">
        <v>40</v>
      </c>
      <c r="D778" s="42" t="s">
        <v>41</v>
      </c>
      <c r="E778" s="42" t="s">
        <v>16</v>
      </c>
      <c r="F778" s="42">
        <v>38</v>
      </c>
      <c r="G778" s="44">
        <v>950000</v>
      </c>
      <c r="H778" s="44">
        <v>36100000</v>
      </c>
      <c r="I778" s="42" t="s">
        <v>2804</v>
      </c>
      <c r="J778" s="42" t="s">
        <v>8</v>
      </c>
    </row>
    <row r="779" spans="1:10" x14ac:dyDescent="0.3">
      <c r="A779" s="42" t="s">
        <v>1217</v>
      </c>
      <c r="B779" s="43">
        <v>45796</v>
      </c>
      <c r="C779" s="42" t="s">
        <v>42</v>
      </c>
      <c r="D779" s="42" t="s">
        <v>43</v>
      </c>
      <c r="E779" s="42" t="s">
        <v>16</v>
      </c>
      <c r="F779" s="42">
        <v>28</v>
      </c>
      <c r="G779" s="44">
        <v>1200000</v>
      </c>
      <c r="H779" s="44">
        <v>33600000</v>
      </c>
      <c r="I779" s="42" t="s">
        <v>2394</v>
      </c>
      <c r="J779" s="42" t="s">
        <v>127</v>
      </c>
    </row>
    <row r="780" spans="1:10" x14ac:dyDescent="0.3">
      <c r="A780" s="42" t="s">
        <v>1218</v>
      </c>
      <c r="B780" s="43">
        <v>45796</v>
      </c>
      <c r="C780" s="42" t="s">
        <v>22</v>
      </c>
      <c r="D780" s="42" t="s">
        <v>23</v>
      </c>
      <c r="E780" s="42" t="s">
        <v>12</v>
      </c>
      <c r="F780" s="42">
        <v>13</v>
      </c>
      <c r="G780" s="44">
        <v>25000</v>
      </c>
      <c r="H780" s="44">
        <v>325000</v>
      </c>
      <c r="I780" s="42" t="s">
        <v>2820</v>
      </c>
      <c r="J780" s="42" t="s">
        <v>127</v>
      </c>
    </row>
    <row r="781" spans="1:10" x14ac:dyDescent="0.3">
      <c r="A781" s="42" t="s">
        <v>1250</v>
      </c>
      <c r="B781" s="43">
        <v>45796</v>
      </c>
      <c r="C781" s="42" t="s">
        <v>42</v>
      </c>
      <c r="D781" s="42" t="s">
        <v>43</v>
      </c>
      <c r="E781" s="42" t="s">
        <v>16</v>
      </c>
      <c r="F781" s="42">
        <v>7</v>
      </c>
      <c r="G781" s="44">
        <v>1200000</v>
      </c>
      <c r="H781" s="44">
        <v>8400000</v>
      </c>
      <c r="I781" s="42" t="s">
        <v>2527</v>
      </c>
      <c r="J781" s="42" t="s">
        <v>69</v>
      </c>
    </row>
    <row r="782" spans="1:10" x14ac:dyDescent="0.3">
      <c r="A782" s="42" t="s">
        <v>1251</v>
      </c>
      <c r="B782" s="43">
        <v>45796</v>
      </c>
      <c r="C782" s="42" t="s">
        <v>40</v>
      </c>
      <c r="D782" s="42" t="s">
        <v>41</v>
      </c>
      <c r="E782" s="42" t="s">
        <v>16</v>
      </c>
      <c r="F782" s="42">
        <v>50</v>
      </c>
      <c r="G782" s="44">
        <v>950000</v>
      </c>
      <c r="H782" s="44">
        <v>47500000</v>
      </c>
      <c r="I782" s="42" t="s">
        <v>2269</v>
      </c>
      <c r="J782" s="42" t="s">
        <v>8</v>
      </c>
    </row>
    <row r="783" spans="1:10" x14ac:dyDescent="0.3">
      <c r="A783" s="42" t="s">
        <v>1252</v>
      </c>
      <c r="B783" s="43">
        <v>45796</v>
      </c>
      <c r="C783" s="42" t="s">
        <v>22</v>
      </c>
      <c r="D783" s="42" t="s">
        <v>23</v>
      </c>
      <c r="E783" s="42" t="s">
        <v>12</v>
      </c>
      <c r="F783" s="42">
        <v>450</v>
      </c>
      <c r="G783" s="44">
        <v>25000</v>
      </c>
      <c r="H783" s="44">
        <v>11250000</v>
      </c>
      <c r="I783" s="42" t="s">
        <v>2624</v>
      </c>
      <c r="J783" s="42" t="s">
        <v>60</v>
      </c>
    </row>
    <row r="784" spans="1:10" x14ac:dyDescent="0.3">
      <c r="A784" s="42" t="s">
        <v>1253</v>
      </c>
      <c r="B784" s="43">
        <v>45796</v>
      </c>
      <c r="C784" s="42" t="s">
        <v>44</v>
      </c>
      <c r="D784" s="42" t="s">
        <v>45</v>
      </c>
      <c r="E784" s="42" t="s">
        <v>16</v>
      </c>
      <c r="F784" s="42">
        <v>50</v>
      </c>
      <c r="G784" s="44">
        <v>250000</v>
      </c>
      <c r="H784" s="44">
        <v>12500000</v>
      </c>
      <c r="I784" s="42" t="s">
        <v>2777</v>
      </c>
      <c r="J784" s="42" t="s">
        <v>8</v>
      </c>
    </row>
    <row r="785" spans="1:10" x14ac:dyDescent="0.3">
      <c r="A785" s="42" t="s">
        <v>1254</v>
      </c>
      <c r="B785" s="43">
        <v>45796</v>
      </c>
      <c r="C785" s="42" t="s">
        <v>31</v>
      </c>
      <c r="D785" s="42" t="s">
        <v>32</v>
      </c>
      <c r="E785" s="42" t="s">
        <v>20</v>
      </c>
      <c r="F785" s="42">
        <v>12</v>
      </c>
      <c r="G785" s="44">
        <v>180000</v>
      </c>
      <c r="H785" s="44">
        <v>2160000</v>
      </c>
      <c r="I785" s="42" t="s">
        <v>2260</v>
      </c>
      <c r="J785" s="42" t="s">
        <v>127</v>
      </c>
    </row>
    <row r="786" spans="1:10" x14ac:dyDescent="0.3">
      <c r="A786" s="42" t="s">
        <v>1296</v>
      </c>
      <c r="B786" s="43">
        <v>45796</v>
      </c>
      <c r="C786" s="42" t="s">
        <v>44</v>
      </c>
      <c r="D786" s="42" t="s">
        <v>45</v>
      </c>
      <c r="E786" s="42" t="s">
        <v>16</v>
      </c>
      <c r="F786" s="42">
        <v>39</v>
      </c>
      <c r="G786" s="44">
        <v>250000</v>
      </c>
      <c r="H786" s="44">
        <v>9750000</v>
      </c>
      <c r="I786" s="42" t="s">
        <v>573</v>
      </c>
      <c r="J786" s="42" t="s">
        <v>47</v>
      </c>
    </row>
    <row r="787" spans="1:10" x14ac:dyDescent="0.3">
      <c r="A787" s="42" t="s">
        <v>1297</v>
      </c>
      <c r="B787" s="43">
        <v>45798</v>
      </c>
      <c r="C787" s="42" t="s">
        <v>10</v>
      </c>
      <c r="D787" s="42" t="s">
        <v>11</v>
      </c>
      <c r="E787" s="42" t="s">
        <v>12</v>
      </c>
      <c r="F787" s="42">
        <v>7</v>
      </c>
      <c r="G787" s="44">
        <v>120000</v>
      </c>
      <c r="H787" s="44">
        <v>840000</v>
      </c>
      <c r="I787" s="42" t="s">
        <v>2474</v>
      </c>
      <c r="J787" s="42" t="s">
        <v>8</v>
      </c>
    </row>
    <row r="788" spans="1:10" x14ac:dyDescent="0.3">
      <c r="A788" s="42" t="s">
        <v>1298</v>
      </c>
      <c r="B788" s="43">
        <v>45798</v>
      </c>
      <c r="C788" s="42" t="s">
        <v>14</v>
      </c>
      <c r="D788" s="42" t="s">
        <v>15</v>
      </c>
      <c r="E788" s="42" t="s">
        <v>16</v>
      </c>
      <c r="F788" s="42">
        <v>5</v>
      </c>
      <c r="G788" s="44">
        <v>350000</v>
      </c>
      <c r="H788" s="44">
        <v>1750000</v>
      </c>
      <c r="I788" s="42" t="s">
        <v>2442</v>
      </c>
      <c r="J788" s="42" t="s">
        <v>47</v>
      </c>
    </row>
    <row r="789" spans="1:10" x14ac:dyDescent="0.3">
      <c r="A789" s="42" t="s">
        <v>1299</v>
      </c>
      <c r="B789" s="43">
        <v>45798</v>
      </c>
      <c r="C789" s="42" t="s">
        <v>42</v>
      </c>
      <c r="D789" s="42" t="s">
        <v>43</v>
      </c>
      <c r="E789" s="42" t="s">
        <v>16</v>
      </c>
      <c r="F789" s="42">
        <v>380</v>
      </c>
      <c r="G789" s="44">
        <v>1200000</v>
      </c>
      <c r="H789" s="44">
        <v>456000000</v>
      </c>
      <c r="I789" s="42" t="s">
        <v>2739</v>
      </c>
      <c r="J789" s="42" t="s">
        <v>8</v>
      </c>
    </row>
    <row r="790" spans="1:10" x14ac:dyDescent="0.3">
      <c r="A790" s="42" t="s">
        <v>1300</v>
      </c>
      <c r="B790" s="43">
        <v>45798</v>
      </c>
      <c r="C790" s="42" t="s">
        <v>42</v>
      </c>
      <c r="D790" s="42" t="s">
        <v>43</v>
      </c>
      <c r="E790" s="42" t="s">
        <v>16</v>
      </c>
      <c r="F790" s="42">
        <v>9</v>
      </c>
      <c r="G790" s="44">
        <v>1200000</v>
      </c>
      <c r="H790" s="44">
        <v>10800000</v>
      </c>
      <c r="I790" s="42" t="s">
        <v>2220</v>
      </c>
      <c r="J790" s="42" t="s">
        <v>8</v>
      </c>
    </row>
    <row r="791" spans="1:10" x14ac:dyDescent="0.3">
      <c r="A791" s="42" t="s">
        <v>1301</v>
      </c>
      <c r="B791" s="43">
        <v>45798</v>
      </c>
      <c r="C791" s="42" t="s">
        <v>42</v>
      </c>
      <c r="D791" s="42" t="s">
        <v>43</v>
      </c>
      <c r="E791" s="42" t="s">
        <v>16</v>
      </c>
      <c r="F791" s="42">
        <v>410</v>
      </c>
      <c r="G791" s="44">
        <v>1200000</v>
      </c>
      <c r="H791" s="44">
        <v>492000000</v>
      </c>
      <c r="I791" s="42" t="s">
        <v>2847</v>
      </c>
      <c r="J791" s="42" t="s">
        <v>127</v>
      </c>
    </row>
    <row r="792" spans="1:10" x14ac:dyDescent="0.3">
      <c r="A792" s="42" t="s">
        <v>1337</v>
      </c>
      <c r="B792" s="43">
        <v>45798</v>
      </c>
      <c r="C792" s="42" t="s">
        <v>44</v>
      </c>
      <c r="D792" s="42" t="s">
        <v>45</v>
      </c>
      <c r="E792" s="42" t="s">
        <v>16</v>
      </c>
      <c r="F792" s="42">
        <v>6</v>
      </c>
      <c r="G792" s="44">
        <v>250000</v>
      </c>
      <c r="H792" s="44">
        <v>1500000</v>
      </c>
      <c r="I792" s="42" t="s">
        <v>2565</v>
      </c>
      <c r="J792" s="42" t="s">
        <v>8</v>
      </c>
    </row>
    <row r="793" spans="1:10" x14ac:dyDescent="0.3">
      <c r="A793" s="42" t="s">
        <v>1338</v>
      </c>
      <c r="B793" s="43">
        <v>45798</v>
      </c>
      <c r="C793" s="42" t="s">
        <v>44</v>
      </c>
      <c r="D793" s="42" t="s">
        <v>45</v>
      </c>
      <c r="E793" s="42" t="s">
        <v>16</v>
      </c>
      <c r="F793" s="42">
        <v>25</v>
      </c>
      <c r="G793" s="44">
        <v>250000</v>
      </c>
      <c r="H793" s="44">
        <v>6250000</v>
      </c>
      <c r="I793" s="42" t="s">
        <v>2095</v>
      </c>
      <c r="J793" s="42" t="s">
        <v>69</v>
      </c>
    </row>
    <row r="794" spans="1:10" x14ac:dyDescent="0.3">
      <c r="A794" s="42" t="s">
        <v>1339</v>
      </c>
      <c r="B794" s="43">
        <v>45798</v>
      </c>
      <c r="C794" s="42" t="s">
        <v>42</v>
      </c>
      <c r="D794" s="42" t="s">
        <v>43</v>
      </c>
      <c r="E794" s="42" t="s">
        <v>16</v>
      </c>
      <c r="F794" s="42">
        <v>17</v>
      </c>
      <c r="G794" s="44">
        <v>1200000</v>
      </c>
      <c r="H794" s="44">
        <v>20400000</v>
      </c>
      <c r="I794" s="42" t="s">
        <v>2170</v>
      </c>
      <c r="J794" s="42" t="s">
        <v>127</v>
      </c>
    </row>
    <row r="795" spans="1:10" x14ac:dyDescent="0.3">
      <c r="A795" s="42" t="s">
        <v>1340</v>
      </c>
      <c r="B795" s="43">
        <v>45798</v>
      </c>
      <c r="C795" s="42" t="s">
        <v>28</v>
      </c>
      <c r="D795" s="42" t="s">
        <v>29</v>
      </c>
      <c r="E795" s="42" t="s">
        <v>20</v>
      </c>
      <c r="F795" s="42">
        <v>17</v>
      </c>
      <c r="G795" s="44">
        <v>450000</v>
      </c>
      <c r="H795" s="44">
        <v>7650000</v>
      </c>
      <c r="I795" s="42" t="s">
        <v>2607</v>
      </c>
      <c r="J795" s="42" t="s">
        <v>47</v>
      </c>
    </row>
    <row r="796" spans="1:10" x14ac:dyDescent="0.3">
      <c r="A796" s="42" t="s">
        <v>1369</v>
      </c>
      <c r="B796" s="43">
        <v>45798</v>
      </c>
      <c r="C796" s="42" t="s">
        <v>40</v>
      </c>
      <c r="D796" s="42" t="s">
        <v>41</v>
      </c>
      <c r="E796" s="42" t="s">
        <v>16</v>
      </c>
      <c r="F796" s="42">
        <v>38</v>
      </c>
      <c r="G796" s="44">
        <v>950000</v>
      </c>
      <c r="H796" s="44">
        <v>36100000</v>
      </c>
      <c r="I796" s="42" t="s">
        <v>2211</v>
      </c>
      <c r="J796" s="42" t="s">
        <v>69</v>
      </c>
    </row>
    <row r="797" spans="1:10" x14ac:dyDescent="0.3">
      <c r="A797" s="42" t="s">
        <v>1370</v>
      </c>
      <c r="B797" s="43">
        <v>45799</v>
      </c>
      <c r="C797" s="42" t="s">
        <v>28</v>
      </c>
      <c r="D797" s="42" t="s">
        <v>29</v>
      </c>
      <c r="E797" s="42" t="s">
        <v>20</v>
      </c>
      <c r="F797" s="42">
        <v>8</v>
      </c>
      <c r="G797" s="44">
        <v>450000</v>
      </c>
      <c r="H797" s="44">
        <v>3600000</v>
      </c>
      <c r="I797" s="42" t="s">
        <v>2472</v>
      </c>
      <c r="J797" s="42" t="s">
        <v>69</v>
      </c>
    </row>
    <row r="798" spans="1:10" x14ac:dyDescent="0.3">
      <c r="A798" s="42" t="s">
        <v>1371</v>
      </c>
      <c r="B798" s="43">
        <v>45799</v>
      </c>
      <c r="C798" s="42" t="s">
        <v>38</v>
      </c>
      <c r="D798" s="42" t="s">
        <v>39</v>
      </c>
      <c r="E798" s="42" t="s">
        <v>16</v>
      </c>
      <c r="F798" s="42">
        <v>7</v>
      </c>
      <c r="G798" s="44">
        <v>200000</v>
      </c>
      <c r="H798" s="44">
        <v>1400000</v>
      </c>
      <c r="I798" s="42" t="s">
        <v>1939</v>
      </c>
      <c r="J798" s="42" t="s">
        <v>8</v>
      </c>
    </row>
    <row r="799" spans="1:10" x14ac:dyDescent="0.3">
      <c r="A799" s="42" t="s">
        <v>1372</v>
      </c>
      <c r="B799" s="43">
        <v>45799</v>
      </c>
      <c r="C799" s="42" t="s">
        <v>44</v>
      </c>
      <c r="D799" s="42" t="s">
        <v>45</v>
      </c>
      <c r="E799" s="42" t="s">
        <v>16</v>
      </c>
      <c r="F799" s="42">
        <v>26</v>
      </c>
      <c r="G799" s="44">
        <v>250000</v>
      </c>
      <c r="H799" s="44">
        <v>6500000</v>
      </c>
      <c r="I799" s="42" t="s">
        <v>2396</v>
      </c>
      <c r="J799" s="42" t="s">
        <v>127</v>
      </c>
    </row>
    <row r="800" spans="1:10" x14ac:dyDescent="0.3">
      <c r="A800" s="42" t="s">
        <v>1373</v>
      </c>
      <c r="B800" s="43">
        <v>45799</v>
      </c>
      <c r="C800" s="42" t="s">
        <v>10</v>
      </c>
      <c r="D800" s="42" t="s">
        <v>11</v>
      </c>
      <c r="E800" s="42" t="s">
        <v>12</v>
      </c>
      <c r="F800" s="42">
        <v>26</v>
      </c>
      <c r="G800" s="44">
        <v>120000</v>
      </c>
      <c r="H800" s="44">
        <v>3120000</v>
      </c>
      <c r="I800" s="42" t="s">
        <v>2685</v>
      </c>
      <c r="J800" s="42" t="s">
        <v>69</v>
      </c>
    </row>
    <row r="801" spans="1:10" x14ac:dyDescent="0.3">
      <c r="A801" s="42" t="s">
        <v>1374</v>
      </c>
      <c r="B801" s="43">
        <v>45799</v>
      </c>
      <c r="C801" s="42" t="s">
        <v>22</v>
      </c>
      <c r="D801" s="42" t="s">
        <v>23</v>
      </c>
      <c r="E801" s="42" t="s">
        <v>12</v>
      </c>
      <c r="F801" s="42">
        <v>10</v>
      </c>
      <c r="G801" s="44">
        <v>25000</v>
      </c>
      <c r="H801" s="44">
        <v>250000</v>
      </c>
      <c r="I801" s="42" t="s">
        <v>2414</v>
      </c>
      <c r="J801" s="42" t="s">
        <v>8</v>
      </c>
    </row>
    <row r="802" spans="1:10" x14ac:dyDescent="0.3">
      <c r="A802" s="42" t="s">
        <v>1375</v>
      </c>
      <c r="B802" s="43">
        <v>45799</v>
      </c>
      <c r="C802" s="42" t="s">
        <v>38</v>
      </c>
      <c r="D802" s="42" t="s">
        <v>39</v>
      </c>
      <c r="E802" s="42" t="s">
        <v>16</v>
      </c>
      <c r="F802" s="42">
        <v>6</v>
      </c>
      <c r="G802" s="44">
        <v>200000</v>
      </c>
      <c r="H802" s="44">
        <v>1200000</v>
      </c>
      <c r="I802" s="42" t="s">
        <v>2526</v>
      </c>
      <c r="J802" s="42" t="s">
        <v>127</v>
      </c>
    </row>
    <row r="803" spans="1:10" x14ac:dyDescent="0.3">
      <c r="A803" s="42" t="s">
        <v>1376</v>
      </c>
      <c r="B803" s="43">
        <v>45799</v>
      </c>
      <c r="C803" s="42" t="s">
        <v>44</v>
      </c>
      <c r="D803" s="42" t="s">
        <v>45</v>
      </c>
      <c r="E803" s="42" t="s">
        <v>16</v>
      </c>
      <c r="F803" s="42">
        <v>32</v>
      </c>
      <c r="G803" s="44">
        <v>250000</v>
      </c>
      <c r="H803" s="44">
        <v>8000000</v>
      </c>
      <c r="I803" s="42" t="s">
        <v>2801</v>
      </c>
      <c r="J803" s="42" t="s">
        <v>60</v>
      </c>
    </row>
    <row r="804" spans="1:10" x14ac:dyDescent="0.3">
      <c r="A804" s="42" t="s">
        <v>1377</v>
      </c>
      <c r="B804" s="43">
        <v>45799</v>
      </c>
      <c r="C804" s="42" t="s">
        <v>14</v>
      </c>
      <c r="D804" s="42" t="s">
        <v>15</v>
      </c>
      <c r="E804" s="42" t="s">
        <v>16</v>
      </c>
      <c r="F804" s="42">
        <v>18</v>
      </c>
      <c r="G804" s="44">
        <v>350000</v>
      </c>
      <c r="H804" s="44">
        <v>6300000</v>
      </c>
      <c r="I804" s="42" t="s">
        <v>2421</v>
      </c>
      <c r="J804" s="42" t="s">
        <v>69</v>
      </c>
    </row>
    <row r="805" spans="1:10" x14ac:dyDescent="0.3">
      <c r="A805" s="42" t="s">
        <v>1378</v>
      </c>
      <c r="B805" s="43">
        <v>45799</v>
      </c>
      <c r="C805" s="42" t="s">
        <v>38</v>
      </c>
      <c r="D805" s="42" t="s">
        <v>39</v>
      </c>
      <c r="E805" s="42" t="s">
        <v>16</v>
      </c>
      <c r="F805" s="42">
        <v>24</v>
      </c>
      <c r="G805" s="44">
        <v>200000</v>
      </c>
      <c r="H805" s="44">
        <v>4800000</v>
      </c>
      <c r="I805" s="42" t="s">
        <v>2832</v>
      </c>
      <c r="J805" s="42" t="s">
        <v>69</v>
      </c>
    </row>
    <row r="806" spans="1:10" x14ac:dyDescent="0.3">
      <c r="A806" s="42" t="s">
        <v>1412</v>
      </c>
      <c r="B806" s="43">
        <v>45799</v>
      </c>
      <c r="C806" s="42" t="s">
        <v>42</v>
      </c>
      <c r="D806" s="42" t="s">
        <v>43</v>
      </c>
      <c r="E806" s="42" t="s">
        <v>16</v>
      </c>
      <c r="F806" s="42">
        <v>16</v>
      </c>
      <c r="G806" s="44">
        <v>1200000</v>
      </c>
      <c r="H806" s="44">
        <v>19200000</v>
      </c>
      <c r="I806" s="42" t="s">
        <v>2366</v>
      </c>
      <c r="J806" s="42" t="s">
        <v>8</v>
      </c>
    </row>
    <row r="807" spans="1:10" x14ac:dyDescent="0.3">
      <c r="A807" s="42" t="s">
        <v>1413</v>
      </c>
      <c r="B807" s="43">
        <v>45799</v>
      </c>
      <c r="C807" s="42" t="s">
        <v>10</v>
      </c>
      <c r="D807" s="42" t="s">
        <v>11</v>
      </c>
      <c r="E807" s="42" t="s">
        <v>12</v>
      </c>
      <c r="F807" s="42">
        <v>6</v>
      </c>
      <c r="G807" s="44">
        <v>120000</v>
      </c>
      <c r="H807" s="44">
        <v>720000</v>
      </c>
      <c r="I807" s="42" t="s">
        <v>2794</v>
      </c>
      <c r="J807" s="42" t="s">
        <v>69</v>
      </c>
    </row>
    <row r="808" spans="1:10" x14ac:dyDescent="0.3">
      <c r="A808" s="42" t="s">
        <v>1414</v>
      </c>
      <c r="B808" s="43">
        <v>45799</v>
      </c>
      <c r="C808" s="42" t="s">
        <v>40</v>
      </c>
      <c r="D808" s="42" t="s">
        <v>41</v>
      </c>
      <c r="E808" s="42" t="s">
        <v>16</v>
      </c>
      <c r="F808" s="42">
        <v>31</v>
      </c>
      <c r="G808" s="44">
        <v>950000</v>
      </c>
      <c r="H808" s="44">
        <v>29450000</v>
      </c>
      <c r="I808" s="42" t="s">
        <v>2540</v>
      </c>
      <c r="J808" s="42" t="s">
        <v>8</v>
      </c>
    </row>
    <row r="809" spans="1:10" x14ac:dyDescent="0.3">
      <c r="A809" s="42" t="s">
        <v>1415</v>
      </c>
      <c r="B809" s="43">
        <v>45805</v>
      </c>
      <c r="C809" s="42" t="s">
        <v>28</v>
      </c>
      <c r="D809" s="42" t="s">
        <v>29</v>
      </c>
      <c r="E809" s="42" t="s">
        <v>20</v>
      </c>
      <c r="F809" s="42">
        <v>24</v>
      </c>
      <c r="G809" s="44">
        <v>450000</v>
      </c>
      <c r="H809" s="44">
        <v>10800000</v>
      </c>
      <c r="I809" s="42" t="s">
        <v>2562</v>
      </c>
      <c r="J809" s="42" t="s">
        <v>8</v>
      </c>
    </row>
    <row r="810" spans="1:10" x14ac:dyDescent="0.3">
      <c r="A810" s="42" t="s">
        <v>1416</v>
      </c>
      <c r="B810" s="43">
        <v>45805</v>
      </c>
      <c r="C810" s="42" t="s">
        <v>44</v>
      </c>
      <c r="D810" s="42" t="s">
        <v>45</v>
      </c>
      <c r="E810" s="42" t="s">
        <v>16</v>
      </c>
      <c r="F810" s="42">
        <v>20</v>
      </c>
      <c r="G810" s="44">
        <v>250000</v>
      </c>
      <c r="H810" s="44">
        <v>5000000</v>
      </c>
      <c r="I810" s="42" t="s">
        <v>2700</v>
      </c>
      <c r="J810" s="42" t="s">
        <v>60</v>
      </c>
    </row>
    <row r="811" spans="1:10" x14ac:dyDescent="0.3">
      <c r="A811" s="42" t="s">
        <v>1417</v>
      </c>
      <c r="B811" s="43">
        <v>45805</v>
      </c>
      <c r="C811" s="42" t="s">
        <v>38</v>
      </c>
      <c r="D811" s="42" t="s">
        <v>39</v>
      </c>
      <c r="E811" s="42" t="s">
        <v>16</v>
      </c>
      <c r="F811" s="42">
        <v>18</v>
      </c>
      <c r="G811" s="44">
        <v>200000</v>
      </c>
      <c r="H811" s="44">
        <v>3600000</v>
      </c>
      <c r="I811" s="42" t="s">
        <v>2254</v>
      </c>
      <c r="J811" s="42" t="s">
        <v>8</v>
      </c>
    </row>
    <row r="812" spans="1:10" x14ac:dyDescent="0.3">
      <c r="A812" s="42" t="s">
        <v>1418</v>
      </c>
      <c r="B812" s="43">
        <v>45805</v>
      </c>
      <c r="C812" s="42" t="s">
        <v>42</v>
      </c>
      <c r="D812" s="42" t="s">
        <v>43</v>
      </c>
      <c r="E812" s="42" t="s">
        <v>16</v>
      </c>
      <c r="F812" s="42">
        <v>7</v>
      </c>
      <c r="G812" s="44">
        <v>1200000</v>
      </c>
      <c r="H812" s="44">
        <v>8400000</v>
      </c>
      <c r="I812" s="42" t="s">
        <v>2512</v>
      </c>
      <c r="J812" s="42" t="s">
        <v>47</v>
      </c>
    </row>
    <row r="813" spans="1:10" x14ac:dyDescent="0.3">
      <c r="A813" s="42" t="s">
        <v>1445</v>
      </c>
      <c r="B813" s="43">
        <v>45805</v>
      </c>
      <c r="C813" s="42" t="s">
        <v>44</v>
      </c>
      <c r="D813" s="42" t="s">
        <v>45</v>
      </c>
      <c r="E813" s="42" t="s">
        <v>16</v>
      </c>
      <c r="F813" s="42">
        <v>17</v>
      </c>
      <c r="G813" s="44">
        <v>250000</v>
      </c>
      <c r="H813" s="44">
        <v>4250000</v>
      </c>
      <c r="I813" s="42" t="s">
        <v>2269</v>
      </c>
      <c r="J813" s="42" t="s">
        <v>8</v>
      </c>
    </row>
    <row r="814" spans="1:10" x14ac:dyDescent="0.3">
      <c r="A814" s="42" t="s">
        <v>1446</v>
      </c>
      <c r="B814" s="43">
        <v>45805</v>
      </c>
      <c r="C814" s="42" t="s">
        <v>14</v>
      </c>
      <c r="D814" s="42" t="s">
        <v>15</v>
      </c>
      <c r="E814" s="42" t="s">
        <v>16</v>
      </c>
      <c r="F814" s="42">
        <v>22</v>
      </c>
      <c r="G814" s="44">
        <v>350000</v>
      </c>
      <c r="H814" s="44">
        <v>7700000</v>
      </c>
      <c r="I814" s="42" t="s">
        <v>2504</v>
      </c>
      <c r="J814" s="42" t="s">
        <v>127</v>
      </c>
    </row>
    <row r="815" spans="1:10" x14ac:dyDescent="0.3">
      <c r="A815" s="42" t="s">
        <v>1447</v>
      </c>
      <c r="B815" s="43">
        <v>45805</v>
      </c>
      <c r="C815" s="42" t="s">
        <v>10</v>
      </c>
      <c r="D815" s="42" t="s">
        <v>11</v>
      </c>
      <c r="E815" s="42" t="s">
        <v>12</v>
      </c>
      <c r="F815" s="42">
        <v>27</v>
      </c>
      <c r="G815" s="44">
        <v>120000</v>
      </c>
      <c r="H815" s="44">
        <v>3240000</v>
      </c>
      <c r="I815" s="42" t="s">
        <v>2522</v>
      </c>
      <c r="J815" s="42" t="s">
        <v>8</v>
      </c>
    </row>
    <row r="816" spans="1:10" x14ac:dyDescent="0.3">
      <c r="A816" s="42" t="s">
        <v>1485</v>
      </c>
      <c r="B816" s="43">
        <v>45805</v>
      </c>
      <c r="C816" s="42" t="s">
        <v>42</v>
      </c>
      <c r="D816" s="42" t="s">
        <v>43</v>
      </c>
      <c r="E816" s="42" t="s">
        <v>16</v>
      </c>
      <c r="F816" s="42">
        <v>25</v>
      </c>
      <c r="G816" s="44">
        <v>1200000</v>
      </c>
      <c r="H816" s="44">
        <v>30000000</v>
      </c>
      <c r="I816" s="42" t="s">
        <v>2750</v>
      </c>
      <c r="J816" s="42" t="s">
        <v>127</v>
      </c>
    </row>
    <row r="817" spans="1:10" x14ac:dyDescent="0.3">
      <c r="A817" s="42" t="s">
        <v>1486</v>
      </c>
      <c r="B817" s="43">
        <v>45805</v>
      </c>
      <c r="C817" s="42" t="s">
        <v>22</v>
      </c>
      <c r="D817" s="42" t="s">
        <v>23</v>
      </c>
      <c r="E817" s="42" t="s">
        <v>12</v>
      </c>
      <c r="F817" s="42">
        <v>23</v>
      </c>
      <c r="G817" s="44">
        <v>25000</v>
      </c>
      <c r="H817" s="44">
        <v>575000</v>
      </c>
      <c r="I817" s="42" t="s">
        <v>2158</v>
      </c>
      <c r="J817" s="42" t="s">
        <v>8</v>
      </c>
    </row>
    <row r="818" spans="1:10" x14ac:dyDescent="0.3">
      <c r="A818" s="42" t="s">
        <v>1487</v>
      </c>
      <c r="B818" s="43">
        <v>45805</v>
      </c>
      <c r="C818" s="42" t="s">
        <v>40</v>
      </c>
      <c r="D818" s="42" t="s">
        <v>41</v>
      </c>
      <c r="E818" s="42" t="s">
        <v>16</v>
      </c>
      <c r="F818" s="42">
        <v>5</v>
      </c>
      <c r="G818" s="44">
        <v>950000</v>
      </c>
      <c r="H818" s="44">
        <v>4750000</v>
      </c>
      <c r="I818" s="42" t="s">
        <v>2415</v>
      </c>
      <c r="J818" s="42" t="s">
        <v>8</v>
      </c>
    </row>
    <row r="819" spans="1:10" x14ac:dyDescent="0.3">
      <c r="A819" s="42" t="s">
        <v>1488</v>
      </c>
      <c r="B819" s="43">
        <v>45807</v>
      </c>
      <c r="C819" s="42" t="s">
        <v>31</v>
      </c>
      <c r="D819" s="42" t="s">
        <v>32</v>
      </c>
      <c r="E819" s="42" t="s">
        <v>20</v>
      </c>
      <c r="F819" s="42">
        <v>28</v>
      </c>
      <c r="G819" s="44">
        <v>180000</v>
      </c>
      <c r="H819" s="44">
        <v>5040000</v>
      </c>
      <c r="I819" s="42" t="s">
        <v>2569</v>
      </c>
      <c r="J819" s="42" t="s">
        <v>127</v>
      </c>
    </row>
    <row r="820" spans="1:10" x14ac:dyDescent="0.3">
      <c r="A820" s="42" t="s">
        <v>1489</v>
      </c>
      <c r="B820" s="43">
        <v>45807</v>
      </c>
      <c r="C820" s="42" t="s">
        <v>14</v>
      </c>
      <c r="D820" s="42" t="s">
        <v>15</v>
      </c>
      <c r="E820" s="42" t="s">
        <v>16</v>
      </c>
      <c r="F820" s="42">
        <v>35</v>
      </c>
      <c r="G820" s="44">
        <v>350000</v>
      </c>
      <c r="H820" s="44">
        <v>12250000</v>
      </c>
      <c r="I820" s="42" t="s">
        <v>2536</v>
      </c>
      <c r="J820" s="42" t="s">
        <v>127</v>
      </c>
    </row>
    <row r="821" spans="1:10" x14ac:dyDescent="0.3">
      <c r="A821" s="42" t="s">
        <v>1490</v>
      </c>
      <c r="B821" s="43">
        <v>45807</v>
      </c>
      <c r="C821" s="42" t="s">
        <v>38</v>
      </c>
      <c r="D821" s="42" t="s">
        <v>39</v>
      </c>
      <c r="E821" s="42" t="s">
        <v>16</v>
      </c>
      <c r="F821" s="42">
        <v>28</v>
      </c>
      <c r="G821" s="44">
        <v>200000</v>
      </c>
      <c r="H821" s="44">
        <v>5600000</v>
      </c>
      <c r="I821" s="42" t="s">
        <v>2773</v>
      </c>
      <c r="J821" s="42" t="s">
        <v>8</v>
      </c>
    </row>
    <row r="822" spans="1:10" x14ac:dyDescent="0.3">
      <c r="A822" s="42" t="s">
        <v>1534</v>
      </c>
      <c r="B822" s="43">
        <v>45807</v>
      </c>
      <c r="C822" s="42" t="s">
        <v>14</v>
      </c>
      <c r="D822" s="42" t="s">
        <v>15</v>
      </c>
      <c r="E822" s="42" t="s">
        <v>16</v>
      </c>
      <c r="F822" s="42">
        <v>160</v>
      </c>
      <c r="G822" s="44">
        <v>350000</v>
      </c>
      <c r="H822" s="44">
        <v>56000000</v>
      </c>
      <c r="I822" s="42" t="s">
        <v>2362</v>
      </c>
      <c r="J822" s="42" t="s">
        <v>8</v>
      </c>
    </row>
    <row r="823" spans="1:10" x14ac:dyDescent="0.3">
      <c r="A823" s="42" t="s">
        <v>1535</v>
      </c>
      <c r="B823" s="43">
        <v>45807</v>
      </c>
      <c r="C823" s="42" t="s">
        <v>14</v>
      </c>
      <c r="D823" s="42" t="s">
        <v>15</v>
      </c>
      <c r="E823" s="42" t="s">
        <v>16</v>
      </c>
      <c r="F823" s="42">
        <v>15</v>
      </c>
      <c r="G823" s="44">
        <v>350000</v>
      </c>
      <c r="H823" s="44">
        <v>5250000</v>
      </c>
      <c r="I823" s="42" t="s">
        <v>2297</v>
      </c>
      <c r="J823" s="42" t="s">
        <v>69</v>
      </c>
    </row>
    <row r="824" spans="1:10" x14ac:dyDescent="0.3">
      <c r="A824" s="42" t="s">
        <v>1536</v>
      </c>
      <c r="B824" s="43">
        <v>45807</v>
      </c>
      <c r="C824" s="42" t="s">
        <v>40</v>
      </c>
      <c r="D824" s="42" t="s">
        <v>41</v>
      </c>
      <c r="E824" s="42" t="s">
        <v>16</v>
      </c>
      <c r="F824" s="42">
        <v>7</v>
      </c>
      <c r="G824" s="44">
        <v>950000</v>
      </c>
      <c r="H824" s="44">
        <v>6650000</v>
      </c>
      <c r="I824" s="42" t="s">
        <v>2707</v>
      </c>
      <c r="J824" s="42" t="s">
        <v>127</v>
      </c>
    </row>
    <row r="825" spans="1:10" x14ac:dyDescent="0.3">
      <c r="A825" s="42" t="s">
        <v>1537</v>
      </c>
      <c r="B825" s="43">
        <v>45807</v>
      </c>
      <c r="C825" s="42" t="s">
        <v>44</v>
      </c>
      <c r="D825" s="42" t="s">
        <v>45</v>
      </c>
      <c r="E825" s="42" t="s">
        <v>16</v>
      </c>
      <c r="F825" s="42">
        <v>100</v>
      </c>
      <c r="G825" s="44">
        <v>250000</v>
      </c>
      <c r="H825" s="44">
        <v>25000000</v>
      </c>
      <c r="I825" s="42" t="s">
        <v>2779</v>
      </c>
      <c r="J825" s="42" t="s">
        <v>8</v>
      </c>
    </row>
    <row r="826" spans="1:10" x14ac:dyDescent="0.3">
      <c r="A826" s="42" t="s">
        <v>1538</v>
      </c>
      <c r="B826" s="43">
        <v>45807</v>
      </c>
      <c r="C826" s="42" t="s">
        <v>14</v>
      </c>
      <c r="D826" s="42" t="s">
        <v>15</v>
      </c>
      <c r="E826" s="42" t="s">
        <v>16</v>
      </c>
      <c r="F826" s="42">
        <v>21</v>
      </c>
      <c r="G826" s="44">
        <v>350000</v>
      </c>
      <c r="H826" s="44">
        <v>7350000</v>
      </c>
      <c r="I826" s="42" t="s">
        <v>2812</v>
      </c>
      <c r="J826" s="42" t="s">
        <v>47</v>
      </c>
    </row>
    <row r="827" spans="1:10" x14ac:dyDescent="0.3">
      <c r="A827" s="42" t="s">
        <v>1539</v>
      </c>
      <c r="B827" s="43">
        <v>45807</v>
      </c>
      <c r="C827" s="42" t="s">
        <v>31</v>
      </c>
      <c r="D827" s="42" t="s">
        <v>32</v>
      </c>
      <c r="E827" s="42" t="s">
        <v>20</v>
      </c>
      <c r="F827" s="42">
        <v>24</v>
      </c>
      <c r="G827" s="44">
        <v>180000</v>
      </c>
      <c r="H827" s="44">
        <v>4320000</v>
      </c>
      <c r="I827" s="42" t="s">
        <v>2581</v>
      </c>
      <c r="J827" s="42" t="s">
        <v>60</v>
      </c>
    </row>
    <row r="828" spans="1:10" x14ac:dyDescent="0.3">
      <c r="A828" s="42" t="s">
        <v>1540</v>
      </c>
      <c r="B828" s="43">
        <v>45807</v>
      </c>
      <c r="C828" s="42" t="s">
        <v>22</v>
      </c>
      <c r="D828" s="42" t="s">
        <v>23</v>
      </c>
      <c r="E828" s="42" t="s">
        <v>12</v>
      </c>
      <c r="F828" s="42">
        <v>150</v>
      </c>
      <c r="G828" s="44">
        <v>25000</v>
      </c>
      <c r="H828" s="44">
        <v>3750000</v>
      </c>
      <c r="I828" s="42" t="s">
        <v>2184</v>
      </c>
      <c r="J828" s="42" t="s">
        <v>127</v>
      </c>
    </row>
    <row r="829" spans="1:10" x14ac:dyDescent="0.3">
      <c r="A829" s="42" t="s">
        <v>1541</v>
      </c>
      <c r="B829" s="43">
        <v>45807</v>
      </c>
      <c r="C829" s="42" t="s">
        <v>10</v>
      </c>
      <c r="D829" s="42" t="s">
        <v>11</v>
      </c>
      <c r="E829" s="42" t="s">
        <v>12</v>
      </c>
      <c r="F829" s="42">
        <v>13</v>
      </c>
      <c r="G829" s="44">
        <v>120000</v>
      </c>
      <c r="H829" s="44">
        <v>1560000</v>
      </c>
      <c r="I829" s="42" t="s">
        <v>1431</v>
      </c>
      <c r="J829" s="42" t="s">
        <v>69</v>
      </c>
    </row>
    <row r="830" spans="1:10" x14ac:dyDescent="0.3">
      <c r="A830" s="42" t="s">
        <v>1566</v>
      </c>
      <c r="B830" s="43">
        <v>45807</v>
      </c>
      <c r="C830" s="42" t="s">
        <v>40</v>
      </c>
      <c r="D830" s="42" t="s">
        <v>41</v>
      </c>
      <c r="E830" s="42" t="s">
        <v>16</v>
      </c>
      <c r="F830" s="42">
        <v>44</v>
      </c>
      <c r="G830" s="44">
        <v>950000</v>
      </c>
      <c r="H830" s="44">
        <v>41800000</v>
      </c>
      <c r="I830" s="42" t="s">
        <v>2643</v>
      </c>
      <c r="J830" s="42" t="s">
        <v>60</v>
      </c>
    </row>
    <row r="831" spans="1:10" x14ac:dyDescent="0.3">
      <c r="A831" s="42" t="s">
        <v>1567</v>
      </c>
      <c r="B831" s="43">
        <v>45807</v>
      </c>
      <c r="C831" s="42" t="s">
        <v>10</v>
      </c>
      <c r="D831" s="42" t="s">
        <v>11</v>
      </c>
      <c r="E831" s="42" t="s">
        <v>12</v>
      </c>
      <c r="F831" s="42">
        <v>36</v>
      </c>
      <c r="G831" s="44">
        <v>120000</v>
      </c>
      <c r="H831" s="44">
        <v>4320000</v>
      </c>
      <c r="I831" s="42" t="s">
        <v>2343</v>
      </c>
      <c r="J831" s="42" t="s">
        <v>8</v>
      </c>
    </row>
    <row r="832" spans="1:10" x14ac:dyDescent="0.3">
      <c r="A832" s="42" t="s">
        <v>1568</v>
      </c>
      <c r="B832" s="43">
        <v>45807</v>
      </c>
      <c r="C832" s="42" t="s">
        <v>44</v>
      </c>
      <c r="D832" s="42" t="s">
        <v>45</v>
      </c>
      <c r="E832" s="42" t="s">
        <v>16</v>
      </c>
      <c r="F832" s="42">
        <v>29</v>
      </c>
      <c r="G832" s="44">
        <v>250000</v>
      </c>
      <c r="H832" s="44">
        <v>7250000</v>
      </c>
      <c r="I832" s="42" t="s">
        <v>2258</v>
      </c>
      <c r="J832" s="42" t="s">
        <v>127</v>
      </c>
    </row>
    <row r="833" spans="1:10" x14ac:dyDescent="0.3">
      <c r="A833" s="42" t="s">
        <v>1591</v>
      </c>
      <c r="B833" s="43">
        <v>45812</v>
      </c>
      <c r="C833" s="42" t="s">
        <v>28</v>
      </c>
      <c r="D833" s="42" t="s">
        <v>29</v>
      </c>
      <c r="E833" s="42" t="s">
        <v>20</v>
      </c>
      <c r="F833" s="42">
        <v>46</v>
      </c>
      <c r="G833" s="44">
        <v>450000</v>
      </c>
      <c r="H833" s="44">
        <v>20700000</v>
      </c>
      <c r="I833" s="42" t="s">
        <v>2716</v>
      </c>
      <c r="J833" s="42" t="s">
        <v>127</v>
      </c>
    </row>
    <row r="834" spans="1:10" x14ac:dyDescent="0.3">
      <c r="A834" s="42" t="s">
        <v>1592</v>
      </c>
      <c r="B834" s="43">
        <v>45812</v>
      </c>
      <c r="C834" s="42" t="s">
        <v>44</v>
      </c>
      <c r="D834" s="42" t="s">
        <v>45</v>
      </c>
      <c r="E834" s="42" t="s">
        <v>16</v>
      </c>
      <c r="F834" s="42">
        <v>25</v>
      </c>
      <c r="G834" s="44">
        <v>250000</v>
      </c>
      <c r="H834" s="44">
        <v>6250000</v>
      </c>
      <c r="I834" s="42" t="s">
        <v>2412</v>
      </c>
      <c r="J834" s="42" t="s">
        <v>69</v>
      </c>
    </row>
    <row r="835" spans="1:10" x14ac:dyDescent="0.3">
      <c r="A835" s="42" t="s">
        <v>1593</v>
      </c>
      <c r="B835" s="43">
        <v>45812</v>
      </c>
      <c r="C835" s="42" t="s">
        <v>22</v>
      </c>
      <c r="D835" s="42" t="s">
        <v>23</v>
      </c>
      <c r="E835" s="42" t="s">
        <v>12</v>
      </c>
      <c r="F835" s="42">
        <v>35</v>
      </c>
      <c r="G835" s="44">
        <v>25000</v>
      </c>
      <c r="H835" s="44">
        <v>875000</v>
      </c>
      <c r="I835" s="42" t="s">
        <v>2202</v>
      </c>
      <c r="J835" s="42" t="s">
        <v>8</v>
      </c>
    </row>
    <row r="836" spans="1:10" x14ac:dyDescent="0.3">
      <c r="A836" s="42" t="s">
        <v>1594</v>
      </c>
      <c r="B836" s="43">
        <v>45812</v>
      </c>
      <c r="C836" s="42" t="s">
        <v>38</v>
      </c>
      <c r="D836" s="42" t="s">
        <v>39</v>
      </c>
      <c r="E836" s="42" t="s">
        <v>16</v>
      </c>
      <c r="F836" s="42">
        <v>15</v>
      </c>
      <c r="G836" s="44">
        <v>200000</v>
      </c>
      <c r="H836" s="44">
        <v>3000000</v>
      </c>
      <c r="I836" s="42" t="s">
        <v>2507</v>
      </c>
      <c r="J836" s="42" t="s">
        <v>127</v>
      </c>
    </row>
    <row r="837" spans="1:10" x14ac:dyDescent="0.3">
      <c r="A837" s="42" t="s">
        <v>1595</v>
      </c>
      <c r="B837" s="43">
        <v>45812</v>
      </c>
      <c r="C837" s="42" t="s">
        <v>31</v>
      </c>
      <c r="D837" s="42" t="s">
        <v>32</v>
      </c>
      <c r="E837" s="42" t="s">
        <v>20</v>
      </c>
      <c r="F837" s="42">
        <v>26</v>
      </c>
      <c r="G837" s="44">
        <v>180000</v>
      </c>
      <c r="H837" s="44">
        <v>4680000</v>
      </c>
      <c r="I837" s="42" t="s">
        <v>2210</v>
      </c>
      <c r="J837" s="42" t="s">
        <v>127</v>
      </c>
    </row>
    <row r="838" spans="1:10" x14ac:dyDescent="0.3">
      <c r="A838" s="42" t="s">
        <v>1617</v>
      </c>
      <c r="B838" s="43">
        <v>45812</v>
      </c>
      <c r="C838" s="42" t="s">
        <v>31</v>
      </c>
      <c r="D838" s="42" t="s">
        <v>32</v>
      </c>
      <c r="E838" s="42" t="s">
        <v>20</v>
      </c>
      <c r="F838" s="42">
        <v>9</v>
      </c>
      <c r="G838" s="44">
        <v>180000</v>
      </c>
      <c r="H838" s="44">
        <v>1620000</v>
      </c>
      <c r="I838" s="42" t="s">
        <v>2641</v>
      </c>
      <c r="J838" s="42" t="s">
        <v>47</v>
      </c>
    </row>
    <row r="839" spans="1:10" x14ac:dyDescent="0.3">
      <c r="A839" s="42" t="s">
        <v>1618</v>
      </c>
      <c r="B839" s="43">
        <v>45812</v>
      </c>
      <c r="C839" s="42" t="s">
        <v>38</v>
      </c>
      <c r="D839" s="42" t="s">
        <v>39</v>
      </c>
      <c r="E839" s="42" t="s">
        <v>16</v>
      </c>
      <c r="F839" s="42">
        <v>37</v>
      </c>
      <c r="G839" s="44">
        <v>200000</v>
      </c>
      <c r="H839" s="44">
        <v>7400000</v>
      </c>
      <c r="I839" s="42" t="s">
        <v>2053</v>
      </c>
      <c r="J839" s="42" t="s">
        <v>8</v>
      </c>
    </row>
    <row r="840" spans="1:10" x14ac:dyDescent="0.3">
      <c r="A840" s="42" t="s">
        <v>1619</v>
      </c>
      <c r="B840" s="43">
        <v>45812</v>
      </c>
      <c r="C840" s="42" t="s">
        <v>44</v>
      </c>
      <c r="D840" s="42" t="s">
        <v>45</v>
      </c>
      <c r="E840" s="42" t="s">
        <v>16</v>
      </c>
      <c r="F840" s="42">
        <v>10</v>
      </c>
      <c r="G840" s="44">
        <v>250000</v>
      </c>
      <c r="H840" s="44">
        <v>2500000</v>
      </c>
      <c r="I840" s="42" t="s">
        <v>2207</v>
      </c>
      <c r="J840" s="42" t="s">
        <v>8</v>
      </c>
    </row>
    <row r="841" spans="1:10" x14ac:dyDescent="0.3">
      <c r="A841" s="42" t="s">
        <v>1620</v>
      </c>
      <c r="B841" s="43">
        <v>45812</v>
      </c>
      <c r="C841" s="42" t="s">
        <v>10</v>
      </c>
      <c r="D841" s="42" t="s">
        <v>11</v>
      </c>
      <c r="E841" s="42" t="s">
        <v>12</v>
      </c>
      <c r="F841" s="42">
        <v>46</v>
      </c>
      <c r="G841" s="44">
        <v>120000</v>
      </c>
      <c r="H841" s="44">
        <v>5520000</v>
      </c>
      <c r="I841" s="42" t="s">
        <v>792</v>
      </c>
      <c r="J841" s="42" t="s">
        <v>47</v>
      </c>
    </row>
    <row r="842" spans="1:10" x14ac:dyDescent="0.3">
      <c r="A842" s="42" t="s">
        <v>1621</v>
      </c>
      <c r="B842" s="43">
        <v>45812</v>
      </c>
      <c r="C842" s="42" t="s">
        <v>22</v>
      </c>
      <c r="D842" s="42" t="s">
        <v>23</v>
      </c>
      <c r="E842" s="42" t="s">
        <v>12</v>
      </c>
      <c r="F842" s="42">
        <v>21</v>
      </c>
      <c r="G842" s="44">
        <v>25000</v>
      </c>
      <c r="H842" s="44">
        <v>525000</v>
      </c>
      <c r="I842" s="42" t="s">
        <v>2445</v>
      </c>
      <c r="J842" s="42" t="s">
        <v>69</v>
      </c>
    </row>
    <row r="843" spans="1:10" x14ac:dyDescent="0.3">
      <c r="A843" s="42" t="s">
        <v>1654</v>
      </c>
      <c r="B843" s="43">
        <v>45812</v>
      </c>
      <c r="C843" s="42" t="s">
        <v>44</v>
      </c>
      <c r="D843" s="42" t="s">
        <v>45</v>
      </c>
      <c r="E843" s="42" t="s">
        <v>16</v>
      </c>
      <c r="F843" s="42">
        <v>49</v>
      </c>
      <c r="G843" s="44">
        <v>250000</v>
      </c>
      <c r="H843" s="44">
        <v>12250000</v>
      </c>
      <c r="I843" s="42" t="s">
        <v>2431</v>
      </c>
      <c r="J843" s="42" t="s">
        <v>127</v>
      </c>
    </row>
    <row r="844" spans="1:10" x14ac:dyDescent="0.3">
      <c r="A844" s="42" t="s">
        <v>1655</v>
      </c>
      <c r="B844" s="43">
        <v>45813</v>
      </c>
      <c r="C844" s="42" t="s">
        <v>28</v>
      </c>
      <c r="D844" s="42" t="s">
        <v>29</v>
      </c>
      <c r="E844" s="42" t="s">
        <v>20</v>
      </c>
      <c r="F844" s="42">
        <v>44</v>
      </c>
      <c r="G844" s="44">
        <v>450000</v>
      </c>
      <c r="H844" s="44">
        <v>19800000</v>
      </c>
      <c r="I844" s="42" t="s">
        <v>2376</v>
      </c>
      <c r="J844" s="42" t="s">
        <v>127</v>
      </c>
    </row>
    <row r="845" spans="1:10" x14ac:dyDescent="0.3">
      <c r="A845" s="42" t="s">
        <v>1656</v>
      </c>
      <c r="B845" s="43">
        <v>45813</v>
      </c>
      <c r="C845" s="42" t="s">
        <v>44</v>
      </c>
      <c r="D845" s="42" t="s">
        <v>45</v>
      </c>
      <c r="E845" s="42" t="s">
        <v>16</v>
      </c>
      <c r="F845" s="42">
        <v>4</v>
      </c>
      <c r="G845" s="44">
        <v>250000</v>
      </c>
      <c r="H845" s="44">
        <v>1000000</v>
      </c>
      <c r="I845" s="42" t="s">
        <v>2276</v>
      </c>
      <c r="J845" s="42" t="s">
        <v>8</v>
      </c>
    </row>
    <row r="846" spans="1:10" x14ac:dyDescent="0.3">
      <c r="A846" s="42" t="s">
        <v>1657</v>
      </c>
      <c r="B846" s="43">
        <v>45813</v>
      </c>
      <c r="C846" s="42" t="s">
        <v>40</v>
      </c>
      <c r="D846" s="42" t="s">
        <v>41</v>
      </c>
      <c r="E846" s="42" t="s">
        <v>16</v>
      </c>
      <c r="F846" s="42">
        <v>280</v>
      </c>
      <c r="G846" s="44">
        <v>950000</v>
      </c>
      <c r="H846" s="44">
        <v>266000000</v>
      </c>
      <c r="I846" s="42" t="s">
        <v>728</v>
      </c>
      <c r="J846" s="42" t="s">
        <v>47</v>
      </c>
    </row>
    <row r="847" spans="1:10" x14ac:dyDescent="0.3">
      <c r="A847" s="42" t="s">
        <v>1658</v>
      </c>
      <c r="B847" s="43">
        <v>45813</v>
      </c>
      <c r="C847" s="42" t="s">
        <v>14</v>
      </c>
      <c r="D847" s="42" t="s">
        <v>15</v>
      </c>
      <c r="E847" s="42" t="s">
        <v>16</v>
      </c>
      <c r="F847" s="42">
        <v>21</v>
      </c>
      <c r="G847" s="44">
        <v>350000</v>
      </c>
      <c r="H847" s="44">
        <v>7350000</v>
      </c>
      <c r="I847" s="42" t="s">
        <v>2129</v>
      </c>
      <c r="J847" s="42" t="s">
        <v>8</v>
      </c>
    </row>
    <row r="848" spans="1:10" x14ac:dyDescent="0.3">
      <c r="A848" s="42" t="s">
        <v>1659</v>
      </c>
      <c r="B848" s="43">
        <v>45813</v>
      </c>
      <c r="C848" s="42" t="s">
        <v>18</v>
      </c>
      <c r="D848" s="42" t="s">
        <v>19</v>
      </c>
      <c r="E848" s="42" t="s">
        <v>20</v>
      </c>
      <c r="F848" s="42">
        <v>110</v>
      </c>
      <c r="G848" s="44">
        <v>500000</v>
      </c>
      <c r="H848" s="44">
        <v>55000000</v>
      </c>
      <c r="I848" s="42" t="s">
        <v>2432</v>
      </c>
      <c r="J848" s="42" t="s">
        <v>8</v>
      </c>
    </row>
    <row r="849" spans="1:10" x14ac:dyDescent="0.3">
      <c r="A849" s="42" t="s">
        <v>1690</v>
      </c>
      <c r="B849" s="43">
        <v>45813</v>
      </c>
      <c r="C849" s="42" t="s">
        <v>28</v>
      </c>
      <c r="D849" s="42" t="s">
        <v>29</v>
      </c>
      <c r="E849" s="42" t="s">
        <v>20</v>
      </c>
      <c r="F849" s="42">
        <v>15</v>
      </c>
      <c r="G849" s="44">
        <v>450000</v>
      </c>
      <c r="H849" s="44">
        <v>6750000</v>
      </c>
      <c r="I849" s="42" t="s">
        <v>2482</v>
      </c>
      <c r="J849" s="42" t="s">
        <v>127</v>
      </c>
    </row>
    <row r="850" spans="1:10" x14ac:dyDescent="0.3">
      <c r="A850" s="42" t="s">
        <v>1691</v>
      </c>
      <c r="B850" s="43">
        <v>45813</v>
      </c>
      <c r="C850" s="42" t="s">
        <v>14</v>
      </c>
      <c r="D850" s="42" t="s">
        <v>15</v>
      </c>
      <c r="E850" s="42" t="s">
        <v>16</v>
      </c>
      <c r="F850" s="42">
        <v>10</v>
      </c>
      <c r="G850" s="44">
        <v>350000</v>
      </c>
      <c r="H850" s="44">
        <v>3500000</v>
      </c>
      <c r="I850" s="42" t="s">
        <v>2470</v>
      </c>
      <c r="J850" s="42" t="s">
        <v>60</v>
      </c>
    </row>
    <row r="851" spans="1:10" x14ac:dyDescent="0.3">
      <c r="A851" s="42" t="s">
        <v>1692</v>
      </c>
      <c r="B851" s="43">
        <v>45813</v>
      </c>
      <c r="C851" s="42" t="s">
        <v>38</v>
      </c>
      <c r="D851" s="42" t="s">
        <v>39</v>
      </c>
      <c r="E851" s="42" t="s">
        <v>16</v>
      </c>
      <c r="F851" s="42">
        <v>11</v>
      </c>
      <c r="G851" s="44">
        <v>200000</v>
      </c>
      <c r="H851" s="44">
        <v>2200000</v>
      </c>
      <c r="I851" s="42" t="s">
        <v>2448</v>
      </c>
      <c r="J851" s="42" t="s">
        <v>60</v>
      </c>
    </row>
    <row r="852" spans="1:10" x14ac:dyDescent="0.3">
      <c r="A852" s="42" t="s">
        <v>1693</v>
      </c>
      <c r="B852" s="43">
        <v>45813</v>
      </c>
      <c r="C852" s="42" t="s">
        <v>44</v>
      </c>
      <c r="D852" s="42" t="s">
        <v>45</v>
      </c>
      <c r="E852" s="42" t="s">
        <v>16</v>
      </c>
      <c r="F852" s="42">
        <v>23</v>
      </c>
      <c r="G852" s="44">
        <v>250000</v>
      </c>
      <c r="H852" s="44">
        <v>5750000</v>
      </c>
      <c r="I852" s="42" t="s">
        <v>2230</v>
      </c>
      <c r="J852" s="42" t="s">
        <v>47</v>
      </c>
    </row>
    <row r="853" spans="1:10" x14ac:dyDescent="0.3">
      <c r="A853" s="42" t="s">
        <v>1694</v>
      </c>
      <c r="B853" s="43">
        <v>45817</v>
      </c>
      <c r="C853" s="42" t="s">
        <v>38</v>
      </c>
      <c r="D853" s="42" t="s">
        <v>39</v>
      </c>
      <c r="E853" s="42" t="s">
        <v>16</v>
      </c>
      <c r="F853" s="42">
        <v>100</v>
      </c>
      <c r="G853" s="44">
        <v>200000</v>
      </c>
      <c r="H853" s="44">
        <v>20000000</v>
      </c>
      <c r="I853" s="42" t="s">
        <v>2779</v>
      </c>
      <c r="J853" s="42" t="s">
        <v>8</v>
      </c>
    </row>
    <row r="854" spans="1:10" x14ac:dyDescent="0.3">
      <c r="A854" s="42" t="s">
        <v>1695</v>
      </c>
      <c r="B854" s="43">
        <v>45817</v>
      </c>
      <c r="C854" s="42" t="s">
        <v>22</v>
      </c>
      <c r="D854" s="42" t="s">
        <v>23</v>
      </c>
      <c r="E854" s="42" t="s">
        <v>12</v>
      </c>
      <c r="F854" s="42">
        <v>22</v>
      </c>
      <c r="G854" s="44">
        <v>25000</v>
      </c>
      <c r="H854" s="44">
        <v>550000</v>
      </c>
      <c r="I854" s="42" t="s">
        <v>2202</v>
      </c>
      <c r="J854" s="42" t="s">
        <v>8</v>
      </c>
    </row>
    <row r="855" spans="1:10" x14ac:dyDescent="0.3">
      <c r="A855" s="42" t="s">
        <v>1727</v>
      </c>
      <c r="B855" s="43">
        <v>45817</v>
      </c>
      <c r="C855" s="42" t="s">
        <v>40</v>
      </c>
      <c r="D855" s="42" t="s">
        <v>41</v>
      </c>
      <c r="E855" s="42" t="s">
        <v>16</v>
      </c>
      <c r="F855" s="42">
        <v>5</v>
      </c>
      <c r="G855" s="44">
        <v>950000</v>
      </c>
      <c r="H855" s="44">
        <v>4750000</v>
      </c>
      <c r="I855" s="42" t="s">
        <v>2427</v>
      </c>
      <c r="J855" s="42" t="s">
        <v>8</v>
      </c>
    </row>
    <row r="856" spans="1:10" x14ac:dyDescent="0.3">
      <c r="A856" s="42" t="s">
        <v>1728</v>
      </c>
      <c r="B856" s="43">
        <v>45817</v>
      </c>
      <c r="C856" s="42" t="s">
        <v>44</v>
      </c>
      <c r="D856" s="42" t="s">
        <v>45</v>
      </c>
      <c r="E856" s="42" t="s">
        <v>16</v>
      </c>
      <c r="F856" s="42">
        <v>28</v>
      </c>
      <c r="G856" s="44">
        <v>250000</v>
      </c>
      <c r="H856" s="44">
        <v>7000000</v>
      </c>
      <c r="I856" s="42" t="s">
        <v>1584</v>
      </c>
      <c r="J856" s="42" t="s">
        <v>127</v>
      </c>
    </row>
    <row r="857" spans="1:10" x14ac:dyDescent="0.3">
      <c r="A857" s="42" t="s">
        <v>1729</v>
      </c>
      <c r="B857" s="43">
        <v>45817</v>
      </c>
      <c r="C857" s="42" t="s">
        <v>38</v>
      </c>
      <c r="D857" s="42" t="s">
        <v>39</v>
      </c>
      <c r="E857" s="42" t="s">
        <v>16</v>
      </c>
      <c r="F857" s="42">
        <v>100</v>
      </c>
      <c r="G857" s="44">
        <v>200000</v>
      </c>
      <c r="H857" s="44">
        <v>20000000</v>
      </c>
      <c r="I857" s="42" t="s">
        <v>2779</v>
      </c>
      <c r="J857" s="42" t="s">
        <v>8</v>
      </c>
    </row>
    <row r="858" spans="1:10" x14ac:dyDescent="0.3">
      <c r="A858" s="42" t="s">
        <v>1730</v>
      </c>
      <c r="B858" s="43">
        <v>45817</v>
      </c>
      <c r="C858" s="42" t="s">
        <v>40</v>
      </c>
      <c r="D858" s="42" t="s">
        <v>41</v>
      </c>
      <c r="E858" s="42" t="s">
        <v>16</v>
      </c>
      <c r="F858" s="42">
        <v>28</v>
      </c>
      <c r="G858" s="44">
        <v>950000</v>
      </c>
      <c r="H858" s="44">
        <v>26600000</v>
      </c>
      <c r="I858" s="42" t="s">
        <v>2476</v>
      </c>
      <c r="J858" s="42" t="s">
        <v>47</v>
      </c>
    </row>
    <row r="859" spans="1:10" x14ac:dyDescent="0.3">
      <c r="A859" s="42" t="s">
        <v>1731</v>
      </c>
      <c r="B859" s="43">
        <v>45817</v>
      </c>
      <c r="C859" s="42" t="s">
        <v>31</v>
      </c>
      <c r="D859" s="42" t="s">
        <v>32</v>
      </c>
      <c r="E859" s="42" t="s">
        <v>20</v>
      </c>
      <c r="F859" s="42">
        <v>18</v>
      </c>
      <c r="G859" s="44">
        <v>180000</v>
      </c>
      <c r="H859" s="44">
        <v>3240000</v>
      </c>
      <c r="I859" s="42" t="s">
        <v>2672</v>
      </c>
      <c r="J859" s="42" t="s">
        <v>47</v>
      </c>
    </row>
    <row r="860" spans="1:10" x14ac:dyDescent="0.3">
      <c r="A860" s="42" t="s">
        <v>1732</v>
      </c>
      <c r="B860" s="43">
        <v>45817</v>
      </c>
      <c r="C860" s="42" t="s">
        <v>14</v>
      </c>
      <c r="D860" s="42" t="s">
        <v>15</v>
      </c>
      <c r="E860" s="42" t="s">
        <v>16</v>
      </c>
      <c r="F860" s="42">
        <v>39</v>
      </c>
      <c r="G860" s="44">
        <v>350000</v>
      </c>
      <c r="H860" s="44">
        <v>13650000</v>
      </c>
      <c r="I860" s="42" t="s">
        <v>2026</v>
      </c>
      <c r="J860" s="42" t="s">
        <v>47</v>
      </c>
    </row>
    <row r="861" spans="1:10" x14ac:dyDescent="0.3">
      <c r="A861" s="42" t="s">
        <v>1733</v>
      </c>
      <c r="B861" s="43">
        <v>45817</v>
      </c>
      <c r="C861" s="42" t="s">
        <v>14</v>
      </c>
      <c r="D861" s="42" t="s">
        <v>15</v>
      </c>
      <c r="E861" s="42" t="s">
        <v>16</v>
      </c>
      <c r="F861" s="42">
        <v>27</v>
      </c>
      <c r="G861" s="44">
        <v>350000</v>
      </c>
      <c r="H861" s="44">
        <v>9450000</v>
      </c>
      <c r="I861" s="42" t="s">
        <v>2831</v>
      </c>
      <c r="J861" s="42" t="s">
        <v>8</v>
      </c>
    </row>
    <row r="862" spans="1:10" x14ac:dyDescent="0.3">
      <c r="A862" s="42" t="s">
        <v>1734</v>
      </c>
      <c r="B862" s="43">
        <v>45817</v>
      </c>
      <c r="C862" s="42" t="s">
        <v>40</v>
      </c>
      <c r="D862" s="42" t="s">
        <v>41</v>
      </c>
      <c r="E862" s="42" t="s">
        <v>16</v>
      </c>
      <c r="F862" s="42">
        <v>340</v>
      </c>
      <c r="G862" s="44">
        <v>950000</v>
      </c>
      <c r="H862" s="44">
        <v>323000000</v>
      </c>
      <c r="I862" s="42" t="s">
        <v>2604</v>
      </c>
      <c r="J862" s="42" t="s">
        <v>47</v>
      </c>
    </row>
    <row r="863" spans="1:10" x14ac:dyDescent="0.3">
      <c r="A863" s="42" t="s">
        <v>1768</v>
      </c>
      <c r="B863" s="43">
        <v>45817</v>
      </c>
      <c r="C863" s="42" t="s">
        <v>44</v>
      </c>
      <c r="D863" s="42" t="s">
        <v>45</v>
      </c>
      <c r="E863" s="42" t="s">
        <v>16</v>
      </c>
      <c r="F863" s="42">
        <v>28</v>
      </c>
      <c r="G863" s="44">
        <v>250000</v>
      </c>
      <c r="H863" s="44">
        <v>7000000</v>
      </c>
      <c r="I863" s="42" t="s">
        <v>878</v>
      </c>
      <c r="J863" s="42" t="s">
        <v>8</v>
      </c>
    </row>
    <row r="864" spans="1:10" x14ac:dyDescent="0.3">
      <c r="A864" s="42" t="s">
        <v>1769</v>
      </c>
      <c r="B864" s="43">
        <v>45817</v>
      </c>
      <c r="C864" s="42" t="s">
        <v>42</v>
      </c>
      <c r="D864" s="42" t="s">
        <v>43</v>
      </c>
      <c r="E864" s="42" t="s">
        <v>16</v>
      </c>
      <c r="F864" s="42">
        <v>490</v>
      </c>
      <c r="G864" s="44">
        <v>1200000</v>
      </c>
      <c r="H864" s="44">
        <v>588000000</v>
      </c>
      <c r="I864" s="42" t="s">
        <v>2432</v>
      </c>
      <c r="J864" s="42" t="s">
        <v>8</v>
      </c>
    </row>
    <row r="865" spans="1:10" x14ac:dyDescent="0.3">
      <c r="A865" s="42" t="s">
        <v>1770</v>
      </c>
      <c r="B865" s="43">
        <v>45817</v>
      </c>
      <c r="C865" s="42" t="s">
        <v>31</v>
      </c>
      <c r="D865" s="42" t="s">
        <v>32</v>
      </c>
      <c r="E865" s="42" t="s">
        <v>20</v>
      </c>
      <c r="F865" s="42">
        <v>370</v>
      </c>
      <c r="G865" s="44">
        <v>180000</v>
      </c>
      <c r="H865" s="44">
        <v>66600000</v>
      </c>
      <c r="I865" s="42" t="s">
        <v>2429</v>
      </c>
      <c r="J865" s="42" t="s">
        <v>127</v>
      </c>
    </row>
    <row r="866" spans="1:10" x14ac:dyDescent="0.3">
      <c r="A866" s="42" t="s">
        <v>1800</v>
      </c>
      <c r="B866" s="43">
        <v>45817</v>
      </c>
      <c r="C866" s="42" t="s">
        <v>10</v>
      </c>
      <c r="D866" s="42" t="s">
        <v>11</v>
      </c>
      <c r="E866" s="42" t="s">
        <v>12</v>
      </c>
      <c r="F866" s="42">
        <v>44</v>
      </c>
      <c r="G866" s="44">
        <v>120000</v>
      </c>
      <c r="H866" s="44">
        <v>5280000</v>
      </c>
      <c r="I866" s="42" t="s">
        <v>2728</v>
      </c>
      <c r="J866" s="42" t="s">
        <v>47</v>
      </c>
    </row>
    <row r="867" spans="1:10" x14ac:dyDescent="0.3">
      <c r="A867" s="42" t="s">
        <v>1801</v>
      </c>
      <c r="B867" s="43">
        <v>45819</v>
      </c>
      <c r="C867" s="42" t="s">
        <v>38</v>
      </c>
      <c r="D867" s="42" t="s">
        <v>39</v>
      </c>
      <c r="E867" s="42" t="s">
        <v>16</v>
      </c>
      <c r="F867" s="42">
        <v>440</v>
      </c>
      <c r="G867" s="44">
        <v>200000</v>
      </c>
      <c r="H867" s="44">
        <v>88000000</v>
      </c>
      <c r="I867" s="42" t="s">
        <v>2618</v>
      </c>
      <c r="J867" s="42" t="s">
        <v>8</v>
      </c>
    </row>
    <row r="868" spans="1:10" x14ac:dyDescent="0.3">
      <c r="A868" s="42" t="s">
        <v>1802</v>
      </c>
      <c r="B868" s="43">
        <v>45819</v>
      </c>
      <c r="C868" s="42" t="s">
        <v>28</v>
      </c>
      <c r="D868" s="42" t="s">
        <v>29</v>
      </c>
      <c r="E868" s="42" t="s">
        <v>20</v>
      </c>
      <c r="F868" s="42">
        <v>40</v>
      </c>
      <c r="G868" s="44">
        <v>450000</v>
      </c>
      <c r="H868" s="44">
        <v>18000000</v>
      </c>
      <c r="I868" s="42" t="s">
        <v>2289</v>
      </c>
      <c r="J868" s="42" t="s">
        <v>127</v>
      </c>
    </row>
    <row r="869" spans="1:10" x14ac:dyDescent="0.3">
      <c r="A869" s="42" t="s">
        <v>1803</v>
      </c>
      <c r="B869" s="43">
        <v>45819</v>
      </c>
      <c r="C869" s="42" t="s">
        <v>14</v>
      </c>
      <c r="D869" s="42" t="s">
        <v>15</v>
      </c>
      <c r="E869" s="42" t="s">
        <v>16</v>
      </c>
      <c r="F869" s="42">
        <v>46</v>
      </c>
      <c r="G869" s="44">
        <v>350000</v>
      </c>
      <c r="H869" s="44">
        <v>16100000</v>
      </c>
      <c r="I869" s="42" t="s">
        <v>2186</v>
      </c>
      <c r="J869" s="42" t="s">
        <v>69</v>
      </c>
    </row>
    <row r="870" spans="1:10" x14ac:dyDescent="0.3">
      <c r="A870" s="42" t="s">
        <v>1832</v>
      </c>
      <c r="B870" s="43">
        <v>45819</v>
      </c>
      <c r="C870" s="42" t="s">
        <v>42</v>
      </c>
      <c r="D870" s="42" t="s">
        <v>43</v>
      </c>
      <c r="E870" s="42" t="s">
        <v>16</v>
      </c>
      <c r="F870" s="42">
        <v>310</v>
      </c>
      <c r="G870" s="44">
        <v>1200000</v>
      </c>
      <c r="H870" s="44">
        <v>372000000</v>
      </c>
      <c r="I870" s="42" t="s">
        <v>2197</v>
      </c>
      <c r="J870" s="42" t="s">
        <v>8</v>
      </c>
    </row>
    <row r="871" spans="1:10" x14ac:dyDescent="0.3">
      <c r="A871" s="42" t="s">
        <v>1833</v>
      </c>
      <c r="B871" s="43">
        <v>45819</v>
      </c>
      <c r="C871" s="42" t="s">
        <v>14</v>
      </c>
      <c r="D871" s="42" t="s">
        <v>15</v>
      </c>
      <c r="E871" s="42" t="s">
        <v>16</v>
      </c>
      <c r="F871" s="42">
        <v>14</v>
      </c>
      <c r="G871" s="44">
        <v>350000</v>
      </c>
      <c r="H871" s="44">
        <v>4900000</v>
      </c>
      <c r="I871" s="42" t="s">
        <v>2741</v>
      </c>
      <c r="J871" s="42" t="s">
        <v>60</v>
      </c>
    </row>
    <row r="872" spans="1:10" x14ac:dyDescent="0.3">
      <c r="A872" s="42" t="s">
        <v>1834</v>
      </c>
      <c r="B872" s="43">
        <v>45819</v>
      </c>
      <c r="C872" s="42" t="s">
        <v>10</v>
      </c>
      <c r="D872" s="42" t="s">
        <v>11</v>
      </c>
      <c r="E872" s="42" t="s">
        <v>12</v>
      </c>
      <c r="F872" s="42">
        <v>50</v>
      </c>
      <c r="G872" s="44">
        <v>120000</v>
      </c>
      <c r="H872" s="44">
        <v>6000000</v>
      </c>
      <c r="I872" s="42" t="s">
        <v>2551</v>
      </c>
      <c r="J872" s="42" t="s">
        <v>8</v>
      </c>
    </row>
    <row r="873" spans="1:10" x14ac:dyDescent="0.3">
      <c r="A873" s="42" t="s">
        <v>1835</v>
      </c>
      <c r="B873" s="43">
        <v>45819</v>
      </c>
      <c r="C873" s="42" t="s">
        <v>40</v>
      </c>
      <c r="D873" s="42" t="s">
        <v>41</v>
      </c>
      <c r="E873" s="42" t="s">
        <v>16</v>
      </c>
      <c r="F873" s="42">
        <v>25</v>
      </c>
      <c r="G873" s="44">
        <v>950000</v>
      </c>
      <c r="H873" s="44">
        <v>23750000</v>
      </c>
      <c r="I873" s="42" t="s">
        <v>2580</v>
      </c>
      <c r="J873" s="42" t="s">
        <v>60</v>
      </c>
    </row>
    <row r="874" spans="1:10" x14ac:dyDescent="0.3">
      <c r="A874" s="42" t="s">
        <v>1836</v>
      </c>
      <c r="B874" s="43">
        <v>45820</v>
      </c>
      <c r="C874" s="42" t="s">
        <v>14</v>
      </c>
      <c r="D874" s="42" t="s">
        <v>15</v>
      </c>
      <c r="E874" s="42" t="s">
        <v>16</v>
      </c>
      <c r="F874" s="42">
        <v>45</v>
      </c>
      <c r="G874" s="44">
        <v>350000</v>
      </c>
      <c r="H874" s="44">
        <v>15750000</v>
      </c>
      <c r="I874" s="42" t="s">
        <v>2823</v>
      </c>
      <c r="J874" s="42" t="s">
        <v>69</v>
      </c>
    </row>
    <row r="875" spans="1:10" x14ac:dyDescent="0.3">
      <c r="A875" s="42" t="s">
        <v>1837</v>
      </c>
      <c r="B875" s="43">
        <v>45820</v>
      </c>
      <c r="C875" s="42" t="s">
        <v>40</v>
      </c>
      <c r="D875" s="42" t="s">
        <v>41</v>
      </c>
      <c r="E875" s="42" t="s">
        <v>16</v>
      </c>
      <c r="F875" s="42">
        <v>29</v>
      </c>
      <c r="G875" s="44">
        <v>950000</v>
      </c>
      <c r="H875" s="44">
        <v>27550000</v>
      </c>
      <c r="I875" s="42" t="s">
        <v>2752</v>
      </c>
      <c r="J875" s="42" t="s">
        <v>127</v>
      </c>
    </row>
    <row r="876" spans="1:10" x14ac:dyDescent="0.3">
      <c r="A876" s="42" t="s">
        <v>1863</v>
      </c>
      <c r="B876" s="43">
        <v>45820</v>
      </c>
      <c r="C876" s="42" t="s">
        <v>10</v>
      </c>
      <c r="D876" s="42" t="s">
        <v>11</v>
      </c>
      <c r="E876" s="42" t="s">
        <v>12</v>
      </c>
      <c r="F876" s="42">
        <v>46</v>
      </c>
      <c r="G876" s="44">
        <v>120000</v>
      </c>
      <c r="H876" s="44">
        <v>5520000</v>
      </c>
      <c r="I876" s="42" t="s">
        <v>2376</v>
      </c>
      <c r="J876" s="42" t="s">
        <v>127</v>
      </c>
    </row>
    <row r="877" spans="1:10" x14ac:dyDescent="0.3">
      <c r="A877" s="42" t="s">
        <v>1864</v>
      </c>
      <c r="B877" s="43">
        <v>45820</v>
      </c>
      <c r="C877" s="42" t="s">
        <v>10</v>
      </c>
      <c r="D877" s="42" t="s">
        <v>11</v>
      </c>
      <c r="E877" s="42" t="s">
        <v>12</v>
      </c>
      <c r="F877" s="42">
        <v>7</v>
      </c>
      <c r="G877" s="44">
        <v>120000</v>
      </c>
      <c r="H877" s="44">
        <v>840000</v>
      </c>
      <c r="I877" s="42" t="s">
        <v>2669</v>
      </c>
      <c r="J877" s="42" t="s">
        <v>8</v>
      </c>
    </row>
    <row r="878" spans="1:10" x14ac:dyDescent="0.3">
      <c r="A878" s="42" t="s">
        <v>1865</v>
      </c>
      <c r="B878" s="43">
        <v>45820</v>
      </c>
      <c r="C878" s="42" t="s">
        <v>44</v>
      </c>
      <c r="D878" s="42" t="s">
        <v>45</v>
      </c>
      <c r="E878" s="42" t="s">
        <v>16</v>
      </c>
      <c r="F878" s="42">
        <v>23</v>
      </c>
      <c r="G878" s="44">
        <v>250000</v>
      </c>
      <c r="H878" s="44">
        <v>5750000</v>
      </c>
      <c r="I878" s="42" t="s">
        <v>2279</v>
      </c>
      <c r="J878" s="42" t="s">
        <v>60</v>
      </c>
    </row>
    <row r="879" spans="1:10" x14ac:dyDescent="0.3">
      <c r="A879" s="42" t="s">
        <v>1866</v>
      </c>
      <c r="B879" s="43">
        <v>45820</v>
      </c>
      <c r="C879" s="42" t="s">
        <v>22</v>
      </c>
      <c r="D879" s="42" t="s">
        <v>23</v>
      </c>
      <c r="E879" s="42" t="s">
        <v>12</v>
      </c>
      <c r="F879" s="42">
        <v>47</v>
      </c>
      <c r="G879" s="44">
        <v>25000</v>
      </c>
      <c r="H879" s="44">
        <v>1175000</v>
      </c>
      <c r="I879" s="42" t="s">
        <v>2615</v>
      </c>
      <c r="J879" s="42" t="s">
        <v>69</v>
      </c>
    </row>
    <row r="880" spans="1:10" x14ac:dyDescent="0.3">
      <c r="A880" s="42" t="s">
        <v>1867</v>
      </c>
      <c r="B880" s="43">
        <v>45820</v>
      </c>
      <c r="C880" s="42" t="s">
        <v>31</v>
      </c>
      <c r="D880" s="42" t="s">
        <v>32</v>
      </c>
      <c r="E880" s="42" t="s">
        <v>20</v>
      </c>
      <c r="F880" s="42">
        <v>18</v>
      </c>
      <c r="G880" s="44">
        <v>180000</v>
      </c>
      <c r="H880" s="44">
        <v>3240000</v>
      </c>
      <c r="I880" s="42" t="s">
        <v>2320</v>
      </c>
      <c r="J880" s="42" t="s">
        <v>47</v>
      </c>
    </row>
    <row r="881" spans="1:10" x14ac:dyDescent="0.3">
      <c r="A881" s="42" t="s">
        <v>1868</v>
      </c>
      <c r="B881" s="43">
        <v>45820</v>
      </c>
      <c r="C881" s="42" t="s">
        <v>28</v>
      </c>
      <c r="D881" s="42" t="s">
        <v>29</v>
      </c>
      <c r="E881" s="42" t="s">
        <v>20</v>
      </c>
      <c r="F881" s="42">
        <v>33</v>
      </c>
      <c r="G881" s="44">
        <v>450000</v>
      </c>
      <c r="H881" s="44">
        <v>14850000</v>
      </c>
      <c r="I881" s="42" t="s">
        <v>771</v>
      </c>
      <c r="J881" s="42" t="s">
        <v>69</v>
      </c>
    </row>
    <row r="882" spans="1:10" x14ac:dyDescent="0.3">
      <c r="A882" s="42" t="s">
        <v>1869</v>
      </c>
      <c r="B882" s="43">
        <v>45821</v>
      </c>
      <c r="C882" s="42" t="s">
        <v>22</v>
      </c>
      <c r="D882" s="42" t="s">
        <v>23</v>
      </c>
      <c r="E882" s="42" t="s">
        <v>12</v>
      </c>
      <c r="F882" s="42">
        <v>40</v>
      </c>
      <c r="G882" s="44">
        <v>25000</v>
      </c>
      <c r="H882" s="44">
        <v>1000000</v>
      </c>
      <c r="I882" s="42" t="s">
        <v>2588</v>
      </c>
      <c r="J882" s="42" t="s">
        <v>47</v>
      </c>
    </row>
    <row r="883" spans="1:10" x14ac:dyDescent="0.3">
      <c r="A883" s="42" t="s">
        <v>1870</v>
      </c>
      <c r="B883" s="43">
        <v>45821</v>
      </c>
      <c r="C883" s="42" t="s">
        <v>18</v>
      </c>
      <c r="D883" s="42" t="s">
        <v>19</v>
      </c>
      <c r="E883" s="42" t="s">
        <v>20</v>
      </c>
      <c r="F883" s="42">
        <v>370</v>
      </c>
      <c r="G883" s="44">
        <v>500000</v>
      </c>
      <c r="H883" s="44">
        <v>185000000</v>
      </c>
      <c r="I883" s="42" t="s">
        <v>2688</v>
      </c>
      <c r="J883" s="42" t="s">
        <v>60</v>
      </c>
    </row>
    <row r="884" spans="1:10" x14ac:dyDescent="0.3">
      <c r="A884" s="42" t="s">
        <v>1890</v>
      </c>
      <c r="B884" s="43">
        <v>45821</v>
      </c>
      <c r="C884" s="42" t="s">
        <v>40</v>
      </c>
      <c r="D884" s="42" t="s">
        <v>41</v>
      </c>
      <c r="E884" s="42" t="s">
        <v>16</v>
      </c>
      <c r="F884" s="42">
        <v>7</v>
      </c>
      <c r="G884" s="44">
        <v>950000</v>
      </c>
      <c r="H884" s="44">
        <v>6650000</v>
      </c>
      <c r="I884" s="42" t="s">
        <v>2206</v>
      </c>
      <c r="J884" s="42" t="s">
        <v>8</v>
      </c>
    </row>
    <row r="885" spans="1:10" x14ac:dyDescent="0.3">
      <c r="A885" s="42" t="s">
        <v>1891</v>
      </c>
      <c r="B885" s="43">
        <v>45821</v>
      </c>
      <c r="C885" s="42" t="s">
        <v>22</v>
      </c>
      <c r="D885" s="42" t="s">
        <v>23</v>
      </c>
      <c r="E885" s="42" t="s">
        <v>12</v>
      </c>
      <c r="F885" s="42">
        <v>39</v>
      </c>
      <c r="G885" s="44">
        <v>25000</v>
      </c>
      <c r="H885" s="44">
        <v>975000</v>
      </c>
      <c r="I885" s="42" t="s">
        <v>2808</v>
      </c>
      <c r="J885" s="42" t="s">
        <v>8</v>
      </c>
    </row>
    <row r="886" spans="1:10" x14ac:dyDescent="0.3">
      <c r="A886" s="42" t="s">
        <v>1892</v>
      </c>
      <c r="B886" s="43">
        <v>45821</v>
      </c>
      <c r="C886" s="42" t="s">
        <v>31</v>
      </c>
      <c r="D886" s="42" t="s">
        <v>32</v>
      </c>
      <c r="E886" s="42" t="s">
        <v>20</v>
      </c>
      <c r="F886" s="42">
        <v>6</v>
      </c>
      <c r="G886" s="44">
        <v>180000</v>
      </c>
      <c r="H886" s="44">
        <v>1080000</v>
      </c>
      <c r="I886" s="42" t="s">
        <v>2555</v>
      </c>
      <c r="J886" s="42" t="s">
        <v>127</v>
      </c>
    </row>
    <row r="887" spans="1:10" x14ac:dyDescent="0.3">
      <c r="A887" s="42" t="s">
        <v>1904</v>
      </c>
      <c r="B887" s="43">
        <v>45821</v>
      </c>
      <c r="C887" s="42" t="s">
        <v>22</v>
      </c>
      <c r="D887" s="42" t="s">
        <v>23</v>
      </c>
      <c r="E887" s="42" t="s">
        <v>12</v>
      </c>
      <c r="F887" s="42">
        <v>26</v>
      </c>
      <c r="G887" s="44">
        <v>25000</v>
      </c>
      <c r="H887" s="44">
        <v>650000</v>
      </c>
      <c r="I887" s="42" t="s">
        <v>2620</v>
      </c>
      <c r="J887" s="42" t="s">
        <v>127</v>
      </c>
    </row>
    <row r="888" spans="1:10" x14ac:dyDescent="0.3">
      <c r="A888" s="42" t="s">
        <v>1905</v>
      </c>
      <c r="B888" s="43">
        <v>45821</v>
      </c>
      <c r="C888" s="42" t="s">
        <v>42</v>
      </c>
      <c r="D888" s="42" t="s">
        <v>43</v>
      </c>
      <c r="E888" s="42" t="s">
        <v>16</v>
      </c>
      <c r="F888" s="42">
        <v>11</v>
      </c>
      <c r="G888" s="44">
        <v>1200000</v>
      </c>
      <c r="H888" s="44">
        <v>13200000</v>
      </c>
      <c r="I888" s="42" t="s">
        <v>2629</v>
      </c>
      <c r="J888" s="42" t="s">
        <v>8</v>
      </c>
    </row>
    <row r="889" spans="1:10" x14ac:dyDescent="0.3">
      <c r="A889" s="42" t="s">
        <v>1917</v>
      </c>
      <c r="B889" s="43">
        <v>45821</v>
      </c>
      <c r="C889" s="42" t="s">
        <v>10</v>
      </c>
      <c r="D889" s="42" t="s">
        <v>11</v>
      </c>
      <c r="E889" s="42" t="s">
        <v>12</v>
      </c>
      <c r="F889" s="42">
        <v>43</v>
      </c>
      <c r="G889" s="44">
        <v>120000</v>
      </c>
      <c r="H889" s="44">
        <v>5160000</v>
      </c>
      <c r="I889" s="42" t="s">
        <v>1320</v>
      </c>
      <c r="J889" s="42" t="s">
        <v>47</v>
      </c>
    </row>
    <row r="890" spans="1:10" x14ac:dyDescent="0.3">
      <c r="A890" s="42" t="s">
        <v>1918</v>
      </c>
      <c r="B890" s="43">
        <v>45821</v>
      </c>
      <c r="C890" s="42" t="s">
        <v>22</v>
      </c>
      <c r="D890" s="42" t="s">
        <v>23</v>
      </c>
      <c r="E890" s="42" t="s">
        <v>12</v>
      </c>
      <c r="F890" s="42">
        <v>11</v>
      </c>
      <c r="G890" s="44">
        <v>25000</v>
      </c>
      <c r="H890" s="44">
        <v>275000</v>
      </c>
      <c r="I890" s="42" t="s">
        <v>2650</v>
      </c>
      <c r="J890" s="42" t="s">
        <v>127</v>
      </c>
    </row>
    <row r="891" spans="1:10" x14ac:dyDescent="0.3">
      <c r="A891" s="42" t="s">
        <v>1933</v>
      </c>
      <c r="B891" s="43">
        <v>45821</v>
      </c>
      <c r="C891" s="42" t="s">
        <v>44</v>
      </c>
      <c r="D891" s="42" t="s">
        <v>45</v>
      </c>
      <c r="E891" s="42" t="s">
        <v>16</v>
      </c>
      <c r="F891" s="42">
        <v>16</v>
      </c>
      <c r="G891" s="44">
        <v>250000</v>
      </c>
      <c r="H891" s="44">
        <v>4000000</v>
      </c>
      <c r="I891" s="42" t="s">
        <v>1970</v>
      </c>
      <c r="J891" s="42" t="s">
        <v>127</v>
      </c>
    </row>
    <row r="892" spans="1:10" x14ac:dyDescent="0.3">
      <c r="A892" s="42" t="s">
        <v>1934</v>
      </c>
      <c r="B892" s="43">
        <v>45824</v>
      </c>
      <c r="C892" s="42" t="s">
        <v>22</v>
      </c>
      <c r="D892" s="42" t="s">
        <v>23</v>
      </c>
      <c r="E892" s="42" t="s">
        <v>12</v>
      </c>
      <c r="F892" s="42">
        <v>20</v>
      </c>
      <c r="G892" s="44">
        <v>25000</v>
      </c>
      <c r="H892" s="44">
        <v>500000</v>
      </c>
      <c r="I892" s="42" t="s">
        <v>2662</v>
      </c>
      <c r="J892" s="42" t="s">
        <v>127</v>
      </c>
    </row>
    <row r="893" spans="1:10" x14ac:dyDescent="0.3">
      <c r="A893" s="42" t="s">
        <v>1944</v>
      </c>
      <c r="B893" s="43">
        <v>45824</v>
      </c>
      <c r="C893" s="42" t="s">
        <v>22</v>
      </c>
      <c r="D893" s="42" t="s">
        <v>23</v>
      </c>
      <c r="E893" s="42" t="s">
        <v>12</v>
      </c>
      <c r="F893" s="42">
        <v>46</v>
      </c>
      <c r="G893" s="44">
        <v>25000</v>
      </c>
      <c r="H893" s="44">
        <v>1150000</v>
      </c>
      <c r="I893" s="42" t="s">
        <v>2746</v>
      </c>
      <c r="J893" s="42" t="s">
        <v>127</v>
      </c>
    </row>
    <row r="894" spans="1:10" x14ac:dyDescent="0.3">
      <c r="A894" s="42" t="s">
        <v>1945</v>
      </c>
      <c r="B894" s="43">
        <v>45824</v>
      </c>
      <c r="C894" s="42" t="s">
        <v>38</v>
      </c>
      <c r="D894" s="42" t="s">
        <v>39</v>
      </c>
      <c r="E894" s="42" t="s">
        <v>16</v>
      </c>
      <c r="F894" s="42">
        <v>32</v>
      </c>
      <c r="G894" s="44">
        <v>200000</v>
      </c>
      <c r="H894" s="44">
        <v>6400000</v>
      </c>
      <c r="I894" s="42" t="s">
        <v>2280</v>
      </c>
      <c r="J894" s="42" t="s">
        <v>60</v>
      </c>
    </row>
    <row r="895" spans="1:10" x14ac:dyDescent="0.3">
      <c r="A895" s="42" t="s">
        <v>1954</v>
      </c>
      <c r="B895" s="43">
        <v>45824</v>
      </c>
      <c r="C895" s="42" t="s">
        <v>38</v>
      </c>
      <c r="D895" s="42" t="s">
        <v>39</v>
      </c>
      <c r="E895" s="42" t="s">
        <v>16</v>
      </c>
      <c r="F895" s="42">
        <v>5</v>
      </c>
      <c r="G895" s="44">
        <v>200000</v>
      </c>
      <c r="H895" s="44">
        <v>1000000</v>
      </c>
      <c r="I895" s="42" t="s">
        <v>2260</v>
      </c>
      <c r="J895" s="42" t="s">
        <v>127</v>
      </c>
    </row>
    <row r="896" spans="1:10" x14ac:dyDescent="0.3">
      <c r="A896" s="42" t="s">
        <v>1963</v>
      </c>
      <c r="B896" s="43">
        <v>45824</v>
      </c>
      <c r="C896" s="42" t="s">
        <v>44</v>
      </c>
      <c r="D896" s="42" t="s">
        <v>45</v>
      </c>
      <c r="E896" s="42" t="s">
        <v>16</v>
      </c>
      <c r="F896" s="42">
        <v>18</v>
      </c>
      <c r="G896" s="44">
        <v>250000</v>
      </c>
      <c r="H896" s="44">
        <v>4500000</v>
      </c>
      <c r="I896" s="42" t="s">
        <v>2409</v>
      </c>
      <c r="J896" s="42" t="s">
        <v>69</v>
      </c>
    </row>
    <row r="897" spans="1:10" x14ac:dyDescent="0.3">
      <c r="A897" s="42" t="s">
        <v>1964</v>
      </c>
      <c r="B897" s="43">
        <v>45824</v>
      </c>
      <c r="C897" s="42" t="s">
        <v>44</v>
      </c>
      <c r="D897" s="42" t="s">
        <v>45</v>
      </c>
      <c r="E897" s="42" t="s">
        <v>16</v>
      </c>
      <c r="F897" s="42">
        <v>27</v>
      </c>
      <c r="G897" s="44">
        <v>250000</v>
      </c>
      <c r="H897" s="44">
        <v>6750000</v>
      </c>
      <c r="I897" s="42" t="s">
        <v>2500</v>
      </c>
      <c r="J897" s="42" t="s">
        <v>69</v>
      </c>
    </row>
    <row r="898" spans="1:10" x14ac:dyDescent="0.3">
      <c r="A898" s="42" t="s">
        <v>1981</v>
      </c>
      <c r="B898" s="43">
        <v>45824</v>
      </c>
      <c r="C898" s="42" t="s">
        <v>38</v>
      </c>
      <c r="D898" s="42" t="s">
        <v>39</v>
      </c>
      <c r="E898" s="42" t="s">
        <v>16</v>
      </c>
      <c r="F898" s="42">
        <v>43</v>
      </c>
      <c r="G898" s="44">
        <v>200000</v>
      </c>
      <c r="H898" s="44">
        <v>8600000</v>
      </c>
      <c r="I898" s="42" t="s">
        <v>2174</v>
      </c>
      <c r="J898" s="42" t="s">
        <v>127</v>
      </c>
    </row>
    <row r="899" spans="1:10" x14ac:dyDescent="0.3">
      <c r="A899" s="42" t="s">
        <v>1982</v>
      </c>
      <c r="B899" s="43">
        <v>45824</v>
      </c>
      <c r="C899" s="42" t="s">
        <v>38</v>
      </c>
      <c r="D899" s="42" t="s">
        <v>39</v>
      </c>
      <c r="E899" s="42" t="s">
        <v>16</v>
      </c>
      <c r="F899" s="42">
        <v>11</v>
      </c>
      <c r="G899" s="44">
        <v>200000</v>
      </c>
      <c r="H899" s="44">
        <v>2200000</v>
      </c>
      <c r="I899" s="42" t="s">
        <v>2807</v>
      </c>
      <c r="J899" s="42" t="s">
        <v>60</v>
      </c>
    </row>
    <row r="900" spans="1:10" x14ac:dyDescent="0.3">
      <c r="A900" s="42" t="s">
        <v>2006</v>
      </c>
      <c r="B900" s="43">
        <v>45824</v>
      </c>
      <c r="C900" s="42" t="s">
        <v>44</v>
      </c>
      <c r="D900" s="42" t="s">
        <v>45</v>
      </c>
      <c r="E900" s="42" t="s">
        <v>16</v>
      </c>
      <c r="F900" s="42">
        <v>47</v>
      </c>
      <c r="G900" s="44">
        <v>250000</v>
      </c>
      <c r="H900" s="44">
        <v>11750000</v>
      </c>
      <c r="I900" s="42" t="s">
        <v>2669</v>
      </c>
      <c r="J900" s="42" t="s">
        <v>8</v>
      </c>
    </row>
    <row r="901" spans="1:10" x14ac:dyDescent="0.3">
      <c r="A901" s="42" t="s">
        <v>2007</v>
      </c>
      <c r="B901" s="43">
        <v>45824</v>
      </c>
      <c r="C901" s="42" t="s">
        <v>14</v>
      </c>
      <c r="D901" s="42" t="s">
        <v>15</v>
      </c>
      <c r="E901" s="42" t="s">
        <v>16</v>
      </c>
      <c r="F901" s="42">
        <v>36</v>
      </c>
      <c r="G901" s="44">
        <v>350000</v>
      </c>
      <c r="H901" s="44">
        <v>12600000</v>
      </c>
      <c r="I901" s="42" t="s">
        <v>2777</v>
      </c>
      <c r="J901" s="42" t="s">
        <v>8</v>
      </c>
    </row>
    <row r="902" spans="1:10" x14ac:dyDescent="0.3">
      <c r="A902" s="42" t="s">
        <v>2020</v>
      </c>
      <c r="B902" s="43">
        <v>45825</v>
      </c>
      <c r="C902" s="42" t="s">
        <v>22</v>
      </c>
      <c r="D902" s="42" t="s">
        <v>23</v>
      </c>
      <c r="E902" s="42" t="s">
        <v>12</v>
      </c>
      <c r="F902" s="42">
        <v>23</v>
      </c>
      <c r="G902" s="44">
        <v>25000</v>
      </c>
      <c r="H902" s="44">
        <v>575000</v>
      </c>
      <c r="I902" s="42" t="s">
        <v>2623</v>
      </c>
      <c r="J902" s="42" t="s">
        <v>127</v>
      </c>
    </row>
    <row r="903" spans="1:10" x14ac:dyDescent="0.3">
      <c r="A903" s="42" t="s">
        <v>2021</v>
      </c>
      <c r="B903" s="43">
        <v>45825</v>
      </c>
      <c r="C903" s="42" t="s">
        <v>18</v>
      </c>
      <c r="D903" s="42" t="s">
        <v>19</v>
      </c>
      <c r="E903" s="42" t="s">
        <v>20</v>
      </c>
      <c r="F903" s="42">
        <v>49</v>
      </c>
      <c r="G903" s="44">
        <v>500000</v>
      </c>
      <c r="H903" s="44">
        <v>24500000</v>
      </c>
      <c r="I903" s="42" t="s">
        <v>2376</v>
      </c>
      <c r="J903" s="42" t="s">
        <v>127</v>
      </c>
    </row>
    <row r="904" spans="1:10" x14ac:dyDescent="0.3">
      <c r="A904" s="42" t="s">
        <v>2022</v>
      </c>
      <c r="B904" s="43">
        <v>45825</v>
      </c>
      <c r="C904" s="42" t="s">
        <v>28</v>
      </c>
      <c r="D904" s="42" t="s">
        <v>29</v>
      </c>
      <c r="E904" s="42" t="s">
        <v>20</v>
      </c>
      <c r="F904" s="42">
        <v>36</v>
      </c>
      <c r="G904" s="44">
        <v>450000</v>
      </c>
      <c r="H904" s="44">
        <v>16200000</v>
      </c>
      <c r="I904" s="42" t="s">
        <v>2392</v>
      </c>
      <c r="J904" s="42" t="s">
        <v>8</v>
      </c>
    </row>
    <row r="905" spans="1:10" x14ac:dyDescent="0.3">
      <c r="A905" s="42" t="s">
        <v>2023</v>
      </c>
      <c r="B905" s="43">
        <v>45825</v>
      </c>
      <c r="C905" s="42" t="s">
        <v>28</v>
      </c>
      <c r="D905" s="42" t="s">
        <v>29</v>
      </c>
      <c r="E905" s="42" t="s">
        <v>20</v>
      </c>
      <c r="F905" s="42">
        <v>8</v>
      </c>
      <c r="G905" s="44">
        <v>450000</v>
      </c>
      <c r="H905" s="44">
        <v>3600000</v>
      </c>
      <c r="I905" s="42" t="s">
        <v>2542</v>
      </c>
      <c r="J905" s="42" t="s">
        <v>60</v>
      </c>
    </row>
    <row r="906" spans="1:10" x14ac:dyDescent="0.3">
      <c r="A906" s="42" t="s">
        <v>2030</v>
      </c>
      <c r="B906" s="43">
        <v>45825</v>
      </c>
      <c r="C906" s="42" t="s">
        <v>40</v>
      </c>
      <c r="D906" s="42" t="s">
        <v>41</v>
      </c>
      <c r="E906" s="42" t="s">
        <v>16</v>
      </c>
      <c r="F906" s="42">
        <v>33</v>
      </c>
      <c r="G906" s="44">
        <v>950000</v>
      </c>
      <c r="H906" s="44">
        <v>31350000</v>
      </c>
      <c r="I906" s="42" t="s">
        <v>2706</v>
      </c>
      <c r="J906" s="42" t="s">
        <v>60</v>
      </c>
    </row>
    <row r="907" spans="1:10" x14ac:dyDescent="0.3">
      <c r="A907" s="42" t="s">
        <v>2031</v>
      </c>
      <c r="B907" s="43">
        <v>45825</v>
      </c>
      <c r="C907" s="42" t="s">
        <v>42</v>
      </c>
      <c r="D907" s="42" t="s">
        <v>43</v>
      </c>
      <c r="E907" s="42" t="s">
        <v>16</v>
      </c>
      <c r="F907" s="42">
        <v>18</v>
      </c>
      <c r="G907" s="44">
        <v>1200000</v>
      </c>
      <c r="H907" s="44">
        <v>21600000</v>
      </c>
      <c r="I907" s="42" t="s">
        <v>2622</v>
      </c>
      <c r="J907" s="42" t="s">
        <v>60</v>
      </c>
    </row>
    <row r="908" spans="1:10" x14ac:dyDescent="0.3">
      <c r="A908" s="42" t="s">
        <v>2044</v>
      </c>
      <c r="B908" s="43">
        <v>45825</v>
      </c>
      <c r="C908" s="42" t="s">
        <v>44</v>
      </c>
      <c r="D908" s="42" t="s">
        <v>45</v>
      </c>
      <c r="E908" s="42" t="s">
        <v>16</v>
      </c>
      <c r="F908" s="42">
        <v>10</v>
      </c>
      <c r="G908" s="44">
        <v>250000</v>
      </c>
      <c r="H908" s="44">
        <v>2500000</v>
      </c>
      <c r="I908" s="42" t="s">
        <v>2748</v>
      </c>
      <c r="J908" s="42" t="s">
        <v>60</v>
      </c>
    </row>
    <row r="909" spans="1:10" x14ac:dyDescent="0.3">
      <c r="A909" s="42" t="s">
        <v>2045</v>
      </c>
      <c r="B909" s="43">
        <v>45825</v>
      </c>
      <c r="C909" s="42" t="s">
        <v>31</v>
      </c>
      <c r="D909" s="42" t="s">
        <v>32</v>
      </c>
      <c r="E909" s="42" t="s">
        <v>20</v>
      </c>
      <c r="F909" s="42">
        <v>27</v>
      </c>
      <c r="G909" s="44">
        <v>180000</v>
      </c>
      <c r="H909" s="44">
        <v>4860000</v>
      </c>
      <c r="I909" s="42" t="s">
        <v>2663</v>
      </c>
      <c r="J909" s="42" t="s">
        <v>8</v>
      </c>
    </row>
    <row r="910" spans="1:10" x14ac:dyDescent="0.3">
      <c r="A910" s="42" t="s">
        <v>2057</v>
      </c>
      <c r="B910" s="43">
        <v>45825</v>
      </c>
      <c r="C910" s="42" t="s">
        <v>44</v>
      </c>
      <c r="D910" s="42" t="s">
        <v>45</v>
      </c>
      <c r="E910" s="42" t="s">
        <v>16</v>
      </c>
      <c r="F910" s="42">
        <v>27</v>
      </c>
      <c r="G910" s="44">
        <v>250000</v>
      </c>
      <c r="H910" s="44">
        <v>6750000</v>
      </c>
      <c r="I910" s="42" t="s">
        <v>2365</v>
      </c>
      <c r="J910" s="42" t="s">
        <v>60</v>
      </c>
    </row>
    <row r="911" spans="1:10" x14ac:dyDescent="0.3">
      <c r="A911" s="42" t="s">
        <v>2069</v>
      </c>
      <c r="B911" s="43">
        <v>45825</v>
      </c>
      <c r="C911" s="42" t="s">
        <v>10</v>
      </c>
      <c r="D911" s="42" t="s">
        <v>11</v>
      </c>
      <c r="E911" s="42" t="s">
        <v>12</v>
      </c>
      <c r="F911" s="42">
        <v>39</v>
      </c>
      <c r="G911" s="44">
        <v>120000</v>
      </c>
      <c r="H911" s="44">
        <v>4680000</v>
      </c>
      <c r="I911" s="42" t="s">
        <v>2196</v>
      </c>
      <c r="J911" s="42" t="s">
        <v>69</v>
      </c>
    </row>
    <row r="912" spans="1:10" x14ac:dyDescent="0.3">
      <c r="A912" s="42" t="s">
        <v>2080</v>
      </c>
      <c r="B912" s="43">
        <v>45825</v>
      </c>
      <c r="C912" s="42" t="s">
        <v>42</v>
      </c>
      <c r="D912" s="42" t="s">
        <v>43</v>
      </c>
      <c r="E912" s="42" t="s">
        <v>16</v>
      </c>
      <c r="F912" s="42">
        <v>260</v>
      </c>
      <c r="G912" s="44">
        <v>1200000</v>
      </c>
      <c r="H912" s="44">
        <v>312000000</v>
      </c>
      <c r="I912" s="42" t="s">
        <v>2266</v>
      </c>
      <c r="J912" s="42" t="s">
        <v>8</v>
      </c>
    </row>
    <row r="913" spans="1:10" x14ac:dyDescent="0.3">
      <c r="A913" s="42" t="s">
        <v>2081</v>
      </c>
      <c r="B913" s="43">
        <v>45825</v>
      </c>
      <c r="C913" s="42" t="s">
        <v>28</v>
      </c>
      <c r="D913" s="42" t="s">
        <v>29</v>
      </c>
      <c r="E913" s="42" t="s">
        <v>20</v>
      </c>
      <c r="F913" s="42">
        <v>13</v>
      </c>
      <c r="G913" s="44">
        <v>450000</v>
      </c>
      <c r="H913" s="44">
        <v>5850000</v>
      </c>
      <c r="I913" s="42" t="s">
        <v>68</v>
      </c>
      <c r="J913" s="42" t="s">
        <v>8</v>
      </c>
    </row>
    <row r="914" spans="1:10" x14ac:dyDescent="0.3">
      <c r="A914" s="42" t="s">
        <v>2090</v>
      </c>
      <c r="B914" s="43">
        <v>45825</v>
      </c>
      <c r="C914" s="42" t="s">
        <v>10</v>
      </c>
      <c r="D914" s="42" t="s">
        <v>11</v>
      </c>
      <c r="E914" s="42" t="s">
        <v>12</v>
      </c>
      <c r="F914" s="42">
        <v>35</v>
      </c>
      <c r="G914" s="44">
        <v>120000</v>
      </c>
      <c r="H914" s="44">
        <v>4200000</v>
      </c>
      <c r="I914" s="42" t="s">
        <v>2484</v>
      </c>
      <c r="J914" s="42" t="s">
        <v>60</v>
      </c>
    </row>
    <row r="915" spans="1:10" x14ac:dyDescent="0.3">
      <c r="A915" s="42" t="s">
        <v>2091</v>
      </c>
      <c r="B915" s="43">
        <v>45825</v>
      </c>
      <c r="C915" s="42" t="s">
        <v>18</v>
      </c>
      <c r="D915" s="42" t="s">
        <v>19</v>
      </c>
      <c r="E915" s="42" t="s">
        <v>20</v>
      </c>
      <c r="F915" s="42">
        <v>22</v>
      </c>
      <c r="G915" s="44">
        <v>500000</v>
      </c>
      <c r="H915" s="44">
        <v>11000000</v>
      </c>
      <c r="I915" s="42" t="s">
        <v>2727</v>
      </c>
      <c r="J915" s="42" t="s">
        <v>69</v>
      </c>
    </row>
    <row r="916" spans="1:10" x14ac:dyDescent="0.3">
      <c r="A916" s="42" t="s">
        <v>2099</v>
      </c>
      <c r="B916" s="43">
        <v>45825</v>
      </c>
      <c r="C916" s="42" t="s">
        <v>40</v>
      </c>
      <c r="D916" s="42" t="s">
        <v>41</v>
      </c>
      <c r="E916" s="42" t="s">
        <v>16</v>
      </c>
      <c r="F916" s="42">
        <v>360</v>
      </c>
      <c r="G916" s="44">
        <v>950000</v>
      </c>
      <c r="H916" s="44">
        <v>342000000</v>
      </c>
      <c r="I916" s="42" t="s">
        <v>2740</v>
      </c>
      <c r="J916" s="42" t="s">
        <v>127</v>
      </c>
    </row>
    <row r="917" spans="1:10" x14ac:dyDescent="0.3">
      <c r="A917" s="42" t="s">
        <v>2100</v>
      </c>
      <c r="B917" s="43">
        <v>45827</v>
      </c>
      <c r="C917" s="42" t="s">
        <v>38</v>
      </c>
      <c r="D917" s="42" t="s">
        <v>39</v>
      </c>
      <c r="E917" s="42" t="s">
        <v>16</v>
      </c>
      <c r="F917" s="42">
        <v>48</v>
      </c>
      <c r="G917" s="44">
        <v>200000</v>
      </c>
      <c r="H917" s="44">
        <v>9600000</v>
      </c>
      <c r="I917" s="42" t="s">
        <v>2529</v>
      </c>
      <c r="J917" s="42" t="s">
        <v>69</v>
      </c>
    </row>
    <row r="918" spans="1:10" x14ac:dyDescent="0.3">
      <c r="A918" s="42" t="s">
        <v>2101</v>
      </c>
      <c r="B918" s="43">
        <v>45827</v>
      </c>
      <c r="C918" s="42" t="s">
        <v>44</v>
      </c>
      <c r="D918" s="42" t="s">
        <v>45</v>
      </c>
      <c r="E918" s="42" t="s">
        <v>16</v>
      </c>
      <c r="F918" s="42">
        <v>43</v>
      </c>
      <c r="G918" s="44">
        <v>250000</v>
      </c>
      <c r="H918" s="44">
        <v>10750000</v>
      </c>
      <c r="I918" s="42" t="s">
        <v>2598</v>
      </c>
      <c r="J918" s="42" t="s">
        <v>127</v>
      </c>
    </row>
    <row r="919" spans="1:10" x14ac:dyDescent="0.3">
      <c r="A919" s="42" t="s">
        <v>2108</v>
      </c>
      <c r="B919" s="43">
        <v>45827</v>
      </c>
      <c r="C919" s="42" t="s">
        <v>10</v>
      </c>
      <c r="D919" s="42" t="s">
        <v>11</v>
      </c>
      <c r="E919" s="42" t="s">
        <v>12</v>
      </c>
      <c r="F919" s="42">
        <v>31</v>
      </c>
      <c r="G919" s="44">
        <v>120000</v>
      </c>
      <c r="H919" s="44">
        <v>3720000</v>
      </c>
      <c r="I919" s="42" t="s">
        <v>2831</v>
      </c>
      <c r="J919" s="42" t="s">
        <v>8</v>
      </c>
    </row>
    <row r="920" spans="1:10" x14ac:dyDescent="0.3">
      <c r="A920" s="42" t="s">
        <v>27</v>
      </c>
      <c r="B920" s="43">
        <v>45827</v>
      </c>
      <c r="C920" s="42" t="s">
        <v>10</v>
      </c>
      <c r="D920" s="42" t="s">
        <v>11</v>
      </c>
      <c r="E920" s="42" t="s">
        <v>12</v>
      </c>
      <c r="F920" s="42">
        <v>17</v>
      </c>
      <c r="G920" s="44">
        <v>120000</v>
      </c>
      <c r="H920" s="44">
        <v>2040000</v>
      </c>
      <c r="I920" s="42" t="s">
        <v>2831</v>
      </c>
      <c r="J920" s="42" t="s">
        <v>8</v>
      </c>
    </row>
    <row r="921" spans="1:10" x14ac:dyDescent="0.3">
      <c r="A921" s="42" t="s">
        <v>52</v>
      </c>
      <c r="B921" s="43">
        <v>45827</v>
      </c>
      <c r="C921" s="42" t="s">
        <v>22</v>
      </c>
      <c r="D921" s="42" t="s">
        <v>23</v>
      </c>
      <c r="E921" s="42" t="s">
        <v>12</v>
      </c>
      <c r="F921" s="42">
        <v>43</v>
      </c>
      <c r="G921" s="44">
        <v>25000</v>
      </c>
      <c r="H921" s="44">
        <v>1075000</v>
      </c>
      <c r="I921" s="42" t="s">
        <v>2140</v>
      </c>
      <c r="J921" s="42" t="s">
        <v>127</v>
      </c>
    </row>
    <row r="922" spans="1:10" x14ac:dyDescent="0.3">
      <c r="A922" s="42" t="s">
        <v>63</v>
      </c>
      <c r="B922" s="43">
        <v>45827</v>
      </c>
      <c r="C922" s="42" t="s">
        <v>14</v>
      </c>
      <c r="D922" s="42" t="s">
        <v>15</v>
      </c>
      <c r="E922" s="42" t="s">
        <v>16</v>
      </c>
      <c r="F922" s="42">
        <v>27</v>
      </c>
      <c r="G922" s="44">
        <v>350000</v>
      </c>
      <c r="H922" s="44">
        <v>9450000</v>
      </c>
      <c r="I922" s="42" t="s">
        <v>2834</v>
      </c>
      <c r="J922" s="42" t="s">
        <v>127</v>
      </c>
    </row>
    <row r="923" spans="1:10" x14ac:dyDescent="0.3">
      <c r="A923" s="42" t="s">
        <v>64</v>
      </c>
      <c r="B923" s="43">
        <v>45827</v>
      </c>
      <c r="C923" s="42" t="s">
        <v>40</v>
      </c>
      <c r="D923" s="42" t="s">
        <v>41</v>
      </c>
      <c r="E923" s="42" t="s">
        <v>16</v>
      </c>
      <c r="F923" s="42">
        <v>35</v>
      </c>
      <c r="G923" s="44">
        <v>950000</v>
      </c>
      <c r="H923" s="44">
        <v>33250000</v>
      </c>
      <c r="I923" s="42" t="s">
        <v>2201</v>
      </c>
      <c r="J923" s="42" t="s">
        <v>60</v>
      </c>
    </row>
    <row r="924" spans="1:10" x14ac:dyDescent="0.3">
      <c r="A924" s="42" t="s">
        <v>65</v>
      </c>
      <c r="B924" s="43">
        <v>45827</v>
      </c>
      <c r="C924" s="42" t="s">
        <v>22</v>
      </c>
      <c r="D924" s="42" t="s">
        <v>23</v>
      </c>
      <c r="E924" s="42" t="s">
        <v>12</v>
      </c>
      <c r="F924" s="42">
        <v>26</v>
      </c>
      <c r="G924" s="44">
        <v>25000</v>
      </c>
      <c r="H924" s="44">
        <v>650000</v>
      </c>
      <c r="I924" s="42" t="s">
        <v>2580</v>
      </c>
      <c r="J924" s="42" t="s">
        <v>60</v>
      </c>
    </row>
    <row r="925" spans="1:10" x14ac:dyDescent="0.3">
      <c r="A925" s="42" t="s">
        <v>73</v>
      </c>
      <c r="B925" s="43">
        <v>45831</v>
      </c>
      <c r="C925" s="42" t="s">
        <v>31</v>
      </c>
      <c r="D925" s="42" t="s">
        <v>32</v>
      </c>
      <c r="E925" s="42" t="s">
        <v>20</v>
      </c>
      <c r="F925" s="42">
        <v>210</v>
      </c>
      <c r="G925" s="44">
        <v>180000</v>
      </c>
      <c r="H925" s="44">
        <v>37800000</v>
      </c>
      <c r="I925" s="42" t="s">
        <v>2688</v>
      </c>
      <c r="J925" s="42" t="s">
        <v>60</v>
      </c>
    </row>
    <row r="926" spans="1:10" x14ac:dyDescent="0.3">
      <c r="A926" s="42" t="s">
        <v>84</v>
      </c>
      <c r="B926" s="43">
        <v>45831</v>
      </c>
      <c r="C926" s="42" t="s">
        <v>44</v>
      </c>
      <c r="D926" s="42" t="s">
        <v>45</v>
      </c>
      <c r="E926" s="42" t="s">
        <v>16</v>
      </c>
      <c r="F926" s="42">
        <v>6</v>
      </c>
      <c r="G926" s="44">
        <v>250000</v>
      </c>
      <c r="H926" s="44">
        <v>1500000</v>
      </c>
      <c r="I926" s="42" t="s">
        <v>2376</v>
      </c>
      <c r="J926" s="42" t="s">
        <v>127</v>
      </c>
    </row>
    <row r="927" spans="1:10" x14ac:dyDescent="0.3">
      <c r="A927" s="42" t="s">
        <v>97</v>
      </c>
      <c r="B927" s="43">
        <v>45831</v>
      </c>
      <c r="C927" s="42" t="s">
        <v>44</v>
      </c>
      <c r="D927" s="42" t="s">
        <v>45</v>
      </c>
      <c r="E927" s="42" t="s">
        <v>16</v>
      </c>
      <c r="F927" s="42">
        <v>20</v>
      </c>
      <c r="G927" s="44">
        <v>250000</v>
      </c>
      <c r="H927" s="44">
        <v>5000000</v>
      </c>
      <c r="I927" s="42" t="s">
        <v>878</v>
      </c>
      <c r="J927" s="42" t="s">
        <v>8</v>
      </c>
    </row>
    <row r="928" spans="1:10" x14ac:dyDescent="0.3">
      <c r="A928" s="42" t="s">
        <v>110</v>
      </c>
      <c r="B928" s="43">
        <v>45831</v>
      </c>
      <c r="C928" s="42" t="s">
        <v>40</v>
      </c>
      <c r="D928" s="42" t="s">
        <v>41</v>
      </c>
      <c r="E928" s="42" t="s">
        <v>16</v>
      </c>
      <c r="F928" s="42">
        <v>245</v>
      </c>
      <c r="G928" s="44">
        <v>950000</v>
      </c>
      <c r="H928" s="44">
        <v>232750000</v>
      </c>
      <c r="I928" s="42" t="s">
        <v>2776</v>
      </c>
      <c r="J928" s="42" t="s">
        <v>8</v>
      </c>
    </row>
    <row r="929" spans="1:10" x14ac:dyDescent="0.3">
      <c r="A929" s="42" t="s">
        <v>111</v>
      </c>
      <c r="B929" s="43">
        <v>45831</v>
      </c>
      <c r="C929" s="42" t="s">
        <v>22</v>
      </c>
      <c r="D929" s="42" t="s">
        <v>23</v>
      </c>
      <c r="E929" s="42" t="s">
        <v>12</v>
      </c>
      <c r="F929" s="42">
        <v>50</v>
      </c>
      <c r="G929" s="44">
        <v>25000</v>
      </c>
      <c r="H929" s="44">
        <v>1250000</v>
      </c>
      <c r="I929" s="42" t="s">
        <v>2536</v>
      </c>
      <c r="J929" s="42" t="s">
        <v>127</v>
      </c>
    </row>
    <row r="930" spans="1:10" x14ac:dyDescent="0.3">
      <c r="A930" s="42" t="s">
        <v>112</v>
      </c>
      <c r="B930" s="43">
        <v>45831</v>
      </c>
      <c r="C930" s="42" t="s">
        <v>10</v>
      </c>
      <c r="D930" s="42" t="s">
        <v>11</v>
      </c>
      <c r="E930" s="42" t="s">
        <v>12</v>
      </c>
      <c r="F930" s="42">
        <v>5</v>
      </c>
      <c r="G930" s="44">
        <v>120000</v>
      </c>
      <c r="H930" s="44">
        <v>600000</v>
      </c>
      <c r="I930" s="42" t="s">
        <v>2156</v>
      </c>
      <c r="J930" s="42" t="s">
        <v>47</v>
      </c>
    </row>
    <row r="931" spans="1:10" x14ac:dyDescent="0.3">
      <c r="A931" s="42" t="s">
        <v>122</v>
      </c>
      <c r="B931" s="43">
        <v>45831</v>
      </c>
      <c r="C931" s="42" t="s">
        <v>14</v>
      </c>
      <c r="D931" s="42" t="s">
        <v>15</v>
      </c>
      <c r="E931" s="42" t="s">
        <v>16</v>
      </c>
      <c r="F931" s="42">
        <v>48</v>
      </c>
      <c r="G931" s="44">
        <v>350000</v>
      </c>
      <c r="H931" s="44">
        <v>16800000</v>
      </c>
      <c r="I931" s="42" t="s">
        <v>2364</v>
      </c>
      <c r="J931" s="42" t="s">
        <v>127</v>
      </c>
    </row>
    <row r="932" spans="1:10" x14ac:dyDescent="0.3">
      <c r="A932" s="42" t="s">
        <v>133</v>
      </c>
      <c r="B932" s="43">
        <v>45831</v>
      </c>
      <c r="C932" s="42" t="s">
        <v>28</v>
      </c>
      <c r="D932" s="42" t="s">
        <v>29</v>
      </c>
      <c r="E932" s="42" t="s">
        <v>20</v>
      </c>
      <c r="F932" s="42">
        <v>30</v>
      </c>
      <c r="G932" s="44">
        <v>450000</v>
      </c>
      <c r="H932" s="44">
        <v>13500000</v>
      </c>
      <c r="I932" s="42" t="s">
        <v>2240</v>
      </c>
      <c r="J932" s="42" t="s">
        <v>8</v>
      </c>
    </row>
    <row r="933" spans="1:10" x14ac:dyDescent="0.3">
      <c r="A933" s="42" t="s">
        <v>138</v>
      </c>
      <c r="B933" s="43">
        <v>45831</v>
      </c>
      <c r="C933" s="42" t="s">
        <v>28</v>
      </c>
      <c r="D933" s="42" t="s">
        <v>29</v>
      </c>
      <c r="E933" s="42" t="s">
        <v>20</v>
      </c>
      <c r="F933" s="42">
        <v>6</v>
      </c>
      <c r="G933" s="44">
        <v>450000</v>
      </c>
      <c r="H933" s="44">
        <v>2700000</v>
      </c>
      <c r="I933" s="42" t="s">
        <v>709</v>
      </c>
      <c r="J933" s="42" t="s">
        <v>8</v>
      </c>
    </row>
    <row r="934" spans="1:10" x14ac:dyDescent="0.3">
      <c r="A934" s="42" t="s">
        <v>150</v>
      </c>
      <c r="B934" s="43">
        <v>45831</v>
      </c>
      <c r="C934" s="42" t="s">
        <v>22</v>
      </c>
      <c r="D934" s="42" t="s">
        <v>23</v>
      </c>
      <c r="E934" s="42" t="s">
        <v>12</v>
      </c>
      <c r="F934" s="42">
        <v>30</v>
      </c>
      <c r="G934" s="44">
        <v>25000</v>
      </c>
      <c r="H934" s="44">
        <v>750000</v>
      </c>
      <c r="I934" s="42" t="s">
        <v>2505</v>
      </c>
      <c r="J934" s="42" t="s">
        <v>69</v>
      </c>
    </row>
    <row r="935" spans="1:10" x14ac:dyDescent="0.3">
      <c r="A935" s="42" t="s">
        <v>151</v>
      </c>
      <c r="B935" s="43">
        <v>45831</v>
      </c>
      <c r="C935" s="42" t="s">
        <v>14</v>
      </c>
      <c r="D935" s="42" t="s">
        <v>15</v>
      </c>
      <c r="E935" s="42" t="s">
        <v>16</v>
      </c>
      <c r="F935" s="42">
        <v>44</v>
      </c>
      <c r="G935" s="44">
        <v>350000</v>
      </c>
      <c r="H935" s="44">
        <v>15400000</v>
      </c>
      <c r="I935" s="42" t="s">
        <v>2770</v>
      </c>
      <c r="J935" s="42" t="s">
        <v>127</v>
      </c>
    </row>
    <row r="936" spans="1:10" x14ac:dyDescent="0.3">
      <c r="A936" s="42" t="s">
        <v>157</v>
      </c>
      <c r="B936" s="43">
        <v>45831</v>
      </c>
      <c r="C936" s="42" t="s">
        <v>22</v>
      </c>
      <c r="D936" s="42" t="s">
        <v>23</v>
      </c>
      <c r="E936" s="42" t="s">
        <v>12</v>
      </c>
      <c r="F936" s="42">
        <v>11</v>
      </c>
      <c r="G936" s="44">
        <v>25000</v>
      </c>
      <c r="H936" s="44">
        <v>275000</v>
      </c>
      <c r="I936" s="42" t="s">
        <v>2290</v>
      </c>
      <c r="J936" s="42" t="s">
        <v>8</v>
      </c>
    </row>
    <row r="937" spans="1:10" x14ac:dyDescent="0.3">
      <c r="A937" s="42" t="s">
        <v>158</v>
      </c>
      <c r="B937" s="43">
        <v>45831</v>
      </c>
      <c r="C937" s="42" t="s">
        <v>44</v>
      </c>
      <c r="D937" s="42" t="s">
        <v>45</v>
      </c>
      <c r="E937" s="42" t="s">
        <v>16</v>
      </c>
      <c r="F937" s="42">
        <v>19</v>
      </c>
      <c r="G937" s="44">
        <v>250000</v>
      </c>
      <c r="H937" s="44">
        <v>4750000</v>
      </c>
      <c r="I937" s="42" t="s">
        <v>2328</v>
      </c>
      <c r="J937" s="42" t="s">
        <v>8</v>
      </c>
    </row>
    <row r="938" spans="1:10" x14ac:dyDescent="0.3">
      <c r="A938" s="42" t="s">
        <v>159</v>
      </c>
      <c r="B938" s="43">
        <v>45831</v>
      </c>
      <c r="C938" s="42" t="s">
        <v>10</v>
      </c>
      <c r="D938" s="42" t="s">
        <v>11</v>
      </c>
      <c r="E938" s="42" t="s">
        <v>12</v>
      </c>
      <c r="F938" s="42">
        <v>36</v>
      </c>
      <c r="G938" s="44">
        <v>120000</v>
      </c>
      <c r="H938" s="44">
        <v>4320000</v>
      </c>
      <c r="I938" s="42" t="s">
        <v>2515</v>
      </c>
      <c r="J938" s="42" t="s">
        <v>60</v>
      </c>
    </row>
    <row r="939" spans="1:10" x14ac:dyDescent="0.3">
      <c r="A939" s="42" t="s">
        <v>170</v>
      </c>
      <c r="B939" s="43">
        <v>45833</v>
      </c>
      <c r="C939" s="42" t="s">
        <v>22</v>
      </c>
      <c r="D939" s="42" t="s">
        <v>23</v>
      </c>
      <c r="E939" s="42" t="s">
        <v>12</v>
      </c>
      <c r="F939" s="42">
        <v>17</v>
      </c>
      <c r="G939" s="44">
        <v>25000</v>
      </c>
      <c r="H939" s="44">
        <v>425000</v>
      </c>
      <c r="I939" s="42" t="s">
        <v>2213</v>
      </c>
      <c r="J939" s="42" t="s">
        <v>8</v>
      </c>
    </row>
    <row r="940" spans="1:10" x14ac:dyDescent="0.3">
      <c r="A940" s="42" t="s">
        <v>171</v>
      </c>
      <c r="B940" s="43">
        <v>45833</v>
      </c>
      <c r="C940" s="42" t="s">
        <v>10</v>
      </c>
      <c r="D940" s="42" t="s">
        <v>11</v>
      </c>
      <c r="E940" s="42" t="s">
        <v>12</v>
      </c>
      <c r="F940" s="42">
        <v>150</v>
      </c>
      <c r="G940" s="44">
        <v>120000</v>
      </c>
      <c r="H940" s="44">
        <v>18000000</v>
      </c>
      <c r="I940" s="42" t="s">
        <v>2567</v>
      </c>
      <c r="J940" s="42" t="s">
        <v>8</v>
      </c>
    </row>
    <row r="941" spans="1:10" x14ac:dyDescent="0.3">
      <c r="A941" s="42" t="s">
        <v>172</v>
      </c>
      <c r="B941" s="43">
        <v>45833</v>
      </c>
      <c r="C941" s="42" t="s">
        <v>28</v>
      </c>
      <c r="D941" s="42" t="s">
        <v>29</v>
      </c>
      <c r="E941" s="42" t="s">
        <v>20</v>
      </c>
      <c r="F941" s="42">
        <v>36</v>
      </c>
      <c r="G941" s="44">
        <v>450000</v>
      </c>
      <c r="H941" s="44">
        <v>16200000</v>
      </c>
      <c r="I941" s="42" t="s">
        <v>2166</v>
      </c>
      <c r="J941" s="42" t="s">
        <v>60</v>
      </c>
    </row>
    <row r="942" spans="1:10" x14ac:dyDescent="0.3">
      <c r="A942" s="42" t="s">
        <v>195</v>
      </c>
      <c r="B942" s="43">
        <v>45833</v>
      </c>
      <c r="C942" s="42" t="s">
        <v>10</v>
      </c>
      <c r="D942" s="42" t="s">
        <v>11</v>
      </c>
      <c r="E942" s="42" t="s">
        <v>12</v>
      </c>
      <c r="F942" s="42">
        <v>41</v>
      </c>
      <c r="G942" s="44">
        <v>120000</v>
      </c>
      <c r="H942" s="44">
        <v>4920000</v>
      </c>
      <c r="I942" s="42" t="s">
        <v>2846</v>
      </c>
      <c r="J942" s="42" t="s">
        <v>127</v>
      </c>
    </row>
    <row r="943" spans="1:10" x14ac:dyDescent="0.3">
      <c r="A943" s="42" t="s">
        <v>196</v>
      </c>
      <c r="B943" s="43">
        <v>45833</v>
      </c>
      <c r="C943" s="42" t="s">
        <v>28</v>
      </c>
      <c r="D943" s="42" t="s">
        <v>29</v>
      </c>
      <c r="E943" s="42" t="s">
        <v>20</v>
      </c>
      <c r="F943" s="42">
        <v>7</v>
      </c>
      <c r="G943" s="44">
        <v>450000</v>
      </c>
      <c r="H943" s="44">
        <v>3150000</v>
      </c>
      <c r="I943" s="42" t="s">
        <v>2277</v>
      </c>
      <c r="J943" s="42" t="s">
        <v>127</v>
      </c>
    </row>
    <row r="944" spans="1:10" x14ac:dyDescent="0.3">
      <c r="A944" s="42" t="s">
        <v>197</v>
      </c>
      <c r="B944" s="43">
        <v>45833</v>
      </c>
      <c r="C944" s="42" t="s">
        <v>31</v>
      </c>
      <c r="D944" s="42" t="s">
        <v>32</v>
      </c>
      <c r="E944" s="42" t="s">
        <v>20</v>
      </c>
      <c r="F944" s="42">
        <v>230</v>
      </c>
      <c r="G944" s="44">
        <v>180000</v>
      </c>
      <c r="H944" s="44">
        <v>41400000</v>
      </c>
      <c r="I944" s="42" t="s">
        <v>2577</v>
      </c>
      <c r="J944" s="42" t="s">
        <v>47</v>
      </c>
    </row>
    <row r="945" spans="1:10" x14ac:dyDescent="0.3">
      <c r="A945" s="42" t="s">
        <v>198</v>
      </c>
      <c r="B945" s="43">
        <v>45833</v>
      </c>
      <c r="C945" s="42" t="s">
        <v>28</v>
      </c>
      <c r="D945" s="42" t="s">
        <v>29</v>
      </c>
      <c r="E945" s="42" t="s">
        <v>20</v>
      </c>
      <c r="F945" s="42">
        <v>24</v>
      </c>
      <c r="G945" s="44">
        <v>450000</v>
      </c>
      <c r="H945" s="44">
        <v>10800000</v>
      </c>
      <c r="I945" s="42" t="s">
        <v>2441</v>
      </c>
      <c r="J945" s="42" t="s">
        <v>127</v>
      </c>
    </row>
    <row r="946" spans="1:10" x14ac:dyDescent="0.3">
      <c r="A946" s="42" t="s">
        <v>207</v>
      </c>
      <c r="B946" s="43">
        <v>45833</v>
      </c>
      <c r="C946" s="42" t="s">
        <v>31</v>
      </c>
      <c r="D946" s="42" t="s">
        <v>32</v>
      </c>
      <c r="E946" s="42" t="s">
        <v>20</v>
      </c>
      <c r="F946" s="42">
        <v>26</v>
      </c>
      <c r="G946" s="44">
        <v>180000</v>
      </c>
      <c r="H946" s="44">
        <v>4680000</v>
      </c>
      <c r="I946" s="42" t="s">
        <v>2261</v>
      </c>
      <c r="J946" s="42" t="s">
        <v>47</v>
      </c>
    </row>
    <row r="947" spans="1:10" x14ac:dyDescent="0.3">
      <c r="A947" s="42" t="s">
        <v>208</v>
      </c>
      <c r="B947" s="43">
        <v>45833</v>
      </c>
      <c r="C947" s="42" t="s">
        <v>18</v>
      </c>
      <c r="D947" s="42" t="s">
        <v>19</v>
      </c>
      <c r="E947" s="42" t="s">
        <v>20</v>
      </c>
      <c r="F947" s="42">
        <v>29</v>
      </c>
      <c r="G947" s="44">
        <v>500000</v>
      </c>
      <c r="H947" s="44">
        <v>14500000</v>
      </c>
      <c r="I947" s="42" t="s">
        <v>2228</v>
      </c>
      <c r="J947" s="42" t="s">
        <v>127</v>
      </c>
    </row>
    <row r="948" spans="1:10" x14ac:dyDescent="0.3">
      <c r="A948" s="42" t="s">
        <v>223</v>
      </c>
      <c r="B948" s="43">
        <v>45833</v>
      </c>
      <c r="C948" s="42" t="s">
        <v>28</v>
      </c>
      <c r="D948" s="42" t="s">
        <v>29</v>
      </c>
      <c r="E948" s="42" t="s">
        <v>20</v>
      </c>
      <c r="F948" s="42">
        <v>36</v>
      </c>
      <c r="G948" s="44">
        <v>450000</v>
      </c>
      <c r="H948" s="44">
        <v>16200000</v>
      </c>
      <c r="I948" s="42" t="s">
        <v>2774</v>
      </c>
      <c r="J948" s="42" t="s">
        <v>8</v>
      </c>
    </row>
    <row r="949" spans="1:10" x14ac:dyDescent="0.3">
      <c r="A949" s="42" t="s">
        <v>232</v>
      </c>
      <c r="B949" s="43">
        <v>45833</v>
      </c>
      <c r="C949" s="42" t="s">
        <v>44</v>
      </c>
      <c r="D949" s="42" t="s">
        <v>45</v>
      </c>
      <c r="E949" s="42" t="s">
        <v>16</v>
      </c>
      <c r="F949" s="42">
        <v>25</v>
      </c>
      <c r="G949" s="44">
        <v>250000</v>
      </c>
      <c r="H949" s="44">
        <v>6250000</v>
      </c>
      <c r="I949" s="42" t="s">
        <v>2811</v>
      </c>
      <c r="J949" s="42" t="s">
        <v>47</v>
      </c>
    </row>
    <row r="950" spans="1:10" x14ac:dyDescent="0.3">
      <c r="A950" s="42" t="s">
        <v>246</v>
      </c>
      <c r="B950" s="43">
        <v>45833</v>
      </c>
      <c r="C950" s="42" t="s">
        <v>10</v>
      </c>
      <c r="D950" s="42" t="s">
        <v>11</v>
      </c>
      <c r="E950" s="42" t="s">
        <v>12</v>
      </c>
      <c r="F950" s="42">
        <v>33</v>
      </c>
      <c r="G950" s="44">
        <v>120000</v>
      </c>
      <c r="H950" s="44">
        <v>3960000</v>
      </c>
      <c r="I950" s="42" t="s">
        <v>2404</v>
      </c>
      <c r="J950" s="42" t="s">
        <v>60</v>
      </c>
    </row>
    <row r="951" spans="1:10" x14ac:dyDescent="0.3">
      <c r="A951" s="42" t="s">
        <v>247</v>
      </c>
      <c r="B951" s="43">
        <v>45834</v>
      </c>
      <c r="C951" s="42" t="s">
        <v>18</v>
      </c>
      <c r="D951" s="42" t="s">
        <v>19</v>
      </c>
      <c r="E951" s="42" t="s">
        <v>20</v>
      </c>
      <c r="F951" s="42">
        <v>165</v>
      </c>
      <c r="G951" s="44">
        <v>500000</v>
      </c>
      <c r="H951" s="44">
        <v>82500000</v>
      </c>
      <c r="I951" s="42" t="s">
        <v>2563</v>
      </c>
      <c r="J951" s="42" t="s">
        <v>47</v>
      </c>
    </row>
    <row r="952" spans="1:10" x14ac:dyDescent="0.3">
      <c r="A952" s="42" t="s">
        <v>248</v>
      </c>
      <c r="B952" s="43">
        <v>45834</v>
      </c>
      <c r="C952" s="42" t="s">
        <v>44</v>
      </c>
      <c r="D952" s="42" t="s">
        <v>45</v>
      </c>
      <c r="E952" s="42" t="s">
        <v>16</v>
      </c>
      <c r="F952" s="42">
        <v>410</v>
      </c>
      <c r="G952" s="44">
        <v>250000</v>
      </c>
      <c r="H952" s="44">
        <v>102500000</v>
      </c>
      <c r="I952" s="42" t="s">
        <v>2299</v>
      </c>
      <c r="J952" s="42" t="s">
        <v>127</v>
      </c>
    </row>
    <row r="953" spans="1:10" x14ac:dyDescent="0.3">
      <c r="A953" s="42" t="s">
        <v>266</v>
      </c>
      <c r="B953" s="43">
        <v>45834</v>
      </c>
      <c r="C953" s="42" t="s">
        <v>10</v>
      </c>
      <c r="D953" s="42" t="s">
        <v>11</v>
      </c>
      <c r="E953" s="42" t="s">
        <v>12</v>
      </c>
      <c r="F953" s="42">
        <v>36</v>
      </c>
      <c r="G953" s="44">
        <v>120000</v>
      </c>
      <c r="H953" s="44">
        <v>4320000</v>
      </c>
      <c r="I953" s="42" t="s">
        <v>2807</v>
      </c>
      <c r="J953" s="42" t="s">
        <v>60</v>
      </c>
    </row>
    <row r="954" spans="1:10" x14ac:dyDescent="0.3">
      <c r="A954" s="42" t="s">
        <v>267</v>
      </c>
      <c r="B954" s="43">
        <v>45834</v>
      </c>
      <c r="C954" s="42" t="s">
        <v>38</v>
      </c>
      <c r="D954" s="42" t="s">
        <v>39</v>
      </c>
      <c r="E954" s="42" t="s">
        <v>16</v>
      </c>
      <c r="F954" s="42">
        <v>11</v>
      </c>
      <c r="G954" s="44">
        <v>200000</v>
      </c>
      <c r="H954" s="44">
        <v>2200000</v>
      </c>
      <c r="I954" s="42" t="s">
        <v>1986</v>
      </c>
      <c r="J954" s="42" t="s">
        <v>127</v>
      </c>
    </row>
    <row r="955" spans="1:10" x14ac:dyDescent="0.3">
      <c r="A955" s="42" t="s">
        <v>268</v>
      </c>
      <c r="B955" s="43">
        <v>45834</v>
      </c>
      <c r="C955" s="42" t="s">
        <v>38</v>
      </c>
      <c r="D955" s="42" t="s">
        <v>39</v>
      </c>
      <c r="E955" s="42" t="s">
        <v>16</v>
      </c>
      <c r="F955" s="42">
        <v>22</v>
      </c>
      <c r="G955" s="44">
        <v>200000</v>
      </c>
      <c r="H955" s="44">
        <v>4400000</v>
      </c>
      <c r="I955" s="42" t="s">
        <v>2780</v>
      </c>
      <c r="J955" s="42" t="s">
        <v>127</v>
      </c>
    </row>
    <row r="956" spans="1:10" x14ac:dyDescent="0.3">
      <c r="A956" s="42" t="s">
        <v>292</v>
      </c>
      <c r="B956" s="43">
        <v>45834</v>
      </c>
      <c r="C956" s="42" t="s">
        <v>44</v>
      </c>
      <c r="D956" s="42" t="s">
        <v>45</v>
      </c>
      <c r="E956" s="42" t="s">
        <v>16</v>
      </c>
      <c r="F956" s="42">
        <v>18</v>
      </c>
      <c r="G956" s="44">
        <v>250000</v>
      </c>
      <c r="H956" s="44">
        <v>4500000</v>
      </c>
      <c r="I956" s="42" t="s">
        <v>2420</v>
      </c>
      <c r="J956" s="42" t="s">
        <v>127</v>
      </c>
    </row>
    <row r="957" spans="1:10" x14ac:dyDescent="0.3">
      <c r="A957" s="42" t="s">
        <v>313</v>
      </c>
      <c r="B957" s="43">
        <v>45834</v>
      </c>
      <c r="C957" s="42" t="s">
        <v>22</v>
      </c>
      <c r="D957" s="42" t="s">
        <v>23</v>
      </c>
      <c r="E957" s="42" t="s">
        <v>12</v>
      </c>
      <c r="F957" s="42">
        <v>10</v>
      </c>
      <c r="G957" s="44">
        <v>25000</v>
      </c>
      <c r="H957" s="44">
        <v>250000</v>
      </c>
      <c r="I957" s="42" t="s">
        <v>100</v>
      </c>
      <c r="J957" s="42" t="s">
        <v>47</v>
      </c>
    </row>
    <row r="958" spans="1:10" x14ac:dyDescent="0.3">
      <c r="A958" s="42" t="s">
        <v>314</v>
      </c>
      <c r="B958" s="43">
        <v>45834</v>
      </c>
      <c r="C958" s="42" t="s">
        <v>44</v>
      </c>
      <c r="D958" s="42" t="s">
        <v>45</v>
      </c>
      <c r="E958" s="42" t="s">
        <v>16</v>
      </c>
      <c r="F958" s="42">
        <v>24</v>
      </c>
      <c r="G958" s="44">
        <v>250000</v>
      </c>
      <c r="H958" s="44">
        <v>6000000</v>
      </c>
      <c r="I958" s="42" t="s">
        <v>2665</v>
      </c>
      <c r="J958" s="42" t="s">
        <v>127</v>
      </c>
    </row>
    <row r="959" spans="1:10" x14ac:dyDescent="0.3">
      <c r="A959" s="42" t="s">
        <v>315</v>
      </c>
      <c r="B959" s="43">
        <v>45834</v>
      </c>
      <c r="C959" s="42" t="s">
        <v>14</v>
      </c>
      <c r="D959" s="42" t="s">
        <v>15</v>
      </c>
      <c r="E959" s="42" t="s">
        <v>16</v>
      </c>
      <c r="F959" s="42">
        <v>15</v>
      </c>
      <c r="G959" s="44">
        <v>350000</v>
      </c>
      <c r="H959" s="44">
        <v>5250000</v>
      </c>
      <c r="I959" s="42" t="s">
        <v>2719</v>
      </c>
      <c r="J959" s="42" t="s">
        <v>69</v>
      </c>
    </row>
    <row r="960" spans="1:10" x14ac:dyDescent="0.3">
      <c r="A960" s="42" t="s">
        <v>329</v>
      </c>
      <c r="B960" s="43">
        <v>45835</v>
      </c>
      <c r="C960" s="42" t="s">
        <v>40</v>
      </c>
      <c r="D960" s="42" t="s">
        <v>41</v>
      </c>
      <c r="E960" s="42" t="s">
        <v>16</v>
      </c>
      <c r="F960" s="42">
        <v>490</v>
      </c>
      <c r="G960" s="44">
        <v>950000</v>
      </c>
      <c r="H960" s="44">
        <v>465500000</v>
      </c>
      <c r="I960" s="42" t="s">
        <v>2488</v>
      </c>
      <c r="J960" s="42" t="s">
        <v>8</v>
      </c>
    </row>
    <row r="961" spans="1:10" x14ac:dyDescent="0.3">
      <c r="A961" s="42" t="s">
        <v>330</v>
      </c>
      <c r="B961" s="43">
        <v>45835</v>
      </c>
      <c r="C961" s="42" t="s">
        <v>31</v>
      </c>
      <c r="D961" s="42" t="s">
        <v>32</v>
      </c>
      <c r="E961" s="42" t="s">
        <v>20</v>
      </c>
      <c r="F961" s="42">
        <v>48</v>
      </c>
      <c r="G961" s="44">
        <v>180000</v>
      </c>
      <c r="H961" s="44">
        <v>8640000</v>
      </c>
      <c r="I961" s="42" t="s">
        <v>2795</v>
      </c>
      <c r="J961" s="42" t="s">
        <v>8</v>
      </c>
    </row>
    <row r="962" spans="1:10" x14ac:dyDescent="0.3">
      <c r="A962" s="42" t="s">
        <v>331</v>
      </c>
      <c r="B962" s="43">
        <v>45835</v>
      </c>
      <c r="C962" s="42" t="s">
        <v>18</v>
      </c>
      <c r="D962" s="42" t="s">
        <v>19</v>
      </c>
      <c r="E962" s="42" t="s">
        <v>20</v>
      </c>
      <c r="F962" s="42">
        <v>250</v>
      </c>
      <c r="G962" s="44">
        <v>500000</v>
      </c>
      <c r="H962" s="44">
        <v>125000000</v>
      </c>
      <c r="I962" s="42" t="s">
        <v>2695</v>
      </c>
      <c r="J962" s="42" t="s">
        <v>8</v>
      </c>
    </row>
    <row r="963" spans="1:10" x14ac:dyDescent="0.3">
      <c r="A963" s="42" t="s">
        <v>332</v>
      </c>
      <c r="B963" s="43">
        <v>45835</v>
      </c>
      <c r="C963" s="42" t="s">
        <v>18</v>
      </c>
      <c r="D963" s="42" t="s">
        <v>19</v>
      </c>
      <c r="E963" s="42" t="s">
        <v>20</v>
      </c>
      <c r="F963" s="42">
        <v>27</v>
      </c>
      <c r="G963" s="44">
        <v>500000</v>
      </c>
      <c r="H963" s="44">
        <v>13500000</v>
      </c>
      <c r="I963" s="42" t="s">
        <v>2148</v>
      </c>
      <c r="J963" s="42" t="s">
        <v>127</v>
      </c>
    </row>
    <row r="964" spans="1:10" x14ac:dyDescent="0.3">
      <c r="A964" s="42" t="s">
        <v>346</v>
      </c>
      <c r="B964" s="43">
        <v>45835</v>
      </c>
      <c r="C964" s="42" t="s">
        <v>40</v>
      </c>
      <c r="D964" s="42" t="s">
        <v>41</v>
      </c>
      <c r="E964" s="42" t="s">
        <v>16</v>
      </c>
      <c r="F964" s="42">
        <v>42</v>
      </c>
      <c r="G964" s="44">
        <v>950000</v>
      </c>
      <c r="H964" s="44">
        <v>39900000</v>
      </c>
      <c r="I964" s="42" t="s">
        <v>2780</v>
      </c>
      <c r="J964" s="42" t="s">
        <v>127</v>
      </c>
    </row>
    <row r="965" spans="1:10" x14ac:dyDescent="0.3">
      <c r="A965" s="42" t="s">
        <v>347</v>
      </c>
      <c r="B965" s="43">
        <v>45835</v>
      </c>
      <c r="C965" s="42" t="s">
        <v>40</v>
      </c>
      <c r="D965" s="42" t="s">
        <v>41</v>
      </c>
      <c r="E965" s="42" t="s">
        <v>16</v>
      </c>
      <c r="F965" s="42">
        <v>44</v>
      </c>
      <c r="G965" s="44">
        <v>950000</v>
      </c>
      <c r="H965" s="44">
        <v>41800000</v>
      </c>
      <c r="I965" s="42" t="s">
        <v>2144</v>
      </c>
      <c r="J965" s="42" t="s">
        <v>69</v>
      </c>
    </row>
    <row r="966" spans="1:10" x14ac:dyDescent="0.3">
      <c r="A966" s="42" t="s">
        <v>348</v>
      </c>
      <c r="B966" s="43">
        <v>45835</v>
      </c>
      <c r="C966" s="42" t="s">
        <v>28</v>
      </c>
      <c r="D966" s="42" t="s">
        <v>29</v>
      </c>
      <c r="E966" s="42" t="s">
        <v>20</v>
      </c>
      <c r="F966" s="42">
        <v>21</v>
      </c>
      <c r="G966" s="44">
        <v>450000</v>
      </c>
      <c r="H966" s="44">
        <v>9450000</v>
      </c>
      <c r="I966" s="42" t="s">
        <v>2250</v>
      </c>
      <c r="J966" s="42" t="s">
        <v>69</v>
      </c>
    </row>
    <row r="967" spans="1:10" x14ac:dyDescent="0.3">
      <c r="A967" s="42" t="s">
        <v>367</v>
      </c>
      <c r="B967" s="43">
        <v>45835</v>
      </c>
      <c r="C967" s="42" t="s">
        <v>42</v>
      </c>
      <c r="D967" s="42" t="s">
        <v>43</v>
      </c>
      <c r="E967" s="42" t="s">
        <v>16</v>
      </c>
      <c r="F967" s="42">
        <v>33</v>
      </c>
      <c r="G967" s="44">
        <v>1200000</v>
      </c>
      <c r="H967" s="44">
        <v>39600000</v>
      </c>
      <c r="I967" s="42" t="s">
        <v>2834</v>
      </c>
      <c r="J967" s="42" t="s">
        <v>127</v>
      </c>
    </row>
    <row r="968" spans="1:10" x14ac:dyDescent="0.3">
      <c r="A968" s="42" t="s">
        <v>368</v>
      </c>
      <c r="B968" s="43">
        <v>45835</v>
      </c>
      <c r="C968" s="42" t="s">
        <v>28</v>
      </c>
      <c r="D968" s="42" t="s">
        <v>29</v>
      </c>
      <c r="E968" s="42" t="s">
        <v>20</v>
      </c>
      <c r="F968" s="42">
        <v>26</v>
      </c>
      <c r="G968" s="44">
        <v>450000</v>
      </c>
      <c r="H968" s="44">
        <v>11700000</v>
      </c>
      <c r="I968" s="42" t="s">
        <v>2204</v>
      </c>
      <c r="J968" s="42" t="s">
        <v>69</v>
      </c>
    </row>
    <row r="969" spans="1:10" x14ac:dyDescent="0.3">
      <c r="A969" s="42" t="s">
        <v>369</v>
      </c>
      <c r="B969" s="43">
        <v>45838</v>
      </c>
      <c r="C969" s="42" t="s">
        <v>14</v>
      </c>
      <c r="D969" s="42" t="s">
        <v>15</v>
      </c>
      <c r="E969" s="42" t="s">
        <v>16</v>
      </c>
      <c r="F969" s="42">
        <v>14</v>
      </c>
      <c r="G969" s="44">
        <v>350000</v>
      </c>
      <c r="H969" s="44">
        <v>4900000</v>
      </c>
      <c r="I969" s="42" t="s">
        <v>2454</v>
      </c>
      <c r="J969" s="42" t="s">
        <v>8</v>
      </c>
    </row>
    <row r="970" spans="1:10" x14ac:dyDescent="0.3">
      <c r="A970" s="42" t="s">
        <v>370</v>
      </c>
      <c r="B970" s="43">
        <v>45838</v>
      </c>
      <c r="C970" s="42" t="s">
        <v>38</v>
      </c>
      <c r="D970" s="42" t="s">
        <v>39</v>
      </c>
      <c r="E970" s="42" t="s">
        <v>16</v>
      </c>
      <c r="F970" s="42">
        <v>26</v>
      </c>
      <c r="G970" s="44">
        <v>200000</v>
      </c>
      <c r="H970" s="44">
        <v>5200000</v>
      </c>
      <c r="I970" s="42" t="s">
        <v>2817</v>
      </c>
      <c r="J970" s="42" t="s">
        <v>127</v>
      </c>
    </row>
    <row r="971" spans="1:10" x14ac:dyDescent="0.3">
      <c r="A971" s="42" t="s">
        <v>371</v>
      </c>
      <c r="B971" s="43">
        <v>45838</v>
      </c>
      <c r="C971" s="42" t="s">
        <v>22</v>
      </c>
      <c r="D971" s="42" t="s">
        <v>23</v>
      </c>
      <c r="E971" s="42" t="s">
        <v>12</v>
      </c>
      <c r="F971" s="42">
        <v>9</v>
      </c>
      <c r="G971" s="44">
        <v>25000</v>
      </c>
      <c r="H971" s="44">
        <v>225000</v>
      </c>
      <c r="I971" s="42" t="s">
        <v>2787</v>
      </c>
      <c r="J971" s="42" t="s">
        <v>60</v>
      </c>
    </row>
    <row r="972" spans="1:10" x14ac:dyDescent="0.3">
      <c r="A972" s="42" t="s">
        <v>372</v>
      </c>
      <c r="B972" s="43">
        <v>45838</v>
      </c>
      <c r="C972" s="42" t="s">
        <v>31</v>
      </c>
      <c r="D972" s="42" t="s">
        <v>32</v>
      </c>
      <c r="E972" s="42" t="s">
        <v>20</v>
      </c>
      <c r="F972" s="42">
        <v>19</v>
      </c>
      <c r="G972" s="44">
        <v>180000</v>
      </c>
      <c r="H972" s="44">
        <v>3420000</v>
      </c>
      <c r="I972" s="42" t="s">
        <v>2347</v>
      </c>
      <c r="J972" s="42" t="s">
        <v>69</v>
      </c>
    </row>
    <row r="973" spans="1:10" x14ac:dyDescent="0.3">
      <c r="A973" s="42" t="s">
        <v>389</v>
      </c>
      <c r="B973" s="43">
        <v>45838</v>
      </c>
      <c r="C973" s="42" t="s">
        <v>44</v>
      </c>
      <c r="D973" s="42" t="s">
        <v>45</v>
      </c>
      <c r="E973" s="42" t="s">
        <v>16</v>
      </c>
      <c r="F973" s="42">
        <v>24</v>
      </c>
      <c r="G973" s="44">
        <v>250000</v>
      </c>
      <c r="H973" s="44">
        <v>6000000</v>
      </c>
      <c r="I973" s="42" t="s">
        <v>2205</v>
      </c>
      <c r="J973" s="42" t="s">
        <v>60</v>
      </c>
    </row>
    <row r="974" spans="1:10" x14ac:dyDescent="0.3">
      <c r="A974" s="42" t="s">
        <v>390</v>
      </c>
      <c r="B974" s="43">
        <v>45838</v>
      </c>
      <c r="C974" s="42" t="s">
        <v>22</v>
      </c>
      <c r="D974" s="42" t="s">
        <v>23</v>
      </c>
      <c r="E974" s="42" t="s">
        <v>12</v>
      </c>
      <c r="F974" s="42">
        <v>26</v>
      </c>
      <c r="G974" s="44">
        <v>25000</v>
      </c>
      <c r="H974" s="44">
        <v>650000</v>
      </c>
      <c r="I974" s="42" t="s">
        <v>2251</v>
      </c>
      <c r="J974" s="42" t="s">
        <v>127</v>
      </c>
    </row>
    <row r="975" spans="1:10" x14ac:dyDescent="0.3">
      <c r="A975" s="42" t="s">
        <v>406</v>
      </c>
      <c r="B975" s="43">
        <v>45838</v>
      </c>
      <c r="C975" s="42" t="s">
        <v>31</v>
      </c>
      <c r="D975" s="42" t="s">
        <v>32</v>
      </c>
      <c r="E975" s="42" t="s">
        <v>20</v>
      </c>
      <c r="F975" s="42">
        <v>41</v>
      </c>
      <c r="G975" s="44">
        <v>180000</v>
      </c>
      <c r="H975" s="44">
        <v>7380000</v>
      </c>
      <c r="I975" s="42" t="s">
        <v>2495</v>
      </c>
      <c r="J975" s="42" t="s">
        <v>60</v>
      </c>
    </row>
    <row r="976" spans="1:10" x14ac:dyDescent="0.3">
      <c r="A976" s="42" t="s">
        <v>407</v>
      </c>
      <c r="B976" s="43">
        <v>45840</v>
      </c>
      <c r="C976" s="42" t="s">
        <v>40</v>
      </c>
      <c r="D976" s="42" t="s">
        <v>41</v>
      </c>
      <c r="E976" s="42" t="s">
        <v>16</v>
      </c>
      <c r="F976" s="42">
        <v>21</v>
      </c>
      <c r="G976" s="44">
        <v>950000</v>
      </c>
      <c r="H976" s="44">
        <v>19950000</v>
      </c>
      <c r="I976" s="42" t="s">
        <v>2252</v>
      </c>
      <c r="J976" s="42" t="s">
        <v>47</v>
      </c>
    </row>
    <row r="977" spans="1:10" x14ac:dyDescent="0.3">
      <c r="A977" s="42" t="s">
        <v>408</v>
      </c>
      <c r="B977" s="43">
        <v>45840</v>
      </c>
      <c r="C977" s="42" t="s">
        <v>31</v>
      </c>
      <c r="D977" s="42" t="s">
        <v>32</v>
      </c>
      <c r="E977" s="42" t="s">
        <v>20</v>
      </c>
      <c r="F977" s="42">
        <v>13</v>
      </c>
      <c r="G977" s="44">
        <v>180000</v>
      </c>
      <c r="H977" s="44">
        <v>2340000</v>
      </c>
      <c r="I977" s="42" t="s">
        <v>1939</v>
      </c>
      <c r="J977" s="42" t="s">
        <v>8</v>
      </c>
    </row>
    <row r="978" spans="1:10" x14ac:dyDescent="0.3">
      <c r="A978" s="42" t="s">
        <v>427</v>
      </c>
      <c r="B978" s="43">
        <v>45840</v>
      </c>
      <c r="C978" s="42" t="s">
        <v>18</v>
      </c>
      <c r="D978" s="42" t="s">
        <v>19</v>
      </c>
      <c r="E978" s="42" t="s">
        <v>20</v>
      </c>
      <c r="F978" s="42">
        <v>30</v>
      </c>
      <c r="G978" s="44">
        <v>500000</v>
      </c>
      <c r="H978" s="44">
        <v>15000000</v>
      </c>
      <c r="I978" s="42" t="s">
        <v>2191</v>
      </c>
      <c r="J978" s="42" t="s">
        <v>69</v>
      </c>
    </row>
    <row r="979" spans="1:10" x14ac:dyDescent="0.3">
      <c r="A979" s="42" t="s">
        <v>428</v>
      </c>
      <c r="B979" s="43">
        <v>45840</v>
      </c>
      <c r="C979" s="42" t="s">
        <v>14</v>
      </c>
      <c r="D979" s="42" t="s">
        <v>15</v>
      </c>
      <c r="E979" s="42" t="s">
        <v>16</v>
      </c>
      <c r="F979" s="42">
        <v>14</v>
      </c>
      <c r="G979" s="44">
        <v>350000</v>
      </c>
      <c r="H979" s="44">
        <v>4900000</v>
      </c>
      <c r="I979" s="42" t="s">
        <v>2359</v>
      </c>
      <c r="J979" s="42" t="s">
        <v>127</v>
      </c>
    </row>
    <row r="980" spans="1:10" x14ac:dyDescent="0.3">
      <c r="A980" s="42" t="s">
        <v>437</v>
      </c>
      <c r="B980" s="43">
        <v>45840</v>
      </c>
      <c r="C980" s="42" t="s">
        <v>44</v>
      </c>
      <c r="D980" s="42" t="s">
        <v>45</v>
      </c>
      <c r="E980" s="42" t="s">
        <v>16</v>
      </c>
      <c r="F980" s="42">
        <v>34</v>
      </c>
      <c r="G980" s="44">
        <v>250000</v>
      </c>
      <c r="H980" s="44">
        <v>8500000</v>
      </c>
      <c r="I980" s="42" t="s">
        <v>1242</v>
      </c>
      <c r="J980" s="42" t="s">
        <v>60</v>
      </c>
    </row>
    <row r="981" spans="1:10" x14ac:dyDescent="0.3">
      <c r="A981" s="42" t="s">
        <v>438</v>
      </c>
      <c r="B981" s="43">
        <v>45840</v>
      </c>
      <c r="C981" s="42" t="s">
        <v>44</v>
      </c>
      <c r="D981" s="42" t="s">
        <v>45</v>
      </c>
      <c r="E981" s="42" t="s">
        <v>16</v>
      </c>
      <c r="F981" s="42">
        <v>41</v>
      </c>
      <c r="G981" s="44">
        <v>250000</v>
      </c>
      <c r="H981" s="44">
        <v>10250000</v>
      </c>
      <c r="I981" s="42" t="s">
        <v>2552</v>
      </c>
      <c r="J981" s="42" t="s">
        <v>8</v>
      </c>
    </row>
    <row r="982" spans="1:10" x14ac:dyDescent="0.3">
      <c r="A982" s="42" t="s">
        <v>450</v>
      </c>
      <c r="B982" s="43">
        <v>45840</v>
      </c>
      <c r="C982" s="42" t="s">
        <v>40</v>
      </c>
      <c r="D982" s="42" t="s">
        <v>41</v>
      </c>
      <c r="E982" s="42" t="s">
        <v>16</v>
      </c>
      <c r="F982" s="42">
        <v>45</v>
      </c>
      <c r="G982" s="44">
        <v>950000</v>
      </c>
      <c r="H982" s="44">
        <v>42750000</v>
      </c>
      <c r="I982" s="42" t="s">
        <v>2224</v>
      </c>
      <c r="J982" s="42" t="s">
        <v>127</v>
      </c>
    </row>
    <row r="983" spans="1:10" x14ac:dyDescent="0.3">
      <c r="A983" s="42" t="s">
        <v>451</v>
      </c>
      <c r="B983" s="43">
        <v>45840</v>
      </c>
      <c r="C983" s="42" t="s">
        <v>31</v>
      </c>
      <c r="D983" s="42" t="s">
        <v>32</v>
      </c>
      <c r="E983" s="42" t="s">
        <v>20</v>
      </c>
      <c r="F983" s="42">
        <v>26</v>
      </c>
      <c r="G983" s="44">
        <v>180000</v>
      </c>
      <c r="H983" s="44">
        <v>4680000</v>
      </c>
      <c r="I983" s="42" t="s">
        <v>2773</v>
      </c>
      <c r="J983" s="42" t="s">
        <v>8</v>
      </c>
    </row>
    <row r="984" spans="1:10" x14ac:dyDescent="0.3">
      <c r="A984" s="42" t="s">
        <v>472</v>
      </c>
      <c r="B984" s="43">
        <v>45840</v>
      </c>
      <c r="C984" s="42" t="s">
        <v>22</v>
      </c>
      <c r="D984" s="42" t="s">
        <v>23</v>
      </c>
      <c r="E984" s="42" t="s">
        <v>12</v>
      </c>
      <c r="F984" s="42">
        <v>37</v>
      </c>
      <c r="G984" s="44">
        <v>25000</v>
      </c>
      <c r="H984" s="44">
        <v>925000</v>
      </c>
      <c r="I984" s="42" t="s">
        <v>2843</v>
      </c>
      <c r="J984" s="42" t="s">
        <v>8</v>
      </c>
    </row>
    <row r="985" spans="1:10" x14ac:dyDescent="0.3">
      <c r="A985" s="42" t="s">
        <v>473</v>
      </c>
      <c r="B985" s="43">
        <v>45840</v>
      </c>
      <c r="C985" s="42" t="s">
        <v>22</v>
      </c>
      <c r="D985" s="42" t="s">
        <v>23</v>
      </c>
      <c r="E985" s="42" t="s">
        <v>12</v>
      </c>
      <c r="F985" s="42">
        <v>14</v>
      </c>
      <c r="G985" s="44">
        <v>25000</v>
      </c>
      <c r="H985" s="44">
        <v>350000</v>
      </c>
      <c r="I985" s="42" t="s">
        <v>2345</v>
      </c>
      <c r="J985" s="42" t="s">
        <v>8</v>
      </c>
    </row>
    <row r="986" spans="1:10" x14ac:dyDescent="0.3">
      <c r="A986" s="42" t="s">
        <v>474</v>
      </c>
      <c r="B986" s="43">
        <v>45840</v>
      </c>
      <c r="C986" s="42" t="s">
        <v>10</v>
      </c>
      <c r="D986" s="42" t="s">
        <v>11</v>
      </c>
      <c r="E986" s="42" t="s">
        <v>12</v>
      </c>
      <c r="F986" s="42">
        <v>40</v>
      </c>
      <c r="G986" s="44">
        <v>120000</v>
      </c>
      <c r="H986" s="44">
        <v>4800000</v>
      </c>
      <c r="I986" s="42" t="s">
        <v>2641</v>
      </c>
      <c r="J986" s="42" t="s">
        <v>47</v>
      </c>
    </row>
    <row r="987" spans="1:10" x14ac:dyDescent="0.3">
      <c r="A987" s="42" t="s">
        <v>475</v>
      </c>
      <c r="B987" s="43">
        <v>45840</v>
      </c>
      <c r="C987" s="42" t="s">
        <v>28</v>
      </c>
      <c r="D987" s="42" t="s">
        <v>29</v>
      </c>
      <c r="E987" s="42" t="s">
        <v>20</v>
      </c>
      <c r="F987" s="42">
        <v>160</v>
      </c>
      <c r="G987" s="44">
        <v>450000</v>
      </c>
      <c r="H987" s="44">
        <v>72000000</v>
      </c>
      <c r="I987" s="42" t="s">
        <v>1789</v>
      </c>
      <c r="J987" s="42" t="s">
        <v>8</v>
      </c>
    </row>
    <row r="988" spans="1:10" x14ac:dyDescent="0.3">
      <c r="A988" s="42" t="s">
        <v>495</v>
      </c>
      <c r="B988" s="43">
        <v>45840</v>
      </c>
      <c r="C988" s="42" t="s">
        <v>40</v>
      </c>
      <c r="D988" s="42" t="s">
        <v>41</v>
      </c>
      <c r="E988" s="42" t="s">
        <v>16</v>
      </c>
      <c r="F988" s="42">
        <v>15</v>
      </c>
      <c r="G988" s="44">
        <v>950000</v>
      </c>
      <c r="H988" s="44">
        <v>14250000</v>
      </c>
      <c r="I988" s="42" t="s">
        <v>2252</v>
      </c>
      <c r="J988" s="42" t="s">
        <v>47</v>
      </c>
    </row>
    <row r="989" spans="1:10" x14ac:dyDescent="0.3">
      <c r="A989" s="42" t="s">
        <v>496</v>
      </c>
      <c r="B989" s="43">
        <v>45842</v>
      </c>
      <c r="C989" s="42" t="s">
        <v>14</v>
      </c>
      <c r="D989" s="42" t="s">
        <v>15</v>
      </c>
      <c r="E989" s="42" t="s">
        <v>16</v>
      </c>
      <c r="F989" s="42">
        <v>47</v>
      </c>
      <c r="G989" s="44">
        <v>350000</v>
      </c>
      <c r="H989" s="44">
        <v>16450000</v>
      </c>
      <c r="I989" s="42" t="s">
        <v>2259</v>
      </c>
      <c r="J989" s="42" t="s">
        <v>127</v>
      </c>
    </row>
    <row r="990" spans="1:10" x14ac:dyDescent="0.3">
      <c r="A990" s="42" t="s">
        <v>516</v>
      </c>
      <c r="B990" s="43">
        <v>45842</v>
      </c>
      <c r="C990" s="42" t="s">
        <v>40</v>
      </c>
      <c r="D990" s="42" t="s">
        <v>41</v>
      </c>
      <c r="E990" s="42" t="s">
        <v>16</v>
      </c>
      <c r="F990" s="42">
        <v>31</v>
      </c>
      <c r="G990" s="44">
        <v>950000</v>
      </c>
      <c r="H990" s="44">
        <v>29450000</v>
      </c>
      <c r="I990" s="42" t="s">
        <v>2827</v>
      </c>
      <c r="J990" s="42" t="s">
        <v>60</v>
      </c>
    </row>
    <row r="991" spans="1:10" x14ac:dyDescent="0.3">
      <c r="A991" s="42" t="s">
        <v>517</v>
      </c>
      <c r="B991" s="43">
        <v>45842</v>
      </c>
      <c r="C991" s="42" t="s">
        <v>42</v>
      </c>
      <c r="D991" s="42" t="s">
        <v>43</v>
      </c>
      <c r="E991" s="42" t="s">
        <v>16</v>
      </c>
      <c r="F991" s="42">
        <v>35</v>
      </c>
      <c r="G991" s="44">
        <v>1200000</v>
      </c>
      <c r="H991" s="44">
        <v>42000000</v>
      </c>
      <c r="I991" s="42" t="s">
        <v>2426</v>
      </c>
      <c r="J991" s="42" t="s">
        <v>69</v>
      </c>
    </row>
    <row r="992" spans="1:10" x14ac:dyDescent="0.3">
      <c r="A992" s="42" t="s">
        <v>518</v>
      </c>
      <c r="B992" s="43">
        <v>45842</v>
      </c>
      <c r="C992" s="42" t="s">
        <v>42</v>
      </c>
      <c r="D992" s="42" t="s">
        <v>43</v>
      </c>
      <c r="E992" s="42" t="s">
        <v>16</v>
      </c>
      <c r="F992" s="42">
        <v>38</v>
      </c>
      <c r="G992" s="44">
        <v>1200000</v>
      </c>
      <c r="H992" s="44">
        <v>45600000</v>
      </c>
      <c r="I992" s="42" t="s">
        <v>2340</v>
      </c>
      <c r="J992" s="42" t="s">
        <v>127</v>
      </c>
    </row>
    <row r="993" spans="1:10" x14ac:dyDescent="0.3">
      <c r="A993" s="42" t="s">
        <v>519</v>
      </c>
      <c r="B993" s="43">
        <v>45842</v>
      </c>
      <c r="C993" s="42" t="s">
        <v>40</v>
      </c>
      <c r="D993" s="42" t="s">
        <v>41</v>
      </c>
      <c r="E993" s="42" t="s">
        <v>16</v>
      </c>
      <c r="F993" s="42">
        <v>36</v>
      </c>
      <c r="G993" s="44">
        <v>950000</v>
      </c>
      <c r="H993" s="44">
        <v>34200000</v>
      </c>
      <c r="I993" s="42" t="s">
        <v>2497</v>
      </c>
      <c r="J993" s="42" t="s">
        <v>127</v>
      </c>
    </row>
    <row r="994" spans="1:10" x14ac:dyDescent="0.3">
      <c r="A994" s="42" t="s">
        <v>544</v>
      </c>
      <c r="B994" s="43">
        <v>45842</v>
      </c>
      <c r="C994" s="42" t="s">
        <v>42</v>
      </c>
      <c r="D994" s="42" t="s">
        <v>43</v>
      </c>
      <c r="E994" s="42" t="s">
        <v>16</v>
      </c>
      <c r="F994" s="42">
        <v>360</v>
      </c>
      <c r="G994" s="44">
        <v>1200000</v>
      </c>
      <c r="H994" s="44">
        <v>432000000</v>
      </c>
      <c r="I994" s="42" t="s">
        <v>2695</v>
      </c>
      <c r="J994" s="42" t="s">
        <v>8</v>
      </c>
    </row>
    <row r="995" spans="1:10" x14ac:dyDescent="0.3">
      <c r="A995" s="42" t="s">
        <v>567</v>
      </c>
      <c r="B995" s="43">
        <v>45842</v>
      </c>
      <c r="C995" s="42" t="s">
        <v>42</v>
      </c>
      <c r="D995" s="42" t="s">
        <v>43</v>
      </c>
      <c r="E995" s="42" t="s">
        <v>16</v>
      </c>
      <c r="F995" s="42">
        <v>60</v>
      </c>
      <c r="G995" s="44">
        <v>1200000</v>
      </c>
      <c r="H995" s="44">
        <v>72000000</v>
      </c>
      <c r="I995" s="42" t="s">
        <v>2149</v>
      </c>
      <c r="J995" s="42" t="s">
        <v>127</v>
      </c>
    </row>
    <row r="996" spans="1:10" x14ac:dyDescent="0.3">
      <c r="A996" s="42" t="s">
        <v>568</v>
      </c>
      <c r="B996" s="43">
        <v>45842</v>
      </c>
      <c r="C996" s="42" t="s">
        <v>38</v>
      </c>
      <c r="D996" s="42" t="s">
        <v>39</v>
      </c>
      <c r="E996" s="42" t="s">
        <v>16</v>
      </c>
      <c r="F996" s="42">
        <v>40</v>
      </c>
      <c r="G996" s="44">
        <v>200000</v>
      </c>
      <c r="H996" s="44">
        <v>8000000</v>
      </c>
      <c r="I996" s="42" t="s">
        <v>2712</v>
      </c>
      <c r="J996" s="42" t="s">
        <v>8</v>
      </c>
    </row>
    <row r="997" spans="1:10" x14ac:dyDescent="0.3">
      <c r="A997" s="42" t="s">
        <v>582</v>
      </c>
      <c r="B997" s="43">
        <v>45842</v>
      </c>
      <c r="C997" s="42" t="s">
        <v>18</v>
      </c>
      <c r="D997" s="42" t="s">
        <v>19</v>
      </c>
      <c r="E997" s="42" t="s">
        <v>20</v>
      </c>
      <c r="F997" s="42">
        <v>48</v>
      </c>
      <c r="G997" s="44">
        <v>500000</v>
      </c>
      <c r="H997" s="44">
        <v>24000000</v>
      </c>
      <c r="I997" s="42" t="s">
        <v>2732</v>
      </c>
      <c r="J997" s="42" t="s">
        <v>60</v>
      </c>
    </row>
    <row r="998" spans="1:10" x14ac:dyDescent="0.3">
      <c r="A998" s="42" t="s">
        <v>583</v>
      </c>
      <c r="B998" s="43">
        <v>45842</v>
      </c>
      <c r="C998" s="42" t="s">
        <v>22</v>
      </c>
      <c r="D998" s="42" t="s">
        <v>23</v>
      </c>
      <c r="E998" s="42" t="s">
        <v>12</v>
      </c>
      <c r="F998" s="42">
        <v>50</v>
      </c>
      <c r="G998" s="44">
        <v>25000</v>
      </c>
      <c r="H998" s="44">
        <v>1250000</v>
      </c>
      <c r="I998" s="42" t="s">
        <v>2197</v>
      </c>
      <c r="J998" s="42" t="s">
        <v>8</v>
      </c>
    </row>
    <row r="999" spans="1:10" x14ac:dyDescent="0.3">
      <c r="A999" s="42" t="s">
        <v>584</v>
      </c>
      <c r="B999" s="43">
        <v>45842</v>
      </c>
      <c r="C999" s="42" t="s">
        <v>44</v>
      </c>
      <c r="D999" s="42" t="s">
        <v>45</v>
      </c>
      <c r="E999" s="42" t="s">
        <v>16</v>
      </c>
      <c r="F999" s="42">
        <v>34</v>
      </c>
      <c r="G999" s="44">
        <v>250000</v>
      </c>
      <c r="H999" s="44">
        <v>8500000</v>
      </c>
      <c r="I999" s="42" t="s">
        <v>2597</v>
      </c>
      <c r="J999" s="42" t="s">
        <v>8</v>
      </c>
    </row>
    <row r="1000" spans="1:10" x14ac:dyDescent="0.3">
      <c r="A1000" s="42" t="s">
        <v>602</v>
      </c>
      <c r="B1000" s="43">
        <v>45842</v>
      </c>
      <c r="C1000" s="42" t="s">
        <v>10</v>
      </c>
      <c r="D1000" s="42" t="s">
        <v>11</v>
      </c>
      <c r="E1000" s="42" t="s">
        <v>12</v>
      </c>
      <c r="F1000" s="42">
        <v>16</v>
      </c>
      <c r="G1000" s="44">
        <v>120000</v>
      </c>
      <c r="H1000" s="44">
        <v>1920000</v>
      </c>
      <c r="I1000" s="42" t="s">
        <v>2731</v>
      </c>
      <c r="J1000" s="42" t="s">
        <v>47</v>
      </c>
    </row>
    <row r="1001" spans="1:10" x14ac:dyDescent="0.3">
      <c r="A1001" s="42" t="s">
        <v>603</v>
      </c>
      <c r="B1001" s="43">
        <v>45842</v>
      </c>
      <c r="C1001" s="42" t="s">
        <v>22</v>
      </c>
      <c r="D1001" s="42" t="s">
        <v>23</v>
      </c>
      <c r="E1001" s="42" t="s">
        <v>12</v>
      </c>
      <c r="F1001" s="42">
        <v>43</v>
      </c>
      <c r="G1001" s="44">
        <v>25000</v>
      </c>
      <c r="H1001" s="44">
        <v>1075000</v>
      </c>
      <c r="I1001" s="42" t="s">
        <v>2645</v>
      </c>
      <c r="J1001" s="42" t="s">
        <v>127</v>
      </c>
    </row>
    <row r="1002" spans="1:10" x14ac:dyDescent="0.3">
      <c r="A1002" s="42" t="s">
        <v>604</v>
      </c>
      <c r="B1002" s="43">
        <v>45842</v>
      </c>
      <c r="C1002" s="42" t="s">
        <v>44</v>
      </c>
      <c r="D1002" s="42" t="s">
        <v>45</v>
      </c>
      <c r="E1002" s="42" t="s">
        <v>16</v>
      </c>
      <c r="F1002" s="42">
        <v>31</v>
      </c>
      <c r="G1002" s="44">
        <v>250000</v>
      </c>
      <c r="H1002" s="44">
        <v>7750000</v>
      </c>
      <c r="I1002" s="42" t="s">
        <v>2827</v>
      </c>
      <c r="J1002" s="42" t="s">
        <v>60</v>
      </c>
    </row>
    <row r="1003" spans="1:10" x14ac:dyDescent="0.3">
      <c r="A1003" s="42" t="s">
        <v>628</v>
      </c>
      <c r="B1003" s="43">
        <v>45842</v>
      </c>
      <c r="C1003" s="42" t="s">
        <v>38</v>
      </c>
      <c r="D1003" s="42" t="s">
        <v>39</v>
      </c>
      <c r="E1003" s="42" t="s">
        <v>16</v>
      </c>
      <c r="F1003" s="42">
        <v>480</v>
      </c>
      <c r="G1003" s="44">
        <v>200000</v>
      </c>
      <c r="H1003" s="44">
        <v>96000000</v>
      </c>
      <c r="I1003" s="42" t="s">
        <v>2686</v>
      </c>
      <c r="J1003" s="42" t="s">
        <v>8</v>
      </c>
    </row>
    <row r="1004" spans="1:10" x14ac:dyDescent="0.3">
      <c r="A1004" s="42" t="s">
        <v>629</v>
      </c>
      <c r="B1004" s="43">
        <v>45842</v>
      </c>
      <c r="C1004" s="42" t="s">
        <v>31</v>
      </c>
      <c r="D1004" s="42" t="s">
        <v>32</v>
      </c>
      <c r="E1004" s="42" t="s">
        <v>20</v>
      </c>
      <c r="F1004" s="42">
        <v>23</v>
      </c>
      <c r="G1004" s="44">
        <v>180000</v>
      </c>
      <c r="H1004" s="44">
        <v>4140000</v>
      </c>
      <c r="I1004" s="42" t="s">
        <v>2281</v>
      </c>
      <c r="J1004" s="42" t="s">
        <v>47</v>
      </c>
    </row>
    <row r="1005" spans="1:10" x14ac:dyDescent="0.3">
      <c r="A1005" s="42" t="s">
        <v>682</v>
      </c>
      <c r="B1005" s="43">
        <v>45847</v>
      </c>
      <c r="C1005" s="42" t="s">
        <v>44</v>
      </c>
      <c r="D1005" s="42" t="s">
        <v>45</v>
      </c>
      <c r="E1005" s="42" t="s">
        <v>16</v>
      </c>
      <c r="F1005" s="42">
        <v>33</v>
      </c>
      <c r="G1005" s="44">
        <v>250000</v>
      </c>
      <c r="H1005" s="44">
        <v>8250000</v>
      </c>
      <c r="I1005" s="42" t="s">
        <v>2839</v>
      </c>
      <c r="J1005" s="42" t="s">
        <v>47</v>
      </c>
    </row>
    <row r="1006" spans="1:10" x14ac:dyDescent="0.3">
      <c r="A1006" s="42" t="s">
        <v>683</v>
      </c>
      <c r="B1006" s="43">
        <v>45847</v>
      </c>
      <c r="C1006" s="42" t="s">
        <v>40</v>
      </c>
      <c r="D1006" s="42" t="s">
        <v>41</v>
      </c>
      <c r="E1006" s="42" t="s">
        <v>16</v>
      </c>
      <c r="F1006" s="42">
        <v>400</v>
      </c>
      <c r="G1006" s="44">
        <v>950000</v>
      </c>
      <c r="H1006" s="44">
        <v>380000000</v>
      </c>
      <c r="I1006" s="42" t="s">
        <v>2753</v>
      </c>
      <c r="J1006" s="42" t="s">
        <v>47</v>
      </c>
    </row>
    <row r="1007" spans="1:10" x14ac:dyDescent="0.3">
      <c r="A1007" s="42" t="s">
        <v>704</v>
      </c>
      <c r="B1007" s="43">
        <v>45847</v>
      </c>
      <c r="C1007" s="42" t="s">
        <v>14</v>
      </c>
      <c r="D1007" s="42" t="s">
        <v>15</v>
      </c>
      <c r="E1007" s="42" t="s">
        <v>16</v>
      </c>
      <c r="F1007" s="42">
        <v>40</v>
      </c>
      <c r="G1007" s="44">
        <v>350000</v>
      </c>
      <c r="H1007" s="44">
        <v>14000000</v>
      </c>
      <c r="I1007" s="42" t="s">
        <v>2131</v>
      </c>
      <c r="J1007" s="42" t="s">
        <v>60</v>
      </c>
    </row>
    <row r="1008" spans="1:10" x14ac:dyDescent="0.3">
      <c r="A1008" s="42" t="s">
        <v>721</v>
      </c>
      <c r="B1008" s="43">
        <v>45847</v>
      </c>
      <c r="C1008" s="42" t="s">
        <v>44</v>
      </c>
      <c r="D1008" s="42" t="s">
        <v>45</v>
      </c>
      <c r="E1008" s="42" t="s">
        <v>16</v>
      </c>
      <c r="F1008" s="42">
        <v>39</v>
      </c>
      <c r="G1008" s="44">
        <v>250000</v>
      </c>
      <c r="H1008" s="44">
        <v>9750000</v>
      </c>
      <c r="I1008" s="42" t="s">
        <v>2300</v>
      </c>
      <c r="J1008" s="42" t="s">
        <v>60</v>
      </c>
    </row>
    <row r="1009" spans="1:10" x14ac:dyDescent="0.3">
      <c r="A1009" s="42" t="s">
        <v>735</v>
      </c>
      <c r="B1009" s="43">
        <v>45847</v>
      </c>
      <c r="C1009" s="42" t="s">
        <v>14</v>
      </c>
      <c r="D1009" s="42" t="s">
        <v>15</v>
      </c>
      <c r="E1009" s="42" t="s">
        <v>16</v>
      </c>
      <c r="F1009" s="42">
        <v>29</v>
      </c>
      <c r="G1009" s="44">
        <v>350000</v>
      </c>
      <c r="H1009" s="44">
        <v>10150000</v>
      </c>
      <c r="I1009" s="42" t="s">
        <v>2453</v>
      </c>
      <c r="J1009" s="42" t="s">
        <v>8</v>
      </c>
    </row>
    <row r="1010" spans="1:10" x14ac:dyDescent="0.3">
      <c r="A1010" s="42" t="s">
        <v>736</v>
      </c>
      <c r="B1010" s="43">
        <v>45847</v>
      </c>
      <c r="C1010" s="42" t="s">
        <v>40</v>
      </c>
      <c r="D1010" s="42" t="s">
        <v>41</v>
      </c>
      <c r="E1010" s="42" t="s">
        <v>16</v>
      </c>
      <c r="F1010" s="42">
        <v>250</v>
      </c>
      <c r="G1010" s="44">
        <v>950000</v>
      </c>
      <c r="H1010" s="44">
        <v>237500000</v>
      </c>
      <c r="I1010" s="42" t="s">
        <v>2618</v>
      </c>
      <c r="J1010" s="42" t="s">
        <v>8</v>
      </c>
    </row>
    <row r="1011" spans="1:10" x14ac:dyDescent="0.3">
      <c r="A1011" s="42" t="s">
        <v>737</v>
      </c>
      <c r="B1011" s="43">
        <v>45847</v>
      </c>
      <c r="C1011" s="42" t="s">
        <v>31</v>
      </c>
      <c r="D1011" s="42" t="s">
        <v>32</v>
      </c>
      <c r="E1011" s="42" t="s">
        <v>20</v>
      </c>
      <c r="F1011" s="42">
        <v>18</v>
      </c>
      <c r="G1011" s="44">
        <v>180000</v>
      </c>
      <c r="H1011" s="44">
        <v>3240000</v>
      </c>
      <c r="I1011" s="42" t="s">
        <v>2720</v>
      </c>
      <c r="J1011" s="42" t="s">
        <v>47</v>
      </c>
    </row>
    <row r="1012" spans="1:10" x14ac:dyDescent="0.3">
      <c r="A1012" s="42" t="s">
        <v>738</v>
      </c>
      <c r="B1012" s="43">
        <v>45847</v>
      </c>
      <c r="C1012" s="42" t="s">
        <v>40</v>
      </c>
      <c r="D1012" s="42" t="s">
        <v>41</v>
      </c>
      <c r="E1012" s="42" t="s">
        <v>16</v>
      </c>
      <c r="F1012" s="42">
        <v>50</v>
      </c>
      <c r="G1012" s="44">
        <v>950000</v>
      </c>
      <c r="H1012" s="44">
        <v>47500000</v>
      </c>
      <c r="I1012" s="42" t="s">
        <v>2828</v>
      </c>
      <c r="J1012" s="42" t="s">
        <v>127</v>
      </c>
    </row>
    <row r="1013" spans="1:10" x14ac:dyDescent="0.3">
      <c r="A1013" s="42" t="s">
        <v>755</v>
      </c>
      <c r="B1013" s="43">
        <v>45847</v>
      </c>
      <c r="C1013" s="42" t="s">
        <v>14</v>
      </c>
      <c r="D1013" s="42" t="s">
        <v>15</v>
      </c>
      <c r="E1013" s="42" t="s">
        <v>16</v>
      </c>
      <c r="F1013" s="42">
        <v>48</v>
      </c>
      <c r="G1013" s="44">
        <v>350000</v>
      </c>
      <c r="H1013" s="44">
        <v>16800000</v>
      </c>
      <c r="I1013" s="42" t="s">
        <v>2782</v>
      </c>
      <c r="J1013" s="42" t="s">
        <v>69</v>
      </c>
    </row>
    <row r="1014" spans="1:10" x14ac:dyDescent="0.3">
      <c r="A1014" s="42" t="s">
        <v>756</v>
      </c>
      <c r="B1014" s="43">
        <v>45847</v>
      </c>
      <c r="C1014" s="42" t="s">
        <v>28</v>
      </c>
      <c r="D1014" s="42" t="s">
        <v>29</v>
      </c>
      <c r="E1014" s="42" t="s">
        <v>20</v>
      </c>
      <c r="F1014" s="42">
        <v>190</v>
      </c>
      <c r="G1014" s="44">
        <v>450000</v>
      </c>
      <c r="H1014" s="44">
        <v>85500000</v>
      </c>
      <c r="I1014" s="42" t="s">
        <v>2362</v>
      </c>
      <c r="J1014" s="42" t="s">
        <v>8</v>
      </c>
    </row>
    <row r="1015" spans="1:10" x14ac:dyDescent="0.3">
      <c r="A1015" s="42" t="s">
        <v>757</v>
      </c>
      <c r="B1015" s="43">
        <v>45847</v>
      </c>
      <c r="C1015" s="42" t="s">
        <v>18</v>
      </c>
      <c r="D1015" s="42" t="s">
        <v>19</v>
      </c>
      <c r="E1015" s="42" t="s">
        <v>20</v>
      </c>
      <c r="F1015" s="42">
        <v>110</v>
      </c>
      <c r="G1015" s="44">
        <v>500000</v>
      </c>
      <c r="H1015" s="44">
        <v>55000000</v>
      </c>
      <c r="I1015" s="42" t="s">
        <v>2577</v>
      </c>
      <c r="J1015" s="42" t="s">
        <v>47</v>
      </c>
    </row>
    <row r="1016" spans="1:10" x14ac:dyDescent="0.3">
      <c r="A1016" s="42" t="s">
        <v>758</v>
      </c>
      <c r="B1016" s="43">
        <v>45848</v>
      </c>
      <c r="C1016" s="42" t="s">
        <v>31</v>
      </c>
      <c r="D1016" s="42" t="s">
        <v>32</v>
      </c>
      <c r="E1016" s="42" t="s">
        <v>20</v>
      </c>
      <c r="F1016" s="42">
        <v>43</v>
      </c>
      <c r="G1016" s="44">
        <v>180000</v>
      </c>
      <c r="H1016" s="44">
        <v>7740000</v>
      </c>
      <c r="I1016" s="42" t="s">
        <v>2703</v>
      </c>
      <c r="J1016" s="42" t="s">
        <v>127</v>
      </c>
    </row>
    <row r="1017" spans="1:10" x14ac:dyDescent="0.3">
      <c r="A1017" s="42" t="s">
        <v>759</v>
      </c>
      <c r="B1017" s="43">
        <v>45848</v>
      </c>
      <c r="C1017" s="42" t="s">
        <v>14</v>
      </c>
      <c r="D1017" s="42" t="s">
        <v>15</v>
      </c>
      <c r="E1017" s="42" t="s">
        <v>16</v>
      </c>
      <c r="F1017" s="42">
        <v>17</v>
      </c>
      <c r="G1017" s="44">
        <v>350000</v>
      </c>
      <c r="H1017" s="44">
        <v>5950000</v>
      </c>
      <c r="I1017" s="42" t="s">
        <v>2390</v>
      </c>
      <c r="J1017" s="42" t="s">
        <v>69</v>
      </c>
    </row>
    <row r="1018" spans="1:10" x14ac:dyDescent="0.3">
      <c r="A1018" s="42" t="s">
        <v>779</v>
      </c>
      <c r="B1018" s="43">
        <v>45848</v>
      </c>
      <c r="C1018" s="42" t="s">
        <v>42</v>
      </c>
      <c r="D1018" s="42" t="s">
        <v>43</v>
      </c>
      <c r="E1018" s="42" t="s">
        <v>16</v>
      </c>
      <c r="F1018" s="42">
        <v>34</v>
      </c>
      <c r="G1018" s="44">
        <v>1200000</v>
      </c>
      <c r="H1018" s="44">
        <v>40800000</v>
      </c>
      <c r="I1018" s="42" t="s">
        <v>2548</v>
      </c>
      <c r="J1018" s="42" t="s">
        <v>47</v>
      </c>
    </row>
    <row r="1019" spans="1:10" x14ac:dyDescent="0.3">
      <c r="A1019" s="42" t="s">
        <v>780</v>
      </c>
      <c r="B1019" s="43">
        <v>45848</v>
      </c>
      <c r="C1019" s="42" t="s">
        <v>44</v>
      </c>
      <c r="D1019" s="42" t="s">
        <v>45</v>
      </c>
      <c r="E1019" s="42" t="s">
        <v>16</v>
      </c>
      <c r="F1019" s="42">
        <v>9</v>
      </c>
      <c r="G1019" s="44">
        <v>250000</v>
      </c>
      <c r="H1019" s="44">
        <v>2250000</v>
      </c>
      <c r="I1019" s="42" t="s">
        <v>2690</v>
      </c>
      <c r="J1019" s="42" t="s">
        <v>60</v>
      </c>
    </row>
    <row r="1020" spans="1:10" x14ac:dyDescent="0.3">
      <c r="A1020" s="42" t="s">
        <v>781</v>
      </c>
      <c r="B1020" s="43">
        <v>45848</v>
      </c>
      <c r="C1020" s="42" t="s">
        <v>22</v>
      </c>
      <c r="D1020" s="42" t="s">
        <v>23</v>
      </c>
      <c r="E1020" s="42" t="s">
        <v>12</v>
      </c>
      <c r="F1020" s="42">
        <v>23</v>
      </c>
      <c r="G1020" s="44">
        <v>25000</v>
      </c>
      <c r="H1020" s="44">
        <v>575000</v>
      </c>
      <c r="I1020" s="42" t="s">
        <v>2353</v>
      </c>
      <c r="J1020" s="42" t="s">
        <v>69</v>
      </c>
    </row>
    <row r="1021" spans="1:10" x14ac:dyDescent="0.3">
      <c r="A1021" s="42" t="s">
        <v>801</v>
      </c>
      <c r="B1021" s="43">
        <v>45848</v>
      </c>
      <c r="C1021" s="42" t="s">
        <v>40</v>
      </c>
      <c r="D1021" s="42" t="s">
        <v>41</v>
      </c>
      <c r="E1021" s="42" t="s">
        <v>16</v>
      </c>
      <c r="F1021" s="42">
        <v>17</v>
      </c>
      <c r="G1021" s="44">
        <v>950000</v>
      </c>
      <c r="H1021" s="44">
        <v>16150000</v>
      </c>
      <c r="I1021" s="42" t="s">
        <v>78</v>
      </c>
      <c r="J1021" s="42" t="s">
        <v>127</v>
      </c>
    </row>
    <row r="1022" spans="1:10" x14ac:dyDescent="0.3">
      <c r="A1022" s="42" t="s">
        <v>802</v>
      </c>
      <c r="B1022" s="43">
        <v>45848</v>
      </c>
      <c r="C1022" s="42" t="s">
        <v>38</v>
      </c>
      <c r="D1022" s="42" t="s">
        <v>39</v>
      </c>
      <c r="E1022" s="42" t="s">
        <v>16</v>
      </c>
      <c r="F1022" s="42">
        <v>7</v>
      </c>
      <c r="G1022" s="44">
        <v>200000</v>
      </c>
      <c r="H1022" s="44">
        <v>1400000</v>
      </c>
      <c r="I1022" s="42" t="s">
        <v>2687</v>
      </c>
      <c r="J1022" s="42" t="s">
        <v>47</v>
      </c>
    </row>
    <row r="1023" spans="1:10" x14ac:dyDescent="0.3">
      <c r="A1023" s="42" t="s">
        <v>803</v>
      </c>
      <c r="B1023" s="43">
        <v>45848</v>
      </c>
      <c r="C1023" s="42" t="s">
        <v>28</v>
      </c>
      <c r="D1023" s="42" t="s">
        <v>29</v>
      </c>
      <c r="E1023" s="42" t="s">
        <v>20</v>
      </c>
      <c r="F1023" s="42">
        <v>26</v>
      </c>
      <c r="G1023" s="44">
        <v>450000</v>
      </c>
      <c r="H1023" s="44">
        <v>11700000</v>
      </c>
      <c r="I1023" s="42" t="s">
        <v>2315</v>
      </c>
      <c r="J1023" s="42" t="s">
        <v>127</v>
      </c>
    </row>
    <row r="1024" spans="1:10" x14ac:dyDescent="0.3">
      <c r="A1024" s="42" t="s">
        <v>804</v>
      </c>
      <c r="B1024" s="43">
        <v>45848</v>
      </c>
      <c r="C1024" s="42" t="s">
        <v>40</v>
      </c>
      <c r="D1024" s="42" t="s">
        <v>41</v>
      </c>
      <c r="E1024" s="42" t="s">
        <v>16</v>
      </c>
      <c r="F1024" s="42">
        <v>36</v>
      </c>
      <c r="G1024" s="44">
        <v>950000</v>
      </c>
      <c r="H1024" s="44">
        <v>34200000</v>
      </c>
      <c r="I1024" s="42" t="s">
        <v>2333</v>
      </c>
      <c r="J1024" s="42" t="s">
        <v>60</v>
      </c>
    </row>
    <row r="1025" spans="1:10" x14ac:dyDescent="0.3">
      <c r="A1025" s="42" t="s">
        <v>813</v>
      </c>
      <c r="B1025" s="43">
        <v>45848</v>
      </c>
      <c r="C1025" s="42" t="s">
        <v>28</v>
      </c>
      <c r="D1025" s="42" t="s">
        <v>29</v>
      </c>
      <c r="E1025" s="42" t="s">
        <v>20</v>
      </c>
      <c r="F1025" s="42">
        <v>40</v>
      </c>
      <c r="G1025" s="44">
        <v>450000</v>
      </c>
      <c r="H1025" s="44">
        <v>18000000</v>
      </c>
      <c r="I1025" s="42" t="s">
        <v>2267</v>
      </c>
      <c r="J1025" s="42" t="s">
        <v>8</v>
      </c>
    </row>
    <row r="1026" spans="1:10" x14ac:dyDescent="0.3">
      <c r="A1026" s="42" t="s">
        <v>832</v>
      </c>
      <c r="B1026" s="43">
        <v>45848</v>
      </c>
      <c r="C1026" s="42" t="s">
        <v>44</v>
      </c>
      <c r="D1026" s="42" t="s">
        <v>45</v>
      </c>
      <c r="E1026" s="42" t="s">
        <v>16</v>
      </c>
      <c r="F1026" s="42">
        <v>27</v>
      </c>
      <c r="G1026" s="44">
        <v>250000</v>
      </c>
      <c r="H1026" s="44">
        <v>6750000</v>
      </c>
      <c r="I1026" s="42" t="s">
        <v>2400</v>
      </c>
      <c r="J1026" s="42" t="s">
        <v>127</v>
      </c>
    </row>
    <row r="1027" spans="1:10" x14ac:dyDescent="0.3">
      <c r="A1027" s="42" t="s">
        <v>833</v>
      </c>
      <c r="B1027" s="43">
        <v>45848</v>
      </c>
      <c r="C1027" s="42" t="s">
        <v>10</v>
      </c>
      <c r="D1027" s="42" t="s">
        <v>11</v>
      </c>
      <c r="E1027" s="42" t="s">
        <v>12</v>
      </c>
      <c r="F1027" s="42">
        <v>60</v>
      </c>
      <c r="G1027" s="44">
        <v>120000</v>
      </c>
      <c r="H1027" s="44">
        <v>7200000</v>
      </c>
      <c r="I1027" s="42" t="s">
        <v>2668</v>
      </c>
      <c r="J1027" s="42" t="s">
        <v>127</v>
      </c>
    </row>
    <row r="1028" spans="1:10" x14ac:dyDescent="0.3">
      <c r="A1028" s="42" t="s">
        <v>834</v>
      </c>
      <c r="B1028" s="43">
        <v>45848</v>
      </c>
      <c r="C1028" s="42" t="s">
        <v>22</v>
      </c>
      <c r="D1028" s="42" t="s">
        <v>23</v>
      </c>
      <c r="E1028" s="42" t="s">
        <v>12</v>
      </c>
      <c r="F1028" s="42">
        <v>29</v>
      </c>
      <c r="G1028" s="44">
        <v>25000</v>
      </c>
      <c r="H1028" s="44">
        <v>725000</v>
      </c>
      <c r="I1028" s="42" t="s">
        <v>2345</v>
      </c>
      <c r="J1028" s="42" t="s">
        <v>8</v>
      </c>
    </row>
    <row r="1029" spans="1:10" x14ac:dyDescent="0.3">
      <c r="A1029" s="42" t="s">
        <v>843</v>
      </c>
      <c r="B1029" s="43">
        <v>45848</v>
      </c>
      <c r="C1029" s="42" t="s">
        <v>22</v>
      </c>
      <c r="D1029" s="42" t="s">
        <v>23</v>
      </c>
      <c r="E1029" s="42" t="s">
        <v>12</v>
      </c>
      <c r="F1029" s="42">
        <v>46</v>
      </c>
      <c r="G1029" s="44">
        <v>25000</v>
      </c>
      <c r="H1029" s="44">
        <v>1150000</v>
      </c>
      <c r="I1029" s="42" t="s">
        <v>2557</v>
      </c>
      <c r="J1029" s="42" t="s">
        <v>127</v>
      </c>
    </row>
    <row r="1030" spans="1:10" x14ac:dyDescent="0.3">
      <c r="A1030" s="42" t="s">
        <v>857</v>
      </c>
      <c r="B1030" s="43">
        <v>45848</v>
      </c>
      <c r="C1030" s="42" t="s">
        <v>14</v>
      </c>
      <c r="D1030" s="42" t="s">
        <v>15</v>
      </c>
      <c r="E1030" s="42" t="s">
        <v>16</v>
      </c>
      <c r="F1030" s="42">
        <v>10</v>
      </c>
      <c r="G1030" s="44">
        <v>350000</v>
      </c>
      <c r="H1030" s="44">
        <v>3500000</v>
      </c>
      <c r="I1030" s="42" t="s">
        <v>2565</v>
      </c>
      <c r="J1030" s="42" t="s">
        <v>8</v>
      </c>
    </row>
    <row r="1031" spans="1:10" x14ac:dyDescent="0.3">
      <c r="A1031" s="42" t="s">
        <v>871</v>
      </c>
      <c r="B1031" s="43">
        <v>45848</v>
      </c>
      <c r="C1031" s="42" t="s">
        <v>22</v>
      </c>
      <c r="D1031" s="42" t="s">
        <v>23</v>
      </c>
      <c r="E1031" s="42" t="s">
        <v>12</v>
      </c>
      <c r="F1031" s="42">
        <v>23</v>
      </c>
      <c r="G1031" s="44">
        <v>25000</v>
      </c>
      <c r="H1031" s="44">
        <v>575000</v>
      </c>
      <c r="I1031" s="42" t="s">
        <v>2662</v>
      </c>
      <c r="J1031" s="42" t="s">
        <v>127</v>
      </c>
    </row>
    <row r="1032" spans="1:10" x14ac:dyDescent="0.3">
      <c r="A1032" s="42" t="s">
        <v>872</v>
      </c>
      <c r="B1032" s="43">
        <v>45848</v>
      </c>
      <c r="C1032" s="42" t="s">
        <v>44</v>
      </c>
      <c r="D1032" s="42" t="s">
        <v>45</v>
      </c>
      <c r="E1032" s="42" t="s">
        <v>16</v>
      </c>
      <c r="F1032" s="42">
        <v>29</v>
      </c>
      <c r="G1032" s="44">
        <v>250000</v>
      </c>
      <c r="H1032" s="44">
        <v>7250000</v>
      </c>
      <c r="I1032" s="42" t="s">
        <v>2834</v>
      </c>
      <c r="J1032" s="42" t="s">
        <v>127</v>
      </c>
    </row>
    <row r="1033" spans="1:10" x14ac:dyDescent="0.3">
      <c r="A1033" s="42" t="s">
        <v>888</v>
      </c>
      <c r="B1033" s="43">
        <v>45848</v>
      </c>
      <c r="C1033" s="42" t="s">
        <v>22</v>
      </c>
      <c r="D1033" s="42" t="s">
        <v>23</v>
      </c>
      <c r="E1033" s="42" t="s">
        <v>12</v>
      </c>
      <c r="F1033" s="42">
        <v>43</v>
      </c>
      <c r="G1033" s="44">
        <v>25000</v>
      </c>
      <c r="H1033" s="44">
        <v>1075000</v>
      </c>
      <c r="I1033" s="42" t="s">
        <v>2195</v>
      </c>
      <c r="J1033" s="42" t="s">
        <v>60</v>
      </c>
    </row>
    <row r="1034" spans="1:10" x14ac:dyDescent="0.3">
      <c r="A1034" s="42" t="s">
        <v>889</v>
      </c>
      <c r="B1034" s="43">
        <v>45849</v>
      </c>
      <c r="C1034" s="42" t="s">
        <v>18</v>
      </c>
      <c r="D1034" s="42" t="s">
        <v>19</v>
      </c>
      <c r="E1034" s="42" t="s">
        <v>20</v>
      </c>
      <c r="F1034" s="42">
        <v>43</v>
      </c>
      <c r="G1034" s="44">
        <v>500000</v>
      </c>
      <c r="H1034" s="44">
        <v>21500000</v>
      </c>
      <c r="I1034" s="42" t="s">
        <v>2529</v>
      </c>
      <c r="J1034" s="42" t="s">
        <v>69</v>
      </c>
    </row>
    <row r="1035" spans="1:10" x14ac:dyDescent="0.3">
      <c r="A1035" s="42" t="s">
        <v>890</v>
      </c>
      <c r="B1035" s="43">
        <v>45849</v>
      </c>
      <c r="C1035" s="42" t="s">
        <v>22</v>
      </c>
      <c r="D1035" s="42" t="s">
        <v>23</v>
      </c>
      <c r="E1035" s="42" t="s">
        <v>12</v>
      </c>
      <c r="F1035" s="42">
        <v>48</v>
      </c>
      <c r="G1035" s="44">
        <v>25000</v>
      </c>
      <c r="H1035" s="44">
        <v>1200000</v>
      </c>
      <c r="I1035" s="42" t="s">
        <v>2388</v>
      </c>
      <c r="J1035" s="42" t="s">
        <v>69</v>
      </c>
    </row>
    <row r="1036" spans="1:10" x14ac:dyDescent="0.3">
      <c r="A1036" s="42" t="s">
        <v>906</v>
      </c>
      <c r="B1036" s="43">
        <v>45849</v>
      </c>
      <c r="C1036" s="42" t="s">
        <v>28</v>
      </c>
      <c r="D1036" s="42" t="s">
        <v>29</v>
      </c>
      <c r="E1036" s="42" t="s">
        <v>20</v>
      </c>
      <c r="F1036" s="42">
        <v>460</v>
      </c>
      <c r="G1036" s="44">
        <v>450000</v>
      </c>
      <c r="H1036" s="44">
        <v>207000000</v>
      </c>
      <c r="I1036" s="42" t="s">
        <v>2184</v>
      </c>
      <c r="J1036" s="42" t="s">
        <v>127</v>
      </c>
    </row>
    <row r="1037" spans="1:10" x14ac:dyDescent="0.3">
      <c r="A1037" s="42" t="s">
        <v>907</v>
      </c>
      <c r="B1037" s="43">
        <v>45849</v>
      </c>
      <c r="C1037" s="42" t="s">
        <v>28</v>
      </c>
      <c r="D1037" s="42" t="s">
        <v>29</v>
      </c>
      <c r="E1037" s="42" t="s">
        <v>20</v>
      </c>
      <c r="F1037" s="42">
        <v>49</v>
      </c>
      <c r="G1037" s="44">
        <v>450000</v>
      </c>
      <c r="H1037" s="44">
        <v>22050000</v>
      </c>
      <c r="I1037" s="42" t="s">
        <v>2392</v>
      </c>
      <c r="J1037" s="42" t="s">
        <v>8</v>
      </c>
    </row>
    <row r="1038" spans="1:10" x14ac:dyDescent="0.3">
      <c r="A1038" s="42" t="s">
        <v>908</v>
      </c>
      <c r="B1038" s="43">
        <v>45849</v>
      </c>
      <c r="C1038" s="42" t="s">
        <v>42</v>
      </c>
      <c r="D1038" s="42" t="s">
        <v>43</v>
      </c>
      <c r="E1038" s="42" t="s">
        <v>16</v>
      </c>
      <c r="F1038" s="42">
        <v>6</v>
      </c>
      <c r="G1038" s="44">
        <v>1200000</v>
      </c>
      <c r="H1038" s="44">
        <v>7200000</v>
      </c>
      <c r="I1038" s="42" t="s">
        <v>2248</v>
      </c>
      <c r="J1038" s="42" t="s">
        <v>60</v>
      </c>
    </row>
    <row r="1039" spans="1:10" x14ac:dyDescent="0.3">
      <c r="A1039" s="42" t="s">
        <v>909</v>
      </c>
      <c r="B1039" s="43">
        <v>45849</v>
      </c>
      <c r="C1039" s="42" t="s">
        <v>18</v>
      </c>
      <c r="D1039" s="42" t="s">
        <v>19</v>
      </c>
      <c r="E1039" s="42" t="s">
        <v>20</v>
      </c>
      <c r="F1039" s="42">
        <v>15</v>
      </c>
      <c r="G1039" s="44">
        <v>500000</v>
      </c>
      <c r="H1039" s="44">
        <v>7500000</v>
      </c>
      <c r="I1039" s="42" t="s">
        <v>2560</v>
      </c>
      <c r="J1039" s="42" t="s">
        <v>47</v>
      </c>
    </row>
    <row r="1040" spans="1:10" x14ac:dyDescent="0.3">
      <c r="A1040" s="42" t="s">
        <v>910</v>
      </c>
      <c r="B1040" s="43">
        <v>45849</v>
      </c>
      <c r="C1040" s="42" t="s">
        <v>31</v>
      </c>
      <c r="D1040" s="42" t="s">
        <v>32</v>
      </c>
      <c r="E1040" s="42" t="s">
        <v>20</v>
      </c>
      <c r="F1040" s="42">
        <v>40</v>
      </c>
      <c r="G1040" s="44">
        <v>180000</v>
      </c>
      <c r="H1040" s="44">
        <v>7200000</v>
      </c>
      <c r="I1040" s="42" t="s">
        <v>2757</v>
      </c>
      <c r="J1040" s="42" t="s">
        <v>127</v>
      </c>
    </row>
    <row r="1041" spans="1:10" x14ac:dyDescent="0.3">
      <c r="A1041" s="42" t="s">
        <v>911</v>
      </c>
      <c r="B1041" s="43">
        <v>45849</v>
      </c>
      <c r="C1041" s="42" t="s">
        <v>40</v>
      </c>
      <c r="D1041" s="42" t="s">
        <v>41</v>
      </c>
      <c r="E1041" s="42" t="s">
        <v>16</v>
      </c>
      <c r="F1041" s="42">
        <v>8</v>
      </c>
      <c r="G1041" s="44">
        <v>950000</v>
      </c>
      <c r="H1041" s="44">
        <v>7600000</v>
      </c>
      <c r="I1041" s="42" t="s">
        <v>2154</v>
      </c>
      <c r="J1041" s="42" t="s">
        <v>127</v>
      </c>
    </row>
    <row r="1042" spans="1:10" x14ac:dyDescent="0.3">
      <c r="A1042" s="42" t="s">
        <v>942</v>
      </c>
      <c r="B1042" s="43">
        <v>45849</v>
      </c>
      <c r="C1042" s="42" t="s">
        <v>40</v>
      </c>
      <c r="D1042" s="42" t="s">
        <v>41</v>
      </c>
      <c r="E1042" s="42" t="s">
        <v>16</v>
      </c>
      <c r="F1042" s="42">
        <v>34</v>
      </c>
      <c r="G1042" s="44">
        <v>950000</v>
      </c>
      <c r="H1042" s="44">
        <v>32300000</v>
      </c>
      <c r="I1042" s="42" t="s">
        <v>2150</v>
      </c>
      <c r="J1042" s="42" t="s">
        <v>127</v>
      </c>
    </row>
    <row r="1043" spans="1:10" x14ac:dyDescent="0.3">
      <c r="A1043" s="42" t="s">
        <v>943</v>
      </c>
      <c r="B1043" s="43">
        <v>45849</v>
      </c>
      <c r="C1043" s="42" t="s">
        <v>18</v>
      </c>
      <c r="D1043" s="42" t="s">
        <v>19</v>
      </c>
      <c r="E1043" s="42" t="s">
        <v>20</v>
      </c>
      <c r="F1043" s="42">
        <v>23</v>
      </c>
      <c r="G1043" s="44">
        <v>500000</v>
      </c>
      <c r="H1043" s="44">
        <v>11500000</v>
      </c>
      <c r="I1043" s="42" t="s">
        <v>2706</v>
      </c>
      <c r="J1043" s="42" t="s">
        <v>60</v>
      </c>
    </row>
    <row r="1044" spans="1:10" x14ac:dyDescent="0.3">
      <c r="A1044" s="42" t="s">
        <v>944</v>
      </c>
      <c r="B1044" s="43">
        <v>45849</v>
      </c>
      <c r="C1044" s="42" t="s">
        <v>22</v>
      </c>
      <c r="D1044" s="42" t="s">
        <v>23</v>
      </c>
      <c r="E1044" s="42" t="s">
        <v>12</v>
      </c>
      <c r="F1044" s="42">
        <v>18</v>
      </c>
      <c r="G1044" s="44">
        <v>25000</v>
      </c>
      <c r="H1044" s="44">
        <v>450000</v>
      </c>
      <c r="I1044" s="42" t="s">
        <v>2667</v>
      </c>
      <c r="J1044" s="42" t="s">
        <v>8</v>
      </c>
    </row>
    <row r="1045" spans="1:10" x14ac:dyDescent="0.3">
      <c r="A1045" s="42" t="s">
        <v>945</v>
      </c>
      <c r="B1045" s="43">
        <v>45849</v>
      </c>
      <c r="C1045" s="42" t="s">
        <v>42</v>
      </c>
      <c r="D1045" s="42" t="s">
        <v>43</v>
      </c>
      <c r="E1045" s="42" t="s">
        <v>16</v>
      </c>
      <c r="F1045" s="42">
        <v>35</v>
      </c>
      <c r="G1045" s="44">
        <v>1200000</v>
      </c>
      <c r="H1045" s="44">
        <v>42000000</v>
      </c>
      <c r="I1045" s="42" t="s">
        <v>2131</v>
      </c>
      <c r="J1045" s="42" t="s">
        <v>60</v>
      </c>
    </row>
    <row r="1046" spans="1:10" x14ac:dyDescent="0.3">
      <c r="A1046" s="42" t="s">
        <v>946</v>
      </c>
      <c r="B1046" s="43">
        <v>45849</v>
      </c>
      <c r="C1046" s="42" t="s">
        <v>22</v>
      </c>
      <c r="D1046" s="42" t="s">
        <v>23</v>
      </c>
      <c r="E1046" s="42" t="s">
        <v>12</v>
      </c>
      <c r="F1046" s="42">
        <v>17</v>
      </c>
      <c r="G1046" s="44">
        <v>25000</v>
      </c>
      <c r="H1046" s="44">
        <v>425000</v>
      </c>
      <c r="I1046" s="42" t="s">
        <v>2758</v>
      </c>
      <c r="J1046" s="42" t="s">
        <v>60</v>
      </c>
    </row>
    <row r="1047" spans="1:10" x14ac:dyDescent="0.3">
      <c r="A1047" s="42" t="s">
        <v>947</v>
      </c>
      <c r="B1047" s="43">
        <v>45849</v>
      </c>
      <c r="C1047" s="42" t="s">
        <v>22</v>
      </c>
      <c r="D1047" s="42" t="s">
        <v>23</v>
      </c>
      <c r="E1047" s="42" t="s">
        <v>12</v>
      </c>
      <c r="F1047" s="42">
        <v>15</v>
      </c>
      <c r="G1047" s="44">
        <v>25000</v>
      </c>
      <c r="H1047" s="44">
        <v>375000</v>
      </c>
      <c r="I1047" s="42" t="s">
        <v>2328</v>
      </c>
      <c r="J1047" s="42" t="s">
        <v>8</v>
      </c>
    </row>
    <row r="1048" spans="1:10" x14ac:dyDescent="0.3">
      <c r="A1048" s="42" t="s">
        <v>986</v>
      </c>
      <c r="B1048" s="43">
        <v>45852</v>
      </c>
      <c r="C1048" s="42" t="s">
        <v>10</v>
      </c>
      <c r="D1048" s="42" t="s">
        <v>11</v>
      </c>
      <c r="E1048" s="42" t="s">
        <v>12</v>
      </c>
      <c r="F1048" s="42">
        <v>28</v>
      </c>
      <c r="G1048" s="44">
        <v>120000</v>
      </c>
      <c r="H1048" s="44">
        <v>3360000</v>
      </c>
      <c r="I1048" s="42" t="s">
        <v>2514</v>
      </c>
      <c r="J1048" s="42" t="s">
        <v>127</v>
      </c>
    </row>
    <row r="1049" spans="1:10" x14ac:dyDescent="0.3">
      <c r="A1049" s="42" t="s">
        <v>987</v>
      </c>
      <c r="B1049" s="43">
        <v>45852</v>
      </c>
      <c r="C1049" s="42" t="s">
        <v>14</v>
      </c>
      <c r="D1049" s="42" t="s">
        <v>15</v>
      </c>
      <c r="E1049" s="42" t="s">
        <v>16</v>
      </c>
      <c r="F1049" s="42">
        <v>42</v>
      </c>
      <c r="G1049" s="44">
        <v>350000</v>
      </c>
      <c r="H1049" s="44">
        <v>14700000</v>
      </c>
      <c r="I1049" s="42" t="s">
        <v>2698</v>
      </c>
      <c r="J1049" s="42" t="s">
        <v>8</v>
      </c>
    </row>
    <row r="1050" spans="1:10" x14ac:dyDescent="0.3">
      <c r="A1050" s="42" t="s">
        <v>988</v>
      </c>
      <c r="B1050" s="43">
        <v>45852</v>
      </c>
      <c r="C1050" s="42" t="s">
        <v>10</v>
      </c>
      <c r="D1050" s="42" t="s">
        <v>11</v>
      </c>
      <c r="E1050" s="42" t="s">
        <v>12</v>
      </c>
      <c r="F1050" s="42">
        <v>23</v>
      </c>
      <c r="G1050" s="44">
        <v>120000</v>
      </c>
      <c r="H1050" s="44">
        <v>2760000</v>
      </c>
      <c r="I1050" s="42" t="s">
        <v>2657</v>
      </c>
      <c r="J1050" s="42" t="s">
        <v>47</v>
      </c>
    </row>
    <row r="1051" spans="1:10" x14ac:dyDescent="0.3">
      <c r="A1051" s="42" t="s">
        <v>1025</v>
      </c>
      <c r="B1051" s="43">
        <v>45852</v>
      </c>
      <c r="C1051" s="42" t="s">
        <v>31</v>
      </c>
      <c r="D1051" s="42" t="s">
        <v>32</v>
      </c>
      <c r="E1051" s="42" t="s">
        <v>20</v>
      </c>
      <c r="F1051" s="42">
        <v>34</v>
      </c>
      <c r="G1051" s="44">
        <v>180000</v>
      </c>
      <c r="H1051" s="44">
        <v>6120000</v>
      </c>
      <c r="I1051" s="42" t="s">
        <v>2616</v>
      </c>
      <c r="J1051" s="42" t="s">
        <v>60</v>
      </c>
    </row>
    <row r="1052" spans="1:10" x14ac:dyDescent="0.3">
      <c r="A1052" s="42" t="s">
        <v>1026</v>
      </c>
      <c r="B1052" s="43">
        <v>45852</v>
      </c>
      <c r="C1052" s="42" t="s">
        <v>42</v>
      </c>
      <c r="D1052" s="42" t="s">
        <v>43</v>
      </c>
      <c r="E1052" s="42" t="s">
        <v>16</v>
      </c>
      <c r="F1052" s="42">
        <v>7</v>
      </c>
      <c r="G1052" s="44">
        <v>1200000</v>
      </c>
      <c r="H1052" s="44">
        <v>8400000</v>
      </c>
      <c r="I1052" s="42" t="s">
        <v>2468</v>
      </c>
      <c r="J1052" s="42" t="s">
        <v>60</v>
      </c>
    </row>
    <row r="1053" spans="1:10" x14ac:dyDescent="0.3">
      <c r="A1053" s="42" t="s">
        <v>1027</v>
      </c>
      <c r="B1053" s="43">
        <v>45852</v>
      </c>
      <c r="C1053" s="42" t="s">
        <v>38</v>
      </c>
      <c r="D1053" s="42" t="s">
        <v>39</v>
      </c>
      <c r="E1053" s="42" t="s">
        <v>16</v>
      </c>
      <c r="F1053" s="42">
        <v>35</v>
      </c>
      <c r="G1053" s="44">
        <v>200000</v>
      </c>
      <c r="H1053" s="44">
        <v>7000000</v>
      </c>
      <c r="I1053" s="42" t="s">
        <v>2128</v>
      </c>
      <c r="J1053" s="42" t="s">
        <v>69</v>
      </c>
    </row>
    <row r="1054" spans="1:10" x14ac:dyDescent="0.3">
      <c r="A1054" s="42" t="s">
        <v>1058</v>
      </c>
      <c r="B1054" s="43">
        <v>45852</v>
      </c>
      <c r="C1054" s="42" t="s">
        <v>44</v>
      </c>
      <c r="D1054" s="42" t="s">
        <v>45</v>
      </c>
      <c r="E1054" s="42" t="s">
        <v>16</v>
      </c>
      <c r="F1054" s="42">
        <v>5</v>
      </c>
      <c r="G1054" s="44">
        <v>250000</v>
      </c>
      <c r="H1054" s="44">
        <v>1250000</v>
      </c>
      <c r="I1054" s="42" t="s">
        <v>2349</v>
      </c>
      <c r="J1054" s="42" t="s">
        <v>127</v>
      </c>
    </row>
    <row r="1055" spans="1:10" x14ac:dyDescent="0.3">
      <c r="A1055" s="42" t="s">
        <v>1059</v>
      </c>
      <c r="B1055" s="43">
        <v>45852</v>
      </c>
      <c r="C1055" s="42" t="s">
        <v>31</v>
      </c>
      <c r="D1055" s="42" t="s">
        <v>32</v>
      </c>
      <c r="E1055" s="42" t="s">
        <v>20</v>
      </c>
      <c r="F1055" s="42">
        <v>270</v>
      </c>
      <c r="G1055" s="44">
        <v>180000</v>
      </c>
      <c r="H1055" s="44">
        <v>48600000</v>
      </c>
      <c r="I1055" s="42" t="s">
        <v>2753</v>
      </c>
      <c r="J1055" s="42" t="s">
        <v>47</v>
      </c>
    </row>
    <row r="1056" spans="1:10" x14ac:dyDescent="0.3">
      <c r="A1056" s="42" t="s">
        <v>1060</v>
      </c>
      <c r="B1056" s="43">
        <v>45852</v>
      </c>
      <c r="C1056" s="42" t="s">
        <v>10</v>
      </c>
      <c r="D1056" s="42" t="s">
        <v>11</v>
      </c>
      <c r="E1056" s="42" t="s">
        <v>12</v>
      </c>
      <c r="F1056" s="42">
        <v>33</v>
      </c>
      <c r="G1056" s="44">
        <v>120000</v>
      </c>
      <c r="H1056" s="44">
        <v>3960000</v>
      </c>
      <c r="I1056" s="42" t="s">
        <v>2685</v>
      </c>
      <c r="J1056" s="42" t="s">
        <v>69</v>
      </c>
    </row>
    <row r="1057" spans="1:10" x14ac:dyDescent="0.3">
      <c r="A1057" s="42" t="s">
        <v>1061</v>
      </c>
      <c r="B1057" s="43">
        <v>45854</v>
      </c>
      <c r="C1057" s="42" t="s">
        <v>18</v>
      </c>
      <c r="D1057" s="42" t="s">
        <v>19</v>
      </c>
      <c r="E1057" s="42" t="s">
        <v>20</v>
      </c>
      <c r="F1057" s="42">
        <v>37</v>
      </c>
      <c r="G1057" s="44">
        <v>500000</v>
      </c>
      <c r="H1057" s="44">
        <v>18500000</v>
      </c>
      <c r="I1057" s="42" t="s">
        <v>204</v>
      </c>
      <c r="J1057" s="42" t="s">
        <v>60</v>
      </c>
    </row>
    <row r="1058" spans="1:10" x14ac:dyDescent="0.3">
      <c r="A1058" s="42" t="s">
        <v>1096</v>
      </c>
      <c r="B1058" s="43">
        <v>45854</v>
      </c>
      <c r="C1058" s="42" t="s">
        <v>38</v>
      </c>
      <c r="D1058" s="42" t="s">
        <v>39</v>
      </c>
      <c r="E1058" s="42" t="s">
        <v>16</v>
      </c>
      <c r="F1058" s="42">
        <v>31</v>
      </c>
      <c r="G1058" s="44">
        <v>200000</v>
      </c>
      <c r="H1058" s="44">
        <v>6200000</v>
      </c>
      <c r="I1058" s="42" t="s">
        <v>642</v>
      </c>
      <c r="J1058" s="42" t="s">
        <v>8</v>
      </c>
    </row>
    <row r="1059" spans="1:10" x14ac:dyDescent="0.3">
      <c r="A1059" s="42" t="s">
        <v>1097</v>
      </c>
      <c r="B1059" s="43">
        <v>45854</v>
      </c>
      <c r="C1059" s="42" t="s">
        <v>14</v>
      </c>
      <c r="D1059" s="42" t="s">
        <v>15</v>
      </c>
      <c r="E1059" s="42" t="s">
        <v>16</v>
      </c>
      <c r="F1059" s="42">
        <v>23</v>
      </c>
      <c r="G1059" s="44">
        <v>350000</v>
      </c>
      <c r="H1059" s="44">
        <v>8050000</v>
      </c>
      <c r="I1059" s="42" t="s">
        <v>2559</v>
      </c>
      <c r="J1059" s="42" t="s">
        <v>47</v>
      </c>
    </row>
    <row r="1060" spans="1:10" x14ac:dyDescent="0.3">
      <c r="A1060" s="42" t="s">
        <v>1098</v>
      </c>
      <c r="B1060" s="43">
        <v>45854</v>
      </c>
      <c r="C1060" s="42" t="s">
        <v>42</v>
      </c>
      <c r="D1060" s="42" t="s">
        <v>43</v>
      </c>
      <c r="E1060" s="42" t="s">
        <v>16</v>
      </c>
      <c r="F1060" s="42">
        <v>370</v>
      </c>
      <c r="G1060" s="44">
        <v>1200000</v>
      </c>
      <c r="H1060" s="44">
        <v>444000000</v>
      </c>
      <c r="I1060" s="42" t="s">
        <v>853</v>
      </c>
      <c r="J1060" s="42" t="s">
        <v>47</v>
      </c>
    </row>
    <row r="1061" spans="1:10" x14ac:dyDescent="0.3">
      <c r="A1061" s="42" t="s">
        <v>1136</v>
      </c>
      <c r="B1061" s="43">
        <v>45854</v>
      </c>
      <c r="C1061" s="42" t="s">
        <v>22</v>
      </c>
      <c r="D1061" s="42" t="s">
        <v>23</v>
      </c>
      <c r="E1061" s="42" t="s">
        <v>12</v>
      </c>
      <c r="F1061" s="42">
        <v>24</v>
      </c>
      <c r="G1061" s="44">
        <v>25000</v>
      </c>
      <c r="H1061" s="44">
        <v>600000</v>
      </c>
      <c r="I1061" s="42" t="s">
        <v>2206</v>
      </c>
      <c r="J1061" s="42" t="s">
        <v>8</v>
      </c>
    </row>
    <row r="1062" spans="1:10" x14ac:dyDescent="0.3">
      <c r="A1062" s="42" t="s">
        <v>1137</v>
      </c>
      <c r="B1062" s="43">
        <v>45854</v>
      </c>
      <c r="C1062" s="42" t="s">
        <v>40</v>
      </c>
      <c r="D1062" s="42" t="s">
        <v>41</v>
      </c>
      <c r="E1062" s="42" t="s">
        <v>16</v>
      </c>
      <c r="F1062" s="42">
        <v>100</v>
      </c>
      <c r="G1062" s="44">
        <v>950000</v>
      </c>
      <c r="H1062" s="44">
        <v>95000000</v>
      </c>
      <c r="I1062" s="42" t="s">
        <v>2567</v>
      </c>
      <c r="J1062" s="42" t="s">
        <v>8</v>
      </c>
    </row>
    <row r="1063" spans="1:10" x14ac:dyDescent="0.3">
      <c r="A1063" s="42" t="s">
        <v>1138</v>
      </c>
      <c r="B1063" s="43">
        <v>45854</v>
      </c>
      <c r="C1063" s="42" t="s">
        <v>38</v>
      </c>
      <c r="D1063" s="42" t="s">
        <v>39</v>
      </c>
      <c r="E1063" s="42" t="s">
        <v>16</v>
      </c>
      <c r="F1063" s="42">
        <v>49</v>
      </c>
      <c r="G1063" s="44">
        <v>200000</v>
      </c>
      <c r="H1063" s="44">
        <v>9800000</v>
      </c>
      <c r="I1063" s="42" t="s">
        <v>2789</v>
      </c>
      <c r="J1063" s="42" t="s">
        <v>127</v>
      </c>
    </row>
    <row r="1064" spans="1:10" x14ac:dyDescent="0.3">
      <c r="A1064" s="42" t="s">
        <v>1139</v>
      </c>
      <c r="B1064" s="43">
        <v>45854</v>
      </c>
      <c r="C1064" s="42" t="s">
        <v>42</v>
      </c>
      <c r="D1064" s="42" t="s">
        <v>43</v>
      </c>
      <c r="E1064" s="42" t="s">
        <v>16</v>
      </c>
      <c r="F1064" s="42">
        <v>36</v>
      </c>
      <c r="G1064" s="44">
        <v>1200000</v>
      </c>
      <c r="H1064" s="44">
        <v>43200000</v>
      </c>
      <c r="I1064" s="42" t="s">
        <v>2661</v>
      </c>
      <c r="J1064" s="42" t="s">
        <v>60</v>
      </c>
    </row>
    <row r="1065" spans="1:10" x14ac:dyDescent="0.3">
      <c r="A1065" s="42" t="s">
        <v>1140</v>
      </c>
      <c r="B1065" s="43">
        <v>45854</v>
      </c>
      <c r="C1065" s="42" t="s">
        <v>44</v>
      </c>
      <c r="D1065" s="42" t="s">
        <v>45</v>
      </c>
      <c r="E1065" s="42" t="s">
        <v>16</v>
      </c>
      <c r="F1065" s="42">
        <v>29</v>
      </c>
      <c r="G1065" s="44">
        <v>250000</v>
      </c>
      <c r="H1065" s="44">
        <v>7250000</v>
      </c>
      <c r="I1065" s="42" t="s">
        <v>2148</v>
      </c>
      <c r="J1065" s="42" t="s">
        <v>127</v>
      </c>
    </row>
    <row r="1066" spans="1:10" x14ac:dyDescent="0.3">
      <c r="A1066" s="42" t="s">
        <v>1141</v>
      </c>
      <c r="B1066" s="43">
        <v>45854</v>
      </c>
      <c r="C1066" s="42" t="s">
        <v>42</v>
      </c>
      <c r="D1066" s="42" t="s">
        <v>43</v>
      </c>
      <c r="E1066" s="42" t="s">
        <v>16</v>
      </c>
      <c r="F1066" s="42">
        <v>36</v>
      </c>
      <c r="G1066" s="44">
        <v>1200000</v>
      </c>
      <c r="H1066" s="44">
        <v>43200000</v>
      </c>
      <c r="I1066" s="42" t="s">
        <v>2342</v>
      </c>
      <c r="J1066" s="42" t="s">
        <v>127</v>
      </c>
    </row>
    <row r="1067" spans="1:10" x14ac:dyDescent="0.3">
      <c r="A1067" s="42" t="s">
        <v>1142</v>
      </c>
      <c r="B1067" s="43">
        <v>45854</v>
      </c>
      <c r="C1067" s="42" t="s">
        <v>28</v>
      </c>
      <c r="D1067" s="42" t="s">
        <v>29</v>
      </c>
      <c r="E1067" s="42" t="s">
        <v>20</v>
      </c>
      <c r="F1067" s="42">
        <v>38</v>
      </c>
      <c r="G1067" s="44">
        <v>450000</v>
      </c>
      <c r="H1067" s="44">
        <v>17100000</v>
      </c>
      <c r="I1067" s="42" t="s">
        <v>1280</v>
      </c>
      <c r="J1067" s="42" t="s">
        <v>69</v>
      </c>
    </row>
    <row r="1068" spans="1:10" x14ac:dyDescent="0.3">
      <c r="A1068" s="42" t="s">
        <v>1143</v>
      </c>
      <c r="B1068" s="43">
        <v>45854</v>
      </c>
      <c r="C1068" s="42" t="s">
        <v>18</v>
      </c>
      <c r="D1068" s="42" t="s">
        <v>19</v>
      </c>
      <c r="E1068" s="42" t="s">
        <v>20</v>
      </c>
      <c r="F1068" s="42">
        <v>31</v>
      </c>
      <c r="G1068" s="44">
        <v>500000</v>
      </c>
      <c r="H1068" s="44">
        <v>15500000</v>
      </c>
      <c r="I1068" s="42" t="s">
        <v>2310</v>
      </c>
      <c r="J1068" s="42" t="s">
        <v>8</v>
      </c>
    </row>
    <row r="1069" spans="1:10" x14ac:dyDescent="0.3">
      <c r="A1069" s="42" t="s">
        <v>1144</v>
      </c>
      <c r="B1069" s="43">
        <v>45854</v>
      </c>
      <c r="C1069" s="42" t="s">
        <v>14</v>
      </c>
      <c r="D1069" s="42" t="s">
        <v>15</v>
      </c>
      <c r="E1069" s="42" t="s">
        <v>16</v>
      </c>
      <c r="F1069" s="42">
        <v>25</v>
      </c>
      <c r="G1069" s="44">
        <v>350000</v>
      </c>
      <c r="H1069" s="44">
        <v>8750000</v>
      </c>
      <c r="I1069" s="42" t="s">
        <v>2122</v>
      </c>
      <c r="J1069" s="42" t="s">
        <v>47</v>
      </c>
    </row>
    <row r="1070" spans="1:10" x14ac:dyDescent="0.3">
      <c r="A1070" s="42" t="s">
        <v>1172</v>
      </c>
      <c r="B1070" s="43">
        <v>45854</v>
      </c>
      <c r="C1070" s="42" t="s">
        <v>18</v>
      </c>
      <c r="D1070" s="42" t="s">
        <v>19</v>
      </c>
      <c r="E1070" s="42" t="s">
        <v>20</v>
      </c>
      <c r="F1070" s="42">
        <v>27</v>
      </c>
      <c r="G1070" s="44">
        <v>500000</v>
      </c>
      <c r="H1070" s="44">
        <v>13500000</v>
      </c>
      <c r="I1070" s="42" t="s">
        <v>2580</v>
      </c>
      <c r="J1070" s="42" t="s">
        <v>60</v>
      </c>
    </row>
    <row r="1071" spans="1:10" x14ac:dyDescent="0.3">
      <c r="A1071" s="42" t="s">
        <v>1173</v>
      </c>
      <c r="B1071" s="43">
        <v>45855</v>
      </c>
      <c r="C1071" s="42" t="s">
        <v>14</v>
      </c>
      <c r="D1071" s="42" t="s">
        <v>15</v>
      </c>
      <c r="E1071" s="42" t="s">
        <v>16</v>
      </c>
      <c r="F1071" s="42">
        <v>80</v>
      </c>
      <c r="G1071" s="44">
        <v>350000</v>
      </c>
      <c r="H1071" s="44">
        <v>28000000</v>
      </c>
      <c r="I1071" s="42" t="s">
        <v>2266</v>
      </c>
      <c r="J1071" s="42" t="s">
        <v>8</v>
      </c>
    </row>
    <row r="1072" spans="1:10" x14ac:dyDescent="0.3">
      <c r="A1072" s="42" t="s">
        <v>1174</v>
      </c>
      <c r="B1072" s="43">
        <v>45855</v>
      </c>
      <c r="C1072" s="42" t="s">
        <v>38</v>
      </c>
      <c r="D1072" s="42" t="s">
        <v>39</v>
      </c>
      <c r="E1072" s="42" t="s">
        <v>16</v>
      </c>
      <c r="F1072" s="42">
        <v>32</v>
      </c>
      <c r="G1072" s="44">
        <v>200000</v>
      </c>
      <c r="H1072" s="44">
        <v>6400000</v>
      </c>
      <c r="I1072" s="42" t="s">
        <v>2448</v>
      </c>
      <c r="J1072" s="42" t="s">
        <v>60</v>
      </c>
    </row>
    <row r="1073" spans="1:10" x14ac:dyDescent="0.3">
      <c r="A1073" s="42" t="s">
        <v>1175</v>
      </c>
      <c r="B1073" s="43">
        <v>45855</v>
      </c>
      <c r="C1073" s="42" t="s">
        <v>22</v>
      </c>
      <c r="D1073" s="42" t="s">
        <v>23</v>
      </c>
      <c r="E1073" s="42" t="s">
        <v>12</v>
      </c>
      <c r="F1073" s="42">
        <v>440</v>
      </c>
      <c r="G1073" s="44">
        <v>25000</v>
      </c>
      <c r="H1073" s="44">
        <v>11000000</v>
      </c>
      <c r="I1073" s="42" t="s">
        <v>2847</v>
      </c>
      <c r="J1073" s="42" t="s">
        <v>127</v>
      </c>
    </row>
    <row r="1074" spans="1:10" x14ac:dyDescent="0.3">
      <c r="A1074" s="42" t="s">
        <v>1219</v>
      </c>
      <c r="B1074" s="43">
        <v>45855</v>
      </c>
      <c r="C1074" s="42" t="s">
        <v>40</v>
      </c>
      <c r="D1074" s="42" t="s">
        <v>41</v>
      </c>
      <c r="E1074" s="42" t="s">
        <v>16</v>
      </c>
      <c r="F1074" s="42">
        <v>33</v>
      </c>
      <c r="G1074" s="44">
        <v>950000</v>
      </c>
      <c r="H1074" s="44">
        <v>31350000</v>
      </c>
      <c r="I1074" s="42" t="s">
        <v>2447</v>
      </c>
      <c r="J1074" s="42" t="s">
        <v>8</v>
      </c>
    </row>
    <row r="1075" spans="1:10" x14ac:dyDescent="0.3">
      <c r="A1075" s="42" t="s">
        <v>1220</v>
      </c>
      <c r="B1075" s="43">
        <v>45855</v>
      </c>
      <c r="C1075" s="42" t="s">
        <v>40</v>
      </c>
      <c r="D1075" s="42" t="s">
        <v>41</v>
      </c>
      <c r="E1075" s="42" t="s">
        <v>16</v>
      </c>
      <c r="F1075" s="42">
        <v>34</v>
      </c>
      <c r="G1075" s="44">
        <v>950000</v>
      </c>
      <c r="H1075" s="44">
        <v>32300000</v>
      </c>
      <c r="I1075" s="42" t="s">
        <v>2657</v>
      </c>
      <c r="J1075" s="42" t="s">
        <v>47</v>
      </c>
    </row>
    <row r="1076" spans="1:10" x14ac:dyDescent="0.3">
      <c r="A1076" s="42" t="s">
        <v>1221</v>
      </c>
      <c r="B1076" s="43">
        <v>45855</v>
      </c>
      <c r="C1076" s="42" t="s">
        <v>31</v>
      </c>
      <c r="D1076" s="42" t="s">
        <v>32</v>
      </c>
      <c r="E1076" s="42" t="s">
        <v>20</v>
      </c>
      <c r="F1076" s="42">
        <v>16</v>
      </c>
      <c r="G1076" s="44">
        <v>180000</v>
      </c>
      <c r="H1076" s="44">
        <v>2880000</v>
      </c>
      <c r="I1076" s="42" t="s">
        <v>2505</v>
      </c>
      <c r="J1076" s="42" t="s">
        <v>69</v>
      </c>
    </row>
    <row r="1077" spans="1:10" x14ac:dyDescent="0.3">
      <c r="A1077" s="42" t="s">
        <v>1222</v>
      </c>
      <c r="B1077" s="43">
        <v>45855</v>
      </c>
      <c r="C1077" s="42" t="s">
        <v>31</v>
      </c>
      <c r="D1077" s="42" t="s">
        <v>32</v>
      </c>
      <c r="E1077" s="42" t="s">
        <v>20</v>
      </c>
      <c r="F1077" s="42">
        <v>17</v>
      </c>
      <c r="G1077" s="44">
        <v>180000</v>
      </c>
      <c r="H1077" s="44">
        <v>3060000</v>
      </c>
      <c r="I1077" s="42" t="s">
        <v>2371</v>
      </c>
      <c r="J1077" s="42" t="s">
        <v>8</v>
      </c>
    </row>
    <row r="1078" spans="1:10" x14ac:dyDescent="0.3">
      <c r="A1078" s="42" t="s">
        <v>1223</v>
      </c>
      <c r="B1078" s="43">
        <v>45855</v>
      </c>
      <c r="C1078" s="42" t="s">
        <v>44</v>
      </c>
      <c r="D1078" s="42" t="s">
        <v>45</v>
      </c>
      <c r="E1078" s="42" t="s">
        <v>16</v>
      </c>
      <c r="F1078" s="42">
        <v>18</v>
      </c>
      <c r="G1078" s="44">
        <v>250000</v>
      </c>
      <c r="H1078" s="44">
        <v>4500000</v>
      </c>
      <c r="I1078" s="42" t="s">
        <v>2848</v>
      </c>
      <c r="J1078" s="42" t="s">
        <v>60</v>
      </c>
    </row>
    <row r="1079" spans="1:10" x14ac:dyDescent="0.3">
      <c r="A1079" s="42" t="s">
        <v>1224</v>
      </c>
      <c r="B1079" s="43">
        <v>45855</v>
      </c>
      <c r="C1079" s="42" t="s">
        <v>38</v>
      </c>
      <c r="D1079" s="42" t="s">
        <v>39</v>
      </c>
      <c r="E1079" s="42" t="s">
        <v>16</v>
      </c>
      <c r="F1079" s="42">
        <v>7</v>
      </c>
      <c r="G1079" s="44">
        <v>200000</v>
      </c>
      <c r="H1079" s="44">
        <v>1400000</v>
      </c>
      <c r="I1079" s="42" t="s">
        <v>2204</v>
      </c>
      <c r="J1079" s="42" t="s">
        <v>69</v>
      </c>
    </row>
    <row r="1080" spans="1:10" x14ac:dyDescent="0.3">
      <c r="A1080" s="42" t="s">
        <v>1255</v>
      </c>
      <c r="B1080" s="43">
        <v>45855</v>
      </c>
      <c r="C1080" s="42" t="s">
        <v>44</v>
      </c>
      <c r="D1080" s="42" t="s">
        <v>45</v>
      </c>
      <c r="E1080" s="42" t="s">
        <v>16</v>
      </c>
      <c r="F1080" s="42">
        <v>35</v>
      </c>
      <c r="G1080" s="44">
        <v>250000</v>
      </c>
      <c r="H1080" s="44">
        <v>8750000</v>
      </c>
      <c r="I1080" s="42" t="s">
        <v>2823</v>
      </c>
      <c r="J1080" s="42" t="s">
        <v>69</v>
      </c>
    </row>
    <row r="1081" spans="1:10" x14ac:dyDescent="0.3">
      <c r="A1081" s="42" t="s">
        <v>1256</v>
      </c>
      <c r="B1081" s="43">
        <v>45861</v>
      </c>
      <c r="C1081" s="42" t="s">
        <v>38</v>
      </c>
      <c r="D1081" s="42" t="s">
        <v>39</v>
      </c>
      <c r="E1081" s="42" t="s">
        <v>16</v>
      </c>
      <c r="F1081" s="42">
        <v>7</v>
      </c>
      <c r="G1081" s="44">
        <v>200000</v>
      </c>
      <c r="H1081" s="44">
        <v>1400000</v>
      </c>
      <c r="I1081" s="42" t="s">
        <v>2121</v>
      </c>
      <c r="J1081" s="42" t="s">
        <v>60</v>
      </c>
    </row>
    <row r="1082" spans="1:10" x14ac:dyDescent="0.3">
      <c r="A1082" s="42" t="s">
        <v>1257</v>
      </c>
      <c r="B1082" s="43">
        <v>45861</v>
      </c>
      <c r="C1082" s="42" t="s">
        <v>44</v>
      </c>
      <c r="D1082" s="42" t="s">
        <v>45</v>
      </c>
      <c r="E1082" s="42" t="s">
        <v>16</v>
      </c>
      <c r="F1082" s="42">
        <v>20</v>
      </c>
      <c r="G1082" s="44">
        <v>250000</v>
      </c>
      <c r="H1082" s="44">
        <v>5000000</v>
      </c>
      <c r="I1082" s="42" t="s">
        <v>2733</v>
      </c>
      <c r="J1082" s="42" t="s">
        <v>127</v>
      </c>
    </row>
    <row r="1083" spans="1:10" x14ac:dyDescent="0.3">
      <c r="A1083" s="42" t="s">
        <v>1302</v>
      </c>
      <c r="B1083" s="43">
        <v>45861</v>
      </c>
      <c r="C1083" s="42" t="s">
        <v>14</v>
      </c>
      <c r="D1083" s="42" t="s">
        <v>15</v>
      </c>
      <c r="E1083" s="42" t="s">
        <v>16</v>
      </c>
      <c r="F1083" s="42">
        <v>12</v>
      </c>
      <c r="G1083" s="44">
        <v>350000</v>
      </c>
      <c r="H1083" s="44">
        <v>4200000</v>
      </c>
      <c r="I1083" s="42" t="s">
        <v>2506</v>
      </c>
      <c r="J1083" s="42" t="s">
        <v>60</v>
      </c>
    </row>
    <row r="1084" spans="1:10" x14ac:dyDescent="0.3">
      <c r="A1084" s="42" t="s">
        <v>1303</v>
      </c>
      <c r="B1084" s="43">
        <v>45861</v>
      </c>
      <c r="C1084" s="42" t="s">
        <v>18</v>
      </c>
      <c r="D1084" s="42" t="s">
        <v>19</v>
      </c>
      <c r="E1084" s="42" t="s">
        <v>20</v>
      </c>
      <c r="F1084" s="42">
        <v>8</v>
      </c>
      <c r="G1084" s="44">
        <v>500000</v>
      </c>
      <c r="H1084" s="44">
        <v>4000000</v>
      </c>
      <c r="I1084" s="42" t="s">
        <v>2325</v>
      </c>
      <c r="J1084" s="42" t="s">
        <v>8</v>
      </c>
    </row>
    <row r="1085" spans="1:10" x14ac:dyDescent="0.3">
      <c r="A1085" s="42" t="s">
        <v>1304</v>
      </c>
      <c r="B1085" s="43">
        <v>45861</v>
      </c>
      <c r="C1085" s="42" t="s">
        <v>44</v>
      </c>
      <c r="D1085" s="42" t="s">
        <v>45</v>
      </c>
      <c r="E1085" s="42" t="s">
        <v>16</v>
      </c>
      <c r="F1085" s="42">
        <v>26</v>
      </c>
      <c r="G1085" s="44">
        <v>250000</v>
      </c>
      <c r="H1085" s="44">
        <v>6500000</v>
      </c>
      <c r="I1085" s="42" t="s">
        <v>2387</v>
      </c>
      <c r="J1085" s="42" t="s">
        <v>8</v>
      </c>
    </row>
    <row r="1086" spans="1:10" x14ac:dyDescent="0.3">
      <c r="A1086" s="42" t="s">
        <v>1305</v>
      </c>
      <c r="B1086" s="43">
        <v>45861</v>
      </c>
      <c r="C1086" s="42" t="s">
        <v>14</v>
      </c>
      <c r="D1086" s="42" t="s">
        <v>15</v>
      </c>
      <c r="E1086" s="42" t="s">
        <v>16</v>
      </c>
      <c r="F1086" s="42">
        <v>22</v>
      </c>
      <c r="G1086" s="44">
        <v>350000</v>
      </c>
      <c r="H1086" s="44">
        <v>7700000</v>
      </c>
      <c r="I1086" s="42" t="s">
        <v>2843</v>
      </c>
      <c r="J1086" s="42" t="s">
        <v>8</v>
      </c>
    </row>
    <row r="1087" spans="1:10" x14ac:dyDescent="0.3">
      <c r="A1087" s="42" t="s">
        <v>1306</v>
      </c>
      <c r="B1087" s="43">
        <v>45861</v>
      </c>
      <c r="C1087" s="42" t="s">
        <v>22</v>
      </c>
      <c r="D1087" s="42" t="s">
        <v>23</v>
      </c>
      <c r="E1087" s="42" t="s">
        <v>12</v>
      </c>
      <c r="F1087" s="42">
        <v>25</v>
      </c>
      <c r="G1087" s="44">
        <v>25000</v>
      </c>
      <c r="H1087" s="44">
        <v>625000</v>
      </c>
      <c r="I1087" s="42" t="s">
        <v>461</v>
      </c>
      <c r="J1087" s="42" t="s">
        <v>127</v>
      </c>
    </row>
    <row r="1088" spans="1:10" x14ac:dyDescent="0.3">
      <c r="A1088" s="42" t="s">
        <v>1307</v>
      </c>
      <c r="B1088" s="43">
        <v>45861</v>
      </c>
      <c r="C1088" s="42" t="s">
        <v>44</v>
      </c>
      <c r="D1088" s="42" t="s">
        <v>45</v>
      </c>
      <c r="E1088" s="42" t="s">
        <v>16</v>
      </c>
      <c r="F1088" s="42">
        <v>5</v>
      </c>
      <c r="G1088" s="44">
        <v>250000</v>
      </c>
      <c r="H1088" s="44">
        <v>1250000</v>
      </c>
      <c r="I1088" s="42" t="s">
        <v>2486</v>
      </c>
      <c r="J1088" s="42" t="s">
        <v>127</v>
      </c>
    </row>
    <row r="1089" spans="1:10" x14ac:dyDescent="0.3">
      <c r="A1089" s="42" t="s">
        <v>1341</v>
      </c>
      <c r="B1089" s="43">
        <v>45861</v>
      </c>
      <c r="C1089" s="42" t="s">
        <v>22</v>
      </c>
      <c r="D1089" s="42" t="s">
        <v>23</v>
      </c>
      <c r="E1089" s="42" t="s">
        <v>12</v>
      </c>
      <c r="F1089" s="42">
        <v>10</v>
      </c>
      <c r="G1089" s="44">
        <v>25000</v>
      </c>
      <c r="H1089" s="44">
        <v>250000</v>
      </c>
      <c r="I1089" s="42" t="s">
        <v>2845</v>
      </c>
      <c r="J1089" s="42" t="s">
        <v>8</v>
      </c>
    </row>
    <row r="1090" spans="1:10" x14ac:dyDescent="0.3">
      <c r="A1090" s="42" t="s">
        <v>1342</v>
      </c>
      <c r="B1090" s="43">
        <v>45861</v>
      </c>
      <c r="C1090" s="42" t="s">
        <v>18</v>
      </c>
      <c r="D1090" s="42" t="s">
        <v>19</v>
      </c>
      <c r="E1090" s="42" t="s">
        <v>20</v>
      </c>
      <c r="F1090" s="42">
        <v>22</v>
      </c>
      <c r="G1090" s="44">
        <v>500000</v>
      </c>
      <c r="H1090" s="44">
        <v>11000000</v>
      </c>
      <c r="I1090" s="42" t="s">
        <v>2762</v>
      </c>
      <c r="J1090" s="42" t="s">
        <v>127</v>
      </c>
    </row>
    <row r="1091" spans="1:10" x14ac:dyDescent="0.3">
      <c r="A1091" s="42" t="s">
        <v>1343</v>
      </c>
      <c r="B1091" s="43">
        <v>45861</v>
      </c>
      <c r="C1091" s="42" t="s">
        <v>28</v>
      </c>
      <c r="D1091" s="42" t="s">
        <v>29</v>
      </c>
      <c r="E1091" s="42" t="s">
        <v>20</v>
      </c>
      <c r="F1091" s="42">
        <v>440</v>
      </c>
      <c r="G1091" s="44">
        <v>450000</v>
      </c>
      <c r="H1091" s="44">
        <v>198000000</v>
      </c>
      <c r="I1091" s="42" t="s">
        <v>2837</v>
      </c>
      <c r="J1091" s="42" t="s">
        <v>47</v>
      </c>
    </row>
    <row r="1092" spans="1:10" x14ac:dyDescent="0.3">
      <c r="A1092" s="42" t="s">
        <v>1344</v>
      </c>
      <c r="B1092" s="43">
        <v>45862</v>
      </c>
      <c r="C1092" s="42" t="s">
        <v>38</v>
      </c>
      <c r="D1092" s="42" t="s">
        <v>39</v>
      </c>
      <c r="E1092" s="42" t="s">
        <v>16</v>
      </c>
      <c r="F1092" s="42">
        <v>42</v>
      </c>
      <c r="G1092" s="44">
        <v>200000</v>
      </c>
      <c r="H1092" s="44">
        <v>8400000</v>
      </c>
      <c r="I1092" s="42" t="s">
        <v>2246</v>
      </c>
      <c r="J1092" s="42" t="s">
        <v>127</v>
      </c>
    </row>
    <row r="1093" spans="1:10" x14ac:dyDescent="0.3">
      <c r="A1093" s="42" t="s">
        <v>1345</v>
      </c>
      <c r="B1093" s="43">
        <v>45862</v>
      </c>
      <c r="C1093" s="42" t="s">
        <v>14</v>
      </c>
      <c r="D1093" s="42" t="s">
        <v>15</v>
      </c>
      <c r="E1093" s="42" t="s">
        <v>16</v>
      </c>
      <c r="F1093" s="42">
        <v>49</v>
      </c>
      <c r="G1093" s="44">
        <v>350000</v>
      </c>
      <c r="H1093" s="44">
        <v>17150000</v>
      </c>
      <c r="I1093" s="42" t="s">
        <v>2258</v>
      </c>
      <c r="J1093" s="42" t="s">
        <v>127</v>
      </c>
    </row>
    <row r="1094" spans="1:10" x14ac:dyDescent="0.3">
      <c r="A1094" s="42" t="s">
        <v>1346</v>
      </c>
      <c r="B1094" s="43">
        <v>45862</v>
      </c>
      <c r="C1094" s="42" t="s">
        <v>31</v>
      </c>
      <c r="D1094" s="42" t="s">
        <v>32</v>
      </c>
      <c r="E1094" s="42" t="s">
        <v>20</v>
      </c>
      <c r="F1094" s="42">
        <v>43</v>
      </c>
      <c r="G1094" s="44">
        <v>180000</v>
      </c>
      <c r="H1094" s="44">
        <v>7740000</v>
      </c>
      <c r="I1094" s="42" t="s">
        <v>2264</v>
      </c>
      <c r="J1094" s="42" t="s">
        <v>69</v>
      </c>
    </row>
    <row r="1095" spans="1:10" x14ac:dyDescent="0.3">
      <c r="A1095" s="42" t="s">
        <v>1347</v>
      </c>
      <c r="B1095" s="43">
        <v>45862</v>
      </c>
      <c r="C1095" s="42" t="s">
        <v>22</v>
      </c>
      <c r="D1095" s="42" t="s">
        <v>23</v>
      </c>
      <c r="E1095" s="42" t="s">
        <v>12</v>
      </c>
      <c r="F1095" s="42">
        <v>32</v>
      </c>
      <c r="G1095" s="44">
        <v>25000</v>
      </c>
      <c r="H1095" s="44">
        <v>800000</v>
      </c>
      <c r="I1095" s="42" t="s">
        <v>2517</v>
      </c>
      <c r="J1095" s="42" t="s">
        <v>60</v>
      </c>
    </row>
    <row r="1096" spans="1:10" x14ac:dyDescent="0.3">
      <c r="A1096" s="42" t="s">
        <v>1379</v>
      </c>
      <c r="B1096" s="43">
        <v>45862</v>
      </c>
      <c r="C1096" s="42" t="s">
        <v>40</v>
      </c>
      <c r="D1096" s="42" t="s">
        <v>41</v>
      </c>
      <c r="E1096" s="42" t="s">
        <v>16</v>
      </c>
      <c r="F1096" s="42">
        <v>27</v>
      </c>
      <c r="G1096" s="44">
        <v>950000</v>
      </c>
      <c r="H1096" s="44">
        <v>25650000</v>
      </c>
      <c r="I1096" s="42" t="s">
        <v>2655</v>
      </c>
      <c r="J1096" s="42" t="s">
        <v>8</v>
      </c>
    </row>
    <row r="1097" spans="1:10" x14ac:dyDescent="0.3">
      <c r="A1097" s="42" t="s">
        <v>1380</v>
      </c>
      <c r="B1097" s="43">
        <v>45862</v>
      </c>
      <c r="C1097" s="42" t="s">
        <v>44</v>
      </c>
      <c r="D1097" s="42" t="s">
        <v>45</v>
      </c>
      <c r="E1097" s="42" t="s">
        <v>16</v>
      </c>
      <c r="F1097" s="42">
        <v>13</v>
      </c>
      <c r="G1097" s="44">
        <v>250000</v>
      </c>
      <c r="H1097" s="44">
        <v>3250000</v>
      </c>
      <c r="I1097" s="42" t="s">
        <v>2738</v>
      </c>
      <c r="J1097" s="42" t="s">
        <v>8</v>
      </c>
    </row>
    <row r="1098" spans="1:10" x14ac:dyDescent="0.3">
      <c r="A1098" s="42" t="s">
        <v>1381</v>
      </c>
      <c r="B1098" s="43">
        <v>45862</v>
      </c>
      <c r="C1098" s="42" t="s">
        <v>40</v>
      </c>
      <c r="D1098" s="42" t="s">
        <v>41</v>
      </c>
      <c r="E1098" s="42" t="s">
        <v>16</v>
      </c>
      <c r="F1098" s="42">
        <v>230</v>
      </c>
      <c r="G1098" s="44">
        <v>950000</v>
      </c>
      <c r="H1098" s="44">
        <v>218500000</v>
      </c>
      <c r="I1098" s="42" t="s">
        <v>2695</v>
      </c>
      <c r="J1098" s="42" t="s">
        <v>8</v>
      </c>
    </row>
    <row r="1099" spans="1:10" x14ac:dyDescent="0.3">
      <c r="A1099" s="42" t="s">
        <v>1382</v>
      </c>
      <c r="B1099" s="43">
        <v>45862</v>
      </c>
      <c r="C1099" s="42" t="s">
        <v>14</v>
      </c>
      <c r="D1099" s="42" t="s">
        <v>15</v>
      </c>
      <c r="E1099" s="42" t="s">
        <v>16</v>
      </c>
      <c r="F1099" s="42">
        <v>230</v>
      </c>
      <c r="G1099" s="44">
        <v>350000</v>
      </c>
      <c r="H1099" s="44">
        <v>80500000</v>
      </c>
      <c r="I1099" s="42" t="s">
        <v>2245</v>
      </c>
      <c r="J1099" s="42" t="s">
        <v>127</v>
      </c>
    </row>
    <row r="1100" spans="1:10" x14ac:dyDescent="0.3">
      <c r="A1100" s="42" t="s">
        <v>1383</v>
      </c>
      <c r="B1100" s="43">
        <v>45863</v>
      </c>
      <c r="C1100" s="42" t="s">
        <v>28</v>
      </c>
      <c r="D1100" s="42" t="s">
        <v>29</v>
      </c>
      <c r="E1100" s="42" t="s">
        <v>20</v>
      </c>
      <c r="F1100" s="42">
        <v>46</v>
      </c>
      <c r="G1100" s="44">
        <v>450000</v>
      </c>
      <c r="H1100" s="44">
        <v>20700000</v>
      </c>
      <c r="I1100" s="42" t="s">
        <v>2731</v>
      </c>
      <c r="J1100" s="42" t="s">
        <v>47</v>
      </c>
    </row>
    <row r="1101" spans="1:10" x14ac:dyDescent="0.3">
      <c r="A1101" s="42" t="s">
        <v>1384</v>
      </c>
      <c r="B1101" s="43">
        <v>45863</v>
      </c>
      <c r="C1101" s="42" t="s">
        <v>44</v>
      </c>
      <c r="D1101" s="42" t="s">
        <v>45</v>
      </c>
      <c r="E1101" s="42" t="s">
        <v>16</v>
      </c>
      <c r="F1101" s="42">
        <v>38</v>
      </c>
      <c r="G1101" s="44">
        <v>250000</v>
      </c>
      <c r="H1101" s="44">
        <v>9500000</v>
      </c>
      <c r="I1101" s="42" t="s">
        <v>2778</v>
      </c>
      <c r="J1101" s="42" t="s">
        <v>60</v>
      </c>
    </row>
    <row r="1102" spans="1:10" x14ac:dyDescent="0.3">
      <c r="A1102" s="42" t="s">
        <v>1419</v>
      </c>
      <c r="B1102" s="43">
        <v>45863</v>
      </c>
      <c r="C1102" s="42" t="s">
        <v>40</v>
      </c>
      <c r="D1102" s="42" t="s">
        <v>41</v>
      </c>
      <c r="E1102" s="42" t="s">
        <v>16</v>
      </c>
      <c r="F1102" s="42">
        <v>11</v>
      </c>
      <c r="G1102" s="44">
        <v>950000</v>
      </c>
      <c r="H1102" s="44">
        <v>10450000</v>
      </c>
      <c r="I1102" s="42" t="s">
        <v>485</v>
      </c>
      <c r="J1102" s="42" t="s">
        <v>127</v>
      </c>
    </row>
    <row r="1103" spans="1:10" x14ac:dyDescent="0.3">
      <c r="A1103" s="42" t="s">
        <v>1420</v>
      </c>
      <c r="B1103" s="43">
        <v>45863</v>
      </c>
      <c r="C1103" s="42" t="s">
        <v>28</v>
      </c>
      <c r="D1103" s="42" t="s">
        <v>29</v>
      </c>
      <c r="E1103" s="42" t="s">
        <v>20</v>
      </c>
      <c r="F1103" s="42">
        <v>14</v>
      </c>
      <c r="G1103" s="44">
        <v>450000</v>
      </c>
      <c r="H1103" s="44">
        <v>6300000</v>
      </c>
      <c r="I1103" s="42" t="s">
        <v>1951</v>
      </c>
      <c r="J1103" s="42" t="s">
        <v>60</v>
      </c>
    </row>
    <row r="1104" spans="1:10" x14ac:dyDescent="0.3">
      <c r="A1104" s="42" t="s">
        <v>1421</v>
      </c>
      <c r="B1104" s="43">
        <v>45863</v>
      </c>
      <c r="C1104" s="42" t="s">
        <v>22</v>
      </c>
      <c r="D1104" s="42" t="s">
        <v>23</v>
      </c>
      <c r="E1104" s="42" t="s">
        <v>12</v>
      </c>
      <c r="F1104" s="42">
        <v>43</v>
      </c>
      <c r="G1104" s="44">
        <v>25000</v>
      </c>
      <c r="H1104" s="44">
        <v>1075000</v>
      </c>
      <c r="I1104" s="42" t="s">
        <v>2816</v>
      </c>
      <c r="J1104" s="42" t="s">
        <v>69</v>
      </c>
    </row>
    <row r="1105" spans="1:10" x14ac:dyDescent="0.3">
      <c r="A1105" s="42" t="s">
        <v>1448</v>
      </c>
      <c r="B1105" s="43">
        <v>45863</v>
      </c>
      <c r="C1105" s="42" t="s">
        <v>28</v>
      </c>
      <c r="D1105" s="42" t="s">
        <v>29</v>
      </c>
      <c r="E1105" s="42" t="s">
        <v>20</v>
      </c>
      <c r="F1105" s="42">
        <v>32</v>
      </c>
      <c r="G1105" s="44">
        <v>450000</v>
      </c>
      <c r="H1105" s="44">
        <v>14400000</v>
      </c>
      <c r="I1105" s="42" t="s">
        <v>2815</v>
      </c>
      <c r="J1105" s="42" t="s">
        <v>127</v>
      </c>
    </row>
    <row r="1106" spans="1:10" x14ac:dyDescent="0.3">
      <c r="A1106" s="42" t="s">
        <v>1449</v>
      </c>
      <c r="B1106" s="43">
        <v>45863</v>
      </c>
      <c r="C1106" s="42" t="s">
        <v>42</v>
      </c>
      <c r="D1106" s="42" t="s">
        <v>43</v>
      </c>
      <c r="E1106" s="42" t="s">
        <v>16</v>
      </c>
      <c r="F1106" s="42">
        <v>47</v>
      </c>
      <c r="G1106" s="44">
        <v>1200000</v>
      </c>
      <c r="H1106" s="44">
        <v>56400000</v>
      </c>
      <c r="I1106" s="42" t="s">
        <v>2417</v>
      </c>
      <c r="J1106" s="42" t="s">
        <v>60</v>
      </c>
    </row>
    <row r="1107" spans="1:10" x14ac:dyDescent="0.3">
      <c r="A1107" s="42" t="s">
        <v>1450</v>
      </c>
      <c r="B1107" s="43">
        <v>45863</v>
      </c>
      <c r="C1107" s="42" t="s">
        <v>44</v>
      </c>
      <c r="D1107" s="42" t="s">
        <v>45</v>
      </c>
      <c r="E1107" s="42" t="s">
        <v>16</v>
      </c>
      <c r="F1107" s="42">
        <v>15</v>
      </c>
      <c r="G1107" s="44">
        <v>250000</v>
      </c>
      <c r="H1107" s="44">
        <v>3750000</v>
      </c>
      <c r="I1107" s="42" t="s">
        <v>2302</v>
      </c>
      <c r="J1107" s="42" t="s">
        <v>8</v>
      </c>
    </row>
    <row r="1108" spans="1:10" x14ac:dyDescent="0.3">
      <c r="A1108" s="42" t="s">
        <v>1451</v>
      </c>
      <c r="B1108" s="43">
        <v>45863</v>
      </c>
      <c r="C1108" s="42" t="s">
        <v>14</v>
      </c>
      <c r="D1108" s="42" t="s">
        <v>15</v>
      </c>
      <c r="E1108" s="42" t="s">
        <v>16</v>
      </c>
      <c r="F1108" s="42">
        <v>14</v>
      </c>
      <c r="G1108" s="44">
        <v>350000</v>
      </c>
      <c r="H1108" s="44">
        <v>4900000</v>
      </c>
      <c r="I1108" s="42" t="s">
        <v>2820</v>
      </c>
      <c r="J1108" s="42" t="s">
        <v>127</v>
      </c>
    </row>
    <row r="1109" spans="1:10" x14ac:dyDescent="0.3">
      <c r="A1109" s="42" t="s">
        <v>1452</v>
      </c>
      <c r="B1109" s="43">
        <v>45863</v>
      </c>
      <c r="C1109" s="42" t="s">
        <v>18</v>
      </c>
      <c r="D1109" s="42" t="s">
        <v>19</v>
      </c>
      <c r="E1109" s="42" t="s">
        <v>20</v>
      </c>
      <c r="F1109" s="42">
        <v>14</v>
      </c>
      <c r="G1109" s="44">
        <v>500000</v>
      </c>
      <c r="H1109" s="44">
        <v>7000000</v>
      </c>
      <c r="I1109" s="42" t="s">
        <v>2808</v>
      </c>
      <c r="J1109" s="42" t="s">
        <v>8</v>
      </c>
    </row>
    <row r="1110" spans="1:10" x14ac:dyDescent="0.3">
      <c r="A1110" s="42" t="s">
        <v>1453</v>
      </c>
      <c r="B1110" s="43">
        <v>45863</v>
      </c>
      <c r="C1110" s="42" t="s">
        <v>31</v>
      </c>
      <c r="D1110" s="42" t="s">
        <v>32</v>
      </c>
      <c r="E1110" s="42" t="s">
        <v>20</v>
      </c>
      <c r="F1110" s="42">
        <v>32</v>
      </c>
      <c r="G1110" s="44">
        <v>180000</v>
      </c>
      <c r="H1110" s="44">
        <v>5760000</v>
      </c>
      <c r="I1110" s="42" t="s">
        <v>1280</v>
      </c>
      <c r="J1110" s="42" t="s">
        <v>69</v>
      </c>
    </row>
    <row r="1111" spans="1:10" x14ac:dyDescent="0.3">
      <c r="A1111" s="42" t="s">
        <v>1454</v>
      </c>
      <c r="B1111" s="43">
        <v>45863</v>
      </c>
      <c r="C1111" s="42" t="s">
        <v>14</v>
      </c>
      <c r="D1111" s="42" t="s">
        <v>15</v>
      </c>
      <c r="E1111" s="42" t="s">
        <v>16</v>
      </c>
      <c r="F1111" s="42">
        <v>36</v>
      </c>
      <c r="G1111" s="44">
        <v>350000</v>
      </c>
      <c r="H1111" s="44">
        <v>12600000</v>
      </c>
      <c r="I1111" s="42" t="s">
        <v>2142</v>
      </c>
      <c r="J1111" s="42" t="s">
        <v>8</v>
      </c>
    </row>
    <row r="1112" spans="1:10" x14ac:dyDescent="0.3">
      <c r="A1112" s="42" t="s">
        <v>1455</v>
      </c>
      <c r="B1112" s="43">
        <v>45863</v>
      </c>
      <c r="C1112" s="42" t="s">
        <v>18</v>
      </c>
      <c r="D1112" s="42" t="s">
        <v>19</v>
      </c>
      <c r="E1112" s="42" t="s">
        <v>20</v>
      </c>
      <c r="F1112" s="42">
        <v>41</v>
      </c>
      <c r="G1112" s="44">
        <v>500000</v>
      </c>
      <c r="H1112" s="44">
        <v>20500000</v>
      </c>
      <c r="I1112" s="42" t="s">
        <v>2437</v>
      </c>
      <c r="J1112" s="42" t="s">
        <v>69</v>
      </c>
    </row>
    <row r="1113" spans="1:10" x14ac:dyDescent="0.3">
      <c r="A1113" s="42" t="s">
        <v>1491</v>
      </c>
      <c r="B1113" s="43">
        <v>45863</v>
      </c>
      <c r="C1113" s="42" t="s">
        <v>22</v>
      </c>
      <c r="D1113" s="42" t="s">
        <v>23</v>
      </c>
      <c r="E1113" s="42" t="s">
        <v>12</v>
      </c>
      <c r="F1113" s="42">
        <v>19</v>
      </c>
      <c r="G1113" s="44">
        <v>25000</v>
      </c>
      <c r="H1113" s="44">
        <v>475000</v>
      </c>
      <c r="I1113" s="42" t="s">
        <v>2680</v>
      </c>
      <c r="J1113" s="42" t="s">
        <v>47</v>
      </c>
    </row>
    <row r="1114" spans="1:10" x14ac:dyDescent="0.3">
      <c r="A1114" s="42" t="s">
        <v>1492</v>
      </c>
      <c r="B1114" s="43">
        <v>45863</v>
      </c>
      <c r="C1114" s="42" t="s">
        <v>10</v>
      </c>
      <c r="D1114" s="42" t="s">
        <v>11</v>
      </c>
      <c r="E1114" s="42" t="s">
        <v>12</v>
      </c>
      <c r="F1114" s="42">
        <v>36</v>
      </c>
      <c r="G1114" s="44">
        <v>120000</v>
      </c>
      <c r="H1114" s="44">
        <v>4320000</v>
      </c>
      <c r="I1114" s="42" t="s">
        <v>2118</v>
      </c>
      <c r="J1114" s="42" t="s">
        <v>69</v>
      </c>
    </row>
    <row r="1115" spans="1:10" x14ac:dyDescent="0.3">
      <c r="A1115" s="42" t="s">
        <v>1493</v>
      </c>
      <c r="B1115" s="43">
        <v>45863</v>
      </c>
      <c r="C1115" s="42" t="s">
        <v>44</v>
      </c>
      <c r="D1115" s="42" t="s">
        <v>45</v>
      </c>
      <c r="E1115" s="42" t="s">
        <v>16</v>
      </c>
      <c r="F1115" s="42">
        <v>43</v>
      </c>
      <c r="G1115" s="44">
        <v>250000</v>
      </c>
      <c r="H1115" s="44">
        <v>10750000</v>
      </c>
      <c r="I1115" s="42" t="s">
        <v>1242</v>
      </c>
      <c r="J1115" s="42" t="s">
        <v>60</v>
      </c>
    </row>
    <row r="1116" spans="1:10" x14ac:dyDescent="0.3">
      <c r="A1116" s="42" t="s">
        <v>1494</v>
      </c>
      <c r="B1116" s="43">
        <v>45863</v>
      </c>
      <c r="C1116" s="42" t="s">
        <v>40</v>
      </c>
      <c r="D1116" s="42" t="s">
        <v>41</v>
      </c>
      <c r="E1116" s="42" t="s">
        <v>16</v>
      </c>
      <c r="F1116" s="42">
        <v>25</v>
      </c>
      <c r="G1116" s="44">
        <v>950000</v>
      </c>
      <c r="H1116" s="44">
        <v>23750000</v>
      </c>
      <c r="I1116" s="42" t="s">
        <v>2312</v>
      </c>
      <c r="J1116" s="42" t="s">
        <v>127</v>
      </c>
    </row>
    <row r="1117" spans="1:10" x14ac:dyDescent="0.3">
      <c r="A1117" s="42" t="s">
        <v>1495</v>
      </c>
      <c r="B1117" s="43">
        <v>45863</v>
      </c>
      <c r="C1117" s="42" t="s">
        <v>22</v>
      </c>
      <c r="D1117" s="42" t="s">
        <v>23</v>
      </c>
      <c r="E1117" s="42" t="s">
        <v>12</v>
      </c>
      <c r="F1117" s="42">
        <v>11</v>
      </c>
      <c r="G1117" s="44">
        <v>25000</v>
      </c>
      <c r="H1117" s="44">
        <v>275000</v>
      </c>
      <c r="I1117" s="42" t="s">
        <v>2391</v>
      </c>
      <c r="J1117" s="42" t="s">
        <v>127</v>
      </c>
    </row>
    <row r="1118" spans="1:10" x14ac:dyDescent="0.3">
      <c r="A1118" s="42" t="s">
        <v>1496</v>
      </c>
      <c r="B1118" s="43">
        <v>45863</v>
      </c>
      <c r="C1118" s="42" t="s">
        <v>14</v>
      </c>
      <c r="D1118" s="42" t="s">
        <v>15</v>
      </c>
      <c r="E1118" s="42" t="s">
        <v>16</v>
      </c>
      <c r="F1118" s="42">
        <v>45</v>
      </c>
      <c r="G1118" s="44">
        <v>350000</v>
      </c>
      <c r="H1118" s="44">
        <v>15750000</v>
      </c>
      <c r="I1118" s="42" t="s">
        <v>2685</v>
      </c>
      <c r="J1118" s="42" t="s">
        <v>69</v>
      </c>
    </row>
    <row r="1119" spans="1:10" x14ac:dyDescent="0.3">
      <c r="A1119" s="42" t="s">
        <v>1542</v>
      </c>
      <c r="B1119" s="43">
        <v>45866</v>
      </c>
      <c r="C1119" s="42" t="s">
        <v>10</v>
      </c>
      <c r="D1119" s="42" t="s">
        <v>11</v>
      </c>
      <c r="E1119" s="42" t="s">
        <v>12</v>
      </c>
      <c r="F1119" s="42">
        <v>19</v>
      </c>
      <c r="G1119" s="44">
        <v>120000</v>
      </c>
      <c r="H1119" s="44">
        <v>2280000</v>
      </c>
      <c r="I1119" s="42" t="s">
        <v>2450</v>
      </c>
      <c r="J1119" s="42" t="s">
        <v>8</v>
      </c>
    </row>
    <row r="1120" spans="1:10" x14ac:dyDescent="0.3">
      <c r="A1120" s="42" t="s">
        <v>1543</v>
      </c>
      <c r="B1120" s="43">
        <v>45866</v>
      </c>
      <c r="C1120" s="42" t="s">
        <v>14</v>
      </c>
      <c r="D1120" s="42" t="s">
        <v>15</v>
      </c>
      <c r="E1120" s="42" t="s">
        <v>16</v>
      </c>
      <c r="F1120" s="42">
        <v>6</v>
      </c>
      <c r="G1120" s="44">
        <v>350000</v>
      </c>
      <c r="H1120" s="44">
        <v>2100000</v>
      </c>
      <c r="I1120" s="42" t="s">
        <v>2304</v>
      </c>
      <c r="J1120" s="42" t="s">
        <v>8</v>
      </c>
    </row>
    <row r="1121" spans="1:10" x14ac:dyDescent="0.3">
      <c r="A1121" s="42" t="s">
        <v>1544</v>
      </c>
      <c r="B1121" s="43">
        <v>45866</v>
      </c>
      <c r="C1121" s="42" t="s">
        <v>40</v>
      </c>
      <c r="D1121" s="42" t="s">
        <v>41</v>
      </c>
      <c r="E1121" s="42" t="s">
        <v>16</v>
      </c>
      <c r="F1121" s="42">
        <v>38</v>
      </c>
      <c r="G1121" s="44">
        <v>950000</v>
      </c>
      <c r="H1121" s="44">
        <v>36100000</v>
      </c>
      <c r="I1121" s="42" t="s">
        <v>2701</v>
      </c>
      <c r="J1121" s="42" t="s">
        <v>60</v>
      </c>
    </row>
    <row r="1122" spans="1:10" x14ac:dyDescent="0.3">
      <c r="A1122" s="42" t="s">
        <v>1545</v>
      </c>
      <c r="B1122" s="43">
        <v>45866</v>
      </c>
      <c r="C1122" s="42" t="s">
        <v>22</v>
      </c>
      <c r="D1122" s="42" t="s">
        <v>23</v>
      </c>
      <c r="E1122" s="42" t="s">
        <v>12</v>
      </c>
      <c r="F1122" s="42">
        <v>49</v>
      </c>
      <c r="G1122" s="44">
        <v>25000</v>
      </c>
      <c r="H1122" s="44">
        <v>1225000</v>
      </c>
      <c r="I1122" s="42" t="s">
        <v>2665</v>
      </c>
      <c r="J1122" s="42" t="s">
        <v>127</v>
      </c>
    </row>
    <row r="1123" spans="1:10" x14ac:dyDescent="0.3">
      <c r="A1123" s="42" t="s">
        <v>1546</v>
      </c>
      <c r="B1123" s="43">
        <v>45866</v>
      </c>
      <c r="C1123" s="42" t="s">
        <v>22</v>
      </c>
      <c r="D1123" s="42" t="s">
        <v>23</v>
      </c>
      <c r="E1123" s="42" t="s">
        <v>12</v>
      </c>
      <c r="F1123" s="42">
        <v>29</v>
      </c>
      <c r="G1123" s="44">
        <v>25000</v>
      </c>
      <c r="H1123" s="44">
        <v>725000</v>
      </c>
      <c r="I1123" s="42" t="s">
        <v>2250</v>
      </c>
      <c r="J1123" s="42" t="s">
        <v>69</v>
      </c>
    </row>
    <row r="1124" spans="1:10" x14ac:dyDescent="0.3">
      <c r="A1124" s="42" t="s">
        <v>1547</v>
      </c>
      <c r="B1124" s="43">
        <v>45866</v>
      </c>
      <c r="C1124" s="42" t="s">
        <v>28</v>
      </c>
      <c r="D1124" s="42" t="s">
        <v>29</v>
      </c>
      <c r="E1124" s="42" t="s">
        <v>20</v>
      </c>
      <c r="F1124" s="42">
        <v>45</v>
      </c>
      <c r="G1124" s="44">
        <v>450000</v>
      </c>
      <c r="H1124" s="44">
        <v>20250000</v>
      </c>
      <c r="I1124" s="42" t="s">
        <v>2781</v>
      </c>
      <c r="J1124" s="42" t="s">
        <v>127</v>
      </c>
    </row>
    <row r="1125" spans="1:10" x14ac:dyDescent="0.3">
      <c r="A1125" s="42" t="s">
        <v>1569</v>
      </c>
      <c r="B1125" s="43">
        <v>45866</v>
      </c>
      <c r="C1125" s="42" t="s">
        <v>40</v>
      </c>
      <c r="D1125" s="42" t="s">
        <v>41</v>
      </c>
      <c r="E1125" s="42" t="s">
        <v>16</v>
      </c>
      <c r="F1125" s="42">
        <v>130</v>
      </c>
      <c r="G1125" s="44">
        <v>950000</v>
      </c>
      <c r="H1125" s="44">
        <v>123500000</v>
      </c>
      <c r="I1125" s="42" t="s">
        <v>2739</v>
      </c>
      <c r="J1125" s="42" t="s">
        <v>8</v>
      </c>
    </row>
    <row r="1126" spans="1:10" x14ac:dyDescent="0.3">
      <c r="A1126" s="42" t="s">
        <v>1570</v>
      </c>
      <c r="B1126" s="43">
        <v>45868</v>
      </c>
      <c r="C1126" s="42" t="s">
        <v>38</v>
      </c>
      <c r="D1126" s="42" t="s">
        <v>39</v>
      </c>
      <c r="E1126" s="42" t="s">
        <v>16</v>
      </c>
      <c r="F1126" s="42">
        <v>100</v>
      </c>
      <c r="G1126" s="44">
        <v>200000</v>
      </c>
      <c r="H1126" s="44">
        <v>20000000</v>
      </c>
      <c r="I1126" s="42" t="s">
        <v>2686</v>
      </c>
      <c r="J1126" s="42" t="s">
        <v>8</v>
      </c>
    </row>
    <row r="1127" spans="1:10" x14ac:dyDescent="0.3">
      <c r="A1127" s="42" t="s">
        <v>1571</v>
      </c>
      <c r="B1127" s="43">
        <v>45868</v>
      </c>
      <c r="C1127" s="42" t="s">
        <v>14</v>
      </c>
      <c r="D1127" s="42" t="s">
        <v>15</v>
      </c>
      <c r="E1127" s="42" t="s">
        <v>16</v>
      </c>
      <c r="F1127" s="42">
        <v>30</v>
      </c>
      <c r="G1127" s="44">
        <v>350000</v>
      </c>
      <c r="H1127" s="44">
        <v>10500000</v>
      </c>
      <c r="I1127" s="42" t="s">
        <v>2788</v>
      </c>
      <c r="J1127" s="42" t="s">
        <v>69</v>
      </c>
    </row>
    <row r="1128" spans="1:10" x14ac:dyDescent="0.3">
      <c r="A1128" s="42" t="s">
        <v>1572</v>
      </c>
      <c r="B1128" s="43">
        <v>45868</v>
      </c>
      <c r="C1128" s="42" t="s">
        <v>28</v>
      </c>
      <c r="D1128" s="42" t="s">
        <v>29</v>
      </c>
      <c r="E1128" s="42" t="s">
        <v>20</v>
      </c>
      <c r="F1128" s="42">
        <v>18</v>
      </c>
      <c r="G1128" s="44">
        <v>450000</v>
      </c>
      <c r="H1128" s="44">
        <v>8100000</v>
      </c>
      <c r="I1128" s="42" t="s">
        <v>2229</v>
      </c>
      <c r="J1128" s="42" t="s">
        <v>60</v>
      </c>
    </row>
    <row r="1129" spans="1:10" x14ac:dyDescent="0.3">
      <c r="A1129" s="42" t="s">
        <v>1573</v>
      </c>
      <c r="B1129" s="43">
        <v>45868</v>
      </c>
      <c r="C1129" s="42" t="s">
        <v>40</v>
      </c>
      <c r="D1129" s="42" t="s">
        <v>41</v>
      </c>
      <c r="E1129" s="42" t="s">
        <v>16</v>
      </c>
      <c r="F1129" s="42">
        <v>26</v>
      </c>
      <c r="G1129" s="44">
        <v>950000</v>
      </c>
      <c r="H1129" s="44">
        <v>24700000</v>
      </c>
      <c r="I1129" s="42" t="s">
        <v>2599</v>
      </c>
      <c r="J1129" s="42" t="s">
        <v>127</v>
      </c>
    </row>
    <row r="1130" spans="1:10" x14ac:dyDescent="0.3">
      <c r="A1130" s="42" t="s">
        <v>1574</v>
      </c>
      <c r="B1130" s="43">
        <v>45874</v>
      </c>
      <c r="C1130" s="42" t="s">
        <v>28</v>
      </c>
      <c r="D1130" s="42" t="s">
        <v>29</v>
      </c>
      <c r="E1130" s="42" t="s">
        <v>20</v>
      </c>
      <c r="F1130" s="42">
        <v>26</v>
      </c>
      <c r="G1130" s="44">
        <v>450000</v>
      </c>
      <c r="H1130" s="44">
        <v>11700000</v>
      </c>
      <c r="I1130" s="42" t="s">
        <v>2673</v>
      </c>
      <c r="J1130" s="42" t="s">
        <v>8</v>
      </c>
    </row>
    <row r="1131" spans="1:10" x14ac:dyDescent="0.3">
      <c r="A1131" s="42" t="s">
        <v>1596</v>
      </c>
      <c r="B1131" s="43">
        <v>45874</v>
      </c>
      <c r="C1131" s="42" t="s">
        <v>42</v>
      </c>
      <c r="D1131" s="42" t="s">
        <v>43</v>
      </c>
      <c r="E1131" s="42" t="s">
        <v>16</v>
      </c>
      <c r="F1131" s="42">
        <v>430</v>
      </c>
      <c r="G1131" s="44">
        <v>1200000</v>
      </c>
      <c r="H1131" s="44">
        <v>516000000</v>
      </c>
      <c r="I1131" s="42" t="s">
        <v>2235</v>
      </c>
      <c r="J1131" s="42" t="s">
        <v>127</v>
      </c>
    </row>
    <row r="1132" spans="1:10" x14ac:dyDescent="0.3">
      <c r="A1132" s="42" t="s">
        <v>1597</v>
      </c>
      <c r="B1132" s="43">
        <v>45874</v>
      </c>
      <c r="C1132" s="42" t="s">
        <v>42</v>
      </c>
      <c r="D1132" s="42" t="s">
        <v>43</v>
      </c>
      <c r="E1132" s="42" t="s">
        <v>16</v>
      </c>
      <c r="F1132" s="42">
        <v>500</v>
      </c>
      <c r="G1132" s="44">
        <v>1200000</v>
      </c>
      <c r="H1132" s="44">
        <v>600000000</v>
      </c>
      <c r="I1132" s="42" t="s">
        <v>1640</v>
      </c>
      <c r="J1132" s="42" t="s">
        <v>47</v>
      </c>
    </row>
    <row r="1133" spans="1:10" x14ac:dyDescent="0.3">
      <c r="A1133" s="42" t="s">
        <v>1598</v>
      </c>
      <c r="B1133" s="43">
        <v>45874</v>
      </c>
      <c r="C1133" s="42" t="s">
        <v>38</v>
      </c>
      <c r="D1133" s="42" t="s">
        <v>39</v>
      </c>
      <c r="E1133" s="42" t="s">
        <v>16</v>
      </c>
      <c r="F1133" s="42">
        <v>39</v>
      </c>
      <c r="G1133" s="44">
        <v>200000</v>
      </c>
      <c r="H1133" s="44">
        <v>7800000</v>
      </c>
      <c r="I1133" s="42" t="s">
        <v>2796</v>
      </c>
      <c r="J1133" s="42" t="s">
        <v>127</v>
      </c>
    </row>
    <row r="1134" spans="1:10" x14ac:dyDescent="0.3">
      <c r="A1134" s="42" t="s">
        <v>1622</v>
      </c>
      <c r="B1134" s="43">
        <v>45874</v>
      </c>
      <c r="C1134" s="42" t="s">
        <v>10</v>
      </c>
      <c r="D1134" s="42" t="s">
        <v>11</v>
      </c>
      <c r="E1134" s="42" t="s">
        <v>12</v>
      </c>
      <c r="F1134" s="42">
        <v>29</v>
      </c>
      <c r="G1134" s="44">
        <v>120000</v>
      </c>
      <c r="H1134" s="44">
        <v>3480000</v>
      </c>
      <c r="I1134" s="42" t="s">
        <v>2787</v>
      </c>
      <c r="J1134" s="42" t="s">
        <v>60</v>
      </c>
    </row>
    <row r="1135" spans="1:10" x14ac:dyDescent="0.3">
      <c r="A1135" s="42" t="s">
        <v>1623</v>
      </c>
      <c r="B1135" s="43">
        <v>45874</v>
      </c>
      <c r="C1135" s="42" t="s">
        <v>31</v>
      </c>
      <c r="D1135" s="42" t="s">
        <v>32</v>
      </c>
      <c r="E1135" s="42" t="s">
        <v>20</v>
      </c>
      <c r="F1135" s="42">
        <v>28</v>
      </c>
      <c r="G1135" s="44">
        <v>180000</v>
      </c>
      <c r="H1135" s="44">
        <v>5040000</v>
      </c>
      <c r="I1135" s="42" t="s">
        <v>2589</v>
      </c>
      <c r="J1135" s="42" t="s">
        <v>127</v>
      </c>
    </row>
    <row r="1136" spans="1:10" x14ac:dyDescent="0.3">
      <c r="A1136" s="42" t="s">
        <v>1624</v>
      </c>
      <c r="B1136" s="43">
        <v>45874</v>
      </c>
      <c r="C1136" s="42" t="s">
        <v>10</v>
      </c>
      <c r="D1136" s="42" t="s">
        <v>11</v>
      </c>
      <c r="E1136" s="42" t="s">
        <v>12</v>
      </c>
      <c r="F1136" s="42">
        <v>22</v>
      </c>
      <c r="G1136" s="44">
        <v>120000</v>
      </c>
      <c r="H1136" s="44">
        <v>2640000</v>
      </c>
      <c r="I1136" s="42" t="s">
        <v>2449</v>
      </c>
      <c r="J1136" s="42" t="s">
        <v>60</v>
      </c>
    </row>
    <row r="1137" spans="1:10" x14ac:dyDescent="0.3">
      <c r="A1137" s="42" t="s">
        <v>1625</v>
      </c>
      <c r="B1137" s="43">
        <v>45874</v>
      </c>
      <c r="C1137" s="42" t="s">
        <v>18</v>
      </c>
      <c r="D1137" s="42" t="s">
        <v>19</v>
      </c>
      <c r="E1137" s="42" t="s">
        <v>20</v>
      </c>
      <c r="F1137" s="42">
        <v>9</v>
      </c>
      <c r="G1137" s="44">
        <v>500000</v>
      </c>
      <c r="H1137" s="44">
        <v>4500000</v>
      </c>
      <c r="I1137" s="42" t="s">
        <v>2342</v>
      </c>
      <c r="J1137" s="42" t="s">
        <v>127</v>
      </c>
    </row>
    <row r="1138" spans="1:10" x14ac:dyDescent="0.3">
      <c r="A1138" s="42" t="s">
        <v>1660</v>
      </c>
      <c r="B1138" s="43">
        <v>45874</v>
      </c>
      <c r="C1138" s="42" t="s">
        <v>10</v>
      </c>
      <c r="D1138" s="42" t="s">
        <v>11</v>
      </c>
      <c r="E1138" s="42" t="s">
        <v>12</v>
      </c>
      <c r="F1138" s="42">
        <v>22</v>
      </c>
      <c r="G1138" s="44">
        <v>120000</v>
      </c>
      <c r="H1138" s="44">
        <v>2640000</v>
      </c>
      <c r="I1138" s="42" t="s">
        <v>2553</v>
      </c>
      <c r="J1138" s="42" t="s">
        <v>127</v>
      </c>
    </row>
    <row r="1139" spans="1:10" x14ac:dyDescent="0.3">
      <c r="A1139" s="42" t="s">
        <v>1661</v>
      </c>
      <c r="B1139" s="43">
        <v>45874</v>
      </c>
      <c r="C1139" s="42" t="s">
        <v>14</v>
      </c>
      <c r="D1139" s="42" t="s">
        <v>15</v>
      </c>
      <c r="E1139" s="42" t="s">
        <v>16</v>
      </c>
      <c r="F1139" s="42">
        <v>25</v>
      </c>
      <c r="G1139" s="44">
        <v>350000</v>
      </c>
      <c r="H1139" s="44">
        <v>8750000</v>
      </c>
      <c r="I1139" s="42" t="s">
        <v>2755</v>
      </c>
      <c r="J1139" s="42" t="s">
        <v>8</v>
      </c>
    </row>
    <row r="1140" spans="1:10" x14ac:dyDescent="0.3">
      <c r="A1140" s="42" t="s">
        <v>1662</v>
      </c>
      <c r="B1140" s="43">
        <v>45874</v>
      </c>
      <c r="C1140" s="42" t="s">
        <v>44</v>
      </c>
      <c r="D1140" s="42" t="s">
        <v>45</v>
      </c>
      <c r="E1140" s="42" t="s">
        <v>16</v>
      </c>
      <c r="F1140" s="42">
        <v>50</v>
      </c>
      <c r="G1140" s="44">
        <v>250000</v>
      </c>
      <c r="H1140" s="44">
        <v>12500000</v>
      </c>
      <c r="I1140" s="42" t="s">
        <v>1195</v>
      </c>
      <c r="J1140" s="42" t="s">
        <v>69</v>
      </c>
    </row>
    <row r="1141" spans="1:10" x14ac:dyDescent="0.3">
      <c r="A1141" s="42" t="s">
        <v>1663</v>
      </c>
      <c r="B1141" s="43">
        <v>45874</v>
      </c>
      <c r="C1141" s="42" t="s">
        <v>38</v>
      </c>
      <c r="D1141" s="42" t="s">
        <v>39</v>
      </c>
      <c r="E1141" s="42" t="s">
        <v>16</v>
      </c>
      <c r="F1141" s="42">
        <v>21</v>
      </c>
      <c r="G1141" s="44">
        <v>200000</v>
      </c>
      <c r="H1141" s="44">
        <v>4200000</v>
      </c>
      <c r="I1141" s="42" t="s">
        <v>1926</v>
      </c>
      <c r="J1141" s="42" t="s">
        <v>8</v>
      </c>
    </row>
    <row r="1142" spans="1:10" x14ac:dyDescent="0.3">
      <c r="A1142" s="42" t="s">
        <v>1664</v>
      </c>
      <c r="B1142" s="43">
        <v>45874</v>
      </c>
      <c r="C1142" s="42" t="s">
        <v>18</v>
      </c>
      <c r="D1142" s="42" t="s">
        <v>19</v>
      </c>
      <c r="E1142" s="42" t="s">
        <v>20</v>
      </c>
      <c r="F1142" s="42">
        <v>18</v>
      </c>
      <c r="G1142" s="44">
        <v>500000</v>
      </c>
      <c r="H1142" s="44">
        <v>9000000</v>
      </c>
      <c r="I1142" s="42" t="s">
        <v>2351</v>
      </c>
      <c r="J1142" s="42" t="s">
        <v>47</v>
      </c>
    </row>
    <row r="1143" spans="1:10" x14ac:dyDescent="0.3">
      <c r="A1143" s="42" t="s">
        <v>1665</v>
      </c>
      <c r="B1143" s="43">
        <v>45874</v>
      </c>
      <c r="C1143" s="42" t="s">
        <v>44</v>
      </c>
      <c r="D1143" s="42" t="s">
        <v>45</v>
      </c>
      <c r="E1143" s="42" t="s">
        <v>16</v>
      </c>
      <c r="F1143" s="42">
        <v>25</v>
      </c>
      <c r="G1143" s="44">
        <v>250000</v>
      </c>
      <c r="H1143" s="44">
        <v>6250000</v>
      </c>
      <c r="I1143" s="42" t="s">
        <v>2439</v>
      </c>
      <c r="J1143" s="42" t="s">
        <v>127</v>
      </c>
    </row>
    <row r="1144" spans="1:10" x14ac:dyDescent="0.3">
      <c r="A1144" s="42" t="s">
        <v>1666</v>
      </c>
      <c r="B1144" s="43">
        <v>45874</v>
      </c>
      <c r="C1144" s="42" t="s">
        <v>42</v>
      </c>
      <c r="D1144" s="42" t="s">
        <v>43</v>
      </c>
      <c r="E1144" s="42" t="s">
        <v>16</v>
      </c>
      <c r="F1144" s="42">
        <v>11</v>
      </c>
      <c r="G1144" s="44">
        <v>1200000</v>
      </c>
      <c r="H1144" s="44">
        <v>13200000</v>
      </c>
      <c r="I1144" s="42" t="s">
        <v>2436</v>
      </c>
      <c r="J1144" s="42" t="s">
        <v>47</v>
      </c>
    </row>
    <row r="1145" spans="1:10" x14ac:dyDescent="0.3">
      <c r="A1145" s="42" t="s">
        <v>1667</v>
      </c>
      <c r="B1145" s="43">
        <v>45875</v>
      </c>
      <c r="C1145" s="42" t="s">
        <v>14</v>
      </c>
      <c r="D1145" s="42" t="s">
        <v>15</v>
      </c>
      <c r="E1145" s="42" t="s">
        <v>16</v>
      </c>
      <c r="F1145" s="42">
        <v>8</v>
      </c>
      <c r="G1145" s="44">
        <v>350000</v>
      </c>
      <c r="H1145" s="44">
        <v>2800000</v>
      </c>
      <c r="I1145" s="42" t="s">
        <v>2788</v>
      </c>
      <c r="J1145" s="42" t="s">
        <v>69</v>
      </c>
    </row>
    <row r="1146" spans="1:10" x14ac:dyDescent="0.3">
      <c r="A1146" s="42" t="s">
        <v>1668</v>
      </c>
      <c r="B1146" s="43">
        <v>45875</v>
      </c>
      <c r="C1146" s="42" t="s">
        <v>44</v>
      </c>
      <c r="D1146" s="42" t="s">
        <v>45</v>
      </c>
      <c r="E1146" s="42" t="s">
        <v>16</v>
      </c>
      <c r="F1146" s="42">
        <v>28</v>
      </c>
      <c r="G1146" s="44">
        <v>250000</v>
      </c>
      <c r="H1146" s="44">
        <v>7000000</v>
      </c>
      <c r="I1146" s="42" t="s">
        <v>2804</v>
      </c>
      <c r="J1146" s="42" t="s">
        <v>8</v>
      </c>
    </row>
    <row r="1147" spans="1:10" x14ac:dyDescent="0.3">
      <c r="A1147" s="42" t="s">
        <v>1696</v>
      </c>
      <c r="B1147" s="43">
        <v>45875</v>
      </c>
      <c r="C1147" s="42" t="s">
        <v>18</v>
      </c>
      <c r="D1147" s="42" t="s">
        <v>19</v>
      </c>
      <c r="E1147" s="42" t="s">
        <v>20</v>
      </c>
      <c r="F1147" s="42">
        <v>28</v>
      </c>
      <c r="G1147" s="44">
        <v>500000</v>
      </c>
      <c r="H1147" s="44">
        <v>14000000</v>
      </c>
      <c r="I1147" s="42" t="s">
        <v>2560</v>
      </c>
      <c r="J1147" s="42" t="s">
        <v>47</v>
      </c>
    </row>
    <row r="1148" spans="1:10" x14ac:dyDescent="0.3">
      <c r="A1148" s="42" t="s">
        <v>1697</v>
      </c>
      <c r="B1148" s="43">
        <v>45875</v>
      </c>
      <c r="C1148" s="42" t="s">
        <v>38</v>
      </c>
      <c r="D1148" s="42" t="s">
        <v>39</v>
      </c>
      <c r="E1148" s="42" t="s">
        <v>16</v>
      </c>
      <c r="F1148" s="42">
        <v>5</v>
      </c>
      <c r="G1148" s="44">
        <v>200000</v>
      </c>
      <c r="H1148" s="44">
        <v>1000000</v>
      </c>
      <c r="I1148" s="42" t="s">
        <v>2357</v>
      </c>
      <c r="J1148" s="42" t="s">
        <v>127</v>
      </c>
    </row>
    <row r="1149" spans="1:10" x14ac:dyDescent="0.3">
      <c r="A1149" s="42" t="s">
        <v>1698</v>
      </c>
      <c r="B1149" s="43">
        <v>45875</v>
      </c>
      <c r="C1149" s="42" t="s">
        <v>28</v>
      </c>
      <c r="D1149" s="42" t="s">
        <v>29</v>
      </c>
      <c r="E1149" s="42" t="s">
        <v>20</v>
      </c>
      <c r="F1149" s="42">
        <v>22</v>
      </c>
      <c r="G1149" s="44">
        <v>450000</v>
      </c>
      <c r="H1149" s="44">
        <v>9900000</v>
      </c>
      <c r="I1149" s="42" t="s">
        <v>2806</v>
      </c>
      <c r="J1149" s="42" t="s">
        <v>69</v>
      </c>
    </row>
    <row r="1150" spans="1:10" x14ac:dyDescent="0.3">
      <c r="A1150" s="42" t="s">
        <v>1699</v>
      </c>
      <c r="B1150" s="43">
        <v>45875</v>
      </c>
      <c r="C1150" s="42" t="s">
        <v>22</v>
      </c>
      <c r="D1150" s="42" t="s">
        <v>23</v>
      </c>
      <c r="E1150" s="42" t="s">
        <v>12</v>
      </c>
      <c r="F1150" s="42">
        <v>14</v>
      </c>
      <c r="G1150" s="44">
        <v>25000</v>
      </c>
      <c r="H1150" s="44">
        <v>350000</v>
      </c>
      <c r="I1150" s="42" t="s">
        <v>2270</v>
      </c>
      <c r="J1150" s="42" t="s">
        <v>60</v>
      </c>
    </row>
    <row r="1151" spans="1:10" x14ac:dyDescent="0.3">
      <c r="A1151" s="42" t="s">
        <v>1700</v>
      </c>
      <c r="B1151" s="43">
        <v>45875</v>
      </c>
      <c r="C1151" s="42" t="s">
        <v>22</v>
      </c>
      <c r="D1151" s="42" t="s">
        <v>23</v>
      </c>
      <c r="E1151" s="42" t="s">
        <v>12</v>
      </c>
      <c r="F1151" s="42">
        <v>20</v>
      </c>
      <c r="G1151" s="44">
        <v>25000</v>
      </c>
      <c r="H1151" s="44">
        <v>500000</v>
      </c>
      <c r="I1151" s="42" t="s">
        <v>2221</v>
      </c>
      <c r="J1151" s="42" t="s">
        <v>60</v>
      </c>
    </row>
    <row r="1152" spans="1:10" x14ac:dyDescent="0.3">
      <c r="A1152" s="42" t="s">
        <v>1701</v>
      </c>
      <c r="B1152" s="43">
        <v>45875</v>
      </c>
      <c r="C1152" s="42" t="s">
        <v>10</v>
      </c>
      <c r="D1152" s="42" t="s">
        <v>11</v>
      </c>
      <c r="E1152" s="42" t="s">
        <v>12</v>
      </c>
      <c r="F1152" s="42">
        <v>16</v>
      </c>
      <c r="G1152" s="44">
        <v>120000</v>
      </c>
      <c r="H1152" s="44">
        <v>1920000</v>
      </c>
      <c r="I1152" s="42" t="s">
        <v>2841</v>
      </c>
      <c r="J1152" s="42" t="s">
        <v>8</v>
      </c>
    </row>
    <row r="1153" spans="1:10" x14ac:dyDescent="0.3">
      <c r="A1153" s="42" t="s">
        <v>1702</v>
      </c>
      <c r="B1153" s="43">
        <v>45875</v>
      </c>
      <c r="C1153" s="42" t="s">
        <v>28</v>
      </c>
      <c r="D1153" s="42" t="s">
        <v>29</v>
      </c>
      <c r="E1153" s="42" t="s">
        <v>20</v>
      </c>
      <c r="F1153" s="42">
        <v>30</v>
      </c>
      <c r="G1153" s="44">
        <v>450000</v>
      </c>
      <c r="H1153" s="44">
        <v>13500000</v>
      </c>
      <c r="I1153" s="42" t="s">
        <v>2569</v>
      </c>
      <c r="J1153" s="42" t="s">
        <v>127</v>
      </c>
    </row>
    <row r="1154" spans="1:10" x14ac:dyDescent="0.3">
      <c r="A1154" s="42" t="s">
        <v>1735</v>
      </c>
      <c r="B1154" s="43">
        <v>45875</v>
      </c>
      <c r="C1154" s="42" t="s">
        <v>44</v>
      </c>
      <c r="D1154" s="42" t="s">
        <v>45</v>
      </c>
      <c r="E1154" s="42" t="s">
        <v>16</v>
      </c>
      <c r="F1154" s="42">
        <v>36</v>
      </c>
      <c r="G1154" s="44">
        <v>250000</v>
      </c>
      <c r="H1154" s="44">
        <v>9000000</v>
      </c>
      <c r="I1154" s="42" t="s">
        <v>2534</v>
      </c>
      <c r="J1154" s="42" t="s">
        <v>60</v>
      </c>
    </row>
    <row r="1155" spans="1:10" x14ac:dyDescent="0.3">
      <c r="A1155" s="42" t="s">
        <v>1736</v>
      </c>
      <c r="B1155" s="43">
        <v>45875</v>
      </c>
      <c r="C1155" s="42" t="s">
        <v>40</v>
      </c>
      <c r="D1155" s="42" t="s">
        <v>41</v>
      </c>
      <c r="E1155" s="42" t="s">
        <v>16</v>
      </c>
      <c r="F1155" s="42">
        <v>13</v>
      </c>
      <c r="G1155" s="44">
        <v>950000</v>
      </c>
      <c r="H1155" s="44">
        <v>12350000</v>
      </c>
      <c r="I1155" s="42" t="s">
        <v>2592</v>
      </c>
      <c r="J1155" s="42" t="s">
        <v>8</v>
      </c>
    </row>
    <row r="1156" spans="1:10" x14ac:dyDescent="0.3">
      <c r="A1156" s="42" t="s">
        <v>1737</v>
      </c>
      <c r="B1156" s="43">
        <v>45875</v>
      </c>
      <c r="C1156" s="42" t="s">
        <v>42</v>
      </c>
      <c r="D1156" s="42" t="s">
        <v>43</v>
      </c>
      <c r="E1156" s="42" t="s">
        <v>16</v>
      </c>
      <c r="F1156" s="42">
        <v>4</v>
      </c>
      <c r="G1156" s="44">
        <v>1200000</v>
      </c>
      <c r="H1156" s="44">
        <v>4800000</v>
      </c>
      <c r="I1156" s="42" t="s">
        <v>2276</v>
      </c>
      <c r="J1156" s="42" t="s">
        <v>8</v>
      </c>
    </row>
    <row r="1157" spans="1:10" x14ac:dyDescent="0.3">
      <c r="A1157" s="42" t="s">
        <v>1738</v>
      </c>
      <c r="B1157" s="43">
        <v>45875</v>
      </c>
      <c r="C1157" s="42" t="s">
        <v>10</v>
      </c>
      <c r="D1157" s="42" t="s">
        <v>11</v>
      </c>
      <c r="E1157" s="42" t="s">
        <v>12</v>
      </c>
      <c r="F1157" s="42">
        <v>25</v>
      </c>
      <c r="G1157" s="44">
        <v>120000</v>
      </c>
      <c r="H1157" s="44">
        <v>3000000</v>
      </c>
      <c r="I1157" s="42" t="s">
        <v>2148</v>
      </c>
      <c r="J1157" s="42" t="s">
        <v>127</v>
      </c>
    </row>
    <row r="1158" spans="1:10" x14ac:dyDescent="0.3">
      <c r="A1158" s="42" t="s">
        <v>1771</v>
      </c>
      <c r="B1158" s="43">
        <v>45875</v>
      </c>
      <c r="C1158" s="42" t="s">
        <v>31</v>
      </c>
      <c r="D1158" s="42" t="s">
        <v>32</v>
      </c>
      <c r="E1158" s="42" t="s">
        <v>20</v>
      </c>
      <c r="F1158" s="42">
        <v>50</v>
      </c>
      <c r="G1158" s="44">
        <v>180000</v>
      </c>
      <c r="H1158" s="44">
        <v>9000000</v>
      </c>
      <c r="I1158" s="42" t="s">
        <v>2345</v>
      </c>
      <c r="J1158" s="42" t="s">
        <v>8</v>
      </c>
    </row>
    <row r="1159" spans="1:10" x14ac:dyDescent="0.3">
      <c r="A1159" s="42" t="s">
        <v>1772</v>
      </c>
      <c r="B1159" s="43">
        <v>45876</v>
      </c>
      <c r="C1159" s="42" t="s">
        <v>18</v>
      </c>
      <c r="D1159" s="42" t="s">
        <v>19</v>
      </c>
      <c r="E1159" s="42" t="s">
        <v>20</v>
      </c>
      <c r="F1159" s="42">
        <v>11</v>
      </c>
      <c r="G1159" s="44">
        <v>500000</v>
      </c>
      <c r="H1159" s="44">
        <v>5500000</v>
      </c>
      <c r="I1159" s="42" t="s">
        <v>2660</v>
      </c>
      <c r="J1159" s="42" t="s">
        <v>69</v>
      </c>
    </row>
    <row r="1160" spans="1:10" x14ac:dyDescent="0.3">
      <c r="A1160" s="42" t="s">
        <v>1773</v>
      </c>
      <c r="B1160" s="43">
        <v>45876</v>
      </c>
      <c r="C1160" s="42" t="s">
        <v>38</v>
      </c>
      <c r="D1160" s="42" t="s">
        <v>39</v>
      </c>
      <c r="E1160" s="42" t="s">
        <v>16</v>
      </c>
      <c r="F1160" s="42">
        <v>15</v>
      </c>
      <c r="G1160" s="44">
        <v>200000</v>
      </c>
      <c r="H1160" s="44">
        <v>3000000</v>
      </c>
      <c r="I1160" s="42" t="s">
        <v>442</v>
      </c>
      <c r="J1160" s="42" t="s">
        <v>69</v>
      </c>
    </row>
    <row r="1161" spans="1:10" x14ac:dyDescent="0.3">
      <c r="A1161" s="42" t="s">
        <v>1774</v>
      </c>
      <c r="B1161" s="43">
        <v>45876</v>
      </c>
      <c r="C1161" s="42" t="s">
        <v>22</v>
      </c>
      <c r="D1161" s="42" t="s">
        <v>23</v>
      </c>
      <c r="E1161" s="42" t="s">
        <v>12</v>
      </c>
      <c r="F1161" s="42">
        <v>46</v>
      </c>
      <c r="G1161" s="44">
        <v>25000</v>
      </c>
      <c r="H1161" s="44">
        <v>1150000</v>
      </c>
      <c r="I1161" s="42" t="s">
        <v>2706</v>
      </c>
      <c r="J1161" s="42" t="s">
        <v>60</v>
      </c>
    </row>
    <row r="1162" spans="1:10" x14ac:dyDescent="0.3">
      <c r="A1162" s="42" t="s">
        <v>1775</v>
      </c>
      <c r="B1162" s="43">
        <v>45876</v>
      </c>
      <c r="C1162" s="42" t="s">
        <v>40</v>
      </c>
      <c r="D1162" s="42" t="s">
        <v>41</v>
      </c>
      <c r="E1162" s="42" t="s">
        <v>16</v>
      </c>
      <c r="F1162" s="42">
        <v>330</v>
      </c>
      <c r="G1162" s="44">
        <v>950000</v>
      </c>
      <c r="H1162" s="44">
        <v>313500000</v>
      </c>
      <c r="I1162" s="42" t="s">
        <v>2847</v>
      </c>
      <c r="J1162" s="42" t="s">
        <v>127</v>
      </c>
    </row>
    <row r="1163" spans="1:10" x14ac:dyDescent="0.3">
      <c r="A1163" s="42" t="s">
        <v>1776</v>
      </c>
      <c r="B1163" s="43">
        <v>45876</v>
      </c>
      <c r="C1163" s="42" t="s">
        <v>38</v>
      </c>
      <c r="D1163" s="42" t="s">
        <v>39</v>
      </c>
      <c r="E1163" s="42" t="s">
        <v>16</v>
      </c>
      <c r="F1163" s="42">
        <v>28</v>
      </c>
      <c r="G1163" s="44">
        <v>200000</v>
      </c>
      <c r="H1163" s="44">
        <v>5600000</v>
      </c>
      <c r="I1163" s="42" t="s">
        <v>2497</v>
      </c>
      <c r="J1163" s="42" t="s">
        <v>127</v>
      </c>
    </row>
    <row r="1164" spans="1:10" x14ac:dyDescent="0.3">
      <c r="A1164" s="42" t="s">
        <v>1777</v>
      </c>
      <c r="B1164" s="43">
        <v>45876</v>
      </c>
      <c r="C1164" s="42" t="s">
        <v>10</v>
      </c>
      <c r="D1164" s="42" t="s">
        <v>11</v>
      </c>
      <c r="E1164" s="42" t="s">
        <v>12</v>
      </c>
      <c r="F1164" s="42">
        <v>18</v>
      </c>
      <c r="G1164" s="44">
        <v>120000</v>
      </c>
      <c r="H1164" s="44">
        <v>2160000</v>
      </c>
      <c r="I1164" s="42" t="s">
        <v>642</v>
      </c>
      <c r="J1164" s="42" t="s">
        <v>8</v>
      </c>
    </row>
    <row r="1165" spans="1:10" x14ac:dyDescent="0.3">
      <c r="A1165" s="42" t="s">
        <v>1804</v>
      </c>
      <c r="B1165" s="43">
        <v>45881</v>
      </c>
      <c r="C1165" s="42" t="s">
        <v>31</v>
      </c>
      <c r="D1165" s="42" t="s">
        <v>32</v>
      </c>
      <c r="E1165" s="42" t="s">
        <v>20</v>
      </c>
      <c r="F1165" s="42">
        <v>6</v>
      </c>
      <c r="G1165" s="44">
        <v>180000</v>
      </c>
      <c r="H1165" s="44">
        <v>1080000</v>
      </c>
      <c r="I1165" s="42" t="s">
        <v>2139</v>
      </c>
      <c r="J1165" s="42" t="s">
        <v>8</v>
      </c>
    </row>
    <row r="1166" spans="1:10" x14ac:dyDescent="0.3">
      <c r="A1166" s="42" t="s">
        <v>1805</v>
      </c>
      <c r="B1166" s="43">
        <v>45881</v>
      </c>
      <c r="C1166" s="42" t="s">
        <v>28</v>
      </c>
      <c r="D1166" s="42" t="s">
        <v>29</v>
      </c>
      <c r="E1166" s="42" t="s">
        <v>20</v>
      </c>
      <c r="F1166" s="42">
        <v>500</v>
      </c>
      <c r="G1166" s="44">
        <v>450000</v>
      </c>
      <c r="H1166" s="44">
        <v>225000000</v>
      </c>
      <c r="I1166" s="42" t="s">
        <v>1640</v>
      </c>
      <c r="J1166" s="42" t="s">
        <v>47</v>
      </c>
    </row>
    <row r="1167" spans="1:10" x14ac:dyDescent="0.3">
      <c r="A1167" s="42" t="s">
        <v>1806</v>
      </c>
      <c r="B1167" s="43">
        <v>45881</v>
      </c>
      <c r="C1167" s="42" t="s">
        <v>14</v>
      </c>
      <c r="D1167" s="42" t="s">
        <v>15</v>
      </c>
      <c r="E1167" s="42" t="s">
        <v>16</v>
      </c>
      <c r="F1167" s="42">
        <v>30</v>
      </c>
      <c r="G1167" s="44">
        <v>350000</v>
      </c>
      <c r="H1167" s="44">
        <v>10500000</v>
      </c>
      <c r="I1167" s="42" t="s">
        <v>2456</v>
      </c>
      <c r="J1167" s="42" t="s">
        <v>69</v>
      </c>
    </row>
    <row r="1168" spans="1:10" x14ac:dyDescent="0.3">
      <c r="A1168" s="42" t="s">
        <v>1807</v>
      </c>
      <c r="B1168" s="43">
        <v>45881</v>
      </c>
      <c r="C1168" s="42" t="s">
        <v>42</v>
      </c>
      <c r="D1168" s="42" t="s">
        <v>43</v>
      </c>
      <c r="E1168" s="42" t="s">
        <v>16</v>
      </c>
      <c r="F1168" s="42">
        <v>500</v>
      </c>
      <c r="G1168" s="44">
        <v>1200000</v>
      </c>
      <c r="H1168" s="44">
        <v>600000000</v>
      </c>
      <c r="I1168" s="42" t="s">
        <v>2162</v>
      </c>
      <c r="J1168" s="42" t="s">
        <v>8</v>
      </c>
    </row>
    <row r="1169" spans="1:10" x14ac:dyDescent="0.3">
      <c r="A1169" s="42" t="s">
        <v>1808</v>
      </c>
      <c r="B1169" s="43">
        <v>45881</v>
      </c>
      <c r="C1169" s="42" t="s">
        <v>42</v>
      </c>
      <c r="D1169" s="42" t="s">
        <v>43</v>
      </c>
      <c r="E1169" s="42" t="s">
        <v>16</v>
      </c>
      <c r="F1169" s="42">
        <v>41</v>
      </c>
      <c r="G1169" s="44">
        <v>1200000</v>
      </c>
      <c r="H1169" s="44">
        <v>49200000</v>
      </c>
      <c r="I1169" s="42" t="s">
        <v>2314</v>
      </c>
      <c r="J1169" s="42" t="s">
        <v>8</v>
      </c>
    </row>
    <row r="1170" spans="1:10" x14ac:dyDescent="0.3">
      <c r="A1170" s="42" t="s">
        <v>1809</v>
      </c>
      <c r="B1170" s="43">
        <v>45881</v>
      </c>
      <c r="C1170" s="42" t="s">
        <v>10</v>
      </c>
      <c r="D1170" s="42" t="s">
        <v>11</v>
      </c>
      <c r="E1170" s="42" t="s">
        <v>12</v>
      </c>
      <c r="F1170" s="42">
        <v>46</v>
      </c>
      <c r="G1170" s="44">
        <v>120000</v>
      </c>
      <c r="H1170" s="44">
        <v>5520000</v>
      </c>
      <c r="I1170" s="42" t="s">
        <v>2816</v>
      </c>
      <c r="J1170" s="42" t="s">
        <v>69</v>
      </c>
    </row>
    <row r="1171" spans="1:10" x14ac:dyDescent="0.3">
      <c r="A1171" s="42" t="s">
        <v>1838</v>
      </c>
      <c r="B1171" s="43">
        <v>45881</v>
      </c>
      <c r="C1171" s="42" t="s">
        <v>18</v>
      </c>
      <c r="D1171" s="42" t="s">
        <v>19</v>
      </c>
      <c r="E1171" s="42" t="s">
        <v>20</v>
      </c>
      <c r="F1171" s="42">
        <v>220</v>
      </c>
      <c r="G1171" s="44">
        <v>500000</v>
      </c>
      <c r="H1171" s="44">
        <v>110000000</v>
      </c>
      <c r="I1171" s="42" t="s">
        <v>2149</v>
      </c>
      <c r="J1171" s="42" t="s">
        <v>127</v>
      </c>
    </row>
    <row r="1172" spans="1:10" x14ac:dyDescent="0.3">
      <c r="A1172" s="42" t="s">
        <v>1839</v>
      </c>
      <c r="B1172" s="43">
        <v>45881</v>
      </c>
      <c r="C1172" s="42" t="s">
        <v>28</v>
      </c>
      <c r="D1172" s="42" t="s">
        <v>29</v>
      </c>
      <c r="E1172" s="42" t="s">
        <v>20</v>
      </c>
      <c r="F1172" s="42">
        <v>470</v>
      </c>
      <c r="G1172" s="44">
        <v>450000</v>
      </c>
      <c r="H1172" s="44">
        <v>211500000</v>
      </c>
      <c r="I1172" s="42" t="s">
        <v>2236</v>
      </c>
      <c r="J1172" s="42" t="s">
        <v>8</v>
      </c>
    </row>
    <row r="1173" spans="1:10" x14ac:dyDescent="0.3">
      <c r="A1173" s="42" t="s">
        <v>1840</v>
      </c>
      <c r="B1173" s="43">
        <v>45881</v>
      </c>
      <c r="C1173" s="42" t="s">
        <v>44</v>
      </c>
      <c r="D1173" s="42" t="s">
        <v>45</v>
      </c>
      <c r="E1173" s="42" t="s">
        <v>16</v>
      </c>
      <c r="F1173" s="42">
        <v>11</v>
      </c>
      <c r="G1173" s="44">
        <v>250000</v>
      </c>
      <c r="H1173" s="44">
        <v>2750000</v>
      </c>
      <c r="I1173" s="42" t="s">
        <v>2285</v>
      </c>
      <c r="J1173" s="42" t="s">
        <v>69</v>
      </c>
    </row>
    <row r="1174" spans="1:10" x14ac:dyDescent="0.3">
      <c r="A1174" s="42" t="s">
        <v>1841</v>
      </c>
      <c r="B1174" s="43">
        <v>45881</v>
      </c>
      <c r="C1174" s="42" t="s">
        <v>28</v>
      </c>
      <c r="D1174" s="42" t="s">
        <v>29</v>
      </c>
      <c r="E1174" s="42" t="s">
        <v>20</v>
      </c>
      <c r="F1174" s="42">
        <v>190</v>
      </c>
      <c r="G1174" s="44">
        <v>450000</v>
      </c>
      <c r="H1174" s="44">
        <v>85500000</v>
      </c>
      <c r="I1174" s="42" t="s">
        <v>853</v>
      </c>
      <c r="J1174" s="42" t="s">
        <v>47</v>
      </c>
    </row>
    <row r="1175" spans="1:10" x14ac:dyDescent="0.3">
      <c r="A1175" s="42" t="s">
        <v>1842</v>
      </c>
      <c r="B1175" s="43">
        <v>45881</v>
      </c>
      <c r="C1175" s="42" t="s">
        <v>18</v>
      </c>
      <c r="D1175" s="42" t="s">
        <v>19</v>
      </c>
      <c r="E1175" s="42" t="s">
        <v>20</v>
      </c>
      <c r="F1175" s="42">
        <v>34</v>
      </c>
      <c r="G1175" s="44">
        <v>500000</v>
      </c>
      <c r="H1175" s="44">
        <v>17000000</v>
      </c>
      <c r="I1175" s="42" t="s">
        <v>2833</v>
      </c>
      <c r="J1175" s="42" t="s">
        <v>60</v>
      </c>
    </row>
    <row r="1176" spans="1:10" x14ac:dyDescent="0.3">
      <c r="A1176" s="42" t="s">
        <v>1843</v>
      </c>
      <c r="B1176" s="43">
        <v>45882</v>
      </c>
      <c r="C1176" s="42" t="s">
        <v>44</v>
      </c>
      <c r="D1176" s="42" t="s">
        <v>45</v>
      </c>
      <c r="E1176" s="42" t="s">
        <v>16</v>
      </c>
      <c r="F1176" s="42">
        <v>320</v>
      </c>
      <c r="G1176" s="44">
        <v>250000</v>
      </c>
      <c r="H1176" s="44">
        <v>80000000</v>
      </c>
      <c r="I1176" s="42" t="s">
        <v>2567</v>
      </c>
      <c r="J1176" s="42" t="s">
        <v>8</v>
      </c>
    </row>
    <row r="1177" spans="1:10" x14ac:dyDescent="0.3">
      <c r="A1177" s="42" t="s">
        <v>1844</v>
      </c>
      <c r="B1177" s="43">
        <v>45882</v>
      </c>
      <c r="C1177" s="42" t="s">
        <v>38</v>
      </c>
      <c r="D1177" s="42" t="s">
        <v>39</v>
      </c>
      <c r="E1177" s="42" t="s">
        <v>16</v>
      </c>
      <c r="F1177" s="42">
        <v>25</v>
      </c>
      <c r="G1177" s="44">
        <v>200000</v>
      </c>
      <c r="H1177" s="44">
        <v>5000000</v>
      </c>
      <c r="I1177" s="42" t="s">
        <v>2646</v>
      </c>
      <c r="J1177" s="42" t="s">
        <v>60</v>
      </c>
    </row>
    <row r="1178" spans="1:10" x14ac:dyDescent="0.3">
      <c r="A1178" s="42" t="s">
        <v>1845</v>
      </c>
      <c r="B1178" s="43">
        <v>45882</v>
      </c>
      <c r="C1178" s="42" t="s">
        <v>38</v>
      </c>
      <c r="D1178" s="42" t="s">
        <v>39</v>
      </c>
      <c r="E1178" s="42" t="s">
        <v>16</v>
      </c>
      <c r="F1178" s="42">
        <v>35</v>
      </c>
      <c r="G1178" s="44">
        <v>200000</v>
      </c>
      <c r="H1178" s="44">
        <v>7000000</v>
      </c>
      <c r="I1178" s="42" t="s">
        <v>2536</v>
      </c>
      <c r="J1178" s="42" t="s">
        <v>127</v>
      </c>
    </row>
    <row r="1179" spans="1:10" x14ac:dyDescent="0.3">
      <c r="A1179" s="42" t="s">
        <v>1871</v>
      </c>
      <c r="B1179" s="43">
        <v>45882</v>
      </c>
      <c r="C1179" s="42" t="s">
        <v>28</v>
      </c>
      <c r="D1179" s="42" t="s">
        <v>29</v>
      </c>
      <c r="E1179" s="42" t="s">
        <v>20</v>
      </c>
      <c r="F1179" s="42">
        <v>370</v>
      </c>
      <c r="G1179" s="44">
        <v>450000</v>
      </c>
      <c r="H1179" s="44">
        <v>166500000</v>
      </c>
      <c r="I1179" s="42" t="s">
        <v>2837</v>
      </c>
      <c r="J1179" s="42" t="s">
        <v>47</v>
      </c>
    </row>
    <row r="1180" spans="1:10" x14ac:dyDescent="0.3">
      <c r="A1180" s="42" t="s">
        <v>1872</v>
      </c>
      <c r="B1180" s="43">
        <v>45882</v>
      </c>
      <c r="C1180" s="42" t="s">
        <v>44</v>
      </c>
      <c r="D1180" s="42" t="s">
        <v>45</v>
      </c>
      <c r="E1180" s="42" t="s">
        <v>16</v>
      </c>
      <c r="F1180" s="42">
        <v>44</v>
      </c>
      <c r="G1180" s="44">
        <v>250000</v>
      </c>
      <c r="H1180" s="44">
        <v>11000000</v>
      </c>
      <c r="I1180" s="42" t="s">
        <v>2721</v>
      </c>
      <c r="J1180" s="42" t="s">
        <v>8</v>
      </c>
    </row>
    <row r="1181" spans="1:10" x14ac:dyDescent="0.3">
      <c r="A1181" s="42" t="s">
        <v>1873</v>
      </c>
      <c r="B1181" s="43">
        <v>45882</v>
      </c>
      <c r="C1181" s="42" t="s">
        <v>14</v>
      </c>
      <c r="D1181" s="42" t="s">
        <v>15</v>
      </c>
      <c r="E1181" s="42" t="s">
        <v>16</v>
      </c>
      <c r="F1181" s="42">
        <v>13</v>
      </c>
      <c r="G1181" s="44">
        <v>350000</v>
      </c>
      <c r="H1181" s="44">
        <v>4550000</v>
      </c>
      <c r="I1181" s="42" t="s">
        <v>2731</v>
      </c>
      <c r="J1181" s="42" t="s">
        <v>47</v>
      </c>
    </row>
    <row r="1182" spans="1:10" x14ac:dyDescent="0.3">
      <c r="A1182" s="42" t="s">
        <v>1893</v>
      </c>
      <c r="B1182" s="43">
        <v>45882</v>
      </c>
      <c r="C1182" s="42" t="s">
        <v>28</v>
      </c>
      <c r="D1182" s="42" t="s">
        <v>29</v>
      </c>
      <c r="E1182" s="42" t="s">
        <v>20</v>
      </c>
      <c r="F1182" s="42">
        <v>45</v>
      </c>
      <c r="G1182" s="44">
        <v>450000</v>
      </c>
      <c r="H1182" s="44">
        <v>20250000</v>
      </c>
      <c r="I1182" s="42" t="s">
        <v>2750</v>
      </c>
      <c r="J1182" s="42" t="s">
        <v>127</v>
      </c>
    </row>
    <row r="1183" spans="1:10" x14ac:dyDescent="0.3">
      <c r="A1183" s="42" t="s">
        <v>1894</v>
      </c>
      <c r="B1183" s="43">
        <v>45882</v>
      </c>
      <c r="C1183" s="42" t="s">
        <v>10</v>
      </c>
      <c r="D1183" s="42" t="s">
        <v>11</v>
      </c>
      <c r="E1183" s="42" t="s">
        <v>12</v>
      </c>
      <c r="F1183" s="42">
        <v>7</v>
      </c>
      <c r="G1183" s="44">
        <v>120000</v>
      </c>
      <c r="H1183" s="44">
        <v>840000</v>
      </c>
      <c r="I1183" s="42" t="s">
        <v>2386</v>
      </c>
      <c r="J1183" s="42" t="s">
        <v>127</v>
      </c>
    </row>
    <row r="1184" spans="1:10" x14ac:dyDescent="0.3">
      <c r="A1184" s="42" t="s">
        <v>1895</v>
      </c>
      <c r="B1184" s="43">
        <v>45882</v>
      </c>
      <c r="C1184" s="42" t="s">
        <v>42</v>
      </c>
      <c r="D1184" s="42" t="s">
        <v>43</v>
      </c>
      <c r="E1184" s="42" t="s">
        <v>16</v>
      </c>
      <c r="F1184" s="42">
        <v>410</v>
      </c>
      <c r="G1184" s="44">
        <v>1200000</v>
      </c>
      <c r="H1184" s="44">
        <v>492000000</v>
      </c>
      <c r="I1184" s="42" t="s">
        <v>2830</v>
      </c>
      <c r="J1184" s="42" t="s">
        <v>69</v>
      </c>
    </row>
    <row r="1185" spans="1:10" x14ac:dyDescent="0.3">
      <c r="A1185" s="42" t="s">
        <v>1906</v>
      </c>
      <c r="B1185" s="43">
        <v>45882</v>
      </c>
      <c r="C1185" s="42" t="s">
        <v>42</v>
      </c>
      <c r="D1185" s="42" t="s">
        <v>43</v>
      </c>
      <c r="E1185" s="42" t="s">
        <v>16</v>
      </c>
      <c r="F1185" s="42">
        <v>26</v>
      </c>
      <c r="G1185" s="44">
        <v>1200000</v>
      </c>
      <c r="H1185" s="44">
        <v>31200000</v>
      </c>
      <c r="I1185" s="42" t="s">
        <v>2302</v>
      </c>
      <c r="J1185" s="42" t="s">
        <v>8</v>
      </c>
    </row>
    <row r="1186" spans="1:10" x14ac:dyDescent="0.3">
      <c r="A1186" s="42" t="s">
        <v>1907</v>
      </c>
      <c r="B1186" s="43">
        <v>45882</v>
      </c>
      <c r="C1186" s="42" t="s">
        <v>31</v>
      </c>
      <c r="D1186" s="42" t="s">
        <v>32</v>
      </c>
      <c r="E1186" s="42" t="s">
        <v>20</v>
      </c>
      <c r="F1186" s="42">
        <v>27</v>
      </c>
      <c r="G1186" s="44">
        <v>180000</v>
      </c>
      <c r="H1186" s="44">
        <v>4860000</v>
      </c>
      <c r="I1186" s="42" t="s">
        <v>2191</v>
      </c>
      <c r="J1186" s="42" t="s">
        <v>69</v>
      </c>
    </row>
    <row r="1187" spans="1:10" x14ac:dyDescent="0.3">
      <c r="A1187" s="42" t="s">
        <v>1908</v>
      </c>
      <c r="B1187" s="43">
        <v>45882</v>
      </c>
      <c r="C1187" s="42" t="s">
        <v>10</v>
      </c>
      <c r="D1187" s="42" t="s">
        <v>11</v>
      </c>
      <c r="E1187" s="42" t="s">
        <v>12</v>
      </c>
      <c r="F1187" s="42">
        <v>30</v>
      </c>
      <c r="G1187" s="44">
        <v>120000</v>
      </c>
      <c r="H1187" s="44">
        <v>3600000</v>
      </c>
      <c r="I1187" s="42" t="s">
        <v>2772</v>
      </c>
      <c r="J1187" s="42" t="s">
        <v>47</v>
      </c>
    </row>
    <row r="1188" spans="1:10" x14ac:dyDescent="0.3">
      <c r="A1188" s="42" t="s">
        <v>1909</v>
      </c>
      <c r="B1188" s="43">
        <v>45883</v>
      </c>
      <c r="C1188" s="42" t="s">
        <v>31</v>
      </c>
      <c r="D1188" s="42" t="s">
        <v>32</v>
      </c>
      <c r="E1188" s="42" t="s">
        <v>20</v>
      </c>
      <c r="F1188" s="42">
        <v>38</v>
      </c>
      <c r="G1188" s="44">
        <v>180000</v>
      </c>
      <c r="H1188" s="44">
        <v>6840000</v>
      </c>
      <c r="I1188" s="42" t="s">
        <v>1855</v>
      </c>
      <c r="J1188" s="42" t="s">
        <v>69</v>
      </c>
    </row>
    <row r="1189" spans="1:10" x14ac:dyDescent="0.3">
      <c r="A1189" s="42" t="s">
        <v>1919</v>
      </c>
      <c r="B1189" s="43">
        <v>45883</v>
      </c>
      <c r="C1189" s="42" t="s">
        <v>10</v>
      </c>
      <c r="D1189" s="42" t="s">
        <v>11</v>
      </c>
      <c r="E1189" s="42" t="s">
        <v>12</v>
      </c>
      <c r="F1189" s="42">
        <v>45</v>
      </c>
      <c r="G1189" s="44">
        <v>120000</v>
      </c>
      <c r="H1189" s="44">
        <v>5400000</v>
      </c>
      <c r="I1189" s="42" t="s">
        <v>2183</v>
      </c>
      <c r="J1189" s="42" t="s">
        <v>8</v>
      </c>
    </row>
    <row r="1190" spans="1:10" x14ac:dyDescent="0.3">
      <c r="A1190" s="42" t="s">
        <v>1935</v>
      </c>
      <c r="B1190" s="43">
        <v>45883</v>
      </c>
      <c r="C1190" s="42" t="s">
        <v>31</v>
      </c>
      <c r="D1190" s="42" t="s">
        <v>32</v>
      </c>
      <c r="E1190" s="42" t="s">
        <v>20</v>
      </c>
      <c r="F1190" s="42">
        <v>40</v>
      </c>
      <c r="G1190" s="44">
        <v>180000</v>
      </c>
      <c r="H1190" s="44">
        <v>7200000</v>
      </c>
      <c r="I1190" s="42" t="s">
        <v>2394</v>
      </c>
      <c r="J1190" s="42" t="s">
        <v>127</v>
      </c>
    </row>
    <row r="1191" spans="1:10" x14ac:dyDescent="0.3">
      <c r="A1191" s="42" t="s">
        <v>1955</v>
      </c>
      <c r="B1191" s="43">
        <v>45883</v>
      </c>
      <c r="C1191" s="42" t="s">
        <v>44</v>
      </c>
      <c r="D1191" s="42" t="s">
        <v>45</v>
      </c>
      <c r="E1191" s="42" t="s">
        <v>16</v>
      </c>
      <c r="F1191" s="42">
        <v>26</v>
      </c>
      <c r="G1191" s="44">
        <v>250000</v>
      </c>
      <c r="H1191" s="44">
        <v>6500000</v>
      </c>
      <c r="I1191" s="42" t="s">
        <v>2437</v>
      </c>
      <c r="J1191" s="42" t="s">
        <v>69</v>
      </c>
    </row>
    <row r="1192" spans="1:10" x14ac:dyDescent="0.3">
      <c r="A1192" s="42" t="s">
        <v>1956</v>
      </c>
      <c r="B1192" s="43">
        <v>45883</v>
      </c>
      <c r="C1192" s="42" t="s">
        <v>18</v>
      </c>
      <c r="D1192" s="42" t="s">
        <v>19</v>
      </c>
      <c r="E1192" s="42" t="s">
        <v>20</v>
      </c>
      <c r="F1192" s="42">
        <v>15</v>
      </c>
      <c r="G1192" s="44">
        <v>500000</v>
      </c>
      <c r="H1192" s="44">
        <v>7500000</v>
      </c>
      <c r="I1192" s="42" t="s">
        <v>2800</v>
      </c>
      <c r="J1192" s="42" t="s">
        <v>69</v>
      </c>
    </row>
    <row r="1193" spans="1:10" x14ac:dyDescent="0.3">
      <c r="A1193" s="42" t="s">
        <v>1957</v>
      </c>
      <c r="B1193" s="43">
        <v>45883</v>
      </c>
      <c r="C1193" s="42" t="s">
        <v>14</v>
      </c>
      <c r="D1193" s="42" t="s">
        <v>15</v>
      </c>
      <c r="E1193" s="42" t="s">
        <v>16</v>
      </c>
      <c r="F1193" s="42">
        <v>48</v>
      </c>
      <c r="G1193" s="44">
        <v>350000</v>
      </c>
      <c r="H1193" s="44">
        <v>16800000</v>
      </c>
      <c r="I1193" s="42" t="s">
        <v>2151</v>
      </c>
      <c r="J1193" s="42" t="s">
        <v>69</v>
      </c>
    </row>
    <row r="1194" spans="1:10" x14ac:dyDescent="0.3">
      <c r="A1194" s="42" t="s">
        <v>1975</v>
      </c>
      <c r="B1194" s="43">
        <v>45883</v>
      </c>
      <c r="C1194" s="42" t="s">
        <v>31</v>
      </c>
      <c r="D1194" s="42" t="s">
        <v>32</v>
      </c>
      <c r="E1194" s="42" t="s">
        <v>20</v>
      </c>
      <c r="F1194" s="42">
        <v>43</v>
      </c>
      <c r="G1194" s="44">
        <v>180000</v>
      </c>
      <c r="H1194" s="44">
        <v>7740000</v>
      </c>
      <c r="I1194" s="42" t="s">
        <v>2799</v>
      </c>
      <c r="J1194" s="42" t="s">
        <v>8</v>
      </c>
    </row>
    <row r="1195" spans="1:10" x14ac:dyDescent="0.3">
      <c r="A1195" s="42" t="s">
        <v>1994</v>
      </c>
      <c r="B1195" s="43">
        <v>45884</v>
      </c>
      <c r="C1195" s="42" t="s">
        <v>14</v>
      </c>
      <c r="D1195" s="42" t="s">
        <v>15</v>
      </c>
      <c r="E1195" s="42" t="s">
        <v>16</v>
      </c>
      <c r="F1195" s="42">
        <v>24</v>
      </c>
      <c r="G1195" s="44">
        <v>350000</v>
      </c>
      <c r="H1195" s="44">
        <v>8400000</v>
      </c>
      <c r="I1195" s="42" t="s">
        <v>2486</v>
      </c>
      <c r="J1195" s="42" t="s">
        <v>127</v>
      </c>
    </row>
    <row r="1196" spans="1:10" x14ac:dyDescent="0.3">
      <c r="A1196" s="42" t="s">
        <v>1995</v>
      </c>
      <c r="B1196" s="43">
        <v>45884</v>
      </c>
      <c r="C1196" s="42" t="s">
        <v>38</v>
      </c>
      <c r="D1196" s="42" t="s">
        <v>39</v>
      </c>
      <c r="E1196" s="42" t="s">
        <v>16</v>
      </c>
      <c r="F1196" s="42">
        <v>9</v>
      </c>
      <c r="G1196" s="44">
        <v>200000</v>
      </c>
      <c r="H1196" s="44">
        <v>1800000</v>
      </c>
      <c r="I1196" s="42" t="s">
        <v>2325</v>
      </c>
      <c r="J1196" s="42" t="s">
        <v>8</v>
      </c>
    </row>
    <row r="1197" spans="1:10" x14ac:dyDescent="0.3">
      <c r="A1197" s="42" t="s">
        <v>1996</v>
      </c>
      <c r="B1197" s="43">
        <v>45884</v>
      </c>
      <c r="C1197" s="42" t="s">
        <v>44</v>
      </c>
      <c r="D1197" s="42" t="s">
        <v>45</v>
      </c>
      <c r="E1197" s="42" t="s">
        <v>16</v>
      </c>
      <c r="F1197" s="42">
        <v>48</v>
      </c>
      <c r="G1197" s="44">
        <v>250000</v>
      </c>
      <c r="H1197" s="44">
        <v>12000000</v>
      </c>
      <c r="I1197" s="42" t="s">
        <v>2195</v>
      </c>
      <c r="J1197" s="42" t="s">
        <v>60</v>
      </c>
    </row>
    <row r="1198" spans="1:10" x14ac:dyDescent="0.3">
      <c r="A1198" s="42" t="s">
        <v>1997</v>
      </c>
      <c r="B1198" s="43">
        <v>45884</v>
      </c>
      <c r="C1198" s="42" t="s">
        <v>40</v>
      </c>
      <c r="D1198" s="42" t="s">
        <v>41</v>
      </c>
      <c r="E1198" s="42" t="s">
        <v>16</v>
      </c>
      <c r="F1198" s="42">
        <v>42</v>
      </c>
      <c r="G1198" s="44">
        <v>950000</v>
      </c>
      <c r="H1198" s="44">
        <v>39900000</v>
      </c>
      <c r="I1198" s="42" t="s">
        <v>2642</v>
      </c>
      <c r="J1198" s="42" t="s">
        <v>8</v>
      </c>
    </row>
    <row r="1199" spans="1:10" x14ac:dyDescent="0.3">
      <c r="A1199" s="42" t="s">
        <v>2024</v>
      </c>
      <c r="B1199" s="43">
        <v>45884</v>
      </c>
      <c r="C1199" s="42" t="s">
        <v>42</v>
      </c>
      <c r="D1199" s="42" t="s">
        <v>43</v>
      </c>
      <c r="E1199" s="42" t="s">
        <v>16</v>
      </c>
      <c r="F1199" s="42">
        <v>41</v>
      </c>
      <c r="G1199" s="44">
        <v>1200000</v>
      </c>
      <c r="H1199" s="44">
        <v>49200000</v>
      </c>
      <c r="I1199" s="42" t="s">
        <v>573</v>
      </c>
      <c r="J1199" s="42" t="s">
        <v>47</v>
      </c>
    </row>
    <row r="1200" spans="1:10" x14ac:dyDescent="0.3">
      <c r="A1200" s="42" t="s">
        <v>2025</v>
      </c>
      <c r="B1200" s="43">
        <v>45884</v>
      </c>
      <c r="C1200" s="42" t="s">
        <v>44</v>
      </c>
      <c r="D1200" s="42" t="s">
        <v>45</v>
      </c>
      <c r="E1200" s="42" t="s">
        <v>16</v>
      </c>
      <c r="F1200" s="42">
        <v>4</v>
      </c>
      <c r="G1200" s="44">
        <v>250000</v>
      </c>
      <c r="H1200" s="44">
        <v>1000000</v>
      </c>
      <c r="I1200" s="42" t="s">
        <v>2276</v>
      </c>
      <c r="J1200" s="42" t="s">
        <v>8</v>
      </c>
    </row>
    <row r="1201" spans="1:10" x14ac:dyDescent="0.3">
      <c r="A1201" s="42" t="s">
        <v>2032</v>
      </c>
      <c r="B1201" s="43">
        <v>45884</v>
      </c>
      <c r="C1201" s="42" t="s">
        <v>18</v>
      </c>
      <c r="D1201" s="42" t="s">
        <v>19</v>
      </c>
      <c r="E1201" s="42" t="s">
        <v>20</v>
      </c>
      <c r="F1201" s="42">
        <v>280</v>
      </c>
      <c r="G1201" s="44">
        <v>500000</v>
      </c>
      <c r="H1201" s="44">
        <v>140000000</v>
      </c>
      <c r="I1201" s="42" t="s">
        <v>2245</v>
      </c>
      <c r="J1201" s="42" t="s">
        <v>127</v>
      </c>
    </row>
    <row r="1202" spans="1:10" x14ac:dyDescent="0.3">
      <c r="A1202" s="42" t="s">
        <v>2033</v>
      </c>
      <c r="B1202" s="43">
        <v>45884</v>
      </c>
      <c r="C1202" s="42" t="s">
        <v>40</v>
      </c>
      <c r="D1202" s="42" t="s">
        <v>41</v>
      </c>
      <c r="E1202" s="42" t="s">
        <v>16</v>
      </c>
      <c r="F1202" s="42">
        <v>39</v>
      </c>
      <c r="G1202" s="44">
        <v>950000</v>
      </c>
      <c r="H1202" s="44">
        <v>37050000</v>
      </c>
      <c r="I1202" s="42" t="s">
        <v>2558</v>
      </c>
      <c r="J1202" s="42" t="s">
        <v>8</v>
      </c>
    </row>
    <row r="1203" spans="1:10" x14ac:dyDescent="0.3">
      <c r="A1203" s="42" t="s">
        <v>2034</v>
      </c>
      <c r="B1203" s="43">
        <v>45884</v>
      </c>
      <c r="C1203" s="42" t="s">
        <v>18</v>
      </c>
      <c r="D1203" s="42" t="s">
        <v>19</v>
      </c>
      <c r="E1203" s="42" t="s">
        <v>20</v>
      </c>
      <c r="F1203" s="42">
        <v>45</v>
      </c>
      <c r="G1203" s="44">
        <v>500000</v>
      </c>
      <c r="H1203" s="44">
        <v>22500000</v>
      </c>
      <c r="I1203" s="42" t="s">
        <v>2183</v>
      </c>
      <c r="J1203" s="42" t="s">
        <v>8</v>
      </c>
    </row>
    <row r="1204" spans="1:10" x14ac:dyDescent="0.3">
      <c r="A1204" s="42" t="s">
        <v>2035</v>
      </c>
      <c r="B1204" s="43">
        <v>45884</v>
      </c>
      <c r="C1204" s="42" t="s">
        <v>14</v>
      </c>
      <c r="D1204" s="42" t="s">
        <v>15</v>
      </c>
      <c r="E1204" s="42" t="s">
        <v>16</v>
      </c>
      <c r="F1204" s="42">
        <v>17</v>
      </c>
      <c r="G1204" s="44">
        <v>350000</v>
      </c>
      <c r="H1204" s="44">
        <v>5950000</v>
      </c>
      <c r="I1204" s="42" t="s">
        <v>2123</v>
      </c>
      <c r="J1204" s="42" t="s">
        <v>60</v>
      </c>
    </row>
    <row r="1205" spans="1:10" x14ac:dyDescent="0.3">
      <c r="A1205" s="42" t="s">
        <v>2046</v>
      </c>
      <c r="B1205" s="43">
        <v>45884</v>
      </c>
      <c r="C1205" s="42" t="s">
        <v>40</v>
      </c>
      <c r="D1205" s="42" t="s">
        <v>41</v>
      </c>
      <c r="E1205" s="42" t="s">
        <v>16</v>
      </c>
      <c r="F1205" s="42">
        <v>39</v>
      </c>
      <c r="G1205" s="44">
        <v>950000</v>
      </c>
      <c r="H1205" s="44">
        <v>37050000</v>
      </c>
      <c r="I1205" s="42" t="s">
        <v>2255</v>
      </c>
      <c r="J1205" s="42" t="s">
        <v>69</v>
      </c>
    </row>
    <row r="1206" spans="1:10" x14ac:dyDescent="0.3">
      <c r="A1206" s="42" t="s">
        <v>2047</v>
      </c>
      <c r="B1206" s="43">
        <v>45884</v>
      </c>
      <c r="C1206" s="42" t="s">
        <v>22</v>
      </c>
      <c r="D1206" s="42" t="s">
        <v>23</v>
      </c>
      <c r="E1206" s="42" t="s">
        <v>12</v>
      </c>
      <c r="F1206" s="42">
        <v>37</v>
      </c>
      <c r="G1206" s="44">
        <v>25000</v>
      </c>
      <c r="H1206" s="44">
        <v>925000</v>
      </c>
      <c r="I1206" s="42" t="s">
        <v>2690</v>
      </c>
      <c r="J1206" s="42" t="s">
        <v>60</v>
      </c>
    </row>
    <row r="1207" spans="1:10" x14ac:dyDescent="0.3">
      <c r="A1207" s="42" t="s">
        <v>2058</v>
      </c>
      <c r="B1207" s="43">
        <v>45888</v>
      </c>
      <c r="C1207" s="42" t="s">
        <v>42</v>
      </c>
      <c r="D1207" s="42" t="s">
        <v>43</v>
      </c>
      <c r="E1207" s="42" t="s">
        <v>16</v>
      </c>
      <c r="F1207" s="42">
        <v>430</v>
      </c>
      <c r="G1207" s="44">
        <v>1200000</v>
      </c>
      <c r="H1207" s="44">
        <v>516000000</v>
      </c>
      <c r="I1207" s="42" t="s">
        <v>2299</v>
      </c>
      <c r="J1207" s="42" t="s">
        <v>127</v>
      </c>
    </row>
    <row r="1208" spans="1:10" x14ac:dyDescent="0.3">
      <c r="A1208" s="42" t="s">
        <v>2059</v>
      </c>
      <c r="B1208" s="43">
        <v>45888</v>
      </c>
      <c r="C1208" s="42" t="s">
        <v>14</v>
      </c>
      <c r="D1208" s="42" t="s">
        <v>15</v>
      </c>
      <c r="E1208" s="42" t="s">
        <v>16</v>
      </c>
      <c r="F1208" s="42">
        <v>19</v>
      </c>
      <c r="G1208" s="44">
        <v>350000</v>
      </c>
      <c r="H1208" s="44">
        <v>6650000</v>
      </c>
      <c r="I1208" s="42" t="s">
        <v>2519</v>
      </c>
      <c r="J1208" s="42" t="s">
        <v>127</v>
      </c>
    </row>
    <row r="1209" spans="1:10" x14ac:dyDescent="0.3">
      <c r="A1209" s="42" t="s">
        <v>2070</v>
      </c>
      <c r="B1209" s="43">
        <v>45888</v>
      </c>
      <c r="C1209" s="42" t="s">
        <v>44</v>
      </c>
      <c r="D1209" s="42" t="s">
        <v>45</v>
      </c>
      <c r="E1209" s="42" t="s">
        <v>16</v>
      </c>
      <c r="F1209" s="42">
        <v>36</v>
      </c>
      <c r="G1209" s="44">
        <v>250000</v>
      </c>
      <c r="H1209" s="44">
        <v>9000000</v>
      </c>
      <c r="I1209" s="42" t="s">
        <v>2541</v>
      </c>
      <c r="J1209" s="42" t="s">
        <v>8</v>
      </c>
    </row>
    <row r="1210" spans="1:10" x14ac:dyDescent="0.3">
      <c r="A1210" s="42" t="s">
        <v>2092</v>
      </c>
      <c r="B1210" s="43">
        <v>45888</v>
      </c>
      <c r="C1210" s="42" t="s">
        <v>31</v>
      </c>
      <c r="D1210" s="42" t="s">
        <v>32</v>
      </c>
      <c r="E1210" s="42" t="s">
        <v>20</v>
      </c>
      <c r="F1210" s="42">
        <v>36</v>
      </c>
      <c r="G1210" s="44">
        <v>180000</v>
      </c>
      <c r="H1210" s="44">
        <v>6480000</v>
      </c>
      <c r="I1210" s="42" t="s">
        <v>2521</v>
      </c>
      <c r="J1210" s="42" t="s">
        <v>8</v>
      </c>
    </row>
    <row r="1211" spans="1:10" x14ac:dyDescent="0.3">
      <c r="A1211" s="42" t="s">
        <v>2109</v>
      </c>
      <c r="B1211" s="43">
        <v>45888</v>
      </c>
      <c r="C1211" s="42" t="s">
        <v>28</v>
      </c>
      <c r="D1211" s="42" t="s">
        <v>29</v>
      </c>
      <c r="E1211" s="42" t="s">
        <v>20</v>
      </c>
      <c r="F1211" s="42">
        <v>38</v>
      </c>
      <c r="G1211" s="44">
        <v>450000</v>
      </c>
      <c r="H1211" s="44">
        <v>17100000</v>
      </c>
      <c r="I1211" s="42" t="s">
        <v>2304</v>
      </c>
      <c r="J1211" s="42" t="s">
        <v>8</v>
      </c>
    </row>
    <row r="1212" spans="1:10" x14ac:dyDescent="0.3">
      <c r="A1212" s="42" t="s">
        <v>2110</v>
      </c>
      <c r="B1212" s="43">
        <v>45888</v>
      </c>
      <c r="C1212" s="42" t="s">
        <v>18</v>
      </c>
      <c r="D1212" s="42" t="s">
        <v>19</v>
      </c>
      <c r="E1212" s="42" t="s">
        <v>20</v>
      </c>
      <c r="F1212" s="42">
        <v>21</v>
      </c>
      <c r="G1212" s="44">
        <v>500000</v>
      </c>
      <c r="H1212" s="44">
        <v>10500000</v>
      </c>
      <c r="I1212" s="42" t="s">
        <v>2569</v>
      </c>
      <c r="J1212" s="42" t="s">
        <v>127</v>
      </c>
    </row>
    <row r="1213" spans="1:10" x14ac:dyDescent="0.3">
      <c r="A1213" s="42" t="s">
        <v>2111</v>
      </c>
      <c r="B1213" s="43">
        <v>45888</v>
      </c>
      <c r="C1213" s="42" t="s">
        <v>40</v>
      </c>
      <c r="D1213" s="42" t="s">
        <v>41</v>
      </c>
      <c r="E1213" s="42" t="s">
        <v>16</v>
      </c>
      <c r="F1213" s="42">
        <v>18</v>
      </c>
      <c r="G1213" s="44">
        <v>950000</v>
      </c>
      <c r="H1213" s="44">
        <v>17100000</v>
      </c>
      <c r="I1213" s="42" t="s">
        <v>2744</v>
      </c>
      <c r="J1213" s="42" t="s">
        <v>127</v>
      </c>
    </row>
    <row r="1214" spans="1:10" x14ac:dyDescent="0.3">
      <c r="A1214" s="42" t="s">
        <v>30</v>
      </c>
      <c r="B1214" s="43">
        <v>45888</v>
      </c>
      <c r="C1214" s="42" t="s">
        <v>22</v>
      </c>
      <c r="D1214" s="42" t="s">
        <v>23</v>
      </c>
      <c r="E1214" s="42" t="s">
        <v>12</v>
      </c>
      <c r="F1214" s="42">
        <v>32</v>
      </c>
      <c r="G1214" s="44">
        <v>25000</v>
      </c>
      <c r="H1214" s="44">
        <v>800000</v>
      </c>
      <c r="I1214" s="42" t="s">
        <v>2465</v>
      </c>
      <c r="J1214" s="42" t="s">
        <v>127</v>
      </c>
    </row>
    <row r="1215" spans="1:10" x14ac:dyDescent="0.3">
      <c r="A1215" s="42" t="s">
        <v>53</v>
      </c>
      <c r="B1215" s="43">
        <v>45888</v>
      </c>
      <c r="C1215" s="42" t="s">
        <v>10</v>
      </c>
      <c r="D1215" s="42" t="s">
        <v>11</v>
      </c>
      <c r="E1215" s="42" t="s">
        <v>12</v>
      </c>
      <c r="F1215" s="42">
        <v>20</v>
      </c>
      <c r="G1215" s="44">
        <v>120000</v>
      </c>
      <c r="H1215" s="44">
        <v>2400000</v>
      </c>
      <c r="I1215" s="42" t="s">
        <v>2301</v>
      </c>
      <c r="J1215" s="42" t="s">
        <v>8</v>
      </c>
    </row>
    <row r="1216" spans="1:10" x14ac:dyDescent="0.3">
      <c r="A1216" s="42" t="s">
        <v>54</v>
      </c>
      <c r="B1216" s="43">
        <v>45888</v>
      </c>
      <c r="C1216" s="42" t="s">
        <v>28</v>
      </c>
      <c r="D1216" s="42" t="s">
        <v>29</v>
      </c>
      <c r="E1216" s="42" t="s">
        <v>20</v>
      </c>
      <c r="F1216" s="42">
        <v>5</v>
      </c>
      <c r="G1216" s="44">
        <v>450000</v>
      </c>
      <c r="H1216" s="44">
        <v>2250000</v>
      </c>
      <c r="I1216" s="42" t="s">
        <v>2403</v>
      </c>
      <c r="J1216" s="42" t="s">
        <v>8</v>
      </c>
    </row>
    <row r="1217" spans="1:10" x14ac:dyDescent="0.3">
      <c r="A1217" s="42" t="s">
        <v>74</v>
      </c>
      <c r="B1217" s="43">
        <v>45889</v>
      </c>
      <c r="C1217" s="42" t="s">
        <v>28</v>
      </c>
      <c r="D1217" s="42" t="s">
        <v>29</v>
      </c>
      <c r="E1217" s="42" t="s">
        <v>20</v>
      </c>
      <c r="F1217" s="42">
        <v>34</v>
      </c>
      <c r="G1217" s="44">
        <v>450000</v>
      </c>
      <c r="H1217" s="44">
        <v>15300000</v>
      </c>
      <c r="I1217" s="42" t="s">
        <v>2465</v>
      </c>
      <c r="J1217" s="42" t="s">
        <v>127</v>
      </c>
    </row>
    <row r="1218" spans="1:10" x14ac:dyDescent="0.3">
      <c r="A1218" s="42" t="s">
        <v>85</v>
      </c>
      <c r="B1218" s="43">
        <v>45889</v>
      </c>
      <c r="C1218" s="42" t="s">
        <v>42</v>
      </c>
      <c r="D1218" s="42" t="s">
        <v>43</v>
      </c>
      <c r="E1218" s="42" t="s">
        <v>16</v>
      </c>
      <c r="F1218" s="42">
        <v>14</v>
      </c>
      <c r="G1218" s="44">
        <v>1200000</v>
      </c>
      <c r="H1218" s="44">
        <v>16800000</v>
      </c>
      <c r="I1218" s="42" t="s">
        <v>2559</v>
      </c>
      <c r="J1218" s="42" t="s">
        <v>47</v>
      </c>
    </row>
    <row r="1219" spans="1:10" x14ac:dyDescent="0.3">
      <c r="A1219" s="42" t="s">
        <v>123</v>
      </c>
      <c r="B1219" s="43">
        <v>45889</v>
      </c>
      <c r="C1219" s="42" t="s">
        <v>18</v>
      </c>
      <c r="D1219" s="42" t="s">
        <v>19</v>
      </c>
      <c r="E1219" s="42" t="s">
        <v>20</v>
      </c>
      <c r="F1219" s="42">
        <v>42</v>
      </c>
      <c r="G1219" s="44">
        <v>500000</v>
      </c>
      <c r="H1219" s="44">
        <v>21000000</v>
      </c>
      <c r="I1219" s="42" t="s">
        <v>2203</v>
      </c>
      <c r="J1219" s="42" t="s">
        <v>47</v>
      </c>
    </row>
    <row r="1220" spans="1:10" x14ac:dyDescent="0.3">
      <c r="A1220" s="42" t="s">
        <v>124</v>
      </c>
      <c r="B1220" s="43">
        <v>45889</v>
      </c>
      <c r="C1220" s="42" t="s">
        <v>31</v>
      </c>
      <c r="D1220" s="42" t="s">
        <v>32</v>
      </c>
      <c r="E1220" s="42" t="s">
        <v>20</v>
      </c>
      <c r="F1220" s="42">
        <v>14</v>
      </c>
      <c r="G1220" s="44">
        <v>180000</v>
      </c>
      <c r="H1220" s="44">
        <v>2520000</v>
      </c>
      <c r="I1220" s="42" t="s">
        <v>2244</v>
      </c>
      <c r="J1220" s="42" t="s">
        <v>60</v>
      </c>
    </row>
    <row r="1221" spans="1:10" x14ac:dyDescent="0.3">
      <c r="A1221" s="42" t="s">
        <v>134</v>
      </c>
      <c r="B1221" s="43">
        <v>45889</v>
      </c>
      <c r="C1221" s="42" t="s">
        <v>42</v>
      </c>
      <c r="D1221" s="42" t="s">
        <v>43</v>
      </c>
      <c r="E1221" s="42" t="s">
        <v>16</v>
      </c>
      <c r="F1221" s="42">
        <v>39</v>
      </c>
      <c r="G1221" s="44">
        <v>1200000</v>
      </c>
      <c r="H1221" s="44">
        <v>46800000</v>
      </c>
      <c r="I1221" s="42" t="s">
        <v>1320</v>
      </c>
      <c r="J1221" s="42" t="s">
        <v>47</v>
      </c>
    </row>
    <row r="1222" spans="1:10" x14ac:dyDescent="0.3">
      <c r="A1222" s="42" t="s">
        <v>135</v>
      </c>
      <c r="B1222" s="43">
        <v>45889</v>
      </c>
      <c r="C1222" s="42" t="s">
        <v>18</v>
      </c>
      <c r="D1222" s="42" t="s">
        <v>19</v>
      </c>
      <c r="E1222" s="42" t="s">
        <v>20</v>
      </c>
      <c r="F1222" s="42">
        <v>12</v>
      </c>
      <c r="G1222" s="44">
        <v>500000</v>
      </c>
      <c r="H1222" s="44">
        <v>6000000</v>
      </c>
      <c r="I1222" s="42" t="s">
        <v>2416</v>
      </c>
      <c r="J1222" s="42" t="s">
        <v>69</v>
      </c>
    </row>
    <row r="1223" spans="1:10" x14ac:dyDescent="0.3">
      <c r="A1223" s="42" t="s">
        <v>139</v>
      </c>
      <c r="B1223" s="43">
        <v>45890</v>
      </c>
      <c r="C1223" s="42" t="s">
        <v>44</v>
      </c>
      <c r="D1223" s="42" t="s">
        <v>45</v>
      </c>
      <c r="E1223" s="42" t="s">
        <v>16</v>
      </c>
      <c r="F1223" s="42">
        <v>36</v>
      </c>
      <c r="G1223" s="44">
        <v>250000</v>
      </c>
      <c r="H1223" s="44">
        <v>9000000</v>
      </c>
      <c r="I1223" s="42" t="s">
        <v>2418</v>
      </c>
      <c r="J1223" s="42" t="s">
        <v>69</v>
      </c>
    </row>
    <row r="1224" spans="1:10" x14ac:dyDescent="0.3">
      <c r="A1224" s="42" t="s">
        <v>140</v>
      </c>
      <c r="B1224" s="43">
        <v>45890</v>
      </c>
      <c r="C1224" s="42" t="s">
        <v>14</v>
      </c>
      <c r="D1224" s="42" t="s">
        <v>15</v>
      </c>
      <c r="E1224" s="42" t="s">
        <v>16</v>
      </c>
      <c r="F1224" s="42">
        <v>14</v>
      </c>
      <c r="G1224" s="44">
        <v>350000</v>
      </c>
      <c r="H1224" s="44">
        <v>4900000</v>
      </c>
      <c r="I1224" s="42" t="s">
        <v>2250</v>
      </c>
      <c r="J1224" s="42" t="s">
        <v>69</v>
      </c>
    </row>
    <row r="1225" spans="1:10" x14ac:dyDescent="0.3">
      <c r="A1225" s="42" t="s">
        <v>160</v>
      </c>
      <c r="B1225" s="43">
        <v>45890</v>
      </c>
      <c r="C1225" s="42" t="s">
        <v>14</v>
      </c>
      <c r="D1225" s="42" t="s">
        <v>15</v>
      </c>
      <c r="E1225" s="42" t="s">
        <v>16</v>
      </c>
      <c r="F1225" s="42">
        <v>25</v>
      </c>
      <c r="G1225" s="44">
        <v>350000</v>
      </c>
      <c r="H1225" s="44">
        <v>8750000</v>
      </c>
      <c r="I1225" s="42" t="s">
        <v>2448</v>
      </c>
      <c r="J1225" s="42" t="s">
        <v>60</v>
      </c>
    </row>
    <row r="1226" spans="1:10" x14ac:dyDescent="0.3">
      <c r="A1226" s="42" t="s">
        <v>173</v>
      </c>
      <c r="B1226" s="43">
        <v>45890</v>
      </c>
      <c r="C1226" s="42" t="s">
        <v>14</v>
      </c>
      <c r="D1226" s="42" t="s">
        <v>15</v>
      </c>
      <c r="E1226" s="42" t="s">
        <v>16</v>
      </c>
      <c r="F1226" s="42">
        <v>29</v>
      </c>
      <c r="G1226" s="44">
        <v>350000</v>
      </c>
      <c r="H1226" s="44">
        <v>10150000</v>
      </c>
      <c r="I1226" s="42" t="s">
        <v>2159</v>
      </c>
      <c r="J1226" s="42" t="s">
        <v>127</v>
      </c>
    </row>
    <row r="1227" spans="1:10" x14ac:dyDescent="0.3">
      <c r="A1227" s="42" t="s">
        <v>174</v>
      </c>
      <c r="B1227" s="43">
        <v>45890</v>
      </c>
      <c r="C1227" s="42" t="s">
        <v>10</v>
      </c>
      <c r="D1227" s="42" t="s">
        <v>11</v>
      </c>
      <c r="E1227" s="42" t="s">
        <v>12</v>
      </c>
      <c r="F1227" s="42">
        <v>20</v>
      </c>
      <c r="G1227" s="44">
        <v>120000</v>
      </c>
      <c r="H1227" s="44">
        <v>2400000</v>
      </c>
      <c r="I1227" s="42" t="s">
        <v>2138</v>
      </c>
      <c r="J1227" s="42" t="s">
        <v>127</v>
      </c>
    </row>
    <row r="1228" spans="1:10" x14ac:dyDescent="0.3">
      <c r="A1228" s="42" t="s">
        <v>175</v>
      </c>
      <c r="B1228" s="43">
        <v>45890</v>
      </c>
      <c r="C1228" s="42" t="s">
        <v>38</v>
      </c>
      <c r="D1228" s="42" t="s">
        <v>39</v>
      </c>
      <c r="E1228" s="42" t="s">
        <v>16</v>
      </c>
      <c r="F1228" s="42">
        <v>19</v>
      </c>
      <c r="G1228" s="44">
        <v>200000</v>
      </c>
      <c r="H1228" s="44">
        <v>3800000</v>
      </c>
      <c r="I1228" s="42" t="s">
        <v>2307</v>
      </c>
      <c r="J1228" s="42" t="s">
        <v>127</v>
      </c>
    </row>
    <row r="1229" spans="1:10" x14ac:dyDescent="0.3">
      <c r="A1229" s="42" t="s">
        <v>176</v>
      </c>
      <c r="B1229" s="43">
        <v>45890</v>
      </c>
      <c r="C1229" s="42" t="s">
        <v>42</v>
      </c>
      <c r="D1229" s="42" t="s">
        <v>43</v>
      </c>
      <c r="E1229" s="42" t="s">
        <v>16</v>
      </c>
      <c r="F1229" s="42">
        <v>35</v>
      </c>
      <c r="G1229" s="44">
        <v>1200000</v>
      </c>
      <c r="H1229" s="44">
        <v>42000000</v>
      </c>
      <c r="I1229" s="42" t="s">
        <v>2316</v>
      </c>
      <c r="J1229" s="42" t="s">
        <v>60</v>
      </c>
    </row>
    <row r="1230" spans="1:10" x14ac:dyDescent="0.3">
      <c r="A1230" s="42" t="s">
        <v>177</v>
      </c>
      <c r="B1230" s="43">
        <v>45890</v>
      </c>
      <c r="C1230" s="42" t="s">
        <v>22</v>
      </c>
      <c r="D1230" s="42" t="s">
        <v>23</v>
      </c>
      <c r="E1230" s="42" t="s">
        <v>12</v>
      </c>
      <c r="F1230" s="42">
        <v>340</v>
      </c>
      <c r="G1230" s="44">
        <v>25000</v>
      </c>
      <c r="H1230" s="44">
        <v>8500000</v>
      </c>
      <c r="I1230" s="42" t="s">
        <v>2299</v>
      </c>
      <c r="J1230" s="42" t="s">
        <v>127</v>
      </c>
    </row>
    <row r="1231" spans="1:10" x14ac:dyDescent="0.3">
      <c r="A1231" s="42" t="s">
        <v>199</v>
      </c>
      <c r="B1231" s="43">
        <v>45890</v>
      </c>
      <c r="C1231" s="42" t="s">
        <v>31</v>
      </c>
      <c r="D1231" s="42" t="s">
        <v>32</v>
      </c>
      <c r="E1231" s="42" t="s">
        <v>20</v>
      </c>
      <c r="F1231" s="42">
        <v>48</v>
      </c>
      <c r="G1231" s="44">
        <v>180000</v>
      </c>
      <c r="H1231" s="44">
        <v>8640000</v>
      </c>
      <c r="I1231" s="42" t="s">
        <v>2297</v>
      </c>
      <c r="J1231" s="42" t="s">
        <v>69</v>
      </c>
    </row>
    <row r="1232" spans="1:10" x14ac:dyDescent="0.3">
      <c r="A1232" s="42" t="s">
        <v>209</v>
      </c>
      <c r="B1232" s="43">
        <v>45894</v>
      </c>
      <c r="C1232" s="42" t="s">
        <v>18</v>
      </c>
      <c r="D1232" s="42" t="s">
        <v>19</v>
      </c>
      <c r="E1232" s="42" t="s">
        <v>20</v>
      </c>
      <c r="F1232" s="42">
        <v>26</v>
      </c>
      <c r="G1232" s="44">
        <v>500000</v>
      </c>
      <c r="H1232" s="44">
        <v>13000000</v>
      </c>
      <c r="I1232" s="42" t="s">
        <v>2622</v>
      </c>
      <c r="J1232" s="42" t="s">
        <v>60</v>
      </c>
    </row>
    <row r="1233" spans="1:10" x14ac:dyDescent="0.3">
      <c r="A1233" s="42" t="s">
        <v>210</v>
      </c>
      <c r="B1233" s="43">
        <v>45894</v>
      </c>
      <c r="C1233" s="42" t="s">
        <v>28</v>
      </c>
      <c r="D1233" s="42" t="s">
        <v>29</v>
      </c>
      <c r="E1233" s="42" t="s">
        <v>20</v>
      </c>
      <c r="F1233" s="42">
        <v>11</v>
      </c>
      <c r="G1233" s="44">
        <v>450000</v>
      </c>
      <c r="H1233" s="44">
        <v>4950000</v>
      </c>
      <c r="I1233" s="42" t="s">
        <v>2460</v>
      </c>
      <c r="J1233" s="42" t="s">
        <v>8</v>
      </c>
    </row>
    <row r="1234" spans="1:10" x14ac:dyDescent="0.3">
      <c r="A1234" s="42" t="s">
        <v>211</v>
      </c>
      <c r="B1234" s="43">
        <v>45894</v>
      </c>
      <c r="C1234" s="42" t="s">
        <v>10</v>
      </c>
      <c r="D1234" s="42" t="s">
        <v>11</v>
      </c>
      <c r="E1234" s="42" t="s">
        <v>12</v>
      </c>
      <c r="F1234" s="42">
        <v>20</v>
      </c>
      <c r="G1234" s="44">
        <v>120000</v>
      </c>
      <c r="H1234" s="44">
        <v>2400000</v>
      </c>
      <c r="I1234" s="42" t="s">
        <v>2133</v>
      </c>
      <c r="J1234" s="42" t="s">
        <v>60</v>
      </c>
    </row>
    <row r="1235" spans="1:10" x14ac:dyDescent="0.3">
      <c r="A1235" s="42" t="s">
        <v>224</v>
      </c>
      <c r="B1235" s="43">
        <v>45894</v>
      </c>
      <c r="C1235" s="42" t="s">
        <v>18</v>
      </c>
      <c r="D1235" s="42" t="s">
        <v>19</v>
      </c>
      <c r="E1235" s="42" t="s">
        <v>20</v>
      </c>
      <c r="F1235" s="42">
        <v>9</v>
      </c>
      <c r="G1235" s="44">
        <v>500000</v>
      </c>
      <c r="H1235" s="44">
        <v>4500000</v>
      </c>
      <c r="I1235" s="42" t="s">
        <v>2250</v>
      </c>
      <c r="J1235" s="42" t="s">
        <v>69</v>
      </c>
    </row>
    <row r="1236" spans="1:10" x14ac:dyDescent="0.3">
      <c r="A1236" s="42" t="s">
        <v>225</v>
      </c>
      <c r="B1236" s="43">
        <v>45894</v>
      </c>
      <c r="C1236" s="42" t="s">
        <v>40</v>
      </c>
      <c r="D1236" s="42" t="s">
        <v>41</v>
      </c>
      <c r="E1236" s="42" t="s">
        <v>16</v>
      </c>
      <c r="F1236" s="42">
        <v>6</v>
      </c>
      <c r="G1236" s="44">
        <v>950000</v>
      </c>
      <c r="H1236" s="44">
        <v>5700000</v>
      </c>
      <c r="I1236" s="42" t="s">
        <v>2298</v>
      </c>
      <c r="J1236" s="42" t="s">
        <v>60</v>
      </c>
    </row>
    <row r="1237" spans="1:10" x14ac:dyDescent="0.3">
      <c r="A1237" s="42" t="s">
        <v>226</v>
      </c>
      <c r="B1237" s="43">
        <v>45894</v>
      </c>
      <c r="C1237" s="42" t="s">
        <v>18</v>
      </c>
      <c r="D1237" s="42" t="s">
        <v>19</v>
      </c>
      <c r="E1237" s="42" t="s">
        <v>20</v>
      </c>
      <c r="F1237" s="42">
        <v>11</v>
      </c>
      <c r="G1237" s="44">
        <v>500000</v>
      </c>
      <c r="H1237" s="44">
        <v>5500000</v>
      </c>
      <c r="I1237" s="42" t="s">
        <v>2194</v>
      </c>
      <c r="J1237" s="42" t="s">
        <v>8</v>
      </c>
    </row>
    <row r="1238" spans="1:10" x14ac:dyDescent="0.3">
      <c r="A1238" s="42" t="s">
        <v>233</v>
      </c>
      <c r="B1238" s="43">
        <v>45894</v>
      </c>
      <c r="C1238" s="42" t="s">
        <v>18</v>
      </c>
      <c r="D1238" s="42" t="s">
        <v>19</v>
      </c>
      <c r="E1238" s="42" t="s">
        <v>20</v>
      </c>
      <c r="F1238" s="42">
        <v>490</v>
      </c>
      <c r="G1238" s="44">
        <v>500000</v>
      </c>
      <c r="H1238" s="44">
        <v>245000000</v>
      </c>
      <c r="I1238" s="42" t="s">
        <v>2618</v>
      </c>
      <c r="J1238" s="42" t="s">
        <v>8</v>
      </c>
    </row>
    <row r="1239" spans="1:10" x14ac:dyDescent="0.3">
      <c r="A1239" s="42" t="s">
        <v>234</v>
      </c>
      <c r="B1239" s="43">
        <v>45894</v>
      </c>
      <c r="C1239" s="42" t="s">
        <v>22</v>
      </c>
      <c r="D1239" s="42" t="s">
        <v>23</v>
      </c>
      <c r="E1239" s="42" t="s">
        <v>12</v>
      </c>
      <c r="F1239" s="42">
        <v>48</v>
      </c>
      <c r="G1239" s="44">
        <v>25000</v>
      </c>
      <c r="H1239" s="44">
        <v>1200000</v>
      </c>
      <c r="I1239" s="42" t="s">
        <v>2598</v>
      </c>
      <c r="J1239" s="42" t="s">
        <v>127</v>
      </c>
    </row>
    <row r="1240" spans="1:10" x14ac:dyDescent="0.3">
      <c r="A1240" s="42" t="s">
        <v>249</v>
      </c>
      <c r="B1240" s="43">
        <v>45894</v>
      </c>
      <c r="C1240" s="42" t="s">
        <v>14</v>
      </c>
      <c r="D1240" s="42" t="s">
        <v>15</v>
      </c>
      <c r="E1240" s="42" t="s">
        <v>16</v>
      </c>
      <c r="F1240" s="42">
        <v>350</v>
      </c>
      <c r="G1240" s="44">
        <v>350000</v>
      </c>
      <c r="H1240" s="44">
        <v>122500000</v>
      </c>
      <c r="I1240" s="42" t="s">
        <v>2162</v>
      </c>
      <c r="J1240" s="42" t="s">
        <v>8</v>
      </c>
    </row>
    <row r="1241" spans="1:10" x14ac:dyDescent="0.3">
      <c r="A1241" s="42" t="s">
        <v>250</v>
      </c>
      <c r="B1241" s="43">
        <v>45894</v>
      </c>
      <c r="C1241" s="42" t="s">
        <v>10</v>
      </c>
      <c r="D1241" s="42" t="s">
        <v>11</v>
      </c>
      <c r="E1241" s="42" t="s">
        <v>12</v>
      </c>
      <c r="F1241" s="42">
        <v>27</v>
      </c>
      <c r="G1241" s="44">
        <v>120000</v>
      </c>
      <c r="H1241" s="44">
        <v>3240000</v>
      </c>
      <c r="I1241" s="42" t="s">
        <v>2415</v>
      </c>
      <c r="J1241" s="42" t="s">
        <v>8</v>
      </c>
    </row>
    <row r="1242" spans="1:10" x14ac:dyDescent="0.3">
      <c r="A1242" s="42" t="s">
        <v>269</v>
      </c>
      <c r="B1242" s="43">
        <v>45894</v>
      </c>
      <c r="C1242" s="42" t="s">
        <v>28</v>
      </c>
      <c r="D1242" s="42" t="s">
        <v>29</v>
      </c>
      <c r="E1242" s="42" t="s">
        <v>20</v>
      </c>
      <c r="F1242" s="42">
        <v>12</v>
      </c>
      <c r="G1242" s="44">
        <v>450000</v>
      </c>
      <c r="H1242" s="44">
        <v>5400000</v>
      </c>
      <c r="I1242" s="42" t="s">
        <v>2570</v>
      </c>
      <c r="J1242" s="42" t="s">
        <v>8</v>
      </c>
    </row>
    <row r="1243" spans="1:10" x14ac:dyDescent="0.3">
      <c r="A1243" s="42" t="s">
        <v>281</v>
      </c>
      <c r="B1243" s="43">
        <v>45894</v>
      </c>
      <c r="C1243" s="42" t="s">
        <v>31</v>
      </c>
      <c r="D1243" s="42" t="s">
        <v>32</v>
      </c>
      <c r="E1243" s="42" t="s">
        <v>20</v>
      </c>
      <c r="F1243" s="42">
        <v>27</v>
      </c>
      <c r="G1243" s="44">
        <v>180000</v>
      </c>
      <c r="H1243" s="44">
        <v>4860000</v>
      </c>
      <c r="I1243" s="42" t="s">
        <v>2130</v>
      </c>
      <c r="J1243" s="42" t="s">
        <v>69</v>
      </c>
    </row>
    <row r="1244" spans="1:10" x14ac:dyDescent="0.3">
      <c r="A1244" s="42" t="s">
        <v>282</v>
      </c>
      <c r="B1244" s="43">
        <v>45894</v>
      </c>
      <c r="C1244" s="42" t="s">
        <v>44</v>
      </c>
      <c r="D1244" s="42" t="s">
        <v>45</v>
      </c>
      <c r="E1244" s="42" t="s">
        <v>16</v>
      </c>
      <c r="F1244" s="42">
        <v>49</v>
      </c>
      <c r="G1244" s="44">
        <v>250000</v>
      </c>
      <c r="H1244" s="44">
        <v>12250000</v>
      </c>
      <c r="I1244" s="42" t="s">
        <v>2206</v>
      </c>
      <c r="J1244" s="42" t="s">
        <v>8</v>
      </c>
    </row>
    <row r="1245" spans="1:10" x14ac:dyDescent="0.3">
      <c r="A1245" s="42" t="s">
        <v>293</v>
      </c>
      <c r="B1245" s="43">
        <v>45895</v>
      </c>
      <c r="C1245" s="42" t="s">
        <v>28</v>
      </c>
      <c r="D1245" s="42" t="s">
        <v>29</v>
      </c>
      <c r="E1245" s="42" t="s">
        <v>20</v>
      </c>
      <c r="F1245" s="42">
        <v>70</v>
      </c>
      <c r="G1245" s="44">
        <v>450000</v>
      </c>
      <c r="H1245" s="44">
        <v>31500000</v>
      </c>
      <c r="I1245" s="42" t="s">
        <v>2432</v>
      </c>
      <c r="J1245" s="42" t="s">
        <v>8</v>
      </c>
    </row>
    <row r="1246" spans="1:10" x14ac:dyDescent="0.3">
      <c r="A1246" s="42" t="s">
        <v>303</v>
      </c>
      <c r="B1246" s="43">
        <v>45895</v>
      </c>
      <c r="C1246" s="42" t="s">
        <v>28</v>
      </c>
      <c r="D1246" s="42" t="s">
        <v>29</v>
      </c>
      <c r="E1246" s="42" t="s">
        <v>20</v>
      </c>
      <c r="F1246" s="42">
        <v>50</v>
      </c>
      <c r="G1246" s="44">
        <v>450000</v>
      </c>
      <c r="H1246" s="44">
        <v>22500000</v>
      </c>
      <c r="I1246" s="42" t="s">
        <v>1164</v>
      </c>
      <c r="J1246" s="42" t="s">
        <v>60</v>
      </c>
    </row>
    <row r="1247" spans="1:10" x14ac:dyDescent="0.3">
      <c r="A1247" s="42" t="s">
        <v>316</v>
      </c>
      <c r="B1247" s="43">
        <v>45895</v>
      </c>
      <c r="C1247" s="42" t="s">
        <v>42</v>
      </c>
      <c r="D1247" s="42" t="s">
        <v>43</v>
      </c>
      <c r="E1247" s="42" t="s">
        <v>16</v>
      </c>
      <c r="F1247" s="42">
        <v>270</v>
      </c>
      <c r="G1247" s="44">
        <v>1200000</v>
      </c>
      <c r="H1247" s="44">
        <v>324000000</v>
      </c>
      <c r="I1247" s="42" t="s">
        <v>2753</v>
      </c>
      <c r="J1247" s="42" t="s">
        <v>47</v>
      </c>
    </row>
    <row r="1248" spans="1:10" x14ac:dyDescent="0.3">
      <c r="A1248" s="42" t="s">
        <v>317</v>
      </c>
      <c r="B1248" s="43">
        <v>45895</v>
      </c>
      <c r="C1248" s="42" t="s">
        <v>42</v>
      </c>
      <c r="D1248" s="42" t="s">
        <v>43</v>
      </c>
      <c r="E1248" s="42" t="s">
        <v>16</v>
      </c>
      <c r="F1248" s="42">
        <v>360</v>
      </c>
      <c r="G1248" s="44">
        <v>1200000</v>
      </c>
      <c r="H1248" s="44">
        <v>432000000</v>
      </c>
      <c r="I1248" s="42" t="s">
        <v>2429</v>
      </c>
      <c r="J1248" s="42" t="s">
        <v>127</v>
      </c>
    </row>
    <row r="1249" spans="1:10" x14ac:dyDescent="0.3">
      <c r="A1249" s="42" t="s">
        <v>318</v>
      </c>
      <c r="B1249" s="43">
        <v>45895</v>
      </c>
      <c r="C1249" s="42" t="s">
        <v>40</v>
      </c>
      <c r="D1249" s="42" t="s">
        <v>41</v>
      </c>
      <c r="E1249" s="42" t="s">
        <v>16</v>
      </c>
      <c r="F1249" s="42">
        <v>140</v>
      </c>
      <c r="G1249" s="44">
        <v>950000</v>
      </c>
      <c r="H1249" s="44">
        <v>133000000</v>
      </c>
      <c r="I1249" s="42" t="s">
        <v>2563</v>
      </c>
      <c r="J1249" s="42" t="s">
        <v>47</v>
      </c>
    </row>
    <row r="1250" spans="1:10" x14ac:dyDescent="0.3">
      <c r="A1250" s="42" t="s">
        <v>319</v>
      </c>
      <c r="B1250" s="43">
        <v>45895</v>
      </c>
      <c r="C1250" s="42" t="s">
        <v>31</v>
      </c>
      <c r="D1250" s="42" t="s">
        <v>32</v>
      </c>
      <c r="E1250" s="42" t="s">
        <v>20</v>
      </c>
      <c r="F1250" s="42">
        <v>44</v>
      </c>
      <c r="G1250" s="44">
        <v>180000</v>
      </c>
      <c r="H1250" s="44">
        <v>7920000</v>
      </c>
      <c r="I1250" s="42" t="s">
        <v>2446</v>
      </c>
      <c r="J1250" s="42" t="s">
        <v>69</v>
      </c>
    </row>
    <row r="1251" spans="1:10" x14ac:dyDescent="0.3">
      <c r="A1251" s="42" t="s">
        <v>333</v>
      </c>
      <c r="B1251" s="43">
        <v>45895</v>
      </c>
      <c r="C1251" s="42" t="s">
        <v>28</v>
      </c>
      <c r="D1251" s="42" t="s">
        <v>29</v>
      </c>
      <c r="E1251" s="42" t="s">
        <v>20</v>
      </c>
      <c r="F1251" s="42">
        <v>14</v>
      </c>
      <c r="G1251" s="44">
        <v>450000</v>
      </c>
      <c r="H1251" s="44">
        <v>6300000</v>
      </c>
      <c r="I1251" s="42" t="s">
        <v>2459</v>
      </c>
      <c r="J1251" s="42" t="s">
        <v>69</v>
      </c>
    </row>
    <row r="1252" spans="1:10" x14ac:dyDescent="0.3">
      <c r="A1252" s="42" t="s">
        <v>349</v>
      </c>
      <c r="B1252" s="43">
        <v>45895</v>
      </c>
      <c r="C1252" s="42" t="s">
        <v>28</v>
      </c>
      <c r="D1252" s="42" t="s">
        <v>29</v>
      </c>
      <c r="E1252" s="42" t="s">
        <v>20</v>
      </c>
      <c r="F1252" s="42">
        <v>39</v>
      </c>
      <c r="G1252" s="44">
        <v>450000</v>
      </c>
      <c r="H1252" s="44">
        <v>17550000</v>
      </c>
      <c r="I1252" s="42" t="s">
        <v>2785</v>
      </c>
      <c r="J1252" s="42" t="s">
        <v>69</v>
      </c>
    </row>
    <row r="1253" spans="1:10" x14ac:dyDescent="0.3">
      <c r="A1253" s="42" t="s">
        <v>350</v>
      </c>
      <c r="B1253" s="43">
        <v>45895</v>
      </c>
      <c r="C1253" s="42" t="s">
        <v>18</v>
      </c>
      <c r="D1253" s="42" t="s">
        <v>19</v>
      </c>
      <c r="E1253" s="42" t="s">
        <v>20</v>
      </c>
      <c r="F1253" s="42">
        <v>15</v>
      </c>
      <c r="G1253" s="44">
        <v>500000</v>
      </c>
      <c r="H1253" s="44">
        <v>7500000</v>
      </c>
      <c r="I1253" s="42" t="s">
        <v>2410</v>
      </c>
      <c r="J1253" s="42" t="s">
        <v>8</v>
      </c>
    </row>
    <row r="1254" spans="1:10" x14ac:dyDescent="0.3">
      <c r="A1254" s="42" t="s">
        <v>373</v>
      </c>
      <c r="B1254" s="43">
        <v>45895</v>
      </c>
      <c r="C1254" s="42" t="s">
        <v>14</v>
      </c>
      <c r="D1254" s="42" t="s">
        <v>15</v>
      </c>
      <c r="E1254" s="42" t="s">
        <v>16</v>
      </c>
      <c r="F1254" s="42">
        <v>24</v>
      </c>
      <c r="G1254" s="44">
        <v>350000</v>
      </c>
      <c r="H1254" s="44">
        <v>8400000</v>
      </c>
      <c r="I1254" s="42" t="s">
        <v>2353</v>
      </c>
      <c r="J1254" s="42" t="s">
        <v>69</v>
      </c>
    </row>
    <row r="1255" spans="1:10" x14ac:dyDescent="0.3">
      <c r="A1255" s="42" t="s">
        <v>374</v>
      </c>
      <c r="B1255" s="43">
        <v>45895</v>
      </c>
      <c r="C1255" s="42" t="s">
        <v>42</v>
      </c>
      <c r="D1255" s="42" t="s">
        <v>43</v>
      </c>
      <c r="E1255" s="42" t="s">
        <v>16</v>
      </c>
      <c r="F1255" s="42">
        <v>410</v>
      </c>
      <c r="G1255" s="44">
        <v>1200000</v>
      </c>
      <c r="H1255" s="44">
        <v>492000000</v>
      </c>
      <c r="I1255" s="42" t="s">
        <v>2266</v>
      </c>
      <c r="J1255" s="42" t="s">
        <v>8</v>
      </c>
    </row>
    <row r="1256" spans="1:10" x14ac:dyDescent="0.3">
      <c r="A1256" s="42" t="s">
        <v>391</v>
      </c>
      <c r="B1256" s="43">
        <v>45895</v>
      </c>
      <c r="C1256" s="42" t="s">
        <v>38</v>
      </c>
      <c r="D1256" s="42" t="s">
        <v>39</v>
      </c>
      <c r="E1256" s="42" t="s">
        <v>16</v>
      </c>
      <c r="F1256" s="42">
        <v>13</v>
      </c>
      <c r="G1256" s="44">
        <v>200000</v>
      </c>
      <c r="H1256" s="44">
        <v>2600000</v>
      </c>
      <c r="I1256" s="42" t="s">
        <v>2402</v>
      </c>
      <c r="J1256" s="42" t="s">
        <v>69</v>
      </c>
    </row>
    <row r="1257" spans="1:10" x14ac:dyDescent="0.3">
      <c r="A1257" s="42" t="s">
        <v>392</v>
      </c>
      <c r="B1257" s="43">
        <v>45896</v>
      </c>
      <c r="C1257" s="42" t="s">
        <v>42</v>
      </c>
      <c r="D1257" s="42" t="s">
        <v>43</v>
      </c>
      <c r="E1257" s="42" t="s">
        <v>16</v>
      </c>
      <c r="F1257" s="42">
        <v>34</v>
      </c>
      <c r="G1257" s="44">
        <v>1200000</v>
      </c>
      <c r="H1257" s="44">
        <v>40800000</v>
      </c>
      <c r="I1257" s="42" t="s">
        <v>2292</v>
      </c>
      <c r="J1257" s="42" t="s">
        <v>127</v>
      </c>
    </row>
    <row r="1258" spans="1:10" x14ac:dyDescent="0.3">
      <c r="A1258" s="42" t="s">
        <v>409</v>
      </c>
      <c r="B1258" s="43">
        <v>45896</v>
      </c>
      <c r="C1258" s="42" t="s">
        <v>10</v>
      </c>
      <c r="D1258" s="42" t="s">
        <v>11</v>
      </c>
      <c r="E1258" s="42" t="s">
        <v>12</v>
      </c>
      <c r="F1258" s="42">
        <v>18</v>
      </c>
      <c r="G1258" s="44">
        <v>120000</v>
      </c>
      <c r="H1258" s="44">
        <v>2160000</v>
      </c>
      <c r="I1258" s="42" t="s">
        <v>2312</v>
      </c>
      <c r="J1258" s="42" t="s">
        <v>127</v>
      </c>
    </row>
    <row r="1259" spans="1:10" x14ac:dyDescent="0.3">
      <c r="A1259" s="42" t="s">
        <v>410</v>
      </c>
      <c r="B1259" s="43">
        <v>45896</v>
      </c>
      <c r="C1259" s="42" t="s">
        <v>44</v>
      </c>
      <c r="D1259" s="42" t="s">
        <v>45</v>
      </c>
      <c r="E1259" s="42" t="s">
        <v>16</v>
      </c>
      <c r="F1259" s="42">
        <v>45</v>
      </c>
      <c r="G1259" s="44">
        <v>250000</v>
      </c>
      <c r="H1259" s="44">
        <v>11250000</v>
      </c>
      <c r="I1259" s="42" t="s">
        <v>2728</v>
      </c>
      <c r="J1259" s="42" t="s">
        <v>47</v>
      </c>
    </row>
    <row r="1260" spans="1:10" x14ac:dyDescent="0.3">
      <c r="A1260" s="42" t="s">
        <v>411</v>
      </c>
      <c r="B1260" s="43">
        <v>45896</v>
      </c>
      <c r="C1260" s="42" t="s">
        <v>10</v>
      </c>
      <c r="D1260" s="42" t="s">
        <v>11</v>
      </c>
      <c r="E1260" s="42" t="s">
        <v>12</v>
      </c>
      <c r="F1260" s="42">
        <v>7</v>
      </c>
      <c r="G1260" s="44">
        <v>120000</v>
      </c>
      <c r="H1260" s="44">
        <v>840000</v>
      </c>
      <c r="I1260" s="42" t="s">
        <v>2309</v>
      </c>
      <c r="J1260" s="42" t="s">
        <v>8</v>
      </c>
    </row>
    <row r="1261" spans="1:10" x14ac:dyDescent="0.3">
      <c r="A1261" s="42" t="s">
        <v>429</v>
      </c>
      <c r="B1261" s="43">
        <v>45896</v>
      </c>
      <c r="C1261" s="42" t="s">
        <v>10</v>
      </c>
      <c r="D1261" s="42" t="s">
        <v>11</v>
      </c>
      <c r="E1261" s="42" t="s">
        <v>12</v>
      </c>
      <c r="F1261" s="42">
        <v>35</v>
      </c>
      <c r="G1261" s="44">
        <v>120000</v>
      </c>
      <c r="H1261" s="44">
        <v>4200000</v>
      </c>
      <c r="I1261" s="42" t="s">
        <v>2278</v>
      </c>
      <c r="J1261" s="42" t="s">
        <v>60</v>
      </c>
    </row>
    <row r="1262" spans="1:10" x14ac:dyDescent="0.3">
      <c r="A1262" s="42" t="s">
        <v>439</v>
      </c>
      <c r="B1262" s="43">
        <v>45896</v>
      </c>
      <c r="C1262" s="42" t="s">
        <v>38</v>
      </c>
      <c r="D1262" s="42" t="s">
        <v>39</v>
      </c>
      <c r="E1262" s="42" t="s">
        <v>16</v>
      </c>
      <c r="F1262" s="42">
        <v>48</v>
      </c>
      <c r="G1262" s="44">
        <v>200000</v>
      </c>
      <c r="H1262" s="44">
        <v>9600000</v>
      </c>
      <c r="I1262" s="42" t="s">
        <v>2480</v>
      </c>
      <c r="J1262" s="42" t="s">
        <v>127</v>
      </c>
    </row>
    <row r="1263" spans="1:10" x14ac:dyDescent="0.3">
      <c r="A1263" s="42" t="s">
        <v>452</v>
      </c>
      <c r="B1263" s="43">
        <v>45896</v>
      </c>
      <c r="C1263" s="42" t="s">
        <v>31</v>
      </c>
      <c r="D1263" s="42" t="s">
        <v>32</v>
      </c>
      <c r="E1263" s="42" t="s">
        <v>20</v>
      </c>
      <c r="F1263" s="42">
        <v>38</v>
      </c>
      <c r="G1263" s="44">
        <v>180000</v>
      </c>
      <c r="H1263" s="44">
        <v>6840000</v>
      </c>
      <c r="I1263" s="42" t="s">
        <v>2118</v>
      </c>
      <c r="J1263" s="42" t="s">
        <v>69</v>
      </c>
    </row>
    <row r="1264" spans="1:10" x14ac:dyDescent="0.3">
      <c r="A1264" s="42" t="s">
        <v>453</v>
      </c>
      <c r="B1264" s="43">
        <v>45896</v>
      </c>
      <c r="C1264" s="42" t="s">
        <v>10</v>
      </c>
      <c r="D1264" s="42" t="s">
        <v>11</v>
      </c>
      <c r="E1264" s="42" t="s">
        <v>12</v>
      </c>
      <c r="F1264" s="42">
        <v>34</v>
      </c>
      <c r="G1264" s="44">
        <v>120000</v>
      </c>
      <c r="H1264" s="44">
        <v>4080000</v>
      </c>
      <c r="I1264" s="42" t="s">
        <v>2392</v>
      </c>
      <c r="J1264" s="42" t="s">
        <v>8</v>
      </c>
    </row>
    <row r="1265" spans="1:10" x14ac:dyDescent="0.3">
      <c r="A1265" s="42" t="s">
        <v>454</v>
      </c>
      <c r="B1265" s="43">
        <v>45896</v>
      </c>
      <c r="C1265" s="42" t="s">
        <v>18</v>
      </c>
      <c r="D1265" s="42" t="s">
        <v>19</v>
      </c>
      <c r="E1265" s="42" t="s">
        <v>20</v>
      </c>
      <c r="F1265" s="42">
        <v>21</v>
      </c>
      <c r="G1265" s="44">
        <v>500000</v>
      </c>
      <c r="H1265" s="44">
        <v>10500000</v>
      </c>
      <c r="I1265" s="42" t="s">
        <v>2407</v>
      </c>
      <c r="J1265" s="42" t="s">
        <v>69</v>
      </c>
    </row>
    <row r="1266" spans="1:10" x14ac:dyDescent="0.3">
      <c r="A1266" s="42" t="s">
        <v>455</v>
      </c>
      <c r="B1266" s="43">
        <v>45896</v>
      </c>
      <c r="C1266" s="42" t="s">
        <v>44</v>
      </c>
      <c r="D1266" s="42" t="s">
        <v>45</v>
      </c>
      <c r="E1266" s="42" t="s">
        <v>16</v>
      </c>
      <c r="F1266" s="42">
        <v>11</v>
      </c>
      <c r="G1266" s="44">
        <v>250000</v>
      </c>
      <c r="H1266" s="44">
        <v>2750000</v>
      </c>
      <c r="I1266" s="42" t="s">
        <v>152</v>
      </c>
      <c r="J1266" s="42" t="s">
        <v>127</v>
      </c>
    </row>
    <row r="1267" spans="1:10" x14ac:dyDescent="0.3">
      <c r="A1267" s="42" t="s">
        <v>476</v>
      </c>
      <c r="B1267" s="43">
        <v>45896</v>
      </c>
      <c r="C1267" s="42" t="s">
        <v>18</v>
      </c>
      <c r="D1267" s="42" t="s">
        <v>19</v>
      </c>
      <c r="E1267" s="42" t="s">
        <v>20</v>
      </c>
      <c r="F1267" s="42">
        <v>31</v>
      </c>
      <c r="G1267" s="44">
        <v>500000</v>
      </c>
      <c r="H1267" s="44">
        <v>15500000</v>
      </c>
      <c r="I1267" s="42" t="s">
        <v>2247</v>
      </c>
      <c r="J1267" s="42" t="s">
        <v>8</v>
      </c>
    </row>
    <row r="1268" spans="1:10" x14ac:dyDescent="0.3">
      <c r="A1268" s="42" t="s">
        <v>477</v>
      </c>
      <c r="B1268" s="43">
        <v>45896</v>
      </c>
      <c r="C1268" s="42" t="s">
        <v>14</v>
      </c>
      <c r="D1268" s="42" t="s">
        <v>15</v>
      </c>
      <c r="E1268" s="42" t="s">
        <v>16</v>
      </c>
      <c r="F1268" s="42">
        <v>80</v>
      </c>
      <c r="G1268" s="44">
        <v>350000</v>
      </c>
      <c r="H1268" s="44">
        <v>28000000</v>
      </c>
      <c r="I1268" s="42" t="s">
        <v>2824</v>
      </c>
      <c r="J1268" s="42" t="s">
        <v>127</v>
      </c>
    </row>
    <row r="1269" spans="1:10" x14ac:dyDescent="0.3">
      <c r="A1269" s="42" t="s">
        <v>497</v>
      </c>
      <c r="B1269" s="43">
        <v>45896</v>
      </c>
      <c r="C1269" s="42" t="s">
        <v>42</v>
      </c>
      <c r="D1269" s="42" t="s">
        <v>43</v>
      </c>
      <c r="E1269" s="42" t="s">
        <v>16</v>
      </c>
      <c r="F1269" s="42">
        <v>33</v>
      </c>
      <c r="G1269" s="44">
        <v>1200000</v>
      </c>
      <c r="H1269" s="44">
        <v>39600000</v>
      </c>
      <c r="I1269" s="42" t="s">
        <v>2530</v>
      </c>
      <c r="J1269" s="42" t="s">
        <v>127</v>
      </c>
    </row>
    <row r="1270" spans="1:10" x14ac:dyDescent="0.3">
      <c r="A1270" s="42" t="s">
        <v>498</v>
      </c>
      <c r="B1270" s="43">
        <v>45896</v>
      </c>
      <c r="C1270" s="42" t="s">
        <v>38</v>
      </c>
      <c r="D1270" s="42" t="s">
        <v>39</v>
      </c>
      <c r="E1270" s="42" t="s">
        <v>16</v>
      </c>
      <c r="F1270" s="42">
        <v>31</v>
      </c>
      <c r="G1270" s="44">
        <v>200000</v>
      </c>
      <c r="H1270" s="44">
        <v>6200000</v>
      </c>
      <c r="I1270" s="42" t="s">
        <v>442</v>
      </c>
      <c r="J1270" s="42" t="s">
        <v>69</v>
      </c>
    </row>
    <row r="1271" spans="1:10" x14ac:dyDescent="0.3">
      <c r="A1271" s="42" t="s">
        <v>499</v>
      </c>
      <c r="B1271" s="43">
        <v>45898</v>
      </c>
      <c r="C1271" s="42" t="s">
        <v>18</v>
      </c>
      <c r="D1271" s="42" t="s">
        <v>19</v>
      </c>
      <c r="E1271" s="42" t="s">
        <v>20</v>
      </c>
      <c r="F1271" s="42">
        <v>25</v>
      </c>
      <c r="G1271" s="44">
        <v>500000</v>
      </c>
      <c r="H1271" s="44">
        <v>12500000</v>
      </c>
      <c r="I1271" s="42" t="s">
        <v>2143</v>
      </c>
      <c r="J1271" s="42" t="s">
        <v>8</v>
      </c>
    </row>
    <row r="1272" spans="1:10" x14ac:dyDescent="0.3">
      <c r="A1272" s="42" t="s">
        <v>500</v>
      </c>
      <c r="B1272" s="43">
        <v>45898</v>
      </c>
      <c r="C1272" s="42" t="s">
        <v>10</v>
      </c>
      <c r="D1272" s="42" t="s">
        <v>11</v>
      </c>
      <c r="E1272" s="42" t="s">
        <v>12</v>
      </c>
      <c r="F1272" s="42">
        <v>44</v>
      </c>
      <c r="G1272" s="44">
        <v>120000</v>
      </c>
      <c r="H1272" s="44">
        <v>5280000</v>
      </c>
      <c r="I1272" s="42" t="s">
        <v>2253</v>
      </c>
      <c r="J1272" s="42" t="s">
        <v>8</v>
      </c>
    </row>
    <row r="1273" spans="1:10" x14ac:dyDescent="0.3">
      <c r="A1273" s="42" t="s">
        <v>501</v>
      </c>
      <c r="B1273" s="43">
        <v>45898</v>
      </c>
      <c r="C1273" s="42" t="s">
        <v>22</v>
      </c>
      <c r="D1273" s="42" t="s">
        <v>23</v>
      </c>
      <c r="E1273" s="42" t="s">
        <v>12</v>
      </c>
      <c r="F1273" s="42">
        <v>32</v>
      </c>
      <c r="G1273" s="44">
        <v>25000</v>
      </c>
      <c r="H1273" s="44">
        <v>800000</v>
      </c>
      <c r="I1273" s="42" t="s">
        <v>2153</v>
      </c>
      <c r="J1273" s="42" t="s">
        <v>127</v>
      </c>
    </row>
    <row r="1274" spans="1:10" x14ac:dyDescent="0.3">
      <c r="A1274" s="42" t="s">
        <v>502</v>
      </c>
      <c r="B1274" s="43">
        <v>45898</v>
      </c>
      <c r="C1274" s="42" t="s">
        <v>18</v>
      </c>
      <c r="D1274" s="42" t="s">
        <v>19</v>
      </c>
      <c r="E1274" s="42" t="s">
        <v>20</v>
      </c>
      <c r="F1274" s="42">
        <v>8</v>
      </c>
      <c r="G1274" s="44">
        <v>500000</v>
      </c>
      <c r="H1274" s="44">
        <v>4000000</v>
      </c>
      <c r="I1274" s="42" t="s">
        <v>2536</v>
      </c>
      <c r="J1274" s="42" t="s">
        <v>127</v>
      </c>
    </row>
    <row r="1275" spans="1:10" x14ac:dyDescent="0.3">
      <c r="A1275" s="42" t="s">
        <v>520</v>
      </c>
      <c r="B1275" s="43">
        <v>45904</v>
      </c>
      <c r="C1275" s="42" t="s">
        <v>38</v>
      </c>
      <c r="D1275" s="42" t="s">
        <v>39</v>
      </c>
      <c r="E1275" s="42" t="s">
        <v>16</v>
      </c>
      <c r="F1275" s="42">
        <v>13</v>
      </c>
      <c r="G1275" s="44">
        <v>200000</v>
      </c>
      <c r="H1275" s="44">
        <v>2600000</v>
      </c>
      <c r="I1275" s="42" t="s">
        <v>2699</v>
      </c>
      <c r="J1275" s="42" t="s">
        <v>69</v>
      </c>
    </row>
    <row r="1276" spans="1:10" x14ac:dyDescent="0.3">
      <c r="A1276" s="42" t="s">
        <v>521</v>
      </c>
      <c r="B1276" s="43">
        <v>45904</v>
      </c>
      <c r="C1276" s="42" t="s">
        <v>40</v>
      </c>
      <c r="D1276" s="42" t="s">
        <v>41</v>
      </c>
      <c r="E1276" s="42" t="s">
        <v>16</v>
      </c>
      <c r="F1276" s="42">
        <v>80</v>
      </c>
      <c r="G1276" s="44">
        <v>950000</v>
      </c>
      <c r="H1276" s="44">
        <v>76000000</v>
      </c>
      <c r="I1276" s="42" t="s">
        <v>2824</v>
      </c>
      <c r="J1276" s="42" t="s">
        <v>127</v>
      </c>
    </row>
    <row r="1277" spans="1:10" x14ac:dyDescent="0.3">
      <c r="A1277" s="42" t="s">
        <v>545</v>
      </c>
      <c r="B1277" s="43">
        <v>45904</v>
      </c>
      <c r="C1277" s="42" t="s">
        <v>28</v>
      </c>
      <c r="D1277" s="42" t="s">
        <v>29</v>
      </c>
      <c r="E1277" s="42" t="s">
        <v>20</v>
      </c>
      <c r="F1277" s="42">
        <v>8</v>
      </c>
      <c r="G1277" s="44">
        <v>450000</v>
      </c>
      <c r="H1277" s="44">
        <v>3600000</v>
      </c>
      <c r="I1277" s="42" t="s">
        <v>2569</v>
      </c>
      <c r="J1277" s="42" t="s">
        <v>127</v>
      </c>
    </row>
    <row r="1278" spans="1:10" x14ac:dyDescent="0.3">
      <c r="A1278" s="42" t="s">
        <v>546</v>
      </c>
      <c r="B1278" s="43">
        <v>45904</v>
      </c>
      <c r="C1278" s="42" t="s">
        <v>18</v>
      </c>
      <c r="D1278" s="42" t="s">
        <v>19</v>
      </c>
      <c r="E1278" s="42" t="s">
        <v>20</v>
      </c>
      <c r="F1278" s="42">
        <v>42</v>
      </c>
      <c r="G1278" s="44">
        <v>500000</v>
      </c>
      <c r="H1278" s="44">
        <v>21000000</v>
      </c>
      <c r="I1278" s="42" t="s">
        <v>2397</v>
      </c>
      <c r="J1278" s="42" t="s">
        <v>47</v>
      </c>
    </row>
    <row r="1279" spans="1:10" x14ac:dyDescent="0.3">
      <c r="A1279" s="42" t="s">
        <v>547</v>
      </c>
      <c r="B1279" s="43">
        <v>45904</v>
      </c>
      <c r="C1279" s="42" t="s">
        <v>44</v>
      </c>
      <c r="D1279" s="42" t="s">
        <v>45</v>
      </c>
      <c r="E1279" s="42" t="s">
        <v>16</v>
      </c>
      <c r="F1279" s="42">
        <v>15</v>
      </c>
      <c r="G1279" s="44">
        <v>250000</v>
      </c>
      <c r="H1279" s="44">
        <v>3750000</v>
      </c>
      <c r="I1279" s="42" t="s">
        <v>2257</v>
      </c>
      <c r="J1279" s="42" t="s">
        <v>127</v>
      </c>
    </row>
    <row r="1280" spans="1:10" x14ac:dyDescent="0.3">
      <c r="A1280" s="42" t="s">
        <v>548</v>
      </c>
      <c r="B1280" s="43">
        <v>45904</v>
      </c>
      <c r="C1280" s="42" t="s">
        <v>28</v>
      </c>
      <c r="D1280" s="42" t="s">
        <v>29</v>
      </c>
      <c r="E1280" s="42" t="s">
        <v>20</v>
      </c>
      <c r="F1280" s="42">
        <v>37</v>
      </c>
      <c r="G1280" s="44">
        <v>450000</v>
      </c>
      <c r="H1280" s="44">
        <v>16650000</v>
      </c>
      <c r="I1280" s="42" t="s">
        <v>2815</v>
      </c>
      <c r="J1280" s="42" t="s">
        <v>127</v>
      </c>
    </row>
    <row r="1281" spans="1:10" x14ac:dyDescent="0.3">
      <c r="A1281" s="42" t="s">
        <v>569</v>
      </c>
      <c r="B1281" s="43">
        <v>45904</v>
      </c>
      <c r="C1281" s="42" t="s">
        <v>28</v>
      </c>
      <c r="D1281" s="42" t="s">
        <v>29</v>
      </c>
      <c r="E1281" s="42" t="s">
        <v>20</v>
      </c>
      <c r="F1281" s="42">
        <v>5</v>
      </c>
      <c r="G1281" s="44">
        <v>450000</v>
      </c>
      <c r="H1281" s="44">
        <v>2250000</v>
      </c>
      <c r="I1281" s="42" t="s">
        <v>216</v>
      </c>
      <c r="J1281" s="42" t="s">
        <v>69</v>
      </c>
    </row>
    <row r="1282" spans="1:10" x14ac:dyDescent="0.3">
      <c r="A1282" s="42" t="s">
        <v>585</v>
      </c>
      <c r="B1282" s="43">
        <v>45904</v>
      </c>
      <c r="C1282" s="42" t="s">
        <v>22</v>
      </c>
      <c r="D1282" s="42" t="s">
        <v>23</v>
      </c>
      <c r="E1282" s="42" t="s">
        <v>12</v>
      </c>
      <c r="F1282" s="42">
        <v>44</v>
      </c>
      <c r="G1282" s="44">
        <v>25000</v>
      </c>
      <c r="H1282" s="44">
        <v>1100000</v>
      </c>
      <c r="I1282" s="42" t="s">
        <v>2536</v>
      </c>
      <c r="J1282" s="42" t="s">
        <v>127</v>
      </c>
    </row>
    <row r="1283" spans="1:10" x14ac:dyDescent="0.3">
      <c r="A1283" s="42" t="s">
        <v>586</v>
      </c>
      <c r="B1283" s="43">
        <v>45904</v>
      </c>
      <c r="C1283" s="42" t="s">
        <v>10</v>
      </c>
      <c r="D1283" s="42" t="s">
        <v>11</v>
      </c>
      <c r="E1283" s="42" t="s">
        <v>12</v>
      </c>
      <c r="F1283" s="42">
        <v>18</v>
      </c>
      <c r="G1283" s="44">
        <v>120000</v>
      </c>
      <c r="H1283" s="44">
        <v>2160000</v>
      </c>
      <c r="I1283" s="42" t="s">
        <v>2447</v>
      </c>
      <c r="J1283" s="42" t="s">
        <v>8</v>
      </c>
    </row>
    <row r="1284" spans="1:10" x14ac:dyDescent="0.3">
      <c r="A1284" s="42" t="s">
        <v>605</v>
      </c>
      <c r="B1284" s="43">
        <v>45904</v>
      </c>
      <c r="C1284" s="42" t="s">
        <v>22</v>
      </c>
      <c r="D1284" s="42" t="s">
        <v>23</v>
      </c>
      <c r="E1284" s="42" t="s">
        <v>12</v>
      </c>
      <c r="F1284" s="42">
        <v>39</v>
      </c>
      <c r="G1284" s="44">
        <v>25000</v>
      </c>
      <c r="H1284" s="44">
        <v>975000</v>
      </c>
      <c r="I1284" s="42" t="s">
        <v>2475</v>
      </c>
      <c r="J1284" s="42" t="s">
        <v>47</v>
      </c>
    </row>
    <row r="1285" spans="1:10" x14ac:dyDescent="0.3">
      <c r="A1285" s="42" t="s">
        <v>606</v>
      </c>
      <c r="B1285" s="43">
        <v>45905</v>
      </c>
      <c r="C1285" s="42" t="s">
        <v>44</v>
      </c>
      <c r="D1285" s="42" t="s">
        <v>45</v>
      </c>
      <c r="E1285" s="42" t="s">
        <v>16</v>
      </c>
      <c r="F1285" s="42">
        <v>33</v>
      </c>
      <c r="G1285" s="44">
        <v>250000</v>
      </c>
      <c r="H1285" s="44">
        <v>8250000</v>
      </c>
      <c r="I1285" s="42" t="s">
        <v>2557</v>
      </c>
      <c r="J1285" s="42" t="s">
        <v>127</v>
      </c>
    </row>
    <row r="1286" spans="1:10" x14ac:dyDescent="0.3">
      <c r="A1286" s="42" t="s">
        <v>630</v>
      </c>
      <c r="B1286" s="43">
        <v>45905</v>
      </c>
      <c r="C1286" s="42" t="s">
        <v>18</v>
      </c>
      <c r="D1286" s="42" t="s">
        <v>19</v>
      </c>
      <c r="E1286" s="42" t="s">
        <v>20</v>
      </c>
      <c r="F1286" s="42">
        <v>46</v>
      </c>
      <c r="G1286" s="44">
        <v>500000</v>
      </c>
      <c r="H1286" s="44">
        <v>23000000</v>
      </c>
      <c r="I1286" s="42" t="s">
        <v>2754</v>
      </c>
      <c r="J1286" s="42" t="s">
        <v>127</v>
      </c>
    </row>
    <row r="1287" spans="1:10" x14ac:dyDescent="0.3">
      <c r="A1287" s="42" t="s">
        <v>654</v>
      </c>
      <c r="B1287" s="43">
        <v>45905</v>
      </c>
      <c r="C1287" s="42" t="s">
        <v>31</v>
      </c>
      <c r="D1287" s="42" t="s">
        <v>32</v>
      </c>
      <c r="E1287" s="42" t="s">
        <v>20</v>
      </c>
      <c r="F1287" s="42">
        <v>39</v>
      </c>
      <c r="G1287" s="44">
        <v>180000</v>
      </c>
      <c r="H1287" s="44">
        <v>7020000</v>
      </c>
      <c r="I1287" s="42" t="s">
        <v>2845</v>
      </c>
      <c r="J1287" s="42" t="s">
        <v>8</v>
      </c>
    </row>
    <row r="1288" spans="1:10" x14ac:dyDescent="0.3">
      <c r="A1288" s="42" t="s">
        <v>655</v>
      </c>
      <c r="B1288" s="43">
        <v>45905</v>
      </c>
      <c r="C1288" s="42" t="s">
        <v>14</v>
      </c>
      <c r="D1288" s="42" t="s">
        <v>15</v>
      </c>
      <c r="E1288" s="42" t="s">
        <v>16</v>
      </c>
      <c r="F1288" s="42">
        <v>100</v>
      </c>
      <c r="G1288" s="44">
        <v>350000</v>
      </c>
      <c r="H1288" s="44">
        <v>35000000</v>
      </c>
      <c r="I1288" s="42" t="s">
        <v>2847</v>
      </c>
      <c r="J1288" s="42" t="s">
        <v>127</v>
      </c>
    </row>
    <row r="1289" spans="1:10" x14ac:dyDescent="0.3">
      <c r="A1289" s="42" t="s">
        <v>656</v>
      </c>
      <c r="B1289" s="43">
        <v>45905</v>
      </c>
      <c r="C1289" s="42" t="s">
        <v>10</v>
      </c>
      <c r="D1289" s="42" t="s">
        <v>11</v>
      </c>
      <c r="E1289" s="42" t="s">
        <v>12</v>
      </c>
      <c r="F1289" s="42">
        <v>16</v>
      </c>
      <c r="G1289" s="44">
        <v>120000</v>
      </c>
      <c r="H1289" s="44">
        <v>1920000</v>
      </c>
      <c r="I1289" s="42" t="s">
        <v>2765</v>
      </c>
      <c r="J1289" s="42" t="s">
        <v>127</v>
      </c>
    </row>
    <row r="1290" spans="1:10" x14ac:dyDescent="0.3">
      <c r="A1290" s="42" t="s">
        <v>657</v>
      </c>
      <c r="B1290" s="43">
        <v>45905</v>
      </c>
      <c r="C1290" s="42" t="s">
        <v>14</v>
      </c>
      <c r="D1290" s="42" t="s">
        <v>15</v>
      </c>
      <c r="E1290" s="42" t="s">
        <v>16</v>
      </c>
      <c r="F1290" s="42">
        <v>36</v>
      </c>
      <c r="G1290" s="44">
        <v>350000</v>
      </c>
      <c r="H1290" s="44">
        <v>12600000</v>
      </c>
      <c r="I1290" s="42" t="s">
        <v>2294</v>
      </c>
      <c r="J1290" s="42" t="s">
        <v>60</v>
      </c>
    </row>
    <row r="1291" spans="1:10" x14ac:dyDescent="0.3">
      <c r="A1291" s="42" t="s">
        <v>658</v>
      </c>
      <c r="B1291" s="43">
        <v>45905</v>
      </c>
      <c r="C1291" s="42" t="s">
        <v>42</v>
      </c>
      <c r="D1291" s="42" t="s">
        <v>43</v>
      </c>
      <c r="E1291" s="42" t="s">
        <v>16</v>
      </c>
      <c r="F1291" s="42">
        <v>15</v>
      </c>
      <c r="G1291" s="44">
        <v>1200000</v>
      </c>
      <c r="H1291" s="44">
        <v>18000000</v>
      </c>
      <c r="I1291" s="42" t="s">
        <v>924</v>
      </c>
      <c r="J1291" s="42" t="s">
        <v>47</v>
      </c>
    </row>
    <row r="1292" spans="1:10" x14ac:dyDescent="0.3">
      <c r="A1292" s="42" t="s">
        <v>659</v>
      </c>
      <c r="B1292" s="43">
        <v>45905</v>
      </c>
      <c r="C1292" s="42" t="s">
        <v>42</v>
      </c>
      <c r="D1292" s="42" t="s">
        <v>43</v>
      </c>
      <c r="E1292" s="42" t="s">
        <v>16</v>
      </c>
      <c r="F1292" s="42">
        <v>4</v>
      </c>
      <c r="G1292" s="44">
        <v>1200000</v>
      </c>
      <c r="H1292" s="44">
        <v>4800000</v>
      </c>
      <c r="I1292" s="42" t="s">
        <v>2276</v>
      </c>
      <c r="J1292" s="42" t="s">
        <v>8</v>
      </c>
    </row>
    <row r="1293" spans="1:10" x14ac:dyDescent="0.3">
      <c r="A1293" s="42" t="s">
        <v>684</v>
      </c>
      <c r="B1293" s="43">
        <v>45905</v>
      </c>
      <c r="C1293" s="42" t="s">
        <v>10</v>
      </c>
      <c r="D1293" s="42" t="s">
        <v>11</v>
      </c>
      <c r="E1293" s="42" t="s">
        <v>12</v>
      </c>
      <c r="F1293" s="42">
        <v>300</v>
      </c>
      <c r="G1293" s="44">
        <v>120000</v>
      </c>
      <c r="H1293" s="44">
        <v>36000000</v>
      </c>
      <c r="I1293" s="42" t="s">
        <v>2149</v>
      </c>
      <c r="J1293" s="42" t="s">
        <v>127</v>
      </c>
    </row>
    <row r="1294" spans="1:10" x14ac:dyDescent="0.3">
      <c r="A1294" s="42" t="s">
        <v>685</v>
      </c>
      <c r="B1294" s="43">
        <v>45905</v>
      </c>
      <c r="C1294" s="42" t="s">
        <v>18</v>
      </c>
      <c r="D1294" s="42" t="s">
        <v>19</v>
      </c>
      <c r="E1294" s="42" t="s">
        <v>20</v>
      </c>
      <c r="F1294" s="42">
        <v>310</v>
      </c>
      <c r="G1294" s="44">
        <v>500000</v>
      </c>
      <c r="H1294" s="44">
        <v>155000000</v>
      </c>
      <c r="I1294" s="42" t="s">
        <v>2567</v>
      </c>
      <c r="J1294" s="42" t="s">
        <v>8</v>
      </c>
    </row>
    <row r="1295" spans="1:10" x14ac:dyDescent="0.3">
      <c r="A1295" s="42" t="s">
        <v>686</v>
      </c>
      <c r="B1295" s="43">
        <v>45905</v>
      </c>
      <c r="C1295" s="42" t="s">
        <v>14</v>
      </c>
      <c r="D1295" s="42" t="s">
        <v>15</v>
      </c>
      <c r="E1295" s="42" t="s">
        <v>16</v>
      </c>
      <c r="F1295" s="42">
        <v>15</v>
      </c>
      <c r="G1295" s="44">
        <v>350000</v>
      </c>
      <c r="H1295" s="44">
        <v>5250000</v>
      </c>
      <c r="I1295" s="42" t="s">
        <v>2559</v>
      </c>
      <c r="J1295" s="42" t="s">
        <v>47</v>
      </c>
    </row>
    <row r="1296" spans="1:10" x14ac:dyDescent="0.3">
      <c r="A1296" s="42" t="s">
        <v>722</v>
      </c>
      <c r="B1296" s="43">
        <v>45905</v>
      </c>
      <c r="C1296" s="42" t="s">
        <v>42</v>
      </c>
      <c r="D1296" s="42" t="s">
        <v>43</v>
      </c>
      <c r="E1296" s="42" t="s">
        <v>16</v>
      </c>
      <c r="F1296" s="42">
        <v>480</v>
      </c>
      <c r="G1296" s="44">
        <v>1200000</v>
      </c>
      <c r="H1296" s="44">
        <v>576000000</v>
      </c>
      <c r="I1296" s="42" t="s">
        <v>2837</v>
      </c>
      <c r="J1296" s="42" t="s">
        <v>47</v>
      </c>
    </row>
    <row r="1297" spans="1:10" x14ac:dyDescent="0.3">
      <c r="A1297" s="42" t="s">
        <v>723</v>
      </c>
      <c r="B1297" s="43">
        <v>45905</v>
      </c>
      <c r="C1297" s="42" t="s">
        <v>22</v>
      </c>
      <c r="D1297" s="42" t="s">
        <v>23</v>
      </c>
      <c r="E1297" s="42" t="s">
        <v>12</v>
      </c>
      <c r="F1297" s="42">
        <v>43</v>
      </c>
      <c r="G1297" s="44">
        <v>25000</v>
      </c>
      <c r="H1297" s="44">
        <v>1075000</v>
      </c>
      <c r="I1297" s="42" t="s">
        <v>2475</v>
      </c>
      <c r="J1297" s="42" t="s">
        <v>47</v>
      </c>
    </row>
    <row r="1298" spans="1:10" x14ac:dyDescent="0.3">
      <c r="A1298" s="42" t="s">
        <v>739</v>
      </c>
      <c r="B1298" s="43">
        <v>45908</v>
      </c>
      <c r="C1298" s="42" t="s">
        <v>14</v>
      </c>
      <c r="D1298" s="42" t="s">
        <v>15</v>
      </c>
      <c r="E1298" s="42" t="s">
        <v>16</v>
      </c>
      <c r="F1298" s="42">
        <v>29</v>
      </c>
      <c r="G1298" s="44">
        <v>350000</v>
      </c>
      <c r="H1298" s="44">
        <v>10150000</v>
      </c>
      <c r="I1298" s="42" t="s">
        <v>2763</v>
      </c>
      <c r="J1298" s="42" t="s">
        <v>127</v>
      </c>
    </row>
    <row r="1299" spans="1:10" x14ac:dyDescent="0.3">
      <c r="A1299" s="42" t="s">
        <v>740</v>
      </c>
      <c r="B1299" s="43">
        <v>45908</v>
      </c>
      <c r="C1299" s="42" t="s">
        <v>14</v>
      </c>
      <c r="D1299" s="42" t="s">
        <v>15</v>
      </c>
      <c r="E1299" s="42" t="s">
        <v>16</v>
      </c>
      <c r="F1299" s="42">
        <v>480</v>
      </c>
      <c r="G1299" s="44">
        <v>350000</v>
      </c>
      <c r="H1299" s="44">
        <v>168000000</v>
      </c>
      <c r="I1299" s="42" t="s">
        <v>2160</v>
      </c>
      <c r="J1299" s="42" t="s">
        <v>60</v>
      </c>
    </row>
    <row r="1300" spans="1:10" x14ac:dyDescent="0.3">
      <c r="A1300" s="42" t="s">
        <v>741</v>
      </c>
      <c r="B1300" s="43">
        <v>45908</v>
      </c>
      <c r="C1300" s="42" t="s">
        <v>38</v>
      </c>
      <c r="D1300" s="42" t="s">
        <v>39</v>
      </c>
      <c r="E1300" s="42" t="s">
        <v>16</v>
      </c>
      <c r="F1300" s="42">
        <v>32</v>
      </c>
      <c r="G1300" s="44">
        <v>200000</v>
      </c>
      <c r="H1300" s="44">
        <v>6400000</v>
      </c>
      <c r="I1300" s="42" t="s">
        <v>2736</v>
      </c>
      <c r="J1300" s="42" t="s">
        <v>69</v>
      </c>
    </row>
    <row r="1301" spans="1:10" x14ac:dyDescent="0.3">
      <c r="A1301" s="42" t="s">
        <v>760</v>
      </c>
      <c r="B1301" s="43">
        <v>45908</v>
      </c>
      <c r="C1301" s="42" t="s">
        <v>42</v>
      </c>
      <c r="D1301" s="42" t="s">
        <v>43</v>
      </c>
      <c r="E1301" s="42" t="s">
        <v>16</v>
      </c>
      <c r="F1301" s="42">
        <v>7</v>
      </c>
      <c r="G1301" s="44">
        <v>1200000</v>
      </c>
      <c r="H1301" s="44">
        <v>8400000</v>
      </c>
      <c r="I1301" s="42" t="s">
        <v>2712</v>
      </c>
      <c r="J1301" s="42" t="s">
        <v>8</v>
      </c>
    </row>
    <row r="1302" spans="1:10" x14ac:dyDescent="0.3">
      <c r="A1302" s="42" t="s">
        <v>761</v>
      </c>
      <c r="B1302" s="43">
        <v>45908</v>
      </c>
      <c r="C1302" s="42" t="s">
        <v>22</v>
      </c>
      <c r="D1302" s="42" t="s">
        <v>23</v>
      </c>
      <c r="E1302" s="42" t="s">
        <v>12</v>
      </c>
      <c r="F1302" s="42">
        <v>48</v>
      </c>
      <c r="G1302" s="44">
        <v>25000</v>
      </c>
      <c r="H1302" s="44">
        <v>1200000</v>
      </c>
      <c r="I1302" s="42" t="s">
        <v>878</v>
      </c>
      <c r="J1302" s="42" t="s">
        <v>8</v>
      </c>
    </row>
    <row r="1303" spans="1:10" x14ac:dyDescent="0.3">
      <c r="A1303" s="42" t="s">
        <v>762</v>
      </c>
      <c r="B1303" s="43">
        <v>45909</v>
      </c>
      <c r="C1303" s="42" t="s">
        <v>18</v>
      </c>
      <c r="D1303" s="42" t="s">
        <v>19</v>
      </c>
      <c r="E1303" s="42" t="s">
        <v>20</v>
      </c>
      <c r="F1303" s="42">
        <v>32</v>
      </c>
      <c r="G1303" s="44">
        <v>500000</v>
      </c>
      <c r="H1303" s="44">
        <v>16000000</v>
      </c>
      <c r="I1303" s="42" t="s">
        <v>2650</v>
      </c>
      <c r="J1303" s="42" t="s">
        <v>127</v>
      </c>
    </row>
    <row r="1304" spans="1:10" x14ac:dyDescent="0.3">
      <c r="A1304" s="42" t="s">
        <v>782</v>
      </c>
      <c r="B1304" s="43">
        <v>45909</v>
      </c>
      <c r="C1304" s="42" t="s">
        <v>31</v>
      </c>
      <c r="D1304" s="42" t="s">
        <v>32</v>
      </c>
      <c r="E1304" s="42" t="s">
        <v>20</v>
      </c>
      <c r="F1304" s="42">
        <v>14</v>
      </c>
      <c r="G1304" s="44">
        <v>180000</v>
      </c>
      <c r="H1304" s="44">
        <v>2520000</v>
      </c>
      <c r="I1304" s="42" t="s">
        <v>68</v>
      </c>
      <c r="J1304" s="42" t="s">
        <v>8</v>
      </c>
    </row>
    <row r="1305" spans="1:10" x14ac:dyDescent="0.3">
      <c r="A1305" s="42" t="s">
        <v>783</v>
      </c>
      <c r="B1305" s="43">
        <v>45909</v>
      </c>
      <c r="C1305" s="42" t="s">
        <v>18</v>
      </c>
      <c r="D1305" s="42" t="s">
        <v>19</v>
      </c>
      <c r="E1305" s="42" t="s">
        <v>20</v>
      </c>
      <c r="F1305" s="42">
        <v>38</v>
      </c>
      <c r="G1305" s="44">
        <v>500000</v>
      </c>
      <c r="H1305" s="44">
        <v>19000000</v>
      </c>
      <c r="I1305" s="42" t="s">
        <v>461</v>
      </c>
      <c r="J1305" s="42" t="s">
        <v>127</v>
      </c>
    </row>
    <row r="1306" spans="1:10" x14ac:dyDescent="0.3">
      <c r="A1306" s="42" t="s">
        <v>784</v>
      </c>
      <c r="B1306" s="43">
        <v>45909</v>
      </c>
      <c r="C1306" s="42" t="s">
        <v>40</v>
      </c>
      <c r="D1306" s="42" t="s">
        <v>41</v>
      </c>
      <c r="E1306" s="42" t="s">
        <v>16</v>
      </c>
      <c r="F1306" s="42">
        <v>28</v>
      </c>
      <c r="G1306" s="44">
        <v>950000</v>
      </c>
      <c r="H1306" s="44">
        <v>26600000</v>
      </c>
      <c r="I1306" s="42" t="s">
        <v>2495</v>
      </c>
      <c r="J1306" s="42" t="s">
        <v>60</v>
      </c>
    </row>
    <row r="1307" spans="1:10" x14ac:dyDescent="0.3">
      <c r="A1307" s="42" t="s">
        <v>785</v>
      </c>
      <c r="B1307" s="43">
        <v>45909</v>
      </c>
      <c r="C1307" s="42" t="s">
        <v>18</v>
      </c>
      <c r="D1307" s="42" t="s">
        <v>19</v>
      </c>
      <c r="E1307" s="42" t="s">
        <v>20</v>
      </c>
      <c r="F1307" s="42">
        <v>14</v>
      </c>
      <c r="G1307" s="44">
        <v>500000</v>
      </c>
      <c r="H1307" s="44">
        <v>7000000</v>
      </c>
      <c r="I1307" s="42" t="s">
        <v>2349</v>
      </c>
      <c r="J1307" s="42" t="s">
        <v>127</v>
      </c>
    </row>
    <row r="1308" spans="1:10" x14ac:dyDescent="0.3">
      <c r="A1308" s="42" t="s">
        <v>814</v>
      </c>
      <c r="B1308" s="43">
        <v>45909</v>
      </c>
      <c r="C1308" s="42" t="s">
        <v>14</v>
      </c>
      <c r="D1308" s="42" t="s">
        <v>15</v>
      </c>
      <c r="E1308" s="42" t="s">
        <v>16</v>
      </c>
      <c r="F1308" s="42">
        <v>46</v>
      </c>
      <c r="G1308" s="44">
        <v>350000</v>
      </c>
      <c r="H1308" s="44">
        <v>16100000</v>
      </c>
      <c r="I1308" s="42" t="s">
        <v>2821</v>
      </c>
      <c r="J1308" s="42" t="s">
        <v>8</v>
      </c>
    </row>
    <row r="1309" spans="1:10" x14ac:dyDescent="0.3">
      <c r="A1309" s="42" t="s">
        <v>815</v>
      </c>
      <c r="B1309" s="43">
        <v>45909</v>
      </c>
      <c r="C1309" s="42" t="s">
        <v>22</v>
      </c>
      <c r="D1309" s="42" t="s">
        <v>23</v>
      </c>
      <c r="E1309" s="42" t="s">
        <v>12</v>
      </c>
      <c r="F1309" s="42">
        <v>460</v>
      </c>
      <c r="G1309" s="44">
        <v>25000</v>
      </c>
      <c r="H1309" s="44">
        <v>11500000</v>
      </c>
      <c r="I1309" s="42" t="s">
        <v>2618</v>
      </c>
      <c r="J1309" s="42" t="s">
        <v>8</v>
      </c>
    </row>
    <row r="1310" spans="1:10" x14ac:dyDescent="0.3">
      <c r="A1310" s="42" t="s">
        <v>844</v>
      </c>
      <c r="B1310" s="43">
        <v>45909</v>
      </c>
      <c r="C1310" s="42" t="s">
        <v>18</v>
      </c>
      <c r="D1310" s="42" t="s">
        <v>19</v>
      </c>
      <c r="E1310" s="42" t="s">
        <v>20</v>
      </c>
      <c r="F1310" s="42">
        <v>300</v>
      </c>
      <c r="G1310" s="44">
        <v>500000</v>
      </c>
      <c r="H1310" s="44">
        <v>150000000</v>
      </c>
      <c r="I1310" s="42" t="s">
        <v>2235</v>
      </c>
      <c r="J1310" s="42" t="s">
        <v>127</v>
      </c>
    </row>
    <row r="1311" spans="1:10" x14ac:dyDescent="0.3">
      <c r="A1311" s="42" t="s">
        <v>845</v>
      </c>
      <c r="B1311" s="43">
        <v>45910</v>
      </c>
      <c r="C1311" s="42" t="s">
        <v>31</v>
      </c>
      <c r="D1311" s="42" t="s">
        <v>32</v>
      </c>
      <c r="E1311" s="42" t="s">
        <v>20</v>
      </c>
      <c r="F1311" s="42">
        <v>40</v>
      </c>
      <c r="G1311" s="44">
        <v>180000</v>
      </c>
      <c r="H1311" s="44">
        <v>7200000</v>
      </c>
      <c r="I1311" s="42" t="s">
        <v>2348</v>
      </c>
      <c r="J1311" s="42" t="s">
        <v>47</v>
      </c>
    </row>
    <row r="1312" spans="1:10" x14ac:dyDescent="0.3">
      <c r="A1312" s="42" t="s">
        <v>846</v>
      </c>
      <c r="B1312" s="43">
        <v>45910</v>
      </c>
      <c r="C1312" s="42" t="s">
        <v>18</v>
      </c>
      <c r="D1312" s="42" t="s">
        <v>19</v>
      </c>
      <c r="E1312" s="42" t="s">
        <v>20</v>
      </c>
      <c r="F1312" s="42">
        <v>23</v>
      </c>
      <c r="G1312" s="44">
        <v>500000</v>
      </c>
      <c r="H1312" s="44">
        <v>11500000</v>
      </c>
      <c r="I1312" s="42" t="s">
        <v>2295</v>
      </c>
      <c r="J1312" s="42" t="s">
        <v>127</v>
      </c>
    </row>
    <row r="1313" spans="1:10" x14ac:dyDescent="0.3">
      <c r="A1313" s="42" t="s">
        <v>847</v>
      </c>
      <c r="B1313" s="43">
        <v>45910</v>
      </c>
      <c r="C1313" s="42" t="s">
        <v>42</v>
      </c>
      <c r="D1313" s="42" t="s">
        <v>43</v>
      </c>
      <c r="E1313" s="42" t="s">
        <v>16</v>
      </c>
      <c r="F1313" s="42">
        <v>39</v>
      </c>
      <c r="G1313" s="44">
        <v>1200000</v>
      </c>
      <c r="H1313" s="44">
        <v>46800000</v>
      </c>
      <c r="I1313" s="42" t="s">
        <v>2241</v>
      </c>
      <c r="J1313" s="42" t="s">
        <v>127</v>
      </c>
    </row>
    <row r="1314" spans="1:10" x14ac:dyDescent="0.3">
      <c r="A1314" s="42" t="s">
        <v>848</v>
      </c>
      <c r="B1314" s="43">
        <v>45910</v>
      </c>
      <c r="C1314" s="42" t="s">
        <v>38</v>
      </c>
      <c r="D1314" s="42" t="s">
        <v>39</v>
      </c>
      <c r="E1314" s="42" t="s">
        <v>16</v>
      </c>
      <c r="F1314" s="42">
        <v>31</v>
      </c>
      <c r="G1314" s="44">
        <v>200000</v>
      </c>
      <c r="H1314" s="44">
        <v>6200000</v>
      </c>
      <c r="I1314" s="42" t="s">
        <v>2391</v>
      </c>
      <c r="J1314" s="42" t="s">
        <v>127</v>
      </c>
    </row>
    <row r="1315" spans="1:10" x14ac:dyDescent="0.3">
      <c r="A1315" s="42" t="s">
        <v>858</v>
      </c>
      <c r="B1315" s="43">
        <v>45910</v>
      </c>
      <c r="C1315" s="42" t="s">
        <v>18</v>
      </c>
      <c r="D1315" s="42" t="s">
        <v>19</v>
      </c>
      <c r="E1315" s="42" t="s">
        <v>20</v>
      </c>
      <c r="F1315" s="42">
        <v>36</v>
      </c>
      <c r="G1315" s="44">
        <v>500000</v>
      </c>
      <c r="H1315" s="44">
        <v>18000000</v>
      </c>
      <c r="I1315" s="42" t="s">
        <v>2384</v>
      </c>
      <c r="J1315" s="42" t="s">
        <v>69</v>
      </c>
    </row>
    <row r="1316" spans="1:10" x14ac:dyDescent="0.3">
      <c r="A1316" s="42" t="s">
        <v>859</v>
      </c>
      <c r="B1316" s="43">
        <v>45910</v>
      </c>
      <c r="C1316" s="42" t="s">
        <v>42</v>
      </c>
      <c r="D1316" s="42" t="s">
        <v>43</v>
      </c>
      <c r="E1316" s="42" t="s">
        <v>16</v>
      </c>
      <c r="F1316" s="42">
        <v>14</v>
      </c>
      <c r="G1316" s="44">
        <v>1200000</v>
      </c>
      <c r="H1316" s="44">
        <v>16800000</v>
      </c>
      <c r="I1316" s="42" t="s">
        <v>2431</v>
      </c>
      <c r="J1316" s="42" t="s">
        <v>127</v>
      </c>
    </row>
    <row r="1317" spans="1:10" x14ac:dyDescent="0.3">
      <c r="A1317" s="42" t="s">
        <v>891</v>
      </c>
      <c r="B1317" s="43">
        <v>45910</v>
      </c>
      <c r="C1317" s="42" t="s">
        <v>38</v>
      </c>
      <c r="D1317" s="42" t="s">
        <v>39</v>
      </c>
      <c r="E1317" s="42" t="s">
        <v>16</v>
      </c>
      <c r="F1317" s="42">
        <v>41</v>
      </c>
      <c r="G1317" s="44">
        <v>200000</v>
      </c>
      <c r="H1317" s="44">
        <v>8200000</v>
      </c>
      <c r="I1317" s="42" t="s">
        <v>2325</v>
      </c>
      <c r="J1317" s="42" t="s">
        <v>8</v>
      </c>
    </row>
    <row r="1318" spans="1:10" x14ac:dyDescent="0.3">
      <c r="A1318" s="42" t="s">
        <v>892</v>
      </c>
      <c r="B1318" s="43">
        <v>45910</v>
      </c>
      <c r="C1318" s="42" t="s">
        <v>28</v>
      </c>
      <c r="D1318" s="42" t="s">
        <v>29</v>
      </c>
      <c r="E1318" s="42" t="s">
        <v>20</v>
      </c>
      <c r="F1318" s="42">
        <v>20</v>
      </c>
      <c r="G1318" s="44">
        <v>450000</v>
      </c>
      <c r="H1318" s="44">
        <v>9000000</v>
      </c>
      <c r="I1318" s="42" t="s">
        <v>2654</v>
      </c>
      <c r="J1318" s="42" t="s">
        <v>60</v>
      </c>
    </row>
    <row r="1319" spans="1:10" x14ac:dyDescent="0.3">
      <c r="A1319" s="42" t="s">
        <v>912</v>
      </c>
      <c r="B1319" s="43">
        <v>45910</v>
      </c>
      <c r="C1319" s="42" t="s">
        <v>31</v>
      </c>
      <c r="D1319" s="42" t="s">
        <v>32</v>
      </c>
      <c r="E1319" s="42" t="s">
        <v>20</v>
      </c>
      <c r="F1319" s="42">
        <v>40</v>
      </c>
      <c r="G1319" s="44">
        <v>180000</v>
      </c>
      <c r="H1319" s="44">
        <v>7200000</v>
      </c>
      <c r="I1319" s="42" t="s">
        <v>2267</v>
      </c>
      <c r="J1319" s="42" t="s">
        <v>8</v>
      </c>
    </row>
    <row r="1320" spans="1:10" x14ac:dyDescent="0.3">
      <c r="A1320" s="42" t="s">
        <v>913</v>
      </c>
      <c r="B1320" s="43">
        <v>45910</v>
      </c>
      <c r="C1320" s="42" t="s">
        <v>14</v>
      </c>
      <c r="D1320" s="42" t="s">
        <v>15</v>
      </c>
      <c r="E1320" s="42" t="s">
        <v>16</v>
      </c>
      <c r="F1320" s="42">
        <v>220</v>
      </c>
      <c r="G1320" s="44">
        <v>350000</v>
      </c>
      <c r="H1320" s="44">
        <v>77000000</v>
      </c>
      <c r="I1320" s="42" t="s">
        <v>2432</v>
      </c>
      <c r="J1320" s="42" t="s">
        <v>8</v>
      </c>
    </row>
    <row r="1321" spans="1:10" x14ac:dyDescent="0.3">
      <c r="A1321" s="42" t="s">
        <v>914</v>
      </c>
      <c r="B1321" s="43">
        <v>45910</v>
      </c>
      <c r="C1321" s="42" t="s">
        <v>28</v>
      </c>
      <c r="D1321" s="42" t="s">
        <v>29</v>
      </c>
      <c r="E1321" s="42" t="s">
        <v>20</v>
      </c>
      <c r="F1321" s="42">
        <v>10</v>
      </c>
      <c r="G1321" s="44">
        <v>450000</v>
      </c>
      <c r="H1321" s="44">
        <v>4500000</v>
      </c>
      <c r="I1321" s="42" t="s">
        <v>2293</v>
      </c>
      <c r="J1321" s="42" t="s">
        <v>47</v>
      </c>
    </row>
    <row r="1322" spans="1:10" x14ac:dyDescent="0.3">
      <c r="A1322" s="42" t="s">
        <v>915</v>
      </c>
      <c r="B1322" s="43">
        <v>45910</v>
      </c>
      <c r="C1322" s="42" t="s">
        <v>18</v>
      </c>
      <c r="D1322" s="42" t="s">
        <v>19</v>
      </c>
      <c r="E1322" s="42" t="s">
        <v>20</v>
      </c>
      <c r="F1322" s="42">
        <v>50</v>
      </c>
      <c r="G1322" s="44">
        <v>500000</v>
      </c>
      <c r="H1322" s="44">
        <v>25000000</v>
      </c>
      <c r="I1322" s="42" t="s">
        <v>2718</v>
      </c>
      <c r="J1322" s="42" t="s">
        <v>60</v>
      </c>
    </row>
    <row r="1323" spans="1:10" x14ac:dyDescent="0.3">
      <c r="A1323" s="42" t="s">
        <v>916</v>
      </c>
      <c r="B1323" s="43">
        <v>45910</v>
      </c>
      <c r="C1323" s="42" t="s">
        <v>44</v>
      </c>
      <c r="D1323" s="42" t="s">
        <v>45</v>
      </c>
      <c r="E1323" s="42" t="s">
        <v>16</v>
      </c>
      <c r="F1323" s="42">
        <v>7</v>
      </c>
      <c r="G1323" s="44">
        <v>250000</v>
      </c>
      <c r="H1323" s="44">
        <v>1750000</v>
      </c>
      <c r="I1323" s="42" t="s">
        <v>2537</v>
      </c>
      <c r="J1323" s="42" t="s">
        <v>127</v>
      </c>
    </row>
    <row r="1324" spans="1:10" x14ac:dyDescent="0.3">
      <c r="A1324" s="42" t="s">
        <v>917</v>
      </c>
      <c r="B1324" s="43">
        <v>45910</v>
      </c>
      <c r="C1324" s="42" t="s">
        <v>44</v>
      </c>
      <c r="D1324" s="42" t="s">
        <v>45</v>
      </c>
      <c r="E1324" s="42" t="s">
        <v>16</v>
      </c>
      <c r="F1324" s="42">
        <v>27</v>
      </c>
      <c r="G1324" s="44">
        <v>250000</v>
      </c>
      <c r="H1324" s="44">
        <v>6750000</v>
      </c>
      <c r="I1324" s="42" t="s">
        <v>2242</v>
      </c>
      <c r="J1324" s="42" t="s">
        <v>127</v>
      </c>
    </row>
    <row r="1325" spans="1:10" x14ac:dyDescent="0.3">
      <c r="A1325" s="42" t="s">
        <v>918</v>
      </c>
      <c r="B1325" s="43">
        <v>45910</v>
      </c>
      <c r="C1325" s="42" t="s">
        <v>38</v>
      </c>
      <c r="D1325" s="42" t="s">
        <v>39</v>
      </c>
      <c r="E1325" s="42" t="s">
        <v>16</v>
      </c>
      <c r="F1325" s="42">
        <v>36</v>
      </c>
      <c r="G1325" s="44">
        <v>200000</v>
      </c>
      <c r="H1325" s="44">
        <v>7200000</v>
      </c>
      <c r="I1325" s="42" t="s">
        <v>2490</v>
      </c>
      <c r="J1325" s="42" t="s">
        <v>8</v>
      </c>
    </row>
    <row r="1326" spans="1:10" x14ac:dyDescent="0.3">
      <c r="A1326" s="42" t="s">
        <v>919</v>
      </c>
      <c r="B1326" s="43">
        <v>45911</v>
      </c>
      <c r="C1326" s="42" t="s">
        <v>31</v>
      </c>
      <c r="D1326" s="42" t="s">
        <v>32</v>
      </c>
      <c r="E1326" s="42" t="s">
        <v>20</v>
      </c>
      <c r="F1326" s="42">
        <v>34</v>
      </c>
      <c r="G1326" s="44">
        <v>180000</v>
      </c>
      <c r="H1326" s="44">
        <v>6120000</v>
      </c>
      <c r="I1326" s="42" t="s">
        <v>2301</v>
      </c>
      <c r="J1326" s="42" t="s">
        <v>8</v>
      </c>
    </row>
    <row r="1327" spans="1:10" x14ac:dyDescent="0.3">
      <c r="A1327" s="42" t="s">
        <v>948</v>
      </c>
      <c r="B1327" s="43">
        <v>45911</v>
      </c>
      <c r="C1327" s="42" t="s">
        <v>22</v>
      </c>
      <c r="D1327" s="42" t="s">
        <v>23</v>
      </c>
      <c r="E1327" s="42" t="s">
        <v>12</v>
      </c>
      <c r="F1327" s="42">
        <v>34</v>
      </c>
      <c r="G1327" s="44">
        <v>25000</v>
      </c>
      <c r="H1327" s="44">
        <v>850000</v>
      </c>
      <c r="I1327" s="42" t="s">
        <v>2807</v>
      </c>
      <c r="J1327" s="42" t="s">
        <v>60</v>
      </c>
    </row>
    <row r="1328" spans="1:10" x14ac:dyDescent="0.3">
      <c r="A1328" s="42" t="s">
        <v>949</v>
      </c>
      <c r="B1328" s="43">
        <v>45911</v>
      </c>
      <c r="C1328" s="42" t="s">
        <v>28</v>
      </c>
      <c r="D1328" s="42" t="s">
        <v>29</v>
      </c>
      <c r="E1328" s="42" t="s">
        <v>20</v>
      </c>
      <c r="F1328" s="42">
        <v>38</v>
      </c>
      <c r="G1328" s="44">
        <v>450000</v>
      </c>
      <c r="H1328" s="44">
        <v>17100000</v>
      </c>
      <c r="I1328" s="42" t="s">
        <v>2763</v>
      </c>
      <c r="J1328" s="42" t="s">
        <v>127</v>
      </c>
    </row>
    <row r="1329" spans="1:10" x14ac:dyDescent="0.3">
      <c r="A1329" s="42" t="s">
        <v>950</v>
      </c>
      <c r="B1329" s="43">
        <v>45911</v>
      </c>
      <c r="C1329" s="42" t="s">
        <v>22</v>
      </c>
      <c r="D1329" s="42" t="s">
        <v>23</v>
      </c>
      <c r="E1329" s="42" t="s">
        <v>12</v>
      </c>
      <c r="F1329" s="42">
        <v>36</v>
      </c>
      <c r="G1329" s="44">
        <v>25000</v>
      </c>
      <c r="H1329" s="44">
        <v>900000</v>
      </c>
      <c r="I1329" s="42" t="s">
        <v>2188</v>
      </c>
      <c r="J1329" s="42" t="s">
        <v>8</v>
      </c>
    </row>
    <row r="1330" spans="1:10" x14ac:dyDescent="0.3">
      <c r="A1330" s="42" t="s">
        <v>951</v>
      </c>
      <c r="B1330" s="43">
        <v>45911</v>
      </c>
      <c r="C1330" s="42" t="s">
        <v>14</v>
      </c>
      <c r="D1330" s="42" t="s">
        <v>15</v>
      </c>
      <c r="E1330" s="42" t="s">
        <v>16</v>
      </c>
      <c r="F1330" s="42">
        <v>35</v>
      </c>
      <c r="G1330" s="44">
        <v>350000</v>
      </c>
      <c r="H1330" s="44">
        <v>12250000</v>
      </c>
      <c r="I1330" s="42" t="s">
        <v>2585</v>
      </c>
      <c r="J1330" s="42" t="s">
        <v>8</v>
      </c>
    </row>
    <row r="1331" spans="1:10" x14ac:dyDescent="0.3">
      <c r="A1331" s="42" t="s">
        <v>989</v>
      </c>
      <c r="B1331" s="43">
        <v>45911</v>
      </c>
      <c r="C1331" s="42" t="s">
        <v>28</v>
      </c>
      <c r="D1331" s="42" t="s">
        <v>29</v>
      </c>
      <c r="E1331" s="42" t="s">
        <v>20</v>
      </c>
      <c r="F1331" s="42">
        <v>39</v>
      </c>
      <c r="G1331" s="44">
        <v>450000</v>
      </c>
      <c r="H1331" s="44">
        <v>17550000</v>
      </c>
      <c r="I1331" s="42" t="s">
        <v>2453</v>
      </c>
      <c r="J1331" s="42" t="s">
        <v>8</v>
      </c>
    </row>
    <row r="1332" spans="1:10" x14ac:dyDescent="0.3">
      <c r="A1332" s="42" t="s">
        <v>990</v>
      </c>
      <c r="B1332" s="43">
        <v>45911</v>
      </c>
      <c r="C1332" s="42" t="s">
        <v>14</v>
      </c>
      <c r="D1332" s="42" t="s">
        <v>15</v>
      </c>
      <c r="E1332" s="42" t="s">
        <v>16</v>
      </c>
      <c r="F1332" s="42">
        <v>39</v>
      </c>
      <c r="G1332" s="44">
        <v>350000</v>
      </c>
      <c r="H1332" s="44">
        <v>13650000</v>
      </c>
      <c r="I1332" s="42" t="s">
        <v>2503</v>
      </c>
      <c r="J1332" s="42" t="s">
        <v>8</v>
      </c>
    </row>
    <row r="1333" spans="1:10" x14ac:dyDescent="0.3">
      <c r="A1333" s="42" t="s">
        <v>991</v>
      </c>
      <c r="B1333" s="43">
        <v>45911</v>
      </c>
      <c r="C1333" s="42" t="s">
        <v>28</v>
      </c>
      <c r="D1333" s="42" t="s">
        <v>29</v>
      </c>
      <c r="E1333" s="42" t="s">
        <v>20</v>
      </c>
      <c r="F1333" s="42">
        <v>35</v>
      </c>
      <c r="G1333" s="44">
        <v>450000</v>
      </c>
      <c r="H1333" s="44">
        <v>15750000</v>
      </c>
      <c r="I1333" s="42" t="s">
        <v>2534</v>
      </c>
      <c r="J1333" s="42" t="s">
        <v>60</v>
      </c>
    </row>
    <row r="1334" spans="1:10" x14ac:dyDescent="0.3">
      <c r="A1334" s="42" t="s">
        <v>992</v>
      </c>
      <c r="B1334" s="43">
        <v>45911</v>
      </c>
      <c r="C1334" s="42" t="s">
        <v>14</v>
      </c>
      <c r="D1334" s="42" t="s">
        <v>15</v>
      </c>
      <c r="E1334" s="42" t="s">
        <v>16</v>
      </c>
      <c r="F1334" s="42">
        <v>21</v>
      </c>
      <c r="G1334" s="44">
        <v>350000</v>
      </c>
      <c r="H1334" s="44">
        <v>7350000</v>
      </c>
      <c r="I1334" s="42" t="s">
        <v>2168</v>
      </c>
      <c r="J1334" s="42" t="s">
        <v>127</v>
      </c>
    </row>
    <row r="1335" spans="1:10" x14ac:dyDescent="0.3">
      <c r="A1335" s="42" t="s">
        <v>993</v>
      </c>
      <c r="B1335" s="43">
        <v>45911</v>
      </c>
      <c r="C1335" s="42" t="s">
        <v>38</v>
      </c>
      <c r="D1335" s="42" t="s">
        <v>39</v>
      </c>
      <c r="E1335" s="42" t="s">
        <v>16</v>
      </c>
      <c r="F1335" s="42">
        <v>130</v>
      </c>
      <c r="G1335" s="44">
        <v>200000</v>
      </c>
      <c r="H1335" s="44">
        <v>26000000</v>
      </c>
      <c r="I1335" s="42" t="s">
        <v>2624</v>
      </c>
      <c r="J1335" s="42" t="s">
        <v>60</v>
      </c>
    </row>
    <row r="1336" spans="1:10" x14ac:dyDescent="0.3">
      <c r="A1336" s="42" t="s">
        <v>1028</v>
      </c>
      <c r="B1336" s="43">
        <v>45911</v>
      </c>
      <c r="C1336" s="42" t="s">
        <v>10</v>
      </c>
      <c r="D1336" s="42" t="s">
        <v>11</v>
      </c>
      <c r="E1336" s="42" t="s">
        <v>12</v>
      </c>
      <c r="F1336" s="42">
        <v>44</v>
      </c>
      <c r="G1336" s="44">
        <v>120000</v>
      </c>
      <c r="H1336" s="44">
        <v>5280000</v>
      </c>
      <c r="I1336" s="42" t="s">
        <v>2379</v>
      </c>
      <c r="J1336" s="42" t="s">
        <v>127</v>
      </c>
    </row>
    <row r="1337" spans="1:10" x14ac:dyDescent="0.3">
      <c r="A1337" s="42" t="s">
        <v>1029</v>
      </c>
      <c r="B1337" s="43">
        <v>45911</v>
      </c>
      <c r="C1337" s="42" t="s">
        <v>28</v>
      </c>
      <c r="D1337" s="42" t="s">
        <v>29</v>
      </c>
      <c r="E1337" s="42" t="s">
        <v>20</v>
      </c>
      <c r="F1337" s="42">
        <v>23</v>
      </c>
      <c r="G1337" s="44">
        <v>450000</v>
      </c>
      <c r="H1337" s="44">
        <v>10350000</v>
      </c>
      <c r="I1337" s="42" t="s">
        <v>2574</v>
      </c>
      <c r="J1337" s="42" t="s">
        <v>60</v>
      </c>
    </row>
    <row r="1338" spans="1:10" x14ac:dyDescent="0.3">
      <c r="A1338" s="42" t="s">
        <v>1030</v>
      </c>
      <c r="B1338" s="43">
        <v>45911</v>
      </c>
      <c r="C1338" s="42" t="s">
        <v>28</v>
      </c>
      <c r="D1338" s="42" t="s">
        <v>29</v>
      </c>
      <c r="E1338" s="42" t="s">
        <v>20</v>
      </c>
      <c r="F1338" s="42">
        <v>39</v>
      </c>
      <c r="G1338" s="44">
        <v>450000</v>
      </c>
      <c r="H1338" s="44">
        <v>17550000</v>
      </c>
      <c r="I1338" s="42" t="s">
        <v>2651</v>
      </c>
      <c r="J1338" s="42" t="s">
        <v>47</v>
      </c>
    </row>
    <row r="1339" spans="1:10" x14ac:dyDescent="0.3">
      <c r="A1339" s="42" t="s">
        <v>1062</v>
      </c>
      <c r="B1339" s="43">
        <v>45912</v>
      </c>
      <c r="C1339" s="42" t="s">
        <v>31</v>
      </c>
      <c r="D1339" s="42" t="s">
        <v>32</v>
      </c>
      <c r="E1339" s="42" t="s">
        <v>20</v>
      </c>
      <c r="F1339" s="42">
        <v>17</v>
      </c>
      <c r="G1339" s="44">
        <v>180000</v>
      </c>
      <c r="H1339" s="44">
        <v>3060000</v>
      </c>
      <c r="I1339" s="42" t="s">
        <v>2343</v>
      </c>
      <c r="J1339" s="42" t="s">
        <v>8</v>
      </c>
    </row>
    <row r="1340" spans="1:10" x14ac:dyDescent="0.3">
      <c r="A1340" s="42" t="s">
        <v>1063</v>
      </c>
      <c r="B1340" s="43">
        <v>45912</v>
      </c>
      <c r="C1340" s="42" t="s">
        <v>22</v>
      </c>
      <c r="D1340" s="42" t="s">
        <v>23</v>
      </c>
      <c r="E1340" s="42" t="s">
        <v>12</v>
      </c>
      <c r="F1340" s="42">
        <v>49</v>
      </c>
      <c r="G1340" s="44">
        <v>25000</v>
      </c>
      <c r="H1340" s="44">
        <v>1225000</v>
      </c>
      <c r="I1340" s="42" t="s">
        <v>2317</v>
      </c>
      <c r="J1340" s="42" t="s">
        <v>47</v>
      </c>
    </row>
    <row r="1341" spans="1:10" x14ac:dyDescent="0.3">
      <c r="A1341" s="42" t="s">
        <v>1064</v>
      </c>
      <c r="B1341" s="43">
        <v>45912</v>
      </c>
      <c r="C1341" s="42" t="s">
        <v>28</v>
      </c>
      <c r="D1341" s="42" t="s">
        <v>29</v>
      </c>
      <c r="E1341" s="42" t="s">
        <v>20</v>
      </c>
      <c r="F1341" s="42">
        <v>25</v>
      </c>
      <c r="G1341" s="44">
        <v>450000</v>
      </c>
      <c r="H1341" s="44">
        <v>11250000</v>
      </c>
      <c r="I1341" s="42" t="s">
        <v>1977</v>
      </c>
      <c r="J1341" s="42" t="s">
        <v>8</v>
      </c>
    </row>
    <row r="1342" spans="1:10" x14ac:dyDescent="0.3">
      <c r="A1342" s="42" t="s">
        <v>1065</v>
      </c>
      <c r="B1342" s="43">
        <v>45912</v>
      </c>
      <c r="C1342" s="42" t="s">
        <v>44</v>
      </c>
      <c r="D1342" s="42" t="s">
        <v>45</v>
      </c>
      <c r="E1342" s="42" t="s">
        <v>16</v>
      </c>
      <c r="F1342" s="42">
        <v>9</v>
      </c>
      <c r="G1342" s="44">
        <v>250000</v>
      </c>
      <c r="H1342" s="44">
        <v>2250000</v>
      </c>
      <c r="I1342" s="42" t="s">
        <v>2553</v>
      </c>
      <c r="J1342" s="42" t="s">
        <v>127</v>
      </c>
    </row>
    <row r="1343" spans="1:10" x14ac:dyDescent="0.3">
      <c r="A1343" s="42" t="s">
        <v>1066</v>
      </c>
      <c r="B1343" s="43">
        <v>45912</v>
      </c>
      <c r="C1343" s="42" t="s">
        <v>14</v>
      </c>
      <c r="D1343" s="42" t="s">
        <v>15</v>
      </c>
      <c r="E1343" s="42" t="s">
        <v>16</v>
      </c>
      <c r="F1343" s="42">
        <v>25</v>
      </c>
      <c r="G1343" s="44">
        <v>350000</v>
      </c>
      <c r="H1343" s="44">
        <v>8750000</v>
      </c>
      <c r="I1343" s="42" t="s">
        <v>2125</v>
      </c>
      <c r="J1343" s="42" t="s">
        <v>47</v>
      </c>
    </row>
    <row r="1344" spans="1:10" x14ac:dyDescent="0.3">
      <c r="A1344" s="42" t="s">
        <v>1067</v>
      </c>
      <c r="B1344" s="43">
        <v>45912</v>
      </c>
      <c r="C1344" s="42" t="s">
        <v>40</v>
      </c>
      <c r="D1344" s="42" t="s">
        <v>41</v>
      </c>
      <c r="E1344" s="42" t="s">
        <v>16</v>
      </c>
      <c r="F1344" s="42">
        <v>220</v>
      </c>
      <c r="G1344" s="44">
        <v>950000</v>
      </c>
      <c r="H1344" s="44">
        <v>209000000</v>
      </c>
      <c r="I1344" s="42" t="s">
        <v>2162</v>
      </c>
      <c r="J1344" s="42" t="s">
        <v>8</v>
      </c>
    </row>
    <row r="1345" spans="1:10" x14ac:dyDescent="0.3">
      <c r="A1345" s="42" t="s">
        <v>1068</v>
      </c>
      <c r="B1345" s="43">
        <v>45912</v>
      </c>
      <c r="C1345" s="42" t="s">
        <v>28</v>
      </c>
      <c r="D1345" s="42" t="s">
        <v>29</v>
      </c>
      <c r="E1345" s="42" t="s">
        <v>20</v>
      </c>
      <c r="F1345" s="42">
        <v>19</v>
      </c>
      <c r="G1345" s="44">
        <v>450000</v>
      </c>
      <c r="H1345" s="44">
        <v>8550000</v>
      </c>
      <c r="I1345" s="42" t="s">
        <v>2537</v>
      </c>
      <c r="J1345" s="42" t="s">
        <v>127</v>
      </c>
    </row>
    <row r="1346" spans="1:10" x14ac:dyDescent="0.3">
      <c r="A1346" s="42" t="s">
        <v>1069</v>
      </c>
      <c r="B1346" s="43">
        <v>45912</v>
      </c>
      <c r="C1346" s="42" t="s">
        <v>44</v>
      </c>
      <c r="D1346" s="42" t="s">
        <v>45</v>
      </c>
      <c r="E1346" s="42" t="s">
        <v>16</v>
      </c>
      <c r="F1346" s="42">
        <v>35</v>
      </c>
      <c r="G1346" s="44">
        <v>250000</v>
      </c>
      <c r="H1346" s="44">
        <v>8750000</v>
      </c>
      <c r="I1346" s="42" t="s">
        <v>2760</v>
      </c>
      <c r="J1346" s="42" t="s">
        <v>60</v>
      </c>
    </row>
    <row r="1347" spans="1:10" x14ac:dyDescent="0.3">
      <c r="A1347" s="42" t="s">
        <v>1070</v>
      </c>
      <c r="B1347" s="43">
        <v>45912</v>
      </c>
      <c r="C1347" s="42" t="s">
        <v>18</v>
      </c>
      <c r="D1347" s="42" t="s">
        <v>19</v>
      </c>
      <c r="E1347" s="42" t="s">
        <v>20</v>
      </c>
      <c r="F1347" s="42">
        <v>28</v>
      </c>
      <c r="G1347" s="44">
        <v>500000</v>
      </c>
      <c r="H1347" s="44">
        <v>14000000</v>
      </c>
      <c r="I1347" s="42" t="s">
        <v>2331</v>
      </c>
      <c r="J1347" s="42" t="s">
        <v>47</v>
      </c>
    </row>
    <row r="1348" spans="1:10" x14ac:dyDescent="0.3">
      <c r="A1348" s="42" t="s">
        <v>1099</v>
      </c>
      <c r="B1348" s="43">
        <v>45912</v>
      </c>
      <c r="C1348" s="42" t="s">
        <v>10</v>
      </c>
      <c r="D1348" s="42" t="s">
        <v>11</v>
      </c>
      <c r="E1348" s="42" t="s">
        <v>12</v>
      </c>
      <c r="F1348" s="42">
        <v>41</v>
      </c>
      <c r="G1348" s="44">
        <v>120000</v>
      </c>
      <c r="H1348" s="44">
        <v>4920000</v>
      </c>
      <c r="I1348" s="42" t="s">
        <v>1716</v>
      </c>
      <c r="J1348" s="42" t="s">
        <v>127</v>
      </c>
    </row>
    <row r="1349" spans="1:10" x14ac:dyDescent="0.3">
      <c r="A1349" s="42" t="s">
        <v>1100</v>
      </c>
      <c r="B1349" s="43">
        <v>45912</v>
      </c>
      <c r="C1349" s="42" t="s">
        <v>31</v>
      </c>
      <c r="D1349" s="42" t="s">
        <v>32</v>
      </c>
      <c r="E1349" s="42" t="s">
        <v>20</v>
      </c>
      <c r="F1349" s="42">
        <v>33</v>
      </c>
      <c r="G1349" s="44">
        <v>180000</v>
      </c>
      <c r="H1349" s="44">
        <v>5940000</v>
      </c>
      <c r="I1349" s="42" t="s">
        <v>2761</v>
      </c>
      <c r="J1349" s="42" t="s">
        <v>69</v>
      </c>
    </row>
    <row r="1350" spans="1:10" x14ac:dyDescent="0.3">
      <c r="A1350" s="42" t="s">
        <v>1101</v>
      </c>
      <c r="B1350" s="43">
        <v>45912</v>
      </c>
      <c r="C1350" s="42" t="s">
        <v>44</v>
      </c>
      <c r="D1350" s="42" t="s">
        <v>45</v>
      </c>
      <c r="E1350" s="42" t="s">
        <v>16</v>
      </c>
      <c r="F1350" s="42">
        <v>42</v>
      </c>
      <c r="G1350" s="44">
        <v>250000</v>
      </c>
      <c r="H1350" s="44">
        <v>10500000</v>
      </c>
      <c r="I1350" s="42" t="s">
        <v>2192</v>
      </c>
      <c r="J1350" s="42" t="s">
        <v>8</v>
      </c>
    </row>
    <row r="1351" spans="1:10" x14ac:dyDescent="0.3">
      <c r="A1351" s="42" t="s">
        <v>1102</v>
      </c>
      <c r="B1351" s="43">
        <v>45912</v>
      </c>
      <c r="C1351" s="42" t="s">
        <v>22</v>
      </c>
      <c r="D1351" s="42" t="s">
        <v>23</v>
      </c>
      <c r="E1351" s="42" t="s">
        <v>12</v>
      </c>
      <c r="F1351" s="42">
        <v>35</v>
      </c>
      <c r="G1351" s="44">
        <v>25000</v>
      </c>
      <c r="H1351" s="44">
        <v>875000</v>
      </c>
      <c r="I1351" s="42" t="s">
        <v>1970</v>
      </c>
      <c r="J1351" s="42" t="s">
        <v>127</v>
      </c>
    </row>
    <row r="1352" spans="1:10" x14ac:dyDescent="0.3">
      <c r="A1352" s="42" t="s">
        <v>1103</v>
      </c>
      <c r="B1352" s="43">
        <v>45912</v>
      </c>
      <c r="C1352" s="42" t="s">
        <v>40</v>
      </c>
      <c r="D1352" s="42" t="s">
        <v>41</v>
      </c>
      <c r="E1352" s="42" t="s">
        <v>16</v>
      </c>
      <c r="F1352" s="42">
        <v>18</v>
      </c>
      <c r="G1352" s="44">
        <v>950000</v>
      </c>
      <c r="H1352" s="44">
        <v>17100000</v>
      </c>
      <c r="I1352" s="42" t="s">
        <v>2305</v>
      </c>
      <c r="J1352" s="42" t="s">
        <v>8</v>
      </c>
    </row>
    <row r="1353" spans="1:10" x14ac:dyDescent="0.3">
      <c r="A1353" s="42" t="s">
        <v>1104</v>
      </c>
      <c r="B1353" s="43">
        <v>45912</v>
      </c>
      <c r="C1353" s="42" t="s">
        <v>14</v>
      </c>
      <c r="D1353" s="42" t="s">
        <v>15</v>
      </c>
      <c r="E1353" s="42" t="s">
        <v>16</v>
      </c>
      <c r="F1353" s="42">
        <v>310</v>
      </c>
      <c r="G1353" s="44">
        <v>350000</v>
      </c>
      <c r="H1353" s="44">
        <v>108500000</v>
      </c>
      <c r="I1353" s="42" t="s">
        <v>2567</v>
      </c>
      <c r="J1353" s="42" t="s">
        <v>8</v>
      </c>
    </row>
    <row r="1354" spans="1:10" x14ac:dyDescent="0.3">
      <c r="A1354" s="42" t="s">
        <v>1105</v>
      </c>
      <c r="B1354" s="43">
        <v>45915</v>
      </c>
      <c r="C1354" s="42" t="s">
        <v>18</v>
      </c>
      <c r="D1354" s="42" t="s">
        <v>19</v>
      </c>
      <c r="E1354" s="42" t="s">
        <v>20</v>
      </c>
      <c r="F1354" s="42">
        <v>470</v>
      </c>
      <c r="G1354" s="44">
        <v>500000</v>
      </c>
      <c r="H1354" s="44">
        <v>235000000</v>
      </c>
      <c r="I1354" s="42" t="s">
        <v>2533</v>
      </c>
      <c r="J1354" s="42" t="s">
        <v>8</v>
      </c>
    </row>
    <row r="1355" spans="1:10" x14ac:dyDescent="0.3">
      <c r="A1355" s="42" t="s">
        <v>1106</v>
      </c>
      <c r="B1355" s="43">
        <v>45915</v>
      </c>
      <c r="C1355" s="42" t="s">
        <v>44</v>
      </c>
      <c r="D1355" s="42" t="s">
        <v>45</v>
      </c>
      <c r="E1355" s="42" t="s">
        <v>16</v>
      </c>
      <c r="F1355" s="42">
        <v>8</v>
      </c>
      <c r="G1355" s="44">
        <v>250000</v>
      </c>
      <c r="H1355" s="44">
        <v>2000000</v>
      </c>
      <c r="I1355" s="42" t="s">
        <v>2818</v>
      </c>
      <c r="J1355" s="42" t="s">
        <v>127</v>
      </c>
    </row>
    <row r="1356" spans="1:10" x14ac:dyDescent="0.3">
      <c r="A1356" s="42" t="s">
        <v>1107</v>
      </c>
      <c r="B1356" s="43">
        <v>45915</v>
      </c>
      <c r="C1356" s="42" t="s">
        <v>40</v>
      </c>
      <c r="D1356" s="42" t="s">
        <v>41</v>
      </c>
      <c r="E1356" s="42" t="s">
        <v>16</v>
      </c>
      <c r="F1356" s="42">
        <v>49</v>
      </c>
      <c r="G1356" s="44">
        <v>950000</v>
      </c>
      <c r="H1356" s="44">
        <v>46550000</v>
      </c>
      <c r="I1356" s="42" t="s">
        <v>2217</v>
      </c>
      <c r="J1356" s="42" t="s">
        <v>8</v>
      </c>
    </row>
    <row r="1357" spans="1:10" x14ac:dyDescent="0.3">
      <c r="A1357" s="42" t="s">
        <v>1145</v>
      </c>
      <c r="B1357" s="43">
        <v>45915</v>
      </c>
      <c r="C1357" s="42" t="s">
        <v>38</v>
      </c>
      <c r="D1357" s="42" t="s">
        <v>39</v>
      </c>
      <c r="E1357" s="42" t="s">
        <v>16</v>
      </c>
      <c r="F1357" s="42">
        <v>17</v>
      </c>
      <c r="G1357" s="44">
        <v>200000</v>
      </c>
      <c r="H1357" s="44">
        <v>3400000</v>
      </c>
      <c r="I1357" s="42" t="s">
        <v>2263</v>
      </c>
      <c r="J1357" s="42" t="s">
        <v>8</v>
      </c>
    </row>
    <row r="1358" spans="1:10" x14ac:dyDescent="0.3">
      <c r="A1358" s="42" t="s">
        <v>1146</v>
      </c>
      <c r="B1358" s="43">
        <v>45915</v>
      </c>
      <c r="C1358" s="42" t="s">
        <v>42</v>
      </c>
      <c r="D1358" s="42" t="s">
        <v>43</v>
      </c>
      <c r="E1358" s="42" t="s">
        <v>16</v>
      </c>
      <c r="F1358" s="42">
        <v>27</v>
      </c>
      <c r="G1358" s="44">
        <v>1200000</v>
      </c>
      <c r="H1358" s="44">
        <v>32400000</v>
      </c>
      <c r="I1358" s="42" t="s">
        <v>2797</v>
      </c>
      <c r="J1358" s="42" t="s">
        <v>47</v>
      </c>
    </row>
    <row r="1359" spans="1:10" x14ac:dyDescent="0.3">
      <c r="A1359" s="42" t="s">
        <v>1147</v>
      </c>
      <c r="B1359" s="43">
        <v>45915</v>
      </c>
      <c r="C1359" s="42" t="s">
        <v>38</v>
      </c>
      <c r="D1359" s="42" t="s">
        <v>39</v>
      </c>
      <c r="E1359" s="42" t="s">
        <v>16</v>
      </c>
      <c r="F1359" s="42">
        <v>8</v>
      </c>
      <c r="G1359" s="44">
        <v>200000</v>
      </c>
      <c r="H1359" s="44">
        <v>1600000</v>
      </c>
      <c r="I1359" s="42" t="s">
        <v>2667</v>
      </c>
      <c r="J1359" s="42" t="s">
        <v>8</v>
      </c>
    </row>
    <row r="1360" spans="1:10" x14ac:dyDescent="0.3">
      <c r="A1360" s="42" t="s">
        <v>1148</v>
      </c>
      <c r="B1360" s="43">
        <v>45915</v>
      </c>
      <c r="C1360" s="42" t="s">
        <v>22</v>
      </c>
      <c r="D1360" s="42" t="s">
        <v>23</v>
      </c>
      <c r="E1360" s="42" t="s">
        <v>12</v>
      </c>
      <c r="F1360" s="42">
        <v>6</v>
      </c>
      <c r="G1360" s="44">
        <v>25000</v>
      </c>
      <c r="H1360" s="44">
        <v>150000</v>
      </c>
      <c r="I1360" s="42" t="s">
        <v>307</v>
      </c>
      <c r="J1360" s="42" t="s">
        <v>127</v>
      </c>
    </row>
    <row r="1361" spans="1:10" x14ac:dyDescent="0.3">
      <c r="A1361" s="42" t="s">
        <v>1149</v>
      </c>
      <c r="B1361" s="43">
        <v>45917</v>
      </c>
      <c r="C1361" s="42" t="s">
        <v>38</v>
      </c>
      <c r="D1361" s="42" t="s">
        <v>39</v>
      </c>
      <c r="E1361" s="42" t="s">
        <v>16</v>
      </c>
      <c r="F1361" s="42">
        <v>45</v>
      </c>
      <c r="G1361" s="44">
        <v>200000</v>
      </c>
      <c r="H1361" s="44">
        <v>9000000</v>
      </c>
      <c r="I1361" s="42" t="s">
        <v>2662</v>
      </c>
      <c r="J1361" s="42" t="s">
        <v>127</v>
      </c>
    </row>
    <row r="1362" spans="1:10" x14ac:dyDescent="0.3">
      <c r="A1362" s="42" t="s">
        <v>1150</v>
      </c>
      <c r="B1362" s="43">
        <v>45917</v>
      </c>
      <c r="C1362" s="42" t="s">
        <v>14</v>
      </c>
      <c r="D1362" s="42" t="s">
        <v>15</v>
      </c>
      <c r="E1362" s="42" t="s">
        <v>16</v>
      </c>
      <c r="F1362" s="42">
        <v>5</v>
      </c>
      <c r="G1362" s="44">
        <v>350000</v>
      </c>
      <c r="H1362" s="44">
        <v>1750000</v>
      </c>
      <c r="I1362" s="42" t="s">
        <v>2649</v>
      </c>
      <c r="J1362" s="42" t="s">
        <v>60</v>
      </c>
    </row>
    <row r="1363" spans="1:10" x14ac:dyDescent="0.3">
      <c r="A1363" s="42" t="s">
        <v>1151</v>
      </c>
      <c r="B1363" s="43">
        <v>45917</v>
      </c>
      <c r="C1363" s="42" t="s">
        <v>18</v>
      </c>
      <c r="D1363" s="42" t="s">
        <v>19</v>
      </c>
      <c r="E1363" s="42" t="s">
        <v>20</v>
      </c>
      <c r="F1363" s="42">
        <v>18</v>
      </c>
      <c r="G1363" s="44">
        <v>500000</v>
      </c>
      <c r="H1363" s="44">
        <v>9000000</v>
      </c>
      <c r="I1363" s="42" t="s">
        <v>2660</v>
      </c>
      <c r="J1363" s="42" t="s">
        <v>69</v>
      </c>
    </row>
    <row r="1364" spans="1:10" x14ac:dyDescent="0.3">
      <c r="A1364" s="42" t="s">
        <v>1152</v>
      </c>
      <c r="B1364" s="43">
        <v>45917</v>
      </c>
      <c r="C1364" s="42" t="s">
        <v>14</v>
      </c>
      <c r="D1364" s="42" t="s">
        <v>15</v>
      </c>
      <c r="E1364" s="42" t="s">
        <v>16</v>
      </c>
      <c r="F1364" s="42">
        <v>23</v>
      </c>
      <c r="G1364" s="44">
        <v>350000</v>
      </c>
      <c r="H1364" s="44">
        <v>8050000</v>
      </c>
      <c r="I1364" s="42" t="s">
        <v>2221</v>
      </c>
      <c r="J1364" s="42" t="s">
        <v>60</v>
      </c>
    </row>
    <row r="1365" spans="1:10" x14ac:dyDescent="0.3">
      <c r="A1365" s="42" t="s">
        <v>1153</v>
      </c>
      <c r="B1365" s="43">
        <v>45917</v>
      </c>
      <c r="C1365" s="42" t="s">
        <v>14</v>
      </c>
      <c r="D1365" s="42" t="s">
        <v>15</v>
      </c>
      <c r="E1365" s="42" t="s">
        <v>16</v>
      </c>
      <c r="F1365" s="42">
        <v>370</v>
      </c>
      <c r="G1365" s="44">
        <v>350000</v>
      </c>
      <c r="H1365" s="44">
        <v>129500000</v>
      </c>
      <c r="I1365" s="42" t="s">
        <v>2686</v>
      </c>
      <c r="J1365" s="42" t="s">
        <v>8</v>
      </c>
    </row>
    <row r="1366" spans="1:10" x14ac:dyDescent="0.3">
      <c r="A1366" s="42" t="s">
        <v>1154</v>
      </c>
      <c r="B1366" s="43">
        <v>45917</v>
      </c>
      <c r="C1366" s="42" t="s">
        <v>10</v>
      </c>
      <c r="D1366" s="42" t="s">
        <v>11</v>
      </c>
      <c r="E1366" s="42" t="s">
        <v>12</v>
      </c>
      <c r="F1366" s="42">
        <v>10</v>
      </c>
      <c r="G1366" s="44">
        <v>120000</v>
      </c>
      <c r="H1366" s="44">
        <v>1200000</v>
      </c>
      <c r="I1366" s="42" t="s">
        <v>2464</v>
      </c>
      <c r="J1366" s="42" t="s">
        <v>8</v>
      </c>
    </row>
    <row r="1367" spans="1:10" x14ac:dyDescent="0.3">
      <c r="A1367" s="42" t="s">
        <v>1176</v>
      </c>
      <c r="B1367" s="43">
        <v>45917</v>
      </c>
      <c r="C1367" s="42" t="s">
        <v>31</v>
      </c>
      <c r="D1367" s="42" t="s">
        <v>32</v>
      </c>
      <c r="E1367" s="42" t="s">
        <v>20</v>
      </c>
      <c r="F1367" s="42">
        <v>12</v>
      </c>
      <c r="G1367" s="44">
        <v>180000</v>
      </c>
      <c r="H1367" s="44">
        <v>2160000</v>
      </c>
      <c r="I1367" s="42" t="s">
        <v>2817</v>
      </c>
      <c r="J1367" s="42" t="s">
        <v>127</v>
      </c>
    </row>
    <row r="1368" spans="1:10" x14ac:dyDescent="0.3">
      <c r="A1368" s="42" t="s">
        <v>1177</v>
      </c>
      <c r="B1368" s="43">
        <v>45918</v>
      </c>
      <c r="C1368" s="42" t="s">
        <v>18</v>
      </c>
      <c r="D1368" s="42" t="s">
        <v>19</v>
      </c>
      <c r="E1368" s="42" t="s">
        <v>20</v>
      </c>
      <c r="F1368" s="42">
        <v>28</v>
      </c>
      <c r="G1368" s="44">
        <v>500000</v>
      </c>
      <c r="H1368" s="44">
        <v>14000000</v>
      </c>
      <c r="I1368" s="42" t="s">
        <v>2356</v>
      </c>
      <c r="J1368" s="42" t="s">
        <v>8</v>
      </c>
    </row>
    <row r="1369" spans="1:10" x14ac:dyDescent="0.3">
      <c r="A1369" s="42" t="s">
        <v>1178</v>
      </c>
      <c r="B1369" s="43">
        <v>45918</v>
      </c>
      <c r="C1369" s="42" t="s">
        <v>42</v>
      </c>
      <c r="D1369" s="42" t="s">
        <v>43</v>
      </c>
      <c r="E1369" s="42" t="s">
        <v>16</v>
      </c>
      <c r="F1369" s="42">
        <v>42</v>
      </c>
      <c r="G1369" s="44">
        <v>1200000</v>
      </c>
      <c r="H1369" s="44">
        <v>50400000</v>
      </c>
      <c r="I1369" s="42" t="s">
        <v>2846</v>
      </c>
      <c r="J1369" s="42" t="s">
        <v>127</v>
      </c>
    </row>
    <row r="1370" spans="1:10" x14ac:dyDescent="0.3">
      <c r="A1370" s="42" t="s">
        <v>1179</v>
      </c>
      <c r="B1370" s="43">
        <v>45918</v>
      </c>
      <c r="C1370" s="42" t="s">
        <v>38</v>
      </c>
      <c r="D1370" s="42" t="s">
        <v>39</v>
      </c>
      <c r="E1370" s="42" t="s">
        <v>16</v>
      </c>
      <c r="F1370" s="42">
        <v>130</v>
      </c>
      <c r="G1370" s="44">
        <v>200000</v>
      </c>
      <c r="H1370" s="44">
        <v>26000000</v>
      </c>
      <c r="I1370" s="42" t="s">
        <v>2695</v>
      </c>
      <c r="J1370" s="42" t="s">
        <v>8</v>
      </c>
    </row>
    <row r="1371" spans="1:10" x14ac:dyDescent="0.3">
      <c r="A1371" s="42" t="s">
        <v>1180</v>
      </c>
      <c r="B1371" s="43">
        <v>45918</v>
      </c>
      <c r="C1371" s="42" t="s">
        <v>28</v>
      </c>
      <c r="D1371" s="42" t="s">
        <v>29</v>
      </c>
      <c r="E1371" s="42" t="s">
        <v>20</v>
      </c>
      <c r="F1371" s="42">
        <v>18</v>
      </c>
      <c r="G1371" s="44">
        <v>450000</v>
      </c>
      <c r="H1371" s="44">
        <v>8100000</v>
      </c>
      <c r="I1371" s="42" t="s">
        <v>2452</v>
      </c>
      <c r="J1371" s="42" t="s">
        <v>47</v>
      </c>
    </row>
    <row r="1372" spans="1:10" x14ac:dyDescent="0.3">
      <c r="A1372" s="42" t="s">
        <v>1181</v>
      </c>
      <c r="B1372" s="43">
        <v>45918</v>
      </c>
      <c r="C1372" s="42" t="s">
        <v>18</v>
      </c>
      <c r="D1372" s="42" t="s">
        <v>19</v>
      </c>
      <c r="E1372" s="42" t="s">
        <v>20</v>
      </c>
      <c r="F1372" s="42">
        <v>38</v>
      </c>
      <c r="G1372" s="44">
        <v>500000</v>
      </c>
      <c r="H1372" s="44">
        <v>19000000</v>
      </c>
      <c r="I1372" s="42" t="s">
        <v>2633</v>
      </c>
      <c r="J1372" s="42" t="s">
        <v>60</v>
      </c>
    </row>
    <row r="1373" spans="1:10" x14ac:dyDescent="0.3">
      <c r="A1373" s="42" t="s">
        <v>1182</v>
      </c>
      <c r="B1373" s="43">
        <v>45918</v>
      </c>
      <c r="C1373" s="42" t="s">
        <v>14</v>
      </c>
      <c r="D1373" s="42" t="s">
        <v>15</v>
      </c>
      <c r="E1373" s="42" t="s">
        <v>16</v>
      </c>
      <c r="F1373" s="42">
        <v>26</v>
      </c>
      <c r="G1373" s="44">
        <v>350000</v>
      </c>
      <c r="H1373" s="44">
        <v>9100000</v>
      </c>
      <c r="I1373" s="42" t="s">
        <v>2157</v>
      </c>
      <c r="J1373" s="42" t="s">
        <v>60</v>
      </c>
    </row>
    <row r="1374" spans="1:10" x14ac:dyDescent="0.3">
      <c r="A1374" s="42" t="s">
        <v>1225</v>
      </c>
      <c r="B1374" s="43">
        <v>45918</v>
      </c>
      <c r="C1374" s="42" t="s">
        <v>10</v>
      </c>
      <c r="D1374" s="42" t="s">
        <v>11</v>
      </c>
      <c r="E1374" s="42" t="s">
        <v>12</v>
      </c>
      <c r="F1374" s="42">
        <v>10</v>
      </c>
      <c r="G1374" s="44">
        <v>120000</v>
      </c>
      <c r="H1374" s="44">
        <v>1200000</v>
      </c>
      <c r="I1374" s="42" t="s">
        <v>307</v>
      </c>
      <c r="J1374" s="42" t="s">
        <v>127</v>
      </c>
    </row>
    <row r="1375" spans="1:10" x14ac:dyDescent="0.3">
      <c r="A1375" s="42" t="s">
        <v>1226</v>
      </c>
      <c r="B1375" s="43">
        <v>45918</v>
      </c>
      <c r="C1375" s="42" t="s">
        <v>22</v>
      </c>
      <c r="D1375" s="42" t="s">
        <v>23</v>
      </c>
      <c r="E1375" s="42" t="s">
        <v>12</v>
      </c>
      <c r="F1375" s="42">
        <v>20</v>
      </c>
      <c r="G1375" s="44">
        <v>25000</v>
      </c>
      <c r="H1375" s="44">
        <v>500000</v>
      </c>
      <c r="I1375" s="42" t="s">
        <v>2634</v>
      </c>
      <c r="J1375" s="42" t="s">
        <v>69</v>
      </c>
    </row>
    <row r="1376" spans="1:10" x14ac:dyDescent="0.3">
      <c r="A1376" s="42" t="s">
        <v>1227</v>
      </c>
      <c r="B1376" s="43">
        <v>45918</v>
      </c>
      <c r="C1376" s="42" t="s">
        <v>40</v>
      </c>
      <c r="D1376" s="42" t="s">
        <v>41</v>
      </c>
      <c r="E1376" s="42" t="s">
        <v>16</v>
      </c>
      <c r="F1376" s="42">
        <v>8</v>
      </c>
      <c r="G1376" s="44">
        <v>950000</v>
      </c>
      <c r="H1376" s="44">
        <v>7600000</v>
      </c>
      <c r="I1376" s="42" t="s">
        <v>2845</v>
      </c>
      <c r="J1376" s="42" t="s">
        <v>8</v>
      </c>
    </row>
    <row r="1377" spans="1:10" x14ac:dyDescent="0.3">
      <c r="A1377" s="42" t="s">
        <v>1228</v>
      </c>
      <c r="B1377" s="43">
        <v>45918</v>
      </c>
      <c r="C1377" s="42" t="s">
        <v>18</v>
      </c>
      <c r="D1377" s="42" t="s">
        <v>19</v>
      </c>
      <c r="E1377" s="42" t="s">
        <v>20</v>
      </c>
      <c r="F1377" s="42">
        <v>15</v>
      </c>
      <c r="G1377" s="44">
        <v>500000</v>
      </c>
      <c r="H1377" s="44">
        <v>7500000</v>
      </c>
      <c r="I1377" s="42" t="s">
        <v>2650</v>
      </c>
      <c r="J1377" s="42" t="s">
        <v>127</v>
      </c>
    </row>
    <row r="1378" spans="1:10" x14ac:dyDescent="0.3">
      <c r="A1378" s="42" t="s">
        <v>1229</v>
      </c>
      <c r="B1378" s="43">
        <v>45918</v>
      </c>
      <c r="C1378" s="42" t="s">
        <v>22</v>
      </c>
      <c r="D1378" s="42" t="s">
        <v>23</v>
      </c>
      <c r="E1378" s="42" t="s">
        <v>12</v>
      </c>
      <c r="F1378" s="42">
        <v>12</v>
      </c>
      <c r="G1378" s="44">
        <v>25000</v>
      </c>
      <c r="H1378" s="44">
        <v>300000</v>
      </c>
      <c r="I1378" s="42" t="s">
        <v>1398</v>
      </c>
      <c r="J1378" s="42" t="s">
        <v>127</v>
      </c>
    </row>
    <row r="1379" spans="1:10" x14ac:dyDescent="0.3">
      <c r="A1379" s="42" t="s">
        <v>1230</v>
      </c>
      <c r="B1379" s="43">
        <v>45918</v>
      </c>
      <c r="C1379" s="42" t="s">
        <v>14</v>
      </c>
      <c r="D1379" s="42" t="s">
        <v>15</v>
      </c>
      <c r="E1379" s="42" t="s">
        <v>16</v>
      </c>
      <c r="F1379" s="42">
        <v>19</v>
      </c>
      <c r="G1379" s="44">
        <v>350000</v>
      </c>
      <c r="H1379" s="44">
        <v>6650000</v>
      </c>
      <c r="I1379" s="42" t="s">
        <v>2224</v>
      </c>
      <c r="J1379" s="42" t="s">
        <v>127</v>
      </c>
    </row>
    <row r="1380" spans="1:10" x14ac:dyDescent="0.3">
      <c r="A1380" s="42" t="s">
        <v>1231</v>
      </c>
      <c r="B1380" s="43">
        <v>45918</v>
      </c>
      <c r="C1380" s="42" t="s">
        <v>44</v>
      </c>
      <c r="D1380" s="42" t="s">
        <v>45</v>
      </c>
      <c r="E1380" s="42" t="s">
        <v>16</v>
      </c>
      <c r="F1380" s="42">
        <v>33</v>
      </c>
      <c r="G1380" s="44">
        <v>250000</v>
      </c>
      <c r="H1380" s="44">
        <v>8250000</v>
      </c>
      <c r="I1380" s="42" t="s">
        <v>2839</v>
      </c>
      <c r="J1380" s="42" t="s">
        <v>47</v>
      </c>
    </row>
    <row r="1381" spans="1:10" x14ac:dyDescent="0.3">
      <c r="A1381" s="42" t="s">
        <v>1258</v>
      </c>
      <c r="B1381" s="43">
        <v>45918</v>
      </c>
      <c r="C1381" s="42" t="s">
        <v>40</v>
      </c>
      <c r="D1381" s="42" t="s">
        <v>41</v>
      </c>
      <c r="E1381" s="42" t="s">
        <v>16</v>
      </c>
      <c r="F1381" s="42">
        <v>15</v>
      </c>
      <c r="G1381" s="44">
        <v>950000</v>
      </c>
      <c r="H1381" s="44">
        <v>14250000</v>
      </c>
      <c r="I1381" s="42" t="s">
        <v>2516</v>
      </c>
      <c r="J1381" s="42" t="s">
        <v>60</v>
      </c>
    </row>
    <row r="1382" spans="1:10" x14ac:dyDescent="0.3">
      <c r="A1382" s="42" t="s">
        <v>1259</v>
      </c>
      <c r="B1382" s="43">
        <v>45918</v>
      </c>
      <c r="C1382" s="42" t="s">
        <v>38</v>
      </c>
      <c r="D1382" s="42" t="s">
        <v>39</v>
      </c>
      <c r="E1382" s="42" t="s">
        <v>16</v>
      </c>
      <c r="F1382" s="42">
        <v>15</v>
      </c>
      <c r="G1382" s="44">
        <v>200000</v>
      </c>
      <c r="H1382" s="44">
        <v>3000000</v>
      </c>
      <c r="I1382" s="42" t="s">
        <v>2538</v>
      </c>
      <c r="J1382" s="42" t="s">
        <v>127</v>
      </c>
    </row>
    <row r="1383" spans="1:10" x14ac:dyDescent="0.3">
      <c r="A1383" s="42" t="s">
        <v>1260</v>
      </c>
      <c r="B1383" s="43">
        <v>45919</v>
      </c>
      <c r="C1383" s="42" t="s">
        <v>42</v>
      </c>
      <c r="D1383" s="42" t="s">
        <v>43</v>
      </c>
      <c r="E1383" s="42" t="s">
        <v>16</v>
      </c>
      <c r="F1383" s="42">
        <v>8</v>
      </c>
      <c r="G1383" s="44">
        <v>1200000</v>
      </c>
      <c r="H1383" s="44">
        <v>9600000</v>
      </c>
      <c r="I1383" s="42" t="s">
        <v>2365</v>
      </c>
      <c r="J1383" s="42" t="s">
        <v>60</v>
      </c>
    </row>
    <row r="1384" spans="1:10" x14ac:dyDescent="0.3">
      <c r="A1384" s="42" t="s">
        <v>1261</v>
      </c>
      <c r="B1384" s="43">
        <v>45919</v>
      </c>
      <c r="C1384" s="42" t="s">
        <v>22</v>
      </c>
      <c r="D1384" s="42" t="s">
        <v>23</v>
      </c>
      <c r="E1384" s="42" t="s">
        <v>12</v>
      </c>
      <c r="F1384" s="42">
        <v>300</v>
      </c>
      <c r="G1384" s="44">
        <v>25000</v>
      </c>
      <c r="H1384" s="44">
        <v>7500000</v>
      </c>
      <c r="I1384" s="42" t="s">
        <v>2245</v>
      </c>
      <c r="J1384" s="42" t="s">
        <v>127</v>
      </c>
    </row>
    <row r="1385" spans="1:10" x14ac:dyDescent="0.3">
      <c r="A1385" s="42" t="s">
        <v>1262</v>
      </c>
      <c r="B1385" s="43">
        <v>45919</v>
      </c>
      <c r="C1385" s="42" t="s">
        <v>10</v>
      </c>
      <c r="D1385" s="42" t="s">
        <v>11</v>
      </c>
      <c r="E1385" s="42" t="s">
        <v>12</v>
      </c>
      <c r="F1385" s="42">
        <v>10</v>
      </c>
      <c r="G1385" s="44">
        <v>120000</v>
      </c>
      <c r="H1385" s="44">
        <v>1200000</v>
      </c>
      <c r="I1385" s="42" t="s">
        <v>2364</v>
      </c>
      <c r="J1385" s="42" t="s">
        <v>127</v>
      </c>
    </row>
    <row r="1386" spans="1:10" x14ac:dyDescent="0.3">
      <c r="A1386" s="42" t="s">
        <v>1263</v>
      </c>
      <c r="B1386" s="43">
        <v>45919</v>
      </c>
      <c r="C1386" s="42" t="s">
        <v>18</v>
      </c>
      <c r="D1386" s="42" t="s">
        <v>19</v>
      </c>
      <c r="E1386" s="42" t="s">
        <v>20</v>
      </c>
      <c r="F1386" s="42">
        <v>21</v>
      </c>
      <c r="G1386" s="44">
        <v>500000</v>
      </c>
      <c r="H1386" s="44">
        <v>10500000</v>
      </c>
      <c r="I1386" s="42" t="s">
        <v>2554</v>
      </c>
      <c r="J1386" s="42" t="s">
        <v>127</v>
      </c>
    </row>
    <row r="1387" spans="1:10" x14ac:dyDescent="0.3">
      <c r="A1387" s="42" t="s">
        <v>1264</v>
      </c>
      <c r="B1387" s="43">
        <v>45919</v>
      </c>
      <c r="C1387" s="42" t="s">
        <v>18</v>
      </c>
      <c r="D1387" s="42" t="s">
        <v>19</v>
      </c>
      <c r="E1387" s="42" t="s">
        <v>20</v>
      </c>
      <c r="F1387" s="42">
        <v>360</v>
      </c>
      <c r="G1387" s="44">
        <v>500000</v>
      </c>
      <c r="H1387" s="44">
        <v>180000000</v>
      </c>
      <c r="I1387" s="42" t="s">
        <v>2149</v>
      </c>
      <c r="J1387" s="42" t="s">
        <v>127</v>
      </c>
    </row>
    <row r="1388" spans="1:10" x14ac:dyDescent="0.3">
      <c r="A1388" s="42" t="s">
        <v>1265</v>
      </c>
      <c r="B1388" s="43">
        <v>45919</v>
      </c>
      <c r="C1388" s="42" t="s">
        <v>10</v>
      </c>
      <c r="D1388" s="42" t="s">
        <v>11</v>
      </c>
      <c r="E1388" s="42" t="s">
        <v>12</v>
      </c>
      <c r="F1388" s="42">
        <v>28</v>
      </c>
      <c r="G1388" s="44">
        <v>120000</v>
      </c>
      <c r="H1388" s="44">
        <v>3360000</v>
      </c>
      <c r="I1388" s="42" t="s">
        <v>2661</v>
      </c>
      <c r="J1388" s="42" t="s">
        <v>60</v>
      </c>
    </row>
    <row r="1389" spans="1:10" x14ac:dyDescent="0.3">
      <c r="A1389" s="42" t="s">
        <v>1266</v>
      </c>
      <c r="B1389" s="43">
        <v>45919</v>
      </c>
      <c r="C1389" s="42" t="s">
        <v>14</v>
      </c>
      <c r="D1389" s="42" t="s">
        <v>15</v>
      </c>
      <c r="E1389" s="42" t="s">
        <v>16</v>
      </c>
      <c r="F1389" s="42">
        <v>34</v>
      </c>
      <c r="G1389" s="44">
        <v>350000</v>
      </c>
      <c r="H1389" s="44">
        <v>11900000</v>
      </c>
      <c r="I1389" s="42" t="s">
        <v>2554</v>
      </c>
      <c r="J1389" s="42" t="s">
        <v>127</v>
      </c>
    </row>
    <row r="1390" spans="1:10" x14ac:dyDescent="0.3">
      <c r="A1390" s="42" t="s">
        <v>1267</v>
      </c>
      <c r="B1390" s="43">
        <v>45919</v>
      </c>
      <c r="C1390" s="42" t="s">
        <v>10</v>
      </c>
      <c r="D1390" s="42" t="s">
        <v>11</v>
      </c>
      <c r="E1390" s="42" t="s">
        <v>12</v>
      </c>
      <c r="F1390" s="42">
        <v>27</v>
      </c>
      <c r="G1390" s="44">
        <v>120000</v>
      </c>
      <c r="H1390" s="44">
        <v>3240000</v>
      </c>
      <c r="I1390" s="42" t="s">
        <v>2463</v>
      </c>
      <c r="J1390" s="42" t="s">
        <v>8</v>
      </c>
    </row>
    <row r="1391" spans="1:10" x14ac:dyDescent="0.3">
      <c r="A1391" s="42" t="s">
        <v>1268</v>
      </c>
      <c r="B1391" s="43">
        <v>45919</v>
      </c>
      <c r="C1391" s="42" t="s">
        <v>14</v>
      </c>
      <c r="D1391" s="42" t="s">
        <v>15</v>
      </c>
      <c r="E1391" s="42" t="s">
        <v>16</v>
      </c>
      <c r="F1391" s="42">
        <v>7</v>
      </c>
      <c r="G1391" s="44">
        <v>350000</v>
      </c>
      <c r="H1391" s="44">
        <v>2450000</v>
      </c>
      <c r="I1391" s="42" t="s">
        <v>2322</v>
      </c>
      <c r="J1391" s="42" t="s">
        <v>8</v>
      </c>
    </row>
    <row r="1392" spans="1:10" x14ac:dyDescent="0.3">
      <c r="A1392" s="42" t="s">
        <v>1269</v>
      </c>
      <c r="B1392" s="43">
        <v>45922</v>
      </c>
      <c r="C1392" s="42" t="s">
        <v>40</v>
      </c>
      <c r="D1392" s="42" t="s">
        <v>41</v>
      </c>
      <c r="E1392" s="42" t="s">
        <v>16</v>
      </c>
      <c r="F1392" s="42">
        <v>17</v>
      </c>
      <c r="G1392" s="44">
        <v>950000</v>
      </c>
      <c r="H1392" s="44">
        <v>16150000</v>
      </c>
      <c r="I1392" s="42" t="s">
        <v>2788</v>
      </c>
      <c r="J1392" s="42" t="s">
        <v>69</v>
      </c>
    </row>
    <row r="1393" spans="1:10" x14ac:dyDescent="0.3">
      <c r="A1393" s="42" t="s">
        <v>1270</v>
      </c>
      <c r="B1393" s="43">
        <v>45922</v>
      </c>
      <c r="C1393" s="42" t="s">
        <v>40</v>
      </c>
      <c r="D1393" s="42" t="s">
        <v>41</v>
      </c>
      <c r="E1393" s="42" t="s">
        <v>16</v>
      </c>
      <c r="F1393" s="42">
        <v>23</v>
      </c>
      <c r="G1393" s="44">
        <v>950000</v>
      </c>
      <c r="H1393" s="44">
        <v>21850000</v>
      </c>
      <c r="I1393" s="42" t="s">
        <v>2627</v>
      </c>
      <c r="J1393" s="42" t="s">
        <v>8</v>
      </c>
    </row>
    <row r="1394" spans="1:10" x14ac:dyDescent="0.3">
      <c r="A1394" s="42" t="s">
        <v>1308</v>
      </c>
      <c r="B1394" s="43">
        <v>45922</v>
      </c>
      <c r="C1394" s="42" t="s">
        <v>38</v>
      </c>
      <c r="D1394" s="42" t="s">
        <v>39</v>
      </c>
      <c r="E1394" s="42" t="s">
        <v>16</v>
      </c>
      <c r="F1394" s="42">
        <v>34</v>
      </c>
      <c r="G1394" s="44">
        <v>200000</v>
      </c>
      <c r="H1394" s="44">
        <v>6800000</v>
      </c>
      <c r="I1394" s="42" t="s">
        <v>78</v>
      </c>
      <c r="J1394" s="42" t="s">
        <v>127</v>
      </c>
    </row>
    <row r="1395" spans="1:10" x14ac:dyDescent="0.3">
      <c r="A1395" s="42" t="s">
        <v>1309</v>
      </c>
      <c r="B1395" s="43">
        <v>45922</v>
      </c>
      <c r="C1395" s="42" t="s">
        <v>31</v>
      </c>
      <c r="D1395" s="42" t="s">
        <v>32</v>
      </c>
      <c r="E1395" s="42" t="s">
        <v>20</v>
      </c>
      <c r="F1395" s="42">
        <v>29</v>
      </c>
      <c r="G1395" s="44">
        <v>180000</v>
      </c>
      <c r="H1395" s="44">
        <v>5220000</v>
      </c>
      <c r="I1395" s="42" t="s">
        <v>2635</v>
      </c>
      <c r="J1395" s="42" t="s">
        <v>47</v>
      </c>
    </row>
    <row r="1396" spans="1:10" x14ac:dyDescent="0.3">
      <c r="A1396" s="42" t="s">
        <v>1310</v>
      </c>
      <c r="B1396" s="43">
        <v>45922</v>
      </c>
      <c r="C1396" s="42" t="s">
        <v>18</v>
      </c>
      <c r="D1396" s="42" t="s">
        <v>19</v>
      </c>
      <c r="E1396" s="42" t="s">
        <v>20</v>
      </c>
      <c r="F1396" s="42">
        <v>47</v>
      </c>
      <c r="G1396" s="44">
        <v>500000</v>
      </c>
      <c r="H1396" s="44">
        <v>23500000</v>
      </c>
      <c r="I1396" s="42" t="s">
        <v>2631</v>
      </c>
      <c r="J1396" s="42" t="s">
        <v>127</v>
      </c>
    </row>
    <row r="1397" spans="1:10" x14ac:dyDescent="0.3">
      <c r="A1397" s="42" t="s">
        <v>1311</v>
      </c>
      <c r="B1397" s="43">
        <v>45922</v>
      </c>
      <c r="C1397" s="42" t="s">
        <v>42</v>
      </c>
      <c r="D1397" s="42" t="s">
        <v>43</v>
      </c>
      <c r="E1397" s="42" t="s">
        <v>16</v>
      </c>
      <c r="F1397" s="42">
        <v>370</v>
      </c>
      <c r="G1397" s="44">
        <v>1200000</v>
      </c>
      <c r="H1397" s="44">
        <v>444000000</v>
      </c>
      <c r="I1397" s="42" t="s">
        <v>2567</v>
      </c>
      <c r="J1397" s="42" t="s">
        <v>8</v>
      </c>
    </row>
    <row r="1398" spans="1:10" x14ac:dyDescent="0.3">
      <c r="A1398" s="42" t="s">
        <v>1312</v>
      </c>
      <c r="B1398" s="43">
        <v>45922</v>
      </c>
      <c r="C1398" s="42" t="s">
        <v>44</v>
      </c>
      <c r="D1398" s="42" t="s">
        <v>45</v>
      </c>
      <c r="E1398" s="42" t="s">
        <v>16</v>
      </c>
      <c r="F1398" s="42">
        <v>28</v>
      </c>
      <c r="G1398" s="44">
        <v>250000</v>
      </c>
      <c r="H1398" s="44">
        <v>7000000</v>
      </c>
      <c r="I1398" s="42" t="s">
        <v>2352</v>
      </c>
      <c r="J1398" s="42" t="s">
        <v>8</v>
      </c>
    </row>
    <row r="1399" spans="1:10" x14ac:dyDescent="0.3">
      <c r="A1399" s="42" t="s">
        <v>1313</v>
      </c>
      <c r="B1399" s="43">
        <v>45922</v>
      </c>
      <c r="C1399" s="42" t="s">
        <v>10</v>
      </c>
      <c r="D1399" s="42" t="s">
        <v>11</v>
      </c>
      <c r="E1399" s="42" t="s">
        <v>12</v>
      </c>
      <c r="F1399" s="42">
        <v>26</v>
      </c>
      <c r="G1399" s="44">
        <v>120000</v>
      </c>
      <c r="H1399" s="44">
        <v>3120000</v>
      </c>
      <c r="I1399" s="42" t="s">
        <v>2327</v>
      </c>
      <c r="J1399" s="42" t="s">
        <v>127</v>
      </c>
    </row>
    <row r="1400" spans="1:10" x14ac:dyDescent="0.3">
      <c r="A1400" s="42" t="s">
        <v>1348</v>
      </c>
      <c r="B1400" s="43">
        <v>45922</v>
      </c>
      <c r="C1400" s="42" t="s">
        <v>31</v>
      </c>
      <c r="D1400" s="42" t="s">
        <v>32</v>
      </c>
      <c r="E1400" s="42" t="s">
        <v>20</v>
      </c>
      <c r="F1400" s="42">
        <v>27</v>
      </c>
      <c r="G1400" s="44">
        <v>180000</v>
      </c>
      <c r="H1400" s="44">
        <v>4860000</v>
      </c>
      <c r="I1400" s="42" t="s">
        <v>258</v>
      </c>
      <c r="J1400" s="42" t="s">
        <v>47</v>
      </c>
    </row>
    <row r="1401" spans="1:10" x14ac:dyDescent="0.3">
      <c r="A1401" s="42" t="s">
        <v>1349</v>
      </c>
      <c r="B1401" s="43">
        <v>45922</v>
      </c>
      <c r="C1401" s="42" t="s">
        <v>18</v>
      </c>
      <c r="D1401" s="42" t="s">
        <v>19</v>
      </c>
      <c r="E1401" s="42" t="s">
        <v>20</v>
      </c>
      <c r="F1401" s="42">
        <v>14</v>
      </c>
      <c r="G1401" s="44">
        <v>500000</v>
      </c>
      <c r="H1401" s="44">
        <v>7000000</v>
      </c>
      <c r="I1401" s="42" t="s">
        <v>2777</v>
      </c>
      <c r="J1401" s="42" t="s">
        <v>8</v>
      </c>
    </row>
    <row r="1402" spans="1:10" x14ac:dyDescent="0.3">
      <c r="A1402" s="42" t="s">
        <v>1350</v>
      </c>
      <c r="B1402" s="43">
        <v>45922</v>
      </c>
      <c r="C1402" s="42" t="s">
        <v>40</v>
      </c>
      <c r="D1402" s="42" t="s">
        <v>41</v>
      </c>
      <c r="E1402" s="42" t="s">
        <v>16</v>
      </c>
      <c r="F1402" s="42">
        <v>48</v>
      </c>
      <c r="G1402" s="44">
        <v>950000</v>
      </c>
      <c r="H1402" s="44">
        <v>45600000</v>
      </c>
      <c r="I1402" s="42" t="s">
        <v>642</v>
      </c>
      <c r="J1402" s="42" t="s">
        <v>8</v>
      </c>
    </row>
    <row r="1403" spans="1:10" x14ac:dyDescent="0.3">
      <c r="A1403" s="42" t="s">
        <v>1351</v>
      </c>
      <c r="B1403" s="43">
        <v>45922</v>
      </c>
      <c r="C1403" s="42" t="s">
        <v>38</v>
      </c>
      <c r="D1403" s="42" t="s">
        <v>39</v>
      </c>
      <c r="E1403" s="42" t="s">
        <v>16</v>
      </c>
      <c r="F1403" s="42">
        <v>41</v>
      </c>
      <c r="G1403" s="44">
        <v>200000</v>
      </c>
      <c r="H1403" s="44">
        <v>8200000</v>
      </c>
      <c r="I1403" s="42" t="s">
        <v>2822</v>
      </c>
      <c r="J1403" s="42" t="s">
        <v>47</v>
      </c>
    </row>
    <row r="1404" spans="1:10" x14ac:dyDescent="0.3">
      <c r="A1404" s="42" t="s">
        <v>1352</v>
      </c>
      <c r="B1404" s="43">
        <v>45923</v>
      </c>
      <c r="C1404" s="42" t="s">
        <v>28</v>
      </c>
      <c r="D1404" s="42" t="s">
        <v>29</v>
      </c>
      <c r="E1404" s="42" t="s">
        <v>20</v>
      </c>
      <c r="F1404" s="42">
        <v>38</v>
      </c>
      <c r="G1404" s="44">
        <v>450000</v>
      </c>
      <c r="H1404" s="44">
        <v>17100000</v>
      </c>
      <c r="I1404" s="42" t="s">
        <v>2706</v>
      </c>
      <c r="J1404" s="42" t="s">
        <v>60</v>
      </c>
    </row>
    <row r="1405" spans="1:10" x14ac:dyDescent="0.3">
      <c r="A1405" s="42" t="s">
        <v>1353</v>
      </c>
      <c r="B1405" s="43">
        <v>45923</v>
      </c>
      <c r="C1405" s="42" t="s">
        <v>28</v>
      </c>
      <c r="D1405" s="42" t="s">
        <v>29</v>
      </c>
      <c r="E1405" s="42" t="s">
        <v>20</v>
      </c>
      <c r="F1405" s="42">
        <v>19</v>
      </c>
      <c r="G1405" s="44">
        <v>450000</v>
      </c>
      <c r="H1405" s="44">
        <v>8550000</v>
      </c>
      <c r="I1405" s="42" t="s">
        <v>2501</v>
      </c>
      <c r="J1405" s="42" t="s">
        <v>69</v>
      </c>
    </row>
    <row r="1406" spans="1:10" x14ac:dyDescent="0.3">
      <c r="A1406" s="42" t="s">
        <v>1354</v>
      </c>
      <c r="B1406" s="43">
        <v>45923</v>
      </c>
      <c r="C1406" s="42" t="s">
        <v>31</v>
      </c>
      <c r="D1406" s="42" t="s">
        <v>32</v>
      </c>
      <c r="E1406" s="42" t="s">
        <v>20</v>
      </c>
      <c r="F1406" s="42">
        <v>30</v>
      </c>
      <c r="G1406" s="44">
        <v>180000</v>
      </c>
      <c r="H1406" s="44">
        <v>5400000</v>
      </c>
      <c r="I1406" s="42" t="s">
        <v>2327</v>
      </c>
      <c r="J1406" s="42" t="s">
        <v>127</v>
      </c>
    </row>
    <row r="1407" spans="1:10" x14ac:dyDescent="0.3">
      <c r="A1407" s="42" t="s">
        <v>1385</v>
      </c>
      <c r="B1407" s="43">
        <v>45923</v>
      </c>
      <c r="C1407" s="42" t="s">
        <v>44</v>
      </c>
      <c r="D1407" s="42" t="s">
        <v>45</v>
      </c>
      <c r="E1407" s="42" t="s">
        <v>16</v>
      </c>
      <c r="F1407" s="42">
        <v>20</v>
      </c>
      <c r="G1407" s="44">
        <v>250000</v>
      </c>
      <c r="H1407" s="44">
        <v>5000000</v>
      </c>
      <c r="I1407" s="42" t="s">
        <v>2336</v>
      </c>
      <c r="J1407" s="42" t="s">
        <v>69</v>
      </c>
    </row>
    <row r="1408" spans="1:10" x14ac:dyDescent="0.3">
      <c r="A1408" s="42" t="s">
        <v>1386</v>
      </c>
      <c r="B1408" s="43">
        <v>45923</v>
      </c>
      <c r="C1408" s="42" t="s">
        <v>22</v>
      </c>
      <c r="D1408" s="42" t="s">
        <v>23</v>
      </c>
      <c r="E1408" s="42" t="s">
        <v>12</v>
      </c>
      <c r="F1408" s="42">
        <v>90</v>
      </c>
      <c r="G1408" s="44">
        <v>25000</v>
      </c>
      <c r="H1408" s="44">
        <v>2250000</v>
      </c>
      <c r="I1408" s="42" t="s">
        <v>2169</v>
      </c>
      <c r="J1408" s="42" t="s">
        <v>127</v>
      </c>
    </row>
    <row r="1409" spans="1:10" x14ac:dyDescent="0.3">
      <c r="A1409" s="42" t="s">
        <v>1422</v>
      </c>
      <c r="B1409" s="43">
        <v>45923</v>
      </c>
      <c r="C1409" s="42" t="s">
        <v>38</v>
      </c>
      <c r="D1409" s="42" t="s">
        <v>39</v>
      </c>
      <c r="E1409" s="42" t="s">
        <v>16</v>
      </c>
      <c r="F1409" s="42">
        <v>13</v>
      </c>
      <c r="G1409" s="44">
        <v>200000</v>
      </c>
      <c r="H1409" s="44">
        <v>2600000</v>
      </c>
      <c r="I1409" s="42" t="s">
        <v>2250</v>
      </c>
      <c r="J1409" s="42" t="s">
        <v>69</v>
      </c>
    </row>
    <row r="1410" spans="1:10" x14ac:dyDescent="0.3">
      <c r="A1410" s="42" t="s">
        <v>1423</v>
      </c>
      <c r="B1410" s="43">
        <v>45923</v>
      </c>
      <c r="C1410" s="42" t="s">
        <v>42</v>
      </c>
      <c r="D1410" s="42" t="s">
        <v>43</v>
      </c>
      <c r="E1410" s="42" t="s">
        <v>16</v>
      </c>
      <c r="F1410" s="42">
        <v>12</v>
      </c>
      <c r="G1410" s="44">
        <v>1200000</v>
      </c>
      <c r="H1410" s="44">
        <v>14400000</v>
      </c>
      <c r="I1410" s="42" t="s">
        <v>2809</v>
      </c>
      <c r="J1410" s="42" t="s">
        <v>47</v>
      </c>
    </row>
    <row r="1411" spans="1:10" x14ac:dyDescent="0.3">
      <c r="A1411" s="42" t="s">
        <v>1424</v>
      </c>
      <c r="B1411" s="43">
        <v>45923</v>
      </c>
      <c r="C1411" s="42" t="s">
        <v>14</v>
      </c>
      <c r="D1411" s="42" t="s">
        <v>15</v>
      </c>
      <c r="E1411" s="42" t="s">
        <v>16</v>
      </c>
      <c r="F1411" s="42">
        <v>45</v>
      </c>
      <c r="G1411" s="44">
        <v>350000</v>
      </c>
      <c r="H1411" s="44">
        <v>15750000</v>
      </c>
      <c r="I1411" s="42" t="s">
        <v>2273</v>
      </c>
      <c r="J1411" s="42" t="s">
        <v>60</v>
      </c>
    </row>
    <row r="1412" spans="1:10" x14ac:dyDescent="0.3">
      <c r="A1412" s="42" t="s">
        <v>1456</v>
      </c>
      <c r="B1412" s="43">
        <v>45923</v>
      </c>
      <c r="C1412" s="42" t="s">
        <v>22</v>
      </c>
      <c r="D1412" s="42" t="s">
        <v>23</v>
      </c>
      <c r="E1412" s="42" t="s">
        <v>12</v>
      </c>
      <c r="F1412" s="42">
        <v>31</v>
      </c>
      <c r="G1412" s="44">
        <v>25000</v>
      </c>
      <c r="H1412" s="44">
        <v>775000</v>
      </c>
      <c r="I1412" s="42" t="s">
        <v>2538</v>
      </c>
      <c r="J1412" s="42" t="s">
        <v>127</v>
      </c>
    </row>
    <row r="1413" spans="1:10" x14ac:dyDescent="0.3">
      <c r="A1413" s="42" t="s">
        <v>1457</v>
      </c>
      <c r="B1413" s="43">
        <v>45923</v>
      </c>
      <c r="C1413" s="42" t="s">
        <v>31</v>
      </c>
      <c r="D1413" s="42" t="s">
        <v>32</v>
      </c>
      <c r="E1413" s="42" t="s">
        <v>20</v>
      </c>
      <c r="F1413" s="42">
        <v>7</v>
      </c>
      <c r="G1413" s="44">
        <v>180000</v>
      </c>
      <c r="H1413" s="44">
        <v>1260000</v>
      </c>
      <c r="I1413" s="42" t="s">
        <v>2411</v>
      </c>
      <c r="J1413" s="42" t="s">
        <v>47</v>
      </c>
    </row>
    <row r="1414" spans="1:10" x14ac:dyDescent="0.3">
      <c r="A1414" s="42" t="s">
        <v>1458</v>
      </c>
      <c r="B1414" s="43">
        <v>45923</v>
      </c>
      <c r="C1414" s="42" t="s">
        <v>31</v>
      </c>
      <c r="D1414" s="42" t="s">
        <v>32</v>
      </c>
      <c r="E1414" s="42" t="s">
        <v>20</v>
      </c>
      <c r="F1414" s="42">
        <v>22</v>
      </c>
      <c r="G1414" s="44">
        <v>180000</v>
      </c>
      <c r="H1414" s="44">
        <v>3960000</v>
      </c>
      <c r="I1414" s="42" t="s">
        <v>2139</v>
      </c>
      <c r="J1414" s="42" t="s">
        <v>8</v>
      </c>
    </row>
    <row r="1415" spans="1:10" x14ac:dyDescent="0.3">
      <c r="A1415" s="42" t="s">
        <v>1459</v>
      </c>
      <c r="B1415" s="43">
        <v>45923</v>
      </c>
      <c r="C1415" s="42" t="s">
        <v>40</v>
      </c>
      <c r="D1415" s="42" t="s">
        <v>41</v>
      </c>
      <c r="E1415" s="42" t="s">
        <v>16</v>
      </c>
      <c r="F1415" s="42">
        <v>11</v>
      </c>
      <c r="G1415" s="44">
        <v>950000</v>
      </c>
      <c r="H1415" s="44">
        <v>10450000</v>
      </c>
      <c r="I1415" s="42" t="s">
        <v>2717</v>
      </c>
      <c r="J1415" s="42" t="s">
        <v>127</v>
      </c>
    </row>
    <row r="1416" spans="1:10" x14ac:dyDescent="0.3">
      <c r="A1416" s="42" t="s">
        <v>1460</v>
      </c>
      <c r="B1416" s="43">
        <v>45923</v>
      </c>
      <c r="C1416" s="42" t="s">
        <v>40</v>
      </c>
      <c r="D1416" s="42" t="s">
        <v>41</v>
      </c>
      <c r="E1416" s="42" t="s">
        <v>16</v>
      </c>
      <c r="F1416" s="42">
        <v>46</v>
      </c>
      <c r="G1416" s="44">
        <v>950000</v>
      </c>
      <c r="H1416" s="44">
        <v>43700000</v>
      </c>
      <c r="I1416" s="42" t="s">
        <v>68</v>
      </c>
      <c r="J1416" s="42" t="s">
        <v>8</v>
      </c>
    </row>
    <row r="1417" spans="1:10" x14ac:dyDescent="0.3">
      <c r="A1417" s="42" t="s">
        <v>1461</v>
      </c>
      <c r="B1417" s="43">
        <v>45924</v>
      </c>
      <c r="C1417" s="42" t="s">
        <v>38</v>
      </c>
      <c r="D1417" s="42" t="s">
        <v>39</v>
      </c>
      <c r="E1417" s="42" t="s">
        <v>16</v>
      </c>
      <c r="F1417" s="42">
        <v>33</v>
      </c>
      <c r="G1417" s="44">
        <v>200000</v>
      </c>
      <c r="H1417" s="44">
        <v>6600000</v>
      </c>
      <c r="I1417" s="42" t="s">
        <v>2427</v>
      </c>
      <c r="J1417" s="42" t="s">
        <v>8</v>
      </c>
    </row>
    <row r="1418" spans="1:10" x14ac:dyDescent="0.3">
      <c r="A1418" s="42" t="s">
        <v>1462</v>
      </c>
      <c r="B1418" s="43">
        <v>45924</v>
      </c>
      <c r="C1418" s="42" t="s">
        <v>22</v>
      </c>
      <c r="D1418" s="42" t="s">
        <v>23</v>
      </c>
      <c r="E1418" s="42" t="s">
        <v>12</v>
      </c>
      <c r="F1418" s="42">
        <v>10</v>
      </c>
      <c r="G1418" s="44">
        <v>25000</v>
      </c>
      <c r="H1418" s="44">
        <v>250000</v>
      </c>
      <c r="I1418" s="42" t="s">
        <v>2737</v>
      </c>
      <c r="J1418" s="42" t="s">
        <v>60</v>
      </c>
    </row>
    <row r="1419" spans="1:10" x14ac:dyDescent="0.3">
      <c r="A1419" s="42" t="s">
        <v>1497</v>
      </c>
      <c r="B1419" s="43">
        <v>45924</v>
      </c>
      <c r="C1419" s="42" t="s">
        <v>38</v>
      </c>
      <c r="D1419" s="42" t="s">
        <v>39</v>
      </c>
      <c r="E1419" s="42" t="s">
        <v>16</v>
      </c>
      <c r="F1419" s="42">
        <v>37</v>
      </c>
      <c r="G1419" s="44">
        <v>200000</v>
      </c>
      <c r="H1419" s="44">
        <v>7400000</v>
      </c>
      <c r="I1419" s="42" t="s">
        <v>2363</v>
      </c>
      <c r="J1419" s="42" t="s">
        <v>8</v>
      </c>
    </row>
    <row r="1420" spans="1:10" x14ac:dyDescent="0.3">
      <c r="A1420" s="42" t="s">
        <v>1498</v>
      </c>
      <c r="B1420" s="43">
        <v>45924</v>
      </c>
      <c r="C1420" s="42" t="s">
        <v>18</v>
      </c>
      <c r="D1420" s="42" t="s">
        <v>19</v>
      </c>
      <c r="E1420" s="42" t="s">
        <v>20</v>
      </c>
      <c r="F1420" s="42">
        <v>49</v>
      </c>
      <c r="G1420" s="44">
        <v>500000</v>
      </c>
      <c r="H1420" s="44">
        <v>24500000</v>
      </c>
      <c r="I1420" s="42" t="s">
        <v>2783</v>
      </c>
      <c r="J1420" s="42" t="s">
        <v>60</v>
      </c>
    </row>
    <row r="1421" spans="1:10" x14ac:dyDescent="0.3">
      <c r="A1421" s="42" t="s">
        <v>1499</v>
      </c>
      <c r="B1421" s="43">
        <v>45924</v>
      </c>
      <c r="C1421" s="42" t="s">
        <v>44</v>
      </c>
      <c r="D1421" s="42" t="s">
        <v>45</v>
      </c>
      <c r="E1421" s="42" t="s">
        <v>16</v>
      </c>
      <c r="F1421" s="42">
        <v>47</v>
      </c>
      <c r="G1421" s="44">
        <v>250000</v>
      </c>
      <c r="H1421" s="44">
        <v>11750000</v>
      </c>
      <c r="I1421" s="42" t="s">
        <v>2486</v>
      </c>
      <c r="J1421" s="42" t="s">
        <v>127</v>
      </c>
    </row>
    <row r="1422" spans="1:10" x14ac:dyDescent="0.3">
      <c r="A1422" s="42" t="s">
        <v>1500</v>
      </c>
      <c r="B1422" s="43">
        <v>45924</v>
      </c>
      <c r="C1422" s="42" t="s">
        <v>31</v>
      </c>
      <c r="D1422" s="42" t="s">
        <v>32</v>
      </c>
      <c r="E1422" s="42" t="s">
        <v>20</v>
      </c>
      <c r="F1422" s="42">
        <v>6</v>
      </c>
      <c r="G1422" s="44">
        <v>180000</v>
      </c>
      <c r="H1422" s="44">
        <v>1080000</v>
      </c>
      <c r="I1422" s="42" t="s">
        <v>2129</v>
      </c>
      <c r="J1422" s="42" t="s">
        <v>8</v>
      </c>
    </row>
    <row r="1423" spans="1:10" x14ac:dyDescent="0.3">
      <c r="A1423" s="42" t="s">
        <v>1501</v>
      </c>
      <c r="B1423" s="43">
        <v>45924</v>
      </c>
      <c r="C1423" s="42" t="s">
        <v>31</v>
      </c>
      <c r="D1423" s="42" t="s">
        <v>32</v>
      </c>
      <c r="E1423" s="42" t="s">
        <v>20</v>
      </c>
      <c r="F1423" s="42">
        <v>45</v>
      </c>
      <c r="G1423" s="44">
        <v>180000</v>
      </c>
      <c r="H1423" s="44">
        <v>8100000</v>
      </c>
      <c r="I1423" s="42" t="s">
        <v>2569</v>
      </c>
      <c r="J1423" s="42" t="s">
        <v>127</v>
      </c>
    </row>
    <row r="1424" spans="1:10" x14ac:dyDescent="0.3">
      <c r="A1424" s="42" t="s">
        <v>1502</v>
      </c>
      <c r="B1424" s="43">
        <v>45924</v>
      </c>
      <c r="C1424" s="42" t="s">
        <v>42</v>
      </c>
      <c r="D1424" s="42" t="s">
        <v>43</v>
      </c>
      <c r="E1424" s="42" t="s">
        <v>16</v>
      </c>
      <c r="F1424" s="42">
        <v>16</v>
      </c>
      <c r="G1424" s="44">
        <v>1200000</v>
      </c>
      <c r="H1424" s="44">
        <v>19200000</v>
      </c>
      <c r="I1424" s="42" t="s">
        <v>2312</v>
      </c>
      <c r="J1424" s="42" t="s">
        <v>127</v>
      </c>
    </row>
    <row r="1425" spans="1:10" x14ac:dyDescent="0.3">
      <c r="A1425" s="42" t="s">
        <v>1503</v>
      </c>
      <c r="B1425" s="43">
        <v>45924</v>
      </c>
      <c r="C1425" s="42" t="s">
        <v>31</v>
      </c>
      <c r="D1425" s="42" t="s">
        <v>32</v>
      </c>
      <c r="E1425" s="42" t="s">
        <v>20</v>
      </c>
      <c r="F1425" s="42">
        <v>250</v>
      </c>
      <c r="G1425" s="44">
        <v>180000</v>
      </c>
      <c r="H1425" s="44">
        <v>45000000</v>
      </c>
      <c r="I1425" s="42" t="s">
        <v>2299</v>
      </c>
      <c r="J1425" s="42" t="s">
        <v>127</v>
      </c>
    </row>
    <row r="1426" spans="1:10" x14ac:dyDescent="0.3">
      <c r="A1426" s="42" t="s">
        <v>1548</v>
      </c>
      <c r="B1426" s="43">
        <v>45924</v>
      </c>
      <c r="C1426" s="42" t="s">
        <v>10</v>
      </c>
      <c r="D1426" s="42" t="s">
        <v>11</v>
      </c>
      <c r="E1426" s="42" t="s">
        <v>12</v>
      </c>
      <c r="F1426" s="42">
        <v>27</v>
      </c>
      <c r="G1426" s="44">
        <v>120000</v>
      </c>
      <c r="H1426" s="44">
        <v>3240000</v>
      </c>
      <c r="I1426" s="42" t="s">
        <v>2513</v>
      </c>
      <c r="J1426" s="42" t="s">
        <v>47</v>
      </c>
    </row>
    <row r="1427" spans="1:10" x14ac:dyDescent="0.3">
      <c r="A1427" s="42" t="s">
        <v>1549</v>
      </c>
      <c r="B1427" s="43">
        <v>45924</v>
      </c>
      <c r="C1427" s="42" t="s">
        <v>14</v>
      </c>
      <c r="D1427" s="42" t="s">
        <v>15</v>
      </c>
      <c r="E1427" s="42" t="s">
        <v>16</v>
      </c>
      <c r="F1427" s="42">
        <v>16</v>
      </c>
      <c r="G1427" s="44">
        <v>350000</v>
      </c>
      <c r="H1427" s="44">
        <v>5600000</v>
      </c>
      <c r="I1427" s="42" t="s">
        <v>2459</v>
      </c>
      <c r="J1427" s="42" t="s">
        <v>69</v>
      </c>
    </row>
    <row r="1428" spans="1:10" x14ac:dyDescent="0.3">
      <c r="A1428" s="42" t="s">
        <v>1550</v>
      </c>
      <c r="B1428" s="43">
        <v>45924</v>
      </c>
      <c r="C1428" s="42" t="s">
        <v>18</v>
      </c>
      <c r="D1428" s="42" t="s">
        <v>19</v>
      </c>
      <c r="E1428" s="42" t="s">
        <v>20</v>
      </c>
      <c r="F1428" s="42">
        <v>40</v>
      </c>
      <c r="G1428" s="44">
        <v>500000</v>
      </c>
      <c r="H1428" s="44">
        <v>20000000</v>
      </c>
      <c r="I1428" s="42" t="s">
        <v>2809</v>
      </c>
      <c r="J1428" s="42" t="s">
        <v>47</v>
      </c>
    </row>
    <row r="1429" spans="1:10" x14ac:dyDescent="0.3">
      <c r="A1429" s="42" t="s">
        <v>1575</v>
      </c>
      <c r="B1429" s="43">
        <v>45924</v>
      </c>
      <c r="C1429" s="42" t="s">
        <v>10</v>
      </c>
      <c r="D1429" s="42" t="s">
        <v>11</v>
      </c>
      <c r="E1429" s="42" t="s">
        <v>12</v>
      </c>
      <c r="F1429" s="42">
        <v>48</v>
      </c>
      <c r="G1429" s="44">
        <v>120000</v>
      </c>
      <c r="H1429" s="44">
        <v>5760000</v>
      </c>
      <c r="I1429" s="42" t="s">
        <v>2545</v>
      </c>
      <c r="J1429" s="42" t="s">
        <v>60</v>
      </c>
    </row>
    <row r="1430" spans="1:10" x14ac:dyDescent="0.3">
      <c r="A1430" s="42" t="s">
        <v>1576</v>
      </c>
      <c r="B1430" s="43">
        <v>45924</v>
      </c>
      <c r="C1430" s="42" t="s">
        <v>10</v>
      </c>
      <c r="D1430" s="42" t="s">
        <v>11</v>
      </c>
      <c r="E1430" s="42" t="s">
        <v>12</v>
      </c>
      <c r="F1430" s="42">
        <v>34</v>
      </c>
      <c r="G1430" s="44">
        <v>120000</v>
      </c>
      <c r="H1430" s="44">
        <v>4080000</v>
      </c>
      <c r="I1430" s="42" t="s">
        <v>2127</v>
      </c>
      <c r="J1430" s="42" t="s">
        <v>127</v>
      </c>
    </row>
    <row r="1431" spans="1:10" x14ac:dyDescent="0.3">
      <c r="A1431" s="42" t="s">
        <v>1577</v>
      </c>
      <c r="B1431" s="43">
        <v>45924</v>
      </c>
      <c r="C1431" s="42" t="s">
        <v>42</v>
      </c>
      <c r="D1431" s="42" t="s">
        <v>43</v>
      </c>
      <c r="E1431" s="42" t="s">
        <v>16</v>
      </c>
      <c r="F1431" s="42">
        <v>440</v>
      </c>
      <c r="G1431" s="44">
        <v>1200000</v>
      </c>
      <c r="H1431" s="44">
        <v>528000000</v>
      </c>
      <c r="I1431" s="42" t="s">
        <v>2239</v>
      </c>
      <c r="J1431" s="42" t="s">
        <v>8</v>
      </c>
    </row>
    <row r="1432" spans="1:10" x14ac:dyDescent="0.3">
      <c r="A1432" s="42" t="s">
        <v>1578</v>
      </c>
      <c r="B1432" s="43">
        <v>45924</v>
      </c>
      <c r="C1432" s="42" t="s">
        <v>14</v>
      </c>
      <c r="D1432" s="42" t="s">
        <v>15</v>
      </c>
      <c r="E1432" s="42" t="s">
        <v>16</v>
      </c>
      <c r="F1432" s="42">
        <v>210</v>
      </c>
      <c r="G1432" s="44">
        <v>350000</v>
      </c>
      <c r="H1432" s="44">
        <v>73500000</v>
      </c>
      <c r="I1432" s="42" t="s">
        <v>2299</v>
      </c>
      <c r="J1432" s="42" t="s">
        <v>127</v>
      </c>
    </row>
    <row r="1433" spans="1:10" x14ac:dyDescent="0.3">
      <c r="A1433" s="42" t="s">
        <v>1579</v>
      </c>
      <c r="B1433" s="43">
        <v>45924</v>
      </c>
      <c r="C1433" s="42" t="s">
        <v>28</v>
      </c>
      <c r="D1433" s="42" t="s">
        <v>29</v>
      </c>
      <c r="E1433" s="42" t="s">
        <v>20</v>
      </c>
      <c r="F1433" s="42">
        <v>41</v>
      </c>
      <c r="G1433" s="44">
        <v>450000</v>
      </c>
      <c r="H1433" s="44">
        <v>18450000</v>
      </c>
      <c r="I1433" s="42" t="s">
        <v>184</v>
      </c>
      <c r="J1433" s="42" t="s">
        <v>127</v>
      </c>
    </row>
    <row r="1434" spans="1:10" x14ac:dyDescent="0.3">
      <c r="A1434" s="42" t="s">
        <v>1580</v>
      </c>
      <c r="B1434" s="43">
        <v>45925</v>
      </c>
      <c r="C1434" s="42" t="s">
        <v>42</v>
      </c>
      <c r="D1434" s="42" t="s">
        <v>43</v>
      </c>
      <c r="E1434" s="42" t="s">
        <v>16</v>
      </c>
      <c r="F1434" s="42">
        <v>33</v>
      </c>
      <c r="G1434" s="44">
        <v>1200000</v>
      </c>
      <c r="H1434" s="44">
        <v>39600000</v>
      </c>
      <c r="I1434" s="42" t="s">
        <v>2381</v>
      </c>
      <c r="J1434" s="42" t="s">
        <v>8</v>
      </c>
    </row>
    <row r="1435" spans="1:10" x14ac:dyDescent="0.3">
      <c r="A1435" s="42" t="s">
        <v>1581</v>
      </c>
      <c r="B1435" s="43">
        <v>45925</v>
      </c>
      <c r="C1435" s="42" t="s">
        <v>38</v>
      </c>
      <c r="D1435" s="42" t="s">
        <v>39</v>
      </c>
      <c r="E1435" s="42" t="s">
        <v>16</v>
      </c>
      <c r="F1435" s="42">
        <v>26</v>
      </c>
      <c r="G1435" s="44">
        <v>200000</v>
      </c>
      <c r="H1435" s="44">
        <v>5200000</v>
      </c>
      <c r="I1435" s="42" t="s">
        <v>2166</v>
      </c>
      <c r="J1435" s="42" t="s">
        <v>60</v>
      </c>
    </row>
    <row r="1436" spans="1:10" x14ac:dyDescent="0.3">
      <c r="A1436" s="42" t="s">
        <v>1599</v>
      </c>
      <c r="B1436" s="43">
        <v>45925</v>
      </c>
      <c r="C1436" s="42" t="s">
        <v>42</v>
      </c>
      <c r="D1436" s="42" t="s">
        <v>43</v>
      </c>
      <c r="E1436" s="42" t="s">
        <v>16</v>
      </c>
      <c r="F1436" s="42">
        <v>29</v>
      </c>
      <c r="G1436" s="44">
        <v>1200000</v>
      </c>
      <c r="H1436" s="44">
        <v>34800000</v>
      </c>
      <c r="I1436" s="42" t="s">
        <v>2118</v>
      </c>
      <c r="J1436" s="42" t="s">
        <v>69</v>
      </c>
    </row>
    <row r="1437" spans="1:10" x14ac:dyDescent="0.3">
      <c r="A1437" s="42" t="s">
        <v>1600</v>
      </c>
      <c r="B1437" s="43">
        <v>45925</v>
      </c>
      <c r="C1437" s="42" t="s">
        <v>22</v>
      </c>
      <c r="D1437" s="42" t="s">
        <v>23</v>
      </c>
      <c r="E1437" s="42" t="s">
        <v>12</v>
      </c>
      <c r="F1437" s="42">
        <v>10</v>
      </c>
      <c r="G1437" s="44">
        <v>25000</v>
      </c>
      <c r="H1437" s="44">
        <v>250000</v>
      </c>
      <c r="I1437" s="42" t="s">
        <v>2363</v>
      </c>
      <c r="J1437" s="42" t="s">
        <v>8</v>
      </c>
    </row>
    <row r="1438" spans="1:10" x14ac:dyDescent="0.3">
      <c r="A1438" s="42" t="s">
        <v>1601</v>
      </c>
      <c r="B1438" s="43">
        <v>45925</v>
      </c>
      <c r="C1438" s="42" t="s">
        <v>14</v>
      </c>
      <c r="D1438" s="42" t="s">
        <v>15</v>
      </c>
      <c r="E1438" s="42" t="s">
        <v>16</v>
      </c>
      <c r="F1438" s="42">
        <v>26</v>
      </c>
      <c r="G1438" s="44">
        <v>350000</v>
      </c>
      <c r="H1438" s="44">
        <v>9100000</v>
      </c>
      <c r="I1438" s="42" t="s">
        <v>2152</v>
      </c>
      <c r="J1438" s="42" t="s">
        <v>69</v>
      </c>
    </row>
    <row r="1439" spans="1:10" x14ac:dyDescent="0.3">
      <c r="A1439" s="42" t="s">
        <v>1626</v>
      </c>
      <c r="B1439" s="43">
        <v>45925</v>
      </c>
      <c r="C1439" s="42" t="s">
        <v>38</v>
      </c>
      <c r="D1439" s="42" t="s">
        <v>39</v>
      </c>
      <c r="E1439" s="42" t="s">
        <v>16</v>
      </c>
      <c r="F1439" s="42">
        <v>28</v>
      </c>
      <c r="G1439" s="44">
        <v>200000</v>
      </c>
      <c r="H1439" s="44">
        <v>5600000</v>
      </c>
      <c r="I1439" s="42" t="s">
        <v>2519</v>
      </c>
      <c r="J1439" s="42" t="s">
        <v>127</v>
      </c>
    </row>
    <row r="1440" spans="1:10" x14ac:dyDescent="0.3">
      <c r="A1440" s="42" t="s">
        <v>1627</v>
      </c>
      <c r="B1440" s="43">
        <v>45925</v>
      </c>
      <c r="C1440" s="42" t="s">
        <v>42</v>
      </c>
      <c r="D1440" s="42" t="s">
        <v>43</v>
      </c>
      <c r="E1440" s="42" t="s">
        <v>16</v>
      </c>
      <c r="F1440" s="42">
        <v>34</v>
      </c>
      <c r="G1440" s="44">
        <v>1200000</v>
      </c>
      <c r="H1440" s="44">
        <v>40800000</v>
      </c>
      <c r="I1440" s="42" t="s">
        <v>2469</v>
      </c>
      <c r="J1440" s="42" t="s">
        <v>69</v>
      </c>
    </row>
    <row r="1441" spans="1:10" x14ac:dyDescent="0.3">
      <c r="A1441" s="42" t="s">
        <v>1628</v>
      </c>
      <c r="B1441" s="43">
        <v>45925</v>
      </c>
      <c r="C1441" s="42" t="s">
        <v>40</v>
      </c>
      <c r="D1441" s="42" t="s">
        <v>41</v>
      </c>
      <c r="E1441" s="42" t="s">
        <v>16</v>
      </c>
      <c r="F1441" s="42">
        <v>13</v>
      </c>
      <c r="G1441" s="44">
        <v>950000</v>
      </c>
      <c r="H1441" s="44">
        <v>12350000</v>
      </c>
      <c r="I1441" s="42" t="s">
        <v>2738</v>
      </c>
      <c r="J1441" s="42" t="s">
        <v>8</v>
      </c>
    </row>
    <row r="1442" spans="1:10" x14ac:dyDescent="0.3">
      <c r="A1442" s="42" t="s">
        <v>1629</v>
      </c>
      <c r="B1442" s="43">
        <v>45926</v>
      </c>
      <c r="C1442" s="42" t="s">
        <v>44</v>
      </c>
      <c r="D1442" s="42" t="s">
        <v>45</v>
      </c>
      <c r="E1442" s="42" t="s">
        <v>16</v>
      </c>
      <c r="F1442" s="42">
        <v>27</v>
      </c>
      <c r="G1442" s="44">
        <v>250000</v>
      </c>
      <c r="H1442" s="44">
        <v>6750000</v>
      </c>
      <c r="I1442" s="42" t="s">
        <v>2152</v>
      </c>
      <c r="J1442" s="42" t="s">
        <v>69</v>
      </c>
    </row>
    <row r="1443" spans="1:10" x14ac:dyDescent="0.3">
      <c r="A1443" s="42" t="s">
        <v>1630</v>
      </c>
      <c r="B1443" s="43">
        <v>45926</v>
      </c>
      <c r="C1443" s="42" t="s">
        <v>38</v>
      </c>
      <c r="D1443" s="42" t="s">
        <v>39</v>
      </c>
      <c r="E1443" s="42" t="s">
        <v>16</v>
      </c>
      <c r="F1443" s="42">
        <v>5</v>
      </c>
      <c r="G1443" s="44">
        <v>200000</v>
      </c>
      <c r="H1443" s="44">
        <v>1000000</v>
      </c>
      <c r="I1443" s="42" t="s">
        <v>2265</v>
      </c>
      <c r="J1443" s="42" t="s">
        <v>127</v>
      </c>
    </row>
    <row r="1444" spans="1:10" x14ac:dyDescent="0.3">
      <c r="A1444" s="42" t="s">
        <v>1669</v>
      </c>
      <c r="B1444" s="43">
        <v>45926</v>
      </c>
      <c r="C1444" s="42" t="s">
        <v>38</v>
      </c>
      <c r="D1444" s="42" t="s">
        <v>39</v>
      </c>
      <c r="E1444" s="42" t="s">
        <v>16</v>
      </c>
      <c r="F1444" s="42">
        <v>19</v>
      </c>
      <c r="G1444" s="44">
        <v>200000</v>
      </c>
      <c r="H1444" s="44">
        <v>3800000</v>
      </c>
      <c r="I1444" s="42" t="s">
        <v>2318</v>
      </c>
      <c r="J1444" s="42" t="s">
        <v>47</v>
      </c>
    </row>
    <row r="1445" spans="1:10" x14ac:dyDescent="0.3">
      <c r="A1445" s="42" t="s">
        <v>1670</v>
      </c>
      <c r="B1445" s="43">
        <v>45926</v>
      </c>
      <c r="C1445" s="42" t="s">
        <v>42</v>
      </c>
      <c r="D1445" s="42" t="s">
        <v>43</v>
      </c>
      <c r="E1445" s="42" t="s">
        <v>16</v>
      </c>
      <c r="F1445" s="42">
        <v>8</v>
      </c>
      <c r="G1445" s="44">
        <v>1200000</v>
      </c>
      <c r="H1445" s="44">
        <v>9600000</v>
      </c>
      <c r="I1445" s="42" t="s">
        <v>2397</v>
      </c>
      <c r="J1445" s="42" t="s">
        <v>47</v>
      </c>
    </row>
    <row r="1446" spans="1:10" x14ac:dyDescent="0.3">
      <c r="A1446" s="42" t="s">
        <v>1671</v>
      </c>
      <c r="B1446" s="43">
        <v>45926</v>
      </c>
      <c r="C1446" s="42" t="s">
        <v>28</v>
      </c>
      <c r="D1446" s="42" t="s">
        <v>29</v>
      </c>
      <c r="E1446" s="42" t="s">
        <v>20</v>
      </c>
      <c r="F1446" s="42">
        <v>24</v>
      </c>
      <c r="G1446" s="44">
        <v>450000</v>
      </c>
      <c r="H1446" s="44">
        <v>10800000</v>
      </c>
      <c r="I1446" s="42" t="s">
        <v>2128</v>
      </c>
      <c r="J1446" s="42" t="s">
        <v>69</v>
      </c>
    </row>
    <row r="1447" spans="1:10" x14ac:dyDescent="0.3">
      <c r="A1447" s="42" t="s">
        <v>1672</v>
      </c>
      <c r="B1447" s="43">
        <v>45926</v>
      </c>
      <c r="C1447" s="42" t="s">
        <v>44</v>
      </c>
      <c r="D1447" s="42" t="s">
        <v>45</v>
      </c>
      <c r="E1447" s="42" t="s">
        <v>16</v>
      </c>
      <c r="F1447" s="42">
        <v>10</v>
      </c>
      <c r="G1447" s="44">
        <v>250000</v>
      </c>
      <c r="H1447" s="44">
        <v>2500000</v>
      </c>
      <c r="I1447" s="42" t="s">
        <v>2730</v>
      </c>
      <c r="J1447" s="42" t="s">
        <v>69</v>
      </c>
    </row>
    <row r="1448" spans="1:10" x14ac:dyDescent="0.3">
      <c r="A1448" s="42" t="s">
        <v>1673</v>
      </c>
      <c r="B1448" s="43">
        <v>45926</v>
      </c>
      <c r="C1448" s="42" t="s">
        <v>10</v>
      </c>
      <c r="D1448" s="42" t="s">
        <v>11</v>
      </c>
      <c r="E1448" s="42" t="s">
        <v>12</v>
      </c>
      <c r="F1448" s="42">
        <v>34</v>
      </c>
      <c r="G1448" s="44">
        <v>120000</v>
      </c>
      <c r="H1448" s="44">
        <v>4080000</v>
      </c>
      <c r="I1448" s="42" t="s">
        <v>2685</v>
      </c>
      <c r="J1448" s="42" t="s">
        <v>69</v>
      </c>
    </row>
    <row r="1449" spans="1:10" x14ac:dyDescent="0.3">
      <c r="A1449" s="42" t="s">
        <v>1674</v>
      </c>
      <c r="B1449" s="43">
        <v>45926</v>
      </c>
      <c r="C1449" s="42" t="s">
        <v>42</v>
      </c>
      <c r="D1449" s="42" t="s">
        <v>43</v>
      </c>
      <c r="E1449" s="42" t="s">
        <v>16</v>
      </c>
      <c r="F1449" s="42">
        <v>28</v>
      </c>
      <c r="G1449" s="44">
        <v>1200000</v>
      </c>
      <c r="H1449" s="44">
        <v>33600000</v>
      </c>
      <c r="I1449" s="42" t="s">
        <v>2705</v>
      </c>
      <c r="J1449" s="42" t="s">
        <v>69</v>
      </c>
    </row>
    <row r="1450" spans="1:10" x14ac:dyDescent="0.3">
      <c r="A1450" s="42" t="s">
        <v>1675</v>
      </c>
      <c r="B1450" s="43">
        <v>45926</v>
      </c>
      <c r="C1450" s="42" t="s">
        <v>44</v>
      </c>
      <c r="D1450" s="42" t="s">
        <v>45</v>
      </c>
      <c r="E1450" s="42" t="s">
        <v>16</v>
      </c>
      <c r="F1450" s="42">
        <v>36</v>
      </c>
      <c r="G1450" s="44">
        <v>250000</v>
      </c>
      <c r="H1450" s="44">
        <v>9000000</v>
      </c>
      <c r="I1450" s="42" t="s">
        <v>2656</v>
      </c>
      <c r="J1450" s="42" t="s">
        <v>127</v>
      </c>
    </row>
    <row r="1451" spans="1:10" x14ac:dyDescent="0.3">
      <c r="A1451" s="42" t="s">
        <v>1676</v>
      </c>
      <c r="B1451" s="43">
        <v>45926</v>
      </c>
      <c r="C1451" s="42" t="s">
        <v>10</v>
      </c>
      <c r="D1451" s="42" t="s">
        <v>11</v>
      </c>
      <c r="E1451" s="42" t="s">
        <v>12</v>
      </c>
      <c r="F1451" s="42">
        <v>21</v>
      </c>
      <c r="G1451" s="44">
        <v>120000</v>
      </c>
      <c r="H1451" s="44">
        <v>2520000</v>
      </c>
      <c r="I1451" s="42" t="s">
        <v>2783</v>
      </c>
      <c r="J1451" s="42" t="s">
        <v>60</v>
      </c>
    </row>
    <row r="1452" spans="1:10" x14ac:dyDescent="0.3">
      <c r="A1452" s="42" t="s">
        <v>1677</v>
      </c>
      <c r="B1452" s="43">
        <v>45926</v>
      </c>
      <c r="C1452" s="42" t="s">
        <v>31</v>
      </c>
      <c r="D1452" s="42" t="s">
        <v>32</v>
      </c>
      <c r="E1452" s="42" t="s">
        <v>20</v>
      </c>
      <c r="F1452" s="42">
        <v>39</v>
      </c>
      <c r="G1452" s="44">
        <v>180000</v>
      </c>
      <c r="H1452" s="44">
        <v>7020000</v>
      </c>
      <c r="I1452" s="42" t="s">
        <v>2453</v>
      </c>
      <c r="J1452" s="42" t="s">
        <v>8</v>
      </c>
    </row>
    <row r="1453" spans="1:10" x14ac:dyDescent="0.3">
      <c r="A1453" s="42" t="s">
        <v>1703</v>
      </c>
      <c r="B1453" s="43">
        <v>45929</v>
      </c>
      <c r="C1453" s="42" t="s">
        <v>42</v>
      </c>
      <c r="D1453" s="42" t="s">
        <v>43</v>
      </c>
      <c r="E1453" s="42" t="s">
        <v>16</v>
      </c>
      <c r="F1453" s="42">
        <v>5</v>
      </c>
      <c r="G1453" s="44">
        <v>1200000</v>
      </c>
      <c r="H1453" s="44">
        <v>6000000</v>
      </c>
      <c r="I1453" s="42" t="s">
        <v>2193</v>
      </c>
      <c r="J1453" s="42" t="s">
        <v>127</v>
      </c>
    </row>
    <row r="1454" spans="1:10" x14ac:dyDescent="0.3">
      <c r="A1454" s="42" t="s">
        <v>1704</v>
      </c>
      <c r="B1454" s="43">
        <v>45929</v>
      </c>
      <c r="C1454" s="42" t="s">
        <v>38</v>
      </c>
      <c r="D1454" s="42" t="s">
        <v>39</v>
      </c>
      <c r="E1454" s="42" t="s">
        <v>16</v>
      </c>
      <c r="F1454" s="42">
        <v>37</v>
      </c>
      <c r="G1454" s="44">
        <v>200000</v>
      </c>
      <c r="H1454" s="44">
        <v>7400000</v>
      </c>
      <c r="I1454" s="42" t="s">
        <v>2120</v>
      </c>
      <c r="J1454" s="42" t="s">
        <v>8</v>
      </c>
    </row>
    <row r="1455" spans="1:10" x14ac:dyDescent="0.3">
      <c r="A1455" s="42" t="s">
        <v>1705</v>
      </c>
      <c r="B1455" s="43">
        <v>45929</v>
      </c>
      <c r="C1455" s="42" t="s">
        <v>28</v>
      </c>
      <c r="D1455" s="42" t="s">
        <v>29</v>
      </c>
      <c r="E1455" s="42" t="s">
        <v>20</v>
      </c>
      <c r="F1455" s="42">
        <v>23</v>
      </c>
      <c r="G1455" s="44">
        <v>450000</v>
      </c>
      <c r="H1455" s="44">
        <v>10350000</v>
      </c>
      <c r="I1455" s="42" t="s">
        <v>2403</v>
      </c>
      <c r="J1455" s="42" t="s">
        <v>8</v>
      </c>
    </row>
    <row r="1456" spans="1:10" x14ac:dyDescent="0.3">
      <c r="A1456" s="42" t="s">
        <v>1706</v>
      </c>
      <c r="B1456" s="43">
        <v>45929</v>
      </c>
      <c r="C1456" s="42" t="s">
        <v>22</v>
      </c>
      <c r="D1456" s="42" t="s">
        <v>23</v>
      </c>
      <c r="E1456" s="42" t="s">
        <v>12</v>
      </c>
      <c r="F1456" s="42">
        <v>18</v>
      </c>
      <c r="G1456" s="44">
        <v>25000</v>
      </c>
      <c r="H1456" s="44">
        <v>450000</v>
      </c>
      <c r="I1456" s="42" t="s">
        <v>2441</v>
      </c>
      <c r="J1456" s="42" t="s">
        <v>127</v>
      </c>
    </row>
    <row r="1457" spans="1:10" x14ac:dyDescent="0.3">
      <c r="A1457" s="42" t="s">
        <v>1707</v>
      </c>
      <c r="B1457" s="43">
        <v>45929</v>
      </c>
      <c r="C1457" s="42" t="s">
        <v>10</v>
      </c>
      <c r="D1457" s="42" t="s">
        <v>11</v>
      </c>
      <c r="E1457" s="42" t="s">
        <v>12</v>
      </c>
      <c r="F1457" s="42">
        <v>43</v>
      </c>
      <c r="G1457" s="44">
        <v>120000</v>
      </c>
      <c r="H1457" s="44">
        <v>5160000</v>
      </c>
      <c r="I1457" s="42" t="s">
        <v>533</v>
      </c>
      <c r="J1457" s="42" t="s">
        <v>47</v>
      </c>
    </row>
    <row r="1458" spans="1:10" x14ac:dyDescent="0.3">
      <c r="A1458" s="42" t="s">
        <v>1708</v>
      </c>
      <c r="B1458" s="43">
        <v>45929</v>
      </c>
      <c r="C1458" s="42" t="s">
        <v>40</v>
      </c>
      <c r="D1458" s="42" t="s">
        <v>41</v>
      </c>
      <c r="E1458" s="42" t="s">
        <v>16</v>
      </c>
      <c r="F1458" s="42">
        <v>10</v>
      </c>
      <c r="G1458" s="44">
        <v>950000</v>
      </c>
      <c r="H1458" s="44">
        <v>9500000</v>
      </c>
      <c r="I1458" s="42" t="s">
        <v>2659</v>
      </c>
      <c r="J1458" s="42" t="s">
        <v>47</v>
      </c>
    </row>
    <row r="1459" spans="1:10" x14ac:dyDescent="0.3">
      <c r="A1459" s="42" t="s">
        <v>1709</v>
      </c>
      <c r="B1459" s="43">
        <v>45929</v>
      </c>
      <c r="C1459" s="42" t="s">
        <v>18</v>
      </c>
      <c r="D1459" s="42" t="s">
        <v>19</v>
      </c>
      <c r="E1459" s="42" t="s">
        <v>20</v>
      </c>
      <c r="F1459" s="42">
        <v>14</v>
      </c>
      <c r="G1459" s="44">
        <v>500000</v>
      </c>
      <c r="H1459" s="44">
        <v>7000000</v>
      </c>
      <c r="I1459" s="42" t="s">
        <v>2842</v>
      </c>
      <c r="J1459" s="42" t="s">
        <v>127</v>
      </c>
    </row>
    <row r="1460" spans="1:10" x14ac:dyDescent="0.3">
      <c r="A1460" s="42" t="s">
        <v>1739</v>
      </c>
      <c r="B1460" s="43">
        <v>45929</v>
      </c>
      <c r="C1460" s="42" t="s">
        <v>18</v>
      </c>
      <c r="D1460" s="42" t="s">
        <v>19</v>
      </c>
      <c r="E1460" s="42" t="s">
        <v>20</v>
      </c>
      <c r="F1460" s="42">
        <v>22</v>
      </c>
      <c r="G1460" s="44">
        <v>500000</v>
      </c>
      <c r="H1460" s="44">
        <v>11000000</v>
      </c>
      <c r="I1460" s="42" t="s">
        <v>2677</v>
      </c>
      <c r="J1460" s="42" t="s">
        <v>8</v>
      </c>
    </row>
    <row r="1461" spans="1:10" x14ac:dyDescent="0.3">
      <c r="A1461" s="42" t="s">
        <v>1740</v>
      </c>
      <c r="B1461" s="43">
        <v>45929</v>
      </c>
      <c r="C1461" s="42" t="s">
        <v>14</v>
      </c>
      <c r="D1461" s="42" t="s">
        <v>15</v>
      </c>
      <c r="E1461" s="42" t="s">
        <v>16</v>
      </c>
      <c r="F1461" s="42">
        <v>210</v>
      </c>
      <c r="G1461" s="44">
        <v>350000</v>
      </c>
      <c r="H1461" s="44">
        <v>73500000</v>
      </c>
      <c r="I1461" s="42" t="s">
        <v>2236</v>
      </c>
      <c r="J1461" s="42" t="s">
        <v>8</v>
      </c>
    </row>
    <row r="1462" spans="1:10" x14ac:dyDescent="0.3">
      <c r="A1462" s="42" t="s">
        <v>1741</v>
      </c>
      <c r="B1462" s="43">
        <v>45930</v>
      </c>
      <c r="C1462" s="42" t="s">
        <v>44</v>
      </c>
      <c r="D1462" s="42" t="s">
        <v>45</v>
      </c>
      <c r="E1462" s="42" t="s">
        <v>16</v>
      </c>
      <c r="F1462" s="42">
        <v>36</v>
      </c>
      <c r="G1462" s="44">
        <v>250000</v>
      </c>
      <c r="H1462" s="44">
        <v>9000000</v>
      </c>
      <c r="I1462" s="42" t="s">
        <v>2212</v>
      </c>
      <c r="J1462" s="42" t="s">
        <v>47</v>
      </c>
    </row>
    <row r="1463" spans="1:10" x14ac:dyDescent="0.3">
      <c r="A1463" s="42" t="s">
        <v>1742</v>
      </c>
      <c r="B1463" s="43">
        <v>45930</v>
      </c>
      <c r="C1463" s="42" t="s">
        <v>44</v>
      </c>
      <c r="D1463" s="42" t="s">
        <v>45</v>
      </c>
      <c r="E1463" s="42" t="s">
        <v>16</v>
      </c>
      <c r="F1463" s="42">
        <v>33</v>
      </c>
      <c r="G1463" s="44">
        <v>250000</v>
      </c>
      <c r="H1463" s="44">
        <v>8250000</v>
      </c>
      <c r="I1463" s="42" t="s">
        <v>2729</v>
      </c>
      <c r="J1463" s="42" t="s">
        <v>8</v>
      </c>
    </row>
    <row r="1464" spans="1:10" x14ac:dyDescent="0.3">
      <c r="A1464" s="42" t="s">
        <v>1743</v>
      </c>
      <c r="B1464" s="43">
        <v>45930</v>
      </c>
      <c r="C1464" s="42" t="s">
        <v>40</v>
      </c>
      <c r="D1464" s="42" t="s">
        <v>41</v>
      </c>
      <c r="E1464" s="42" t="s">
        <v>16</v>
      </c>
      <c r="F1464" s="42">
        <v>6</v>
      </c>
      <c r="G1464" s="44">
        <v>950000</v>
      </c>
      <c r="H1464" s="44">
        <v>5700000</v>
      </c>
      <c r="I1464" s="42" t="s">
        <v>2119</v>
      </c>
      <c r="J1464" s="42" t="s">
        <v>127</v>
      </c>
    </row>
    <row r="1465" spans="1:10" x14ac:dyDescent="0.3">
      <c r="A1465" s="42" t="s">
        <v>1744</v>
      </c>
      <c r="B1465" s="43">
        <v>45930</v>
      </c>
      <c r="C1465" s="42" t="s">
        <v>28</v>
      </c>
      <c r="D1465" s="42" t="s">
        <v>29</v>
      </c>
      <c r="E1465" s="42" t="s">
        <v>20</v>
      </c>
      <c r="F1465" s="42">
        <v>38</v>
      </c>
      <c r="G1465" s="44">
        <v>450000</v>
      </c>
      <c r="H1465" s="44">
        <v>17100000</v>
      </c>
      <c r="I1465" s="42" t="s">
        <v>2656</v>
      </c>
      <c r="J1465" s="42" t="s">
        <v>127</v>
      </c>
    </row>
    <row r="1466" spans="1:10" x14ac:dyDescent="0.3">
      <c r="A1466" s="42" t="s">
        <v>1745</v>
      </c>
      <c r="B1466" s="43">
        <v>45930</v>
      </c>
      <c r="C1466" s="42" t="s">
        <v>14</v>
      </c>
      <c r="D1466" s="42" t="s">
        <v>15</v>
      </c>
      <c r="E1466" s="42" t="s">
        <v>16</v>
      </c>
      <c r="F1466" s="42">
        <v>34</v>
      </c>
      <c r="G1466" s="44">
        <v>350000</v>
      </c>
      <c r="H1466" s="44">
        <v>11900000</v>
      </c>
      <c r="I1466" s="42" t="s">
        <v>2183</v>
      </c>
      <c r="J1466" s="42" t="s">
        <v>8</v>
      </c>
    </row>
    <row r="1467" spans="1:10" x14ac:dyDescent="0.3">
      <c r="A1467" s="42" t="s">
        <v>1746</v>
      </c>
      <c r="B1467" s="43">
        <v>45930</v>
      </c>
      <c r="C1467" s="42" t="s">
        <v>14</v>
      </c>
      <c r="D1467" s="42" t="s">
        <v>15</v>
      </c>
      <c r="E1467" s="42" t="s">
        <v>16</v>
      </c>
      <c r="F1467" s="42">
        <v>5</v>
      </c>
      <c r="G1467" s="44">
        <v>350000</v>
      </c>
      <c r="H1467" s="44">
        <v>1750000</v>
      </c>
      <c r="I1467" s="42" t="s">
        <v>2790</v>
      </c>
      <c r="J1467" s="42" t="s">
        <v>127</v>
      </c>
    </row>
    <row r="1468" spans="1:10" x14ac:dyDescent="0.3">
      <c r="A1468" s="42" t="s">
        <v>1747</v>
      </c>
      <c r="B1468" s="43">
        <v>45930</v>
      </c>
      <c r="C1468" s="42" t="s">
        <v>38</v>
      </c>
      <c r="D1468" s="42" t="s">
        <v>39</v>
      </c>
      <c r="E1468" s="42" t="s">
        <v>16</v>
      </c>
      <c r="F1468" s="42">
        <v>24</v>
      </c>
      <c r="G1468" s="44">
        <v>200000</v>
      </c>
      <c r="H1468" s="44">
        <v>4800000</v>
      </c>
      <c r="I1468" s="42" t="s">
        <v>2287</v>
      </c>
      <c r="J1468" s="42" t="s">
        <v>127</v>
      </c>
    </row>
    <row r="1469" spans="1:10" x14ac:dyDescent="0.3">
      <c r="A1469" s="42" t="s">
        <v>1778</v>
      </c>
      <c r="B1469" s="43">
        <v>45930</v>
      </c>
      <c r="C1469" s="42" t="s">
        <v>22</v>
      </c>
      <c r="D1469" s="42" t="s">
        <v>23</v>
      </c>
      <c r="E1469" s="42" t="s">
        <v>12</v>
      </c>
      <c r="F1469" s="42">
        <v>19</v>
      </c>
      <c r="G1469" s="44">
        <v>25000</v>
      </c>
      <c r="H1469" s="44">
        <v>475000</v>
      </c>
      <c r="I1469" s="42" t="s">
        <v>2217</v>
      </c>
      <c r="J1469" s="42" t="s">
        <v>8</v>
      </c>
    </row>
    <row r="1470" spans="1:10" x14ac:dyDescent="0.3">
      <c r="A1470" s="42" t="s">
        <v>1779</v>
      </c>
      <c r="B1470" s="43">
        <v>45930</v>
      </c>
      <c r="C1470" s="42" t="s">
        <v>22</v>
      </c>
      <c r="D1470" s="42" t="s">
        <v>23</v>
      </c>
      <c r="E1470" s="42" t="s">
        <v>12</v>
      </c>
      <c r="F1470" s="42">
        <v>11</v>
      </c>
      <c r="G1470" s="44">
        <v>25000</v>
      </c>
      <c r="H1470" s="44">
        <v>275000</v>
      </c>
      <c r="I1470" s="42" t="s">
        <v>2513</v>
      </c>
      <c r="J1470" s="42" t="s">
        <v>47</v>
      </c>
    </row>
    <row r="1471" spans="1:10" x14ac:dyDescent="0.3">
      <c r="A1471" s="42" t="s">
        <v>1780</v>
      </c>
      <c r="B1471" s="43">
        <v>45930</v>
      </c>
      <c r="C1471" s="42" t="s">
        <v>10</v>
      </c>
      <c r="D1471" s="42" t="s">
        <v>11</v>
      </c>
      <c r="E1471" s="42" t="s">
        <v>12</v>
      </c>
      <c r="F1471" s="42">
        <v>16</v>
      </c>
      <c r="G1471" s="44">
        <v>120000</v>
      </c>
      <c r="H1471" s="44">
        <v>1920000</v>
      </c>
      <c r="I1471" s="42" t="s">
        <v>1037</v>
      </c>
      <c r="J1471" s="42" t="s">
        <v>60</v>
      </c>
    </row>
    <row r="1472" spans="1:10" x14ac:dyDescent="0.3">
      <c r="A1472" s="42" t="s">
        <v>1781</v>
      </c>
      <c r="B1472" s="43">
        <v>45930</v>
      </c>
      <c r="C1472" s="42" t="s">
        <v>10</v>
      </c>
      <c r="D1472" s="42" t="s">
        <v>11</v>
      </c>
      <c r="E1472" s="42" t="s">
        <v>12</v>
      </c>
      <c r="F1472" s="42">
        <v>9</v>
      </c>
      <c r="G1472" s="44">
        <v>120000</v>
      </c>
      <c r="H1472" s="44">
        <v>1080000</v>
      </c>
      <c r="I1472" s="42" t="s">
        <v>2243</v>
      </c>
      <c r="J1472" s="42" t="s">
        <v>8</v>
      </c>
    </row>
    <row r="1473" spans="1:10" x14ac:dyDescent="0.3">
      <c r="A1473" s="42" t="s">
        <v>1782</v>
      </c>
      <c r="B1473" s="43">
        <v>45930</v>
      </c>
      <c r="C1473" s="42" t="s">
        <v>42</v>
      </c>
      <c r="D1473" s="42" t="s">
        <v>43</v>
      </c>
      <c r="E1473" s="42" t="s">
        <v>16</v>
      </c>
      <c r="F1473" s="42">
        <v>16</v>
      </c>
      <c r="G1473" s="44">
        <v>1200000</v>
      </c>
      <c r="H1473" s="44">
        <v>19200000</v>
      </c>
      <c r="I1473" s="42" t="s">
        <v>2159</v>
      </c>
      <c r="J1473" s="42" t="s">
        <v>127</v>
      </c>
    </row>
    <row r="1474" spans="1:10" x14ac:dyDescent="0.3">
      <c r="A1474" s="42" t="s">
        <v>1783</v>
      </c>
      <c r="B1474" s="43">
        <v>45930</v>
      </c>
      <c r="C1474" s="42" t="s">
        <v>40</v>
      </c>
      <c r="D1474" s="42" t="s">
        <v>41</v>
      </c>
      <c r="E1474" s="42" t="s">
        <v>16</v>
      </c>
      <c r="F1474" s="42">
        <v>140</v>
      </c>
      <c r="G1474" s="44">
        <v>950000</v>
      </c>
      <c r="H1474" s="44">
        <v>133000000</v>
      </c>
      <c r="I1474" s="42" t="s">
        <v>2362</v>
      </c>
      <c r="J1474" s="42" t="s">
        <v>8</v>
      </c>
    </row>
    <row r="1475" spans="1:10" x14ac:dyDescent="0.3">
      <c r="A1475" s="42" t="s">
        <v>1784</v>
      </c>
      <c r="B1475" s="43">
        <v>45931</v>
      </c>
      <c r="C1475" s="42" t="s">
        <v>44</v>
      </c>
      <c r="D1475" s="42" t="s">
        <v>45</v>
      </c>
      <c r="E1475" s="42" t="s">
        <v>16</v>
      </c>
      <c r="F1475" s="42">
        <v>29</v>
      </c>
      <c r="G1475" s="44">
        <v>250000</v>
      </c>
      <c r="H1475" s="44">
        <v>7250000</v>
      </c>
      <c r="I1475" s="42" t="s">
        <v>2772</v>
      </c>
      <c r="J1475" s="42" t="s">
        <v>47</v>
      </c>
    </row>
    <row r="1476" spans="1:10" x14ac:dyDescent="0.3">
      <c r="A1476" s="42" t="s">
        <v>1785</v>
      </c>
      <c r="B1476" s="43">
        <v>45931</v>
      </c>
      <c r="C1476" s="42" t="s">
        <v>18</v>
      </c>
      <c r="D1476" s="42" t="s">
        <v>19</v>
      </c>
      <c r="E1476" s="42" t="s">
        <v>20</v>
      </c>
      <c r="F1476" s="42">
        <v>22</v>
      </c>
      <c r="G1476" s="44">
        <v>500000</v>
      </c>
      <c r="H1476" s="44">
        <v>11000000</v>
      </c>
      <c r="I1476" s="42" t="s">
        <v>2375</v>
      </c>
      <c r="J1476" s="42" t="s">
        <v>127</v>
      </c>
    </row>
    <row r="1477" spans="1:10" x14ac:dyDescent="0.3">
      <c r="A1477" s="42" t="s">
        <v>1786</v>
      </c>
      <c r="B1477" s="43">
        <v>45931</v>
      </c>
      <c r="C1477" s="42" t="s">
        <v>31</v>
      </c>
      <c r="D1477" s="42" t="s">
        <v>32</v>
      </c>
      <c r="E1477" s="42" t="s">
        <v>20</v>
      </c>
      <c r="F1477" s="42">
        <v>12</v>
      </c>
      <c r="G1477" s="44">
        <v>180000</v>
      </c>
      <c r="H1477" s="44">
        <v>2160000</v>
      </c>
      <c r="I1477" s="42" t="s">
        <v>2301</v>
      </c>
      <c r="J1477" s="42" t="s">
        <v>8</v>
      </c>
    </row>
    <row r="1478" spans="1:10" x14ac:dyDescent="0.3">
      <c r="A1478" s="42" t="s">
        <v>1810</v>
      </c>
      <c r="B1478" s="43">
        <v>45931</v>
      </c>
      <c r="C1478" s="42" t="s">
        <v>18</v>
      </c>
      <c r="D1478" s="42" t="s">
        <v>19</v>
      </c>
      <c r="E1478" s="42" t="s">
        <v>20</v>
      </c>
      <c r="F1478" s="42">
        <v>31</v>
      </c>
      <c r="G1478" s="44">
        <v>500000</v>
      </c>
      <c r="H1478" s="44">
        <v>15500000</v>
      </c>
      <c r="I1478" s="42" t="s">
        <v>2147</v>
      </c>
      <c r="J1478" s="42" t="s">
        <v>60</v>
      </c>
    </row>
    <row r="1479" spans="1:10" x14ac:dyDescent="0.3">
      <c r="A1479" s="42" t="s">
        <v>1811</v>
      </c>
      <c r="B1479" s="43">
        <v>45931</v>
      </c>
      <c r="C1479" s="42" t="s">
        <v>38</v>
      </c>
      <c r="D1479" s="42" t="s">
        <v>39</v>
      </c>
      <c r="E1479" s="42" t="s">
        <v>16</v>
      </c>
      <c r="F1479" s="42">
        <v>46</v>
      </c>
      <c r="G1479" s="44">
        <v>200000</v>
      </c>
      <c r="H1479" s="44">
        <v>9200000</v>
      </c>
      <c r="I1479" s="42" t="s">
        <v>2617</v>
      </c>
      <c r="J1479" s="42" t="s">
        <v>47</v>
      </c>
    </row>
    <row r="1480" spans="1:10" x14ac:dyDescent="0.3">
      <c r="A1480" s="42" t="s">
        <v>1812</v>
      </c>
      <c r="B1480" s="43">
        <v>45931</v>
      </c>
      <c r="C1480" s="42" t="s">
        <v>18</v>
      </c>
      <c r="D1480" s="42" t="s">
        <v>19</v>
      </c>
      <c r="E1480" s="42" t="s">
        <v>20</v>
      </c>
      <c r="F1480" s="42">
        <v>230</v>
      </c>
      <c r="G1480" s="44">
        <v>500000</v>
      </c>
      <c r="H1480" s="44">
        <v>115000000</v>
      </c>
      <c r="I1480" s="42" t="s">
        <v>2740</v>
      </c>
      <c r="J1480" s="42" t="s">
        <v>127</v>
      </c>
    </row>
    <row r="1481" spans="1:10" x14ac:dyDescent="0.3">
      <c r="A1481" s="42" t="s">
        <v>1813</v>
      </c>
      <c r="B1481" s="43">
        <v>45931</v>
      </c>
      <c r="C1481" s="42" t="s">
        <v>14</v>
      </c>
      <c r="D1481" s="42" t="s">
        <v>15</v>
      </c>
      <c r="E1481" s="42" t="s">
        <v>16</v>
      </c>
      <c r="F1481" s="42">
        <v>14</v>
      </c>
      <c r="G1481" s="44">
        <v>350000</v>
      </c>
      <c r="H1481" s="44">
        <v>4900000</v>
      </c>
      <c r="I1481" s="42" t="s">
        <v>2179</v>
      </c>
      <c r="J1481" s="42" t="s">
        <v>127</v>
      </c>
    </row>
    <row r="1482" spans="1:10" x14ac:dyDescent="0.3">
      <c r="A1482" s="42" t="s">
        <v>1814</v>
      </c>
      <c r="B1482" s="43">
        <v>45931</v>
      </c>
      <c r="C1482" s="42" t="s">
        <v>22</v>
      </c>
      <c r="D1482" s="42" t="s">
        <v>23</v>
      </c>
      <c r="E1482" s="42" t="s">
        <v>12</v>
      </c>
      <c r="F1482" s="42">
        <v>14</v>
      </c>
      <c r="G1482" s="44">
        <v>25000</v>
      </c>
      <c r="H1482" s="44">
        <v>350000</v>
      </c>
      <c r="I1482" s="42" t="s">
        <v>2693</v>
      </c>
      <c r="J1482" s="42" t="s">
        <v>127</v>
      </c>
    </row>
    <row r="1483" spans="1:10" x14ac:dyDescent="0.3">
      <c r="A1483" s="42" t="s">
        <v>1815</v>
      </c>
      <c r="B1483" s="43">
        <v>45931</v>
      </c>
      <c r="C1483" s="42" t="s">
        <v>31</v>
      </c>
      <c r="D1483" s="42" t="s">
        <v>32</v>
      </c>
      <c r="E1483" s="42" t="s">
        <v>20</v>
      </c>
      <c r="F1483" s="42">
        <v>48</v>
      </c>
      <c r="G1483" s="44">
        <v>180000</v>
      </c>
      <c r="H1483" s="44">
        <v>8640000</v>
      </c>
      <c r="I1483" s="42" t="s">
        <v>968</v>
      </c>
      <c r="J1483" s="42" t="s">
        <v>8</v>
      </c>
    </row>
    <row r="1484" spans="1:10" x14ac:dyDescent="0.3">
      <c r="A1484" s="42" t="s">
        <v>1816</v>
      </c>
      <c r="B1484" s="43">
        <v>45931</v>
      </c>
      <c r="C1484" s="42" t="s">
        <v>44</v>
      </c>
      <c r="D1484" s="42" t="s">
        <v>45</v>
      </c>
      <c r="E1484" s="42" t="s">
        <v>16</v>
      </c>
      <c r="F1484" s="42">
        <v>14</v>
      </c>
      <c r="G1484" s="44">
        <v>250000</v>
      </c>
      <c r="H1484" s="44">
        <v>3500000</v>
      </c>
      <c r="I1484" s="42" t="s">
        <v>2674</v>
      </c>
      <c r="J1484" s="42" t="s">
        <v>60</v>
      </c>
    </row>
    <row r="1485" spans="1:10" x14ac:dyDescent="0.3">
      <c r="A1485" s="42" t="s">
        <v>1817</v>
      </c>
      <c r="B1485" s="43">
        <v>45931</v>
      </c>
      <c r="C1485" s="42" t="s">
        <v>22</v>
      </c>
      <c r="D1485" s="42" t="s">
        <v>23</v>
      </c>
      <c r="E1485" s="42" t="s">
        <v>12</v>
      </c>
      <c r="F1485" s="42">
        <v>32</v>
      </c>
      <c r="G1485" s="44">
        <v>25000</v>
      </c>
      <c r="H1485" s="44">
        <v>800000</v>
      </c>
      <c r="I1485" s="42" t="s">
        <v>2435</v>
      </c>
      <c r="J1485" s="42" t="s">
        <v>127</v>
      </c>
    </row>
    <row r="1486" spans="1:10" x14ac:dyDescent="0.3">
      <c r="A1486" s="42" t="s">
        <v>1818</v>
      </c>
      <c r="B1486" s="43">
        <v>45931</v>
      </c>
      <c r="C1486" s="42" t="s">
        <v>42</v>
      </c>
      <c r="D1486" s="42" t="s">
        <v>43</v>
      </c>
      <c r="E1486" s="42" t="s">
        <v>16</v>
      </c>
      <c r="F1486" s="42">
        <v>15</v>
      </c>
      <c r="G1486" s="44">
        <v>1200000</v>
      </c>
      <c r="H1486" s="44">
        <v>18000000</v>
      </c>
      <c r="I1486" s="42" t="s">
        <v>2346</v>
      </c>
      <c r="J1486" s="42" t="s">
        <v>127</v>
      </c>
    </row>
    <row r="1487" spans="1:10" x14ac:dyDescent="0.3">
      <c r="A1487" s="42" t="s">
        <v>1846</v>
      </c>
      <c r="B1487" s="43">
        <v>45931</v>
      </c>
      <c r="C1487" s="42" t="s">
        <v>42</v>
      </c>
      <c r="D1487" s="42" t="s">
        <v>43</v>
      </c>
      <c r="E1487" s="42" t="s">
        <v>16</v>
      </c>
      <c r="F1487" s="42">
        <v>6</v>
      </c>
      <c r="G1487" s="44">
        <v>1200000</v>
      </c>
      <c r="H1487" s="44">
        <v>7200000</v>
      </c>
      <c r="I1487" s="42" t="s">
        <v>2389</v>
      </c>
      <c r="J1487" s="42" t="s">
        <v>60</v>
      </c>
    </row>
    <row r="1488" spans="1:10" x14ac:dyDescent="0.3">
      <c r="A1488" s="42" t="s">
        <v>1847</v>
      </c>
      <c r="B1488" s="43">
        <v>45931</v>
      </c>
      <c r="C1488" s="42" t="s">
        <v>40</v>
      </c>
      <c r="D1488" s="42" t="s">
        <v>41</v>
      </c>
      <c r="E1488" s="42" t="s">
        <v>16</v>
      </c>
      <c r="F1488" s="42">
        <v>26</v>
      </c>
      <c r="G1488" s="44">
        <v>950000</v>
      </c>
      <c r="H1488" s="44">
        <v>24700000</v>
      </c>
      <c r="I1488" s="42" t="s">
        <v>2339</v>
      </c>
      <c r="J1488" s="42" t="s">
        <v>69</v>
      </c>
    </row>
    <row r="1489" spans="1:10" x14ac:dyDescent="0.3">
      <c r="A1489" s="42" t="s">
        <v>1874</v>
      </c>
      <c r="B1489" s="43">
        <v>45931</v>
      </c>
      <c r="C1489" s="42" t="s">
        <v>44</v>
      </c>
      <c r="D1489" s="42" t="s">
        <v>45</v>
      </c>
      <c r="E1489" s="42" t="s">
        <v>16</v>
      </c>
      <c r="F1489" s="42">
        <v>13</v>
      </c>
      <c r="G1489" s="44">
        <v>250000</v>
      </c>
      <c r="H1489" s="44">
        <v>3250000</v>
      </c>
      <c r="I1489" s="42" t="s">
        <v>2368</v>
      </c>
      <c r="J1489" s="42" t="s">
        <v>8</v>
      </c>
    </row>
    <row r="1490" spans="1:10" x14ac:dyDescent="0.3">
      <c r="A1490" s="42" t="s">
        <v>1875</v>
      </c>
      <c r="B1490" s="43">
        <v>45937</v>
      </c>
      <c r="C1490" s="42" t="s">
        <v>18</v>
      </c>
      <c r="D1490" s="42" t="s">
        <v>19</v>
      </c>
      <c r="E1490" s="42" t="s">
        <v>20</v>
      </c>
      <c r="F1490" s="42">
        <v>180</v>
      </c>
      <c r="G1490" s="44">
        <v>500000</v>
      </c>
      <c r="H1490" s="44">
        <v>90000000</v>
      </c>
      <c r="I1490" s="42" t="s">
        <v>2618</v>
      </c>
      <c r="J1490" s="42" t="s">
        <v>8</v>
      </c>
    </row>
    <row r="1491" spans="1:10" x14ac:dyDescent="0.3">
      <c r="A1491" s="42" t="s">
        <v>1876</v>
      </c>
      <c r="B1491" s="43">
        <v>45937</v>
      </c>
      <c r="C1491" s="42" t="s">
        <v>44</v>
      </c>
      <c r="D1491" s="42" t="s">
        <v>45</v>
      </c>
      <c r="E1491" s="42" t="s">
        <v>16</v>
      </c>
      <c r="F1491" s="42">
        <v>39</v>
      </c>
      <c r="G1491" s="44">
        <v>250000</v>
      </c>
      <c r="H1491" s="44">
        <v>9750000</v>
      </c>
      <c r="I1491" s="42" t="s">
        <v>307</v>
      </c>
      <c r="J1491" s="42" t="s">
        <v>127</v>
      </c>
    </row>
    <row r="1492" spans="1:10" x14ac:dyDescent="0.3">
      <c r="A1492" s="42" t="s">
        <v>1877</v>
      </c>
      <c r="B1492" s="43">
        <v>45937</v>
      </c>
      <c r="C1492" s="42" t="s">
        <v>22</v>
      </c>
      <c r="D1492" s="42" t="s">
        <v>23</v>
      </c>
      <c r="E1492" s="42" t="s">
        <v>12</v>
      </c>
      <c r="F1492" s="42">
        <v>47</v>
      </c>
      <c r="G1492" s="44">
        <v>25000</v>
      </c>
      <c r="H1492" s="44">
        <v>1175000</v>
      </c>
      <c r="I1492" s="42" t="s">
        <v>2253</v>
      </c>
      <c r="J1492" s="42" t="s">
        <v>8</v>
      </c>
    </row>
    <row r="1493" spans="1:10" x14ac:dyDescent="0.3">
      <c r="A1493" s="42" t="s">
        <v>1878</v>
      </c>
      <c r="B1493" s="43">
        <v>45937</v>
      </c>
      <c r="C1493" s="42" t="s">
        <v>44</v>
      </c>
      <c r="D1493" s="42" t="s">
        <v>45</v>
      </c>
      <c r="E1493" s="42" t="s">
        <v>16</v>
      </c>
      <c r="F1493" s="42">
        <v>20</v>
      </c>
      <c r="G1493" s="44">
        <v>250000</v>
      </c>
      <c r="H1493" s="44">
        <v>5000000</v>
      </c>
      <c r="I1493" s="42" t="s">
        <v>2249</v>
      </c>
      <c r="J1493" s="42" t="s">
        <v>69</v>
      </c>
    </row>
    <row r="1494" spans="1:10" x14ac:dyDescent="0.3">
      <c r="A1494" s="42" t="s">
        <v>1879</v>
      </c>
      <c r="B1494" s="43">
        <v>45937</v>
      </c>
      <c r="C1494" s="42" t="s">
        <v>44</v>
      </c>
      <c r="D1494" s="42" t="s">
        <v>45</v>
      </c>
      <c r="E1494" s="42" t="s">
        <v>16</v>
      </c>
      <c r="F1494" s="42">
        <v>9</v>
      </c>
      <c r="G1494" s="44">
        <v>250000</v>
      </c>
      <c r="H1494" s="44">
        <v>2250000</v>
      </c>
      <c r="I1494" s="42" t="s">
        <v>2257</v>
      </c>
      <c r="J1494" s="42" t="s">
        <v>127</v>
      </c>
    </row>
    <row r="1495" spans="1:10" x14ac:dyDescent="0.3">
      <c r="A1495" s="42" t="s">
        <v>1880</v>
      </c>
      <c r="B1495" s="43">
        <v>45937</v>
      </c>
      <c r="C1495" s="42" t="s">
        <v>44</v>
      </c>
      <c r="D1495" s="42" t="s">
        <v>45</v>
      </c>
      <c r="E1495" s="42" t="s">
        <v>16</v>
      </c>
      <c r="F1495" s="42">
        <v>20</v>
      </c>
      <c r="G1495" s="44">
        <v>250000</v>
      </c>
      <c r="H1495" s="44">
        <v>5000000</v>
      </c>
      <c r="I1495" s="42" t="s">
        <v>2647</v>
      </c>
      <c r="J1495" s="42" t="s">
        <v>8</v>
      </c>
    </row>
    <row r="1496" spans="1:10" x14ac:dyDescent="0.3">
      <c r="A1496" s="42" t="s">
        <v>1896</v>
      </c>
      <c r="B1496" s="43">
        <v>45937</v>
      </c>
      <c r="C1496" s="42" t="s">
        <v>31</v>
      </c>
      <c r="D1496" s="42" t="s">
        <v>32</v>
      </c>
      <c r="E1496" s="42" t="s">
        <v>20</v>
      </c>
      <c r="F1496" s="42">
        <v>21</v>
      </c>
      <c r="G1496" s="44">
        <v>180000</v>
      </c>
      <c r="H1496" s="44">
        <v>3780000</v>
      </c>
      <c r="I1496" s="42" t="s">
        <v>2564</v>
      </c>
      <c r="J1496" s="42" t="s">
        <v>127</v>
      </c>
    </row>
    <row r="1497" spans="1:10" x14ac:dyDescent="0.3">
      <c r="A1497" s="42" t="s">
        <v>1910</v>
      </c>
      <c r="B1497" s="43">
        <v>45937</v>
      </c>
      <c r="C1497" s="42" t="s">
        <v>22</v>
      </c>
      <c r="D1497" s="42" t="s">
        <v>23</v>
      </c>
      <c r="E1497" s="42" t="s">
        <v>12</v>
      </c>
      <c r="F1497" s="42">
        <v>24</v>
      </c>
      <c r="G1497" s="44">
        <v>25000</v>
      </c>
      <c r="H1497" s="44">
        <v>600000</v>
      </c>
      <c r="I1497" s="42" t="s">
        <v>2518</v>
      </c>
      <c r="J1497" s="42" t="s">
        <v>60</v>
      </c>
    </row>
    <row r="1498" spans="1:10" x14ac:dyDescent="0.3">
      <c r="A1498" s="42" t="s">
        <v>1911</v>
      </c>
      <c r="B1498" s="43">
        <v>45937</v>
      </c>
      <c r="C1498" s="42" t="s">
        <v>42</v>
      </c>
      <c r="D1498" s="42" t="s">
        <v>43</v>
      </c>
      <c r="E1498" s="42" t="s">
        <v>16</v>
      </c>
      <c r="F1498" s="42">
        <v>39</v>
      </c>
      <c r="G1498" s="44">
        <v>1200000</v>
      </c>
      <c r="H1498" s="44">
        <v>46800000</v>
      </c>
      <c r="I1498" s="42" t="s">
        <v>2587</v>
      </c>
      <c r="J1498" s="42" t="s">
        <v>8</v>
      </c>
    </row>
    <row r="1499" spans="1:10" x14ac:dyDescent="0.3">
      <c r="A1499" s="42" t="s">
        <v>1920</v>
      </c>
      <c r="B1499" s="43">
        <v>45937</v>
      </c>
      <c r="C1499" s="42" t="s">
        <v>22</v>
      </c>
      <c r="D1499" s="42" t="s">
        <v>23</v>
      </c>
      <c r="E1499" s="42" t="s">
        <v>12</v>
      </c>
      <c r="F1499" s="42">
        <v>22</v>
      </c>
      <c r="G1499" s="44">
        <v>25000</v>
      </c>
      <c r="H1499" s="44">
        <v>550000</v>
      </c>
      <c r="I1499" s="42" t="s">
        <v>2364</v>
      </c>
      <c r="J1499" s="42" t="s">
        <v>127</v>
      </c>
    </row>
    <row r="1500" spans="1:10" x14ac:dyDescent="0.3">
      <c r="A1500" s="42" t="s">
        <v>1921</v>
      </c>
      <c r="B1500" s="43">
        <v>45937</v>
      </c>
      <c r="C1500" s="42" t="s">
        <v>31</v>
      </c>
      <c r="D1500" s="42" t="s">
        <v>32</v>
      </c>
      <c r="E1500" s="42" t="s">
        <v>20</v>
      </c>
      <c r="F1500" s="42">
        <v>50</v>
      </c>
      <c r="G1500" s="44">
        <v>180000</v>
      </c>
      <c r="H1500" s="44">
        <v>9000000</v>
      </c>
      <c r="I1500" s="42" t="s">
        <v>2408</v>
      </c>
      <c r="J1500" s="42" t="s">
        <v>8</v>
      </c>
    </row>
    <row r="1501" spans="1:10" x14ac:dyDescent="0.3">
      <c r="A1501" s="42" t="s">
        <v>1922</v>
      </c>
      <c r="B1501" s="43">
        <v>45937</v>
      </c>
      <c r="C1501" s="42" t="s">
        <v>18</v>
      </c>
      <c r="D1501" s="42" t="s">
        <v>19</v>
      </c>
      <c r="E1501" s="42" t="s">
        <v>20</v>
      </c>
      <c r="F1501" s="42">
        <v>7</v>
      </c>
      <c r="G1501" s="44">
        <v>500000</v>
      </c>
      <c r="H1501" s="44">
        <v>3500000</v>
      </c>
      <c r="I1501" s="42" t="s">
        <v>2729</v>
      </c>
      <c r="J1501" s="42" t="s">
        <v>8</v>
      </c>
    </row>
    <row r="1502" spans="1:10" x14ac:dyDescent="0.3">
      <c r="A1502" s="42" t="s">
        <v>1946</v>
      </c>
      <c r="B1502" s="43">
        <v>45938</v>
      </c>
      <c r="C1502" s="42" t="s">
        <v>44</v>
      </c>
      <c r="D1502" s="42" t="s">
        <v>45</v>
      </c>
      <c r="E1502" s="42" t="s">
        <v>16</v>
      </c>
      <c r="F1502" s="42">
        <v>26</v>
      </c>
      <c r="G1502" s="44">
        <v>250000</v>
      </c>
      <c r="H1502" s="44">
        <v>6500000</v>
      </c>
      <c r="I1502" s="42" t="s">
        <v>2819</v>
      </c>
      <c r="J1502" s="42" t="s">
        <v>8</v>
      </c>
    </row>
    <row r="1503" spans="1:10" x14ac:dyDescent="0.3">
      <c r="A1503" s="42" t="s">
        <v>1965</v>
      </c>
      <c r="B1503" s="43">
        <v>45938</v>
      </c>
      <c r="C1503" s="42" t="s">
        <v>14</v>
      </c>
      <c r="D1503" s="42" t="s">
        <v>15</v>
      </c>
      <c r="E1503" s="42" t="s">
        <v>16</v>
      </c>
      <c r="F1503" s="42">
        <v>23</v>
      </c>
      <c r="G1503" s="44">
        <v>350000</v>
      </c>
      <c r="H1503" s="44">
        <v>8050000</v>
      </c>
      <c r="I1503" s="42" t="s">
        <v>2135</v>
      </c>
      <c r="J1503" s="42" t="s">
        <v>8</v>
      </c>
    </row>
    <row r="1504" spans="1:10" x14ac:dyDescent="0.3">
      <c r="A1504" s="42" t="s">
        <v>1983</v>
      </c>
      <c r="B1504" s="43">
        <v>45938</v>
      </c>
      <c r="C1504" s="42" t="s">
        <v>31</v>
      </c>
      <c r="D1504" s="42" t="s">
        <v>32</v>
      </c>
      <c r="E1504" s="42" t="s">
        <v>20</v>
      </c>
      <c r="F1504" s="42">
        <v>13</v>
      </c>
      <c r="G1504" s="44">
        <v>180000</v>
      </c>
      <c r="H1504" s="44">
        <v>2340000</v>
      </c>
      <c r="I1504" s="42" t="s">
        <v>2588</v>
      </c>
      <c r="J1504" s="42" t="s">
        <v>47</v>
      </c>
    </row>
    <row r="1505" spans="1:10" x14ac:dyDescent="0.3">
      <c r="A1505" s="42" t="s">
        <v>1984</v>
      </c>
      <c r="B1505" s="43">
        <v>45938</v>
      </c>
      <c r="C1505" s="42" t="s">
        <v>38</v>
      </c>
      <c r="D1505" s="42" t="s">
        <v>39</v>
      </c>
      <c r="E1505" s="42" t="s">
        <v>16</v>
      </c>
      <c r="F1505" s="42">
        <v>16</v>
      </c>
      <c r="G1505" s="44">
        <v>200000</v>
      </c>
      <c r="H1505" s="44">
        <v>3200000</v>
      </c>
      <c r="I1505" s="42" t="s">
        <v>2724</v>
      </c>
      <c r="J1505" s="42" t="s">
        <v>47</v>
      </c>
    </row>
    <row r="1506" spans="1:10" x14ac:dyDescent="0.3">
      <c r="A1506" s="42" t="s">
        <v>1998</v>
      </c>
      <c r="B1506" s="43">
        <v>45938</v>
      </c>
      <c r="C1506" s="42" t="s">
        <v>22</v>
      </c>
      <c r="D1506" s="42" t="s">
        <v>23</v>
      </c>
      <c r="E1506" s="42" t="s">
        <v>12</v>
      </c>
      <c r="F1506" s="42">
        <v>25</v>
      </c>
      <c r="G1506" s="44">
        <v>25000</v>
      </c>
      <c r="H1506" s="44">
        <v>625000</v>
      </c>
      <c r="I1506" s="42" t="s">
        <v>2187</v>
      </c>
      <c r="J1506" s="42" t="s">
        <v>60</v>
      </c>
    </row>
    <row r="1507" spans="1:10" x14ac:dyDescent="0.3">
      <c r="A1507" s="42" t="s">
        <v>1999</v>
      </c>
      <c r="B1507" s="43">
        <v>45938</v>
      </c>
      <c r="C1507" s="42" t="s">
        <v>10</v>
      </c>
      <c r="D1507" s="42" t="s">
        <v>11</v>
      </c>
      <c r="E1507" s="42" t="s">
        <v>12</v>
      </c>
      <c r="F1507" s="42">
        <v>34</v>
      </c>
      <c r="G1507" s="44">
        <v>120000</v>
      </c>
      <c r="H1507" s="44">
        <v>4080000</v>
      </c>
      <c r="I1507" s="42" t="s">
        <v>2198</v>
      </c>
      <c r="J1507" s="42" t="s">
        <v>8</v>
      </c>
    </row>
    <row r="1508" spans="1:10" x14ac:dyDescent="0.3">
      <c r="A1508" s="42" t="s">
        <v>2000</v>
      </c>
      <c r="B1508" s="43">
        <v>45938</v>
      </c>
      <c r="C1508" s="42" t="s">
        <v>10</v>
      </c>
      <c r="D1508" s="42" t="s">
        <v>11</v>
      </c>
      <c r="E1508" s="42" t="s">
        <v>12</v>
      </c>
      <c r="F1508" s="42">
        <v>34</v>
      </c>
      <c r="G1508" s="44">
        <v>120000</v>
      </c>
      <c r="H1508" s="44">
        <v>4080000</v>
      </c>
      <c r="I1508" s="42" t="s">
        <v>2270</v>
      </c>
      <c r="J1508" s="42" t="s">
        <v>60</v>
      </c>
    </row>
    <row r="1509" spans="1:10" x14ac:dyDescent="0.3">
      <c r="A1509" s="42" t="s">
        <v>2001</v>
      </c>
      <c r="B1509" s="43">
        <v>45938</v>
      </c>
      <c r="C1509" s="42" t="s">
        <v>44</v>
      </c>
      <c r="D1509" s="42" t="s">
        <v>45</v>
      </c>
      <c r="E1509" s="42" t="s">
        <v>16</v>
      </c>
      <c r="F1509" s="42">
        <v>42</v>
      </c>
      <c r="G1509" s="44">
        <v>250000</v>
      </c>
      <c r="H1509" s="44">
        <v>10500000</v>
      </c>
      <c r="I1509" s="42" t="s">
        <v>2124</v>
      </c>
      <c r="J1509" s="42" t="s">
        <v>8</v>
      </c>
    </row>
    <row r="1510" spans="1:10" x14ac:dyDescent="0.3">
      <c r="A1510" s="42" t="s">
        <v>2008</v>
      </c>
      <c r="B1510" s="43">
        <v>45939</v>
      </c>
      <c r="C1510" s="42" t="s">
        <v>14</v>
      </c>
      <c r="D1510" s="42" t="s">
        <v>15</v>
      </c>
      <c r="E1510" s="42" t="s">
        <v>16</v>
      </c>
      <c r="F1510" s="42">
        <v>35</v>
      </c>
      <c r="G1510" s="44">
        <v>350000</v>
      </c>
      <c r="H1510" s="44">
        <v>12250000</v>
      </c>
      <c r="I1510" s="42" t="s">
        <v>2040</v>
      </c>
      <c r="J1510" s="42" t="s">
        <v>60</v>
      </c>
    </row>
    <row r="1511" spans="1:10" x14ac:dyDescent="0.3">
      <c r="A1511" s="42" t="s">
        <v>2036</v>
      </c>
      <c r="B1511" s="43">
        <v>45939</v>
      </c>
      <c r="C1511" s="42" t="s">
        <v>44</v>
      </c>
      <c r="D1511" s="42" t="s">
        <v>45</v>
      </c>
      <c r="E1511" s="42" t="s">
        <v>16</v>
      </c>
      <c r="F1511" s="42">
        <v>31</v>
      </c>
      <c r="G1511" s="44">
        <v>250000</v>
      </c>
      <c r="H1511" s="44">
        <v>7750000</v>
      </c>
      <c r="I1511" s="42" t="s">
        <v>2193</v>
      </c>
      <c r="J1511" s="42" t="s">
        <v>127</v>
      </c>
    </row>
    <row r="1512" spans="1:10" x14ac:dyDescent="0.3">
      <c r="A1512" s="42" t="s">
        <v>2037</v>
      </c>
      <c r="B1512" s="43">
        <v>45939</v>
      </c>
      <c r="C1512" s="42" t="s">
        <v>22</v>
      </c>
      <c r="D1512" s="42" t="s">
        <v>23</v>
      </c>
      <c r="E1512" s="42" t="s">
        <v>12</v>
      </c>
      <c r="F1512" s="42">
        <v>22</v>
      </c>
      <c r="G1512" s="44">
        <v>25000</v>
      </c>
      <c r="H1512" s="44">
        <v>550000</v>
      </c>
      <c r="I1512" s="42" t="s">
        <v>2486</v>
      </c>
      <c r="J1512" s="42" t="s">
        <v>127</v>
      </c>
    </row>
    <row r="1513" spans="1:10" x14ac:dyDescent="0.3">
      <c r="A1513" s="42" t="s">
        <v>2038</v>
      </c>
      <c r="B1513" s="43">
        <v>45939</v>
      </c>
      <c r="C1513" s="42" t="s">
        <v>31</v>
      </c>
      <c r="D1513" s="42" t="s">
        <v>32</v>
      </c>
      <c r="E1513" s="42" t="s">
        <v>20</v>
      </c>
      <c r="F1513" s="42">
        <v>30</v>
      </c>
      <c r="G1513" s="44">
        <v>180000</v>
      </c>
      <c r="H1513" s="44">
        <v>5400000</v>
      </c>
      <c r="I1513" s="42" t="s">
        <v>2592</v>
      </c>
      <c r="J1513" s="42" t="s">
        <v>8</v>
      </c>
    </row>
    <row r="1514" spans="1:10" x14ac:dyDescent="0.3">
      <c r="A1514" s="42" t="s">
        <v>2048</v>
      </c>
      <c r="B1514" s="43">
        <v>45939</v>
      </c>
      <c r="C1514" s="42" t="s">
        <v>44</v>
      </c>
      <c r="D1514" s="42" t="s">
        <v>45</v>
      </c>
      <c r="E1514" s="42" t="s">
        <v>16</v>
      </c>
      <c r="F1514" s="42">
        <v>410</v>
      </c>
      <c r="G1514" s="44">
        <v>250000</v>
      </c>
      <c r="H1514" s="44">
        <v>102500000</v>
      </c>
      <c r="I1514" s="42" t="s">
        <v>2239</v>
      </c>
      <c r="J1514" s="42" t="s">
        <v>8</v>
      </c>
    </row>
    <row r="1515" spans="1:10" x14ac:dyDescent="0.3">
      <c r="A1515" s="42" t="s">
        <v>2049</v>
      </c>
      <c r="B1515" s="43">
        <v>45939</v>
      </c>
      <c r="C1515" s="42" t="s">
        <v>10</v>
      </c>
      <c r="D1515" s="42" t="s">
        <v>11</v>
      </c>
      <c r="E1515" s="42" t="s">
        <v>12</v>
      </c>
      <c r="F1515" s="42">
        <v>10</v>
      </c>
      <c r="G1515" s="44">
        <v>120000</v>
      </c>
      <c r="H1515" s="44">
        <v>1200000</v>
      </c>
      <c r="I1515" s="42" t="s">
        <v>1554</v>
      </c>
      <c r="J1515" s="42" t="s">
        <v>69</v>
      </c>
    </row>
    <row r="1516" spans="1:10" x14ac:dyDescent="0.3">
      <c r="A1516" s="42" t="s">
        <v>2050</v>
      </c>
      <c r="B1516" s="43">
        <v>45939</v>
      </c>
      <c r="C1516" s="42" t="s">
        <v>14</v>
      </c>
      <c r="D1516" s="42" t="s">
        <v>15</v>
      </c>
      <c r="E1516" s="42" t="s">
        <v>16</v>
      </c>
      <c r="F1516" s="42">
        <v>10</v>
      </c>
      <c r="G1516" s="44">
        <v>350000</v>
      </c>
      <c r="H1516" s="44">
        <v>3500000</v>
      </c>
      <c r="I1516" s="42" t="s">
        <v>2273</v>
      </c>
      <c r="J1516" s="42" t="s">
        <v>60</v>
      </c>
    </row>
    <row r="1517" spans="1:10" x14ac:dyDescent="0.3">
      <c r="A1517" s="42" t="s">
        <v>2051</v>
      </c>
      <c r="B1517" s="43">
        <v>45939</v>
      </c>
      <c r="C1517" s="42" t="s">
        <v>10</v>
      </c>
      <c r="D1517" s="42" t="s">
        <v>11</v>
      </c>
      <c r="E1517" s="42" t="s">
        <v>12</v>
      </c>
      <c r="F1517" s="42">
        <v>33</v>
      </c>
      <c r="G1517" s="44">
        <v>120000</v>
      </c>
      <c r="H1517" s="44">
        <v>3960000</v>
      </c>
      <c r="I1517" s="42" t="s">
        <v>2249</v>
      </c>
      <c r="J1517" s="42" t="s">
        <v>69</v>
      </c>
    </row>
    <row r="1518" spans="1:10" x14ac:dyDescent="0.3">
      <c r="A1518" s="42" t="s">
        <v>2052</v>
      </c>
      <c r="B1518" s="43">
        <v>45939</v>
      </c>
      <c r="C1518" s="42" t="s">
        <v>31</v>
      </c>
      <c r="D1518" s="42" t="s">
        <v>32</v>
      </c>
      <c r="E1518" s="42" t="s">
        <v>20</v>
      </c>
      <c r="F1518" s="42">
        <v>8</v>
      </c>
      <c r="G1518" s="44">
        <v>180000</v>
      </c>
      <c r="H1518" s="44">
        <v>1440000</v>
      </c>
      <c r="I1518" s="42" t="s">
        <v>2142</v>
      </c>
      <c r="J1518" s="42" t="s">
        <v>8</v>
      </c>
    </row>
    <row r="1519" spans="1:10" x14ac:dyDescent="0.3">
      <c r="A1519" s="42" t="s">
        <v>2071</v>
      </c>
      <c r="B1519" s="43">
        <v>45940</v>
      </c>
      <c r="C1519" s="42" t="s">
        <v>18</v>
      </c>
      <c r="D1519" s="42" t="s">
        <v>19</v>
      </c>
      <c r="E1519" s="42" t="s">
        <v>20</v>
      </c>
      <c r="F1519" s="42">
        <v>9</v>
      </c>
      <c r="G1519" s="44">
        <v>500000</v>
      </c>
      <c r="H1519" s="44">
        <v>4500000</v>
      </c>
      <c r="I1519" s="42" t="s">
        <v>2738</v>
      </c>
      <c r="J1519" s="42" t="s">
        <v>8</v>
      </c>
    </row>
    <row r="1520" spans="1:10" x14ac:dyDescent="0.3">
      <c r="A1520" s="42" t="s">
        <v>2082</v>
      </c>
      <c r="B1520" s="43">
        <v>45940</v>
      </c>
      <c r="C1520" s="42" t="s">
        <v>22</v>
      </c>
      <c r="D1520" s="42" t="s">
        <v>23</v>
      </c>
      <c r="E1520" s="42" t="s">
        <v>12</v>
      </c>
      <c r="F1520" s="42">
        <v>5</v>
      </c>
      <c r="G1520" s="44">
        <v>25000</v>
      </c>
      <c r="H1520" s="44">
        <v>125000</v>
      </c>
      <c r="I1520" s="42" t="s">
        <v>258</v>
      </c>
      <c r="J1520" s="42" t="s">
        <v>47</v>
      </c>
    </row>
    <row r="1521" spans="1:10" x14ac:dyDescent="0.3">
      <c r="A1521" s="42" t="s">
        <v>2083</v>
      </c>
      <c r="B1521" s="43">
        <v>45940</v>
      </c>
      <c r="C1521" s="42" t="s">
        <v>42</v>
      </c>
      <c r="D1521" s="42" t="s">
        <v>43</v>
      </c>
      <c r="E1521" s="42" t="s">
        <v>16</v>
      </c>
      <c r="F1521" s="42">
        <v>7</v>
      </c>
      <c r="G1521" s="44">
        <v>1200000</v>
      </c>
      <c r="H1521" s="44">
        <v>8400000</v>
      </c>
      <c r="I1521" s="42" t="s">
        <v>2495</v>
      </c>
      <c r="J1521" s="42" t="s">
        <v>60</v>
      </c>
    </row>
    <row r="1522" spans="1:10" x14ac:dyDescent="0.3">
      <c r="A1522" s="42" t="s">
        <v>2084</v>
      </c>
      <c r="B1522" s="43">
        <v>45940</v>
      </c>
      <c r="C1522" s="42" t="s">
        <v>44</v>
      </c>
      <c r="D1522" s="42" t="s">
        <v>45</v>
      </c>
      <c r="E1522" s="42" t="s">
        <v>16</v>
      </c>
      <c r="F1522" s="42">
        <v>29</v>
      </c>
      <c r="G1522" s="44">
        <v>250000</v>
      </c>
      <c r="H1522" s="44">
        <v>7250000</v>
      </c>
      <c r="I1522" s="42" t="s">
        <v>2810</v>
      </c>
      <c r="J1522" s="42" t="s">
        <v>69</v>
      </c>
    </row>
    <row r="1523" spans="1:10" x14ac:dyDescent="0.3">
      <c r="A1523" s="42" t="s">
        <v>2085</v>
      </c>
      <c r="B1523" s="43">
        <v>45940</v>
      </c>
      <c r="C1523" s="42" t="s">
        <v>31</v>
      </c>
      <c r="D1523" s="42" t="s">
        <v>32</v>
      </c>
      <c r="E1523" s="42" t="s">
        <v>20</v>
      </c>
      <c r="F1523" s="42">
        <v>23</v>
      </c>
      <c r="G1523" s="44">
        <v>180000</v>
      </c>
      <c r="H1523" s="44">
        <v>4140000</v>
      </c>
      <c r="I1523" s="42" t="s">
        <v>2542</v>
      </c>
      <c r="J1523" s="42" t="s">
        <v>60</v>
      </c>
    </row>
    <row r="1524" spans="1:10" x14ac:dyDescent="0.3">
      <c r="A1524" s="42" t="s">
        <v>2093</v>
      </c>
      <c r="B1524" s="43">
        <v>45940</v>
      </c>
      <c r="C1524" s="42" t="s">
        <v>44</v>
      </c>
      <c r="D1524" s="42" t="s">
        <v>45</v>
      </c>
      <c r="E1524" s="42" t="s">
        <v>16</v>
      </c>
      <c r="F1524" s="42">
        <v>18</v>
      </c>
      <c r="G1524" s="44">
        <v>250000</v>
      </c>
      <c r="H1524" s="44">
        <v>4500000</v>
      </c>
      <c r="I1524" s="42" t="s">
        <v>2763</v>
      </c>
      <c r="J1524" s="42" t="s">
        <v>127</v>
      </c>
    </row>
    <row r="1525" spans="1:10" x14ac:dyDescent="0.3">
      <c r="A1525" s="42" t="s">
        <v>2112</v>
      </c>
      <c r="B1525" s="43">
        <v>45940</v>
      </c>
      <c r="C1525" s="42" t="s">
        <v>31</v>
      </c>
      <c r="D1525" s="42" t="s">
        <v>32</v>
      </c>
      <c r="E1525" s="42" t="s">
        <v>20</v>
      </c>
      <c r="F1525" s="42">
        <v>26</v>
      </c>
      <c r="G1525" s="44">
        <v>180000</v>
      </c>
      <c r="H1525" s="44">
        <v>4680000</v>
      </c>
      <c r="I1525" s="42" t="s">
        <v>2599</v>
      </c>
      <c r="J1525" s="42" t="s">
        <v>127</v>
      </c>
    </row>
    <row r="1526" spans="1:10" x14ac:dyDescent="0.3">
      <c r="A1526" s="42" t="s">
        <v>2113</v>
      </c>
      <c r="B1526" s="43">
        <v>45940</v>
      </c>
      <c r="C1526" s="42" t="s">
        <v>22</v>
      </c>
      <c r="D1526" s="42" t="s">
        <v>23</v>
      </c>
      <c r="E1526" s="42" t="s">
        <v>12</v>
      </c>
      <c r="F1526" s="42">
        <v>19</v>
      </c>
      <c r="G1526" s="44">
        <v>25000</v>
      </c>
      <c r="H1526" s="44">
        <v>475000</v>
      </c>
      <c r="I1526" s="42" t="s">
        <v>2437</v>
      </c>
      <c r="J1526" s="42" t="s">
        <v>69</v>
      </c>
    </row>
    <row r="1527" spans="1:10" x14ac:dyDescent="0.3">
      <c r="A1527" s="42" t="s">
        <v>2114</v>
      </c>
      <c r="B1527" s="43">
        <v>45940</v>
      </c>
      <c r="C1527" s="42" t="s">
        <v>28</v>
      </c>
      <c r="D1527" s="42" t="s">
        <v>29</v>
      </c>
      <c r="E1527" s="42" t="s">
        <v>20</v>
      </c>
      <c r="F1527" s="42">
        <v>47</v>
      </c>
      <c r="G1527" s="44">
        <v>450000</v>
      </c>
      <c r="H1527" s="44">
        <v>21150000</v>
      </c>
      <c r="I1527" s="42" t="s">
        <v>2386</v>
      </c>
      <c r="J1527" s="42" t="s">
        <v>127</v>
      </c>
    </row>
    <row r="1528" spans="1:10" x14ac:dyDescent="0.3">
      <c r="A1528" s="42" t="s">
        <v>2115</v>
      </c>
      <c r="B1528" s="43">
        <v>45940</v>
      </c>
      <c r="C1528" s="42" t="s">
        <v>18</v>
      </c>
      <c r="D1528" s="42" t="s">
        <v>19</v>
      </c>
      <c r="E1528" s="42" t="s">
        <v>20</v>
      </c>
      <c r="F1528" s="42">
        <v>46</v>
      </c>
      <c r="G1528" s="44">
        <v>500000</v>
      </c>
      <c r="H1528" s="44">
        <v>23000000</v>
      </c>
      <c r="I1528" s="42" t="s">
        <v>2720</v>
      </c>
      <c r="J1528" s="42" t="s">
        <v>47</v>
      </c>
    </row>
    <row r="1529" spans="1:10" x14ac:dyDescent="0.3">
      <c r="A1529" s="42" t="s">
        <v>33</v>
      </c>
      <c r="B1529" s="43">
        <v>45943</v>
      </c>
      <c r="C1529" s="42" t="s">
        <v>14</v>
      </c>
      <c r="D1529" s="42" t="s">
        <v>15</v>
      </c>
      <c r="E1529" s="42" t="s">
        <v>16</v>
      </c>
      <c r="F1529" s="42">
        <v>110</v>
      </c>
      <c r="G1529" s="44">
        <v>350000</v>
      </c>
      <c r="H1529" s="44">
        <v>38500000</v>
      </c>
      <c r="I1529" s="42" t="s">
        <v>2684</v>
      </c>
      <c r="J1529" s="42" t="s">
        <v>127</v>
      </c>
    </row>
    <row r="1530" spans="1:10" x14ac:dyDescent="0.3">
      <c r="A1530" s="42" t="s">
        <v>55</v>
      </c>
      <c r="B1530" s="43">
        <v>45943</v>
      </c>
      <c r="C1530" s="42" t="s">
        <v>22</v>
      </c>
      <c r="D1530" s="42" t="s">
        <v>23</v>
      </c>
      <c r="E1530" s="42" t="s">
        <v>12</v>
      </c>
      <c r="F1530" s="42">
        <v>50</v>
      </c>
      <c r="G1530" s="44">
        <v>25000</v>
      </c>
      <c r="H1530" s="44">
        <v>1250000</v>
      </c>
      <c r="I1530" s="42" t="s">
        <v>2847</v>
      </c>
      <c r="J1530" s="42" t="s">
        <v>127</v>
      </c>
    </row>
    <row r="1531" spans="1:10" x14ac:dyDescent="0.3">
      <c r="A1531" s="42" t="s">
        <v>56</v>
      </c>
      <c r="B1531" s="43">
        <v>45943</v>
      </c>
      <c r="C1531" s="42" t="s">
        <v>14</v>
      </c>
      <c r="D1531" s="42" t="s">
        <v>15</v>
      </c>
      <c r="E1531" s="42" t="s">
        <v>16</v>
      </c>
      <c r="F1531" s="42">
        <v>30</v>
      </c>
      <c r="G1531" s="44">
        <v>350000</v>
      </c>
      <c r="H1531" s="44">
        <v>10500000</v>
      </c>
      <c r="I1531" s="42" t="s">
        <v>2225</v>
      </c>
      <c r="J1531" s="42" t="s">
        <v>8</v>
      </c>
    </row>
    <row r="1532" spans="1:10" x14ac:dyDescent="0.3">
      <c r="A1532" s="42" t="s">
        <v>57</v>
      </c>
      <c r="B1532" s="43">
        <v>45943</v>
      </c>
      <c r="C1532" s="42" t="s">
        <v>10</v>
      </c>
      <c r="D1532" s="42" t="s">
        <v>11</v>
      </c>
      <c r="E1532" s="42" t="s">
        <v>12</v>
      </c>
      <c r="F1532" s="42">
        <v>12</v>
      </c>
      <c r="G1532" s="44">
        <v>120000</v>
      </c>
      <c r="H1532" s="44">
        <v>1440000</v>
      </c>
      <c r="I1532" s="42" t="s">
        <v>2129</v>
      </c>
      <c r="J1532" s="42" t="s">
        <v>8</v>
      </c>
    </row>
    <row r="1533" spans="1:10" x14ac:dyDescent="0.3">
      <c r="A1533" s="42" t="s">
        <v>58</v>
      </c>
      <c r="B1533" s="43">
        <v>45943</v>
      </c>
      <c r="C1533" s="42" t="s">
        <v>31</v>
      </c>
      <c r="D1533" s="42" t="s">
        <v>32</v>
      </c>
      <c r="E1533" s="42" t="s">
        <v>20</v>
      </c>
      <c r="F1533" s="42">
        <v>31</v>
      </c>
      <c r="G1533" s="44">
        <v>180000</v>
      </c>
      <c r="H1533" s="44">
        <v>5580000</v>
      </c>
      <c r="I1533" s="42" t="s">
        <v>2614</v>
      </c>
      <c r="J1533" s="42" t="s">
        <v>60</v>
      </c>
    </row>
    <row r="1534" spans="1:10" x14ac:dyDescent="0.3">
      <c r="A1534" s="42" t="s">
        <v>66</v>
      </c>
      <c r="B1534" s="43">
        <v>45943</v>
      </c>
      <c r="C1534" s="42" t="s">
        <v>18</v>
      </c>
      <c r="D1534" s="42" t="s">
        <v>19</v>
      </c>
      <c r="E1534" s="42" t="s">
        <v>20</v>
      </c>
      <c r="F1534" s="42">
        <v>20</v>
      </c>
      <c r="G1534" s="44">
        <v>500000</v>
      </c>
      <c r="H1534" s="44">
        <v>10000000</v>
      </c>
      <c r="I1534" s="42" t="s">
        <v>2142</v>
      </c>
      <c r="J1534" s="42" t="s">
        <v>8</v>
      </c>
    </row>
    <row r="1535" spans="1:10" x14ac:dyDescent="0.3">
      <c r="A1535" s="42" t="s">
        <v>75</v>
      </c>
      <c r="B1535" s="43">
        <v>45943</v>
      </c>
      <c r="C1535" s="42" t="s">
        <v>31</v>
      </c>
      <c r="D1535" s="42" t="s">
        <v>32</v>
      </c>
      <c r="E1535" s="42" t="s">
        <v>20</v>
      </c>
      <c r="F1535" s="42">
        <v>35</v>
      </c>
      <c r="G1535" s="44">
        <v>180000</v>
      </c>
      <c r="H1535" s="44">
        <v>6300000</v>
      </c>
      <c r="I1535" s="42" t="s">
        <v>2134</v>
      </c>
      <c r="J1535" s="42" t="s">
        <v>8</v>
      </c>
    </row>
    <row r="1536" spans="1:10" x14ac:dyDescent="0.3">
      <c r="A1536" s="42" t="s">
        <v>76</v>
      </c>
      <c r="B1536" s="43">
        <v>45943</v>
      </c>
      <c r="C1536" s="42" t="s">
        <v>14</v>
      </c>
      <c r="D1536" s="42" t="s">
        <v>15</v>
      </c>
      <c r="E1536" s="42" t="s">
        <v>16</v>
      </c>
      <c r="F1536" s="42">
        <v>6</v>
      </c>
      <c r="G1536" s="44">
        <v>350000</v>
      </c>
      <c r="H1536" s="44">
        <v>2100000</v>
      </c>
      <c r="I1536" s="42" t="s">
        <v>2829</v>
      </c>
      <c r="J1536" s="42" t="s">
        <v>69</v>
      </c>
    </row>
    <row r="1537" spans="1:10" x14ac:dyDescent="0.3">
      <c r="A1537" s="42" t="s">
        <v>86</v>
      </c>
      <c r="B1537" s="43">
        <v>45943</v>
      </c>
      <c r="C1537" s="42" t="s">
        <v>10</v>
      </c>
      <c r="D1537" s="42" t="s">
        <v>11</v>
      </c>
      <c r="E1537" s="42" t="s">
        <v>12</v>
      </c>
      <c r="F1537" s="42">
        <v>49</v>
      </c>
      <c r="G1537" s="44">
        <v>120000</v>
      </c>
      <c r="H1537" s="44">
        <v>5880000</v>
      </c>
      <c r="I1537" s="42" t="s">
        <v>2510</v>
      </c>
      <c r="J1537" s="42" t="s">
        <v>69</v>
      </c>
    </row>
    <row r="1538" spans="1:10" x14ac:dyDescent="0.3">
      <c r="A1538" s="42" t="s">
        <v>98</v>
      </c>
      <c r="B1538" s="43">
        <v>45943</v>
      </c>
      <c r="C1538" s="42" t="s">
        <v>22</v>
      </c>
      <c r="D1538" s="42" t="s">
        <v>23</v>
      </c>
      <c r="E1538" s="42" t="s">
        <v>12</v>
      </c>
      <c r="F1538" s="42">
        <v>8</v>
      </c>
      <c r="G1538" s="44">
        <v>25000</v>
      </c>
      <c r="H1538" s="44">
        <v>200000</v>
      </c>
      <c r="I1538" s="42" t="s">
        <v>325</v>
      </c>
      <c r="J1538" s="42" t="s">
        <v>8</v>
      </c>
    </row>
    <row r="1539" spans="1:10" x14ac:dyDescent="0.3">
      <c r="A1539" s="42" t="s">
        <v>136</v>
      </c>
      <c r="B1539" s="43">
        <v>45943</v>
      </c>
      <c r="C1539" s="42" t="s">
        <v>44</v>
      </c>
      <c r="D1539" s="42" t="s">
        <v>45</v>
      </c>
      <c r="E1539" s="42" t="s">
        <v>16</v>
      </c>
      <c r="F1539" s="42">
        <v>12</v>
      </c>
      <c r="G1539" s="44">
        <v>250000</v>
      </c>
      <c r="H1539" s="44">
        <v>3000000</v>
      </c>
      <c r="I1539" s="42" t="s">
        <v>2570</v>
      </c>
      <c r="J1539" s="42" t="s">
        <v>8</v>
      </c>
    </row>
    <row r="1540" spans="1:10" x14ac:dyDescent="0.3">
      <c r="A1540" s="42" t="s">
        <v>141</v>
      </c>
      <c r="B1540" s="43">
        <v>45943</v>
      </c>
      <c r="C1540" s="42" t="s">
        <v>44</v>
      </c>
      <c r="D1540" s="42" t="s">
        <v>45</v>
      </c>
      <c r="E1540" s="42" t="s">
        <v>16</v>
      </c>
      <c r="F1540" s="42">
        <v>27</v>
      </c>
      <c r="G1540" s="44">
        <v>250000</v>
      </c>
      <c r="H1540" s="44">
        <v>6750000</v>
      </c>
      <c r="I1540" s="42" t="s">
        <v>1970</v>
      </c>
      <c r="J1540" s="42" t="s">
        <v>127</v>
      </c>
    </row>
    <row r="1541" spans="1:10" x14ac:dyDescent="0.3">
      <c r="A1541" s="42" t="s">
        <v>142</v>
      </c>
      <c r="B1541" s="43">
        <v>45944</v>
      </c>
      <c r="C1541" s="42" t="s">
        <v>44</v>
      </c>
      <c r="D1541" s="42" t="s">
        <v>45</v>
      </c>
      <c r="E1541" s="42" t="s">
        <v>16</v>
      </c>
      <c r="F1541" s="42">
        <v>18</v>
      </c>
      <c r="G1541" s="44">
        <v>250000</v>
      </c>
      <c r="H1541" s="44">
        <v>4500000</v>
      </c>
      <c r="I1541" s="42" t="s">
        <v>2818</v>
      </c>
      <c r="J1541" s="42" t="s">
        <v>127</v>
      </c>
    </row>
    <row r="1542" spans="1:10" x14ac:dyDescent="0.3">
      <c r="A1542" s="42" t="s">
        <v>161</v>
      </c>
      <c r="B1542" s="43">
        <v>45944</v>
      </c>
      <c r="C1542" s="42" t="s">
        <v>28</v>
      </c>
      <c r="D1542" s="42" t="s">
        <v>29</v>
      </c>
      <c r="E1542" s="42" t="s">
        <v>20</v>
      </c>
      <c r="F1542" s="42">
        <v>29</v>
      </c>
      <c r="G1542" s="44">
        <v>450000</v>
      </c>
      <c r="H1542" s="44">
        <v>13050000</v>
      </c>
      <c r="I1542" s="42" t="s">
        <v>2612</v>
      </c>
      <c r="J1542" s="42" t="s">
        <v>60</v>
      </c>
    </row>
    <row r="1543" spans="1:10" x14ac:dyDescent="0.3">
      <c r="A1543" s="42" t="s">
        <v>162</v>
      </c>
      <c r="B1543" s="43">
        <v>45944</v>
      </c>
      <c r="C1543" s="42" t="s">
        <v>28</v>
      </c>
      <c r="D1543" s="42" t="s">
        <v>29</v>
      </c>
      <c r="E1543" s="42" t="s">
        <v>20</v>
      </c>
      <c r="F1543" s="42">
        <v>49</v>
      </c>
      <c r="G1543" s="44">
        <v>450000</v>
      </c>
      <c r="H1543" s="44">
        <v>22050000</v>
      </c>
      <c r="I1543" s="42" t="s">
        <v>2404</v>
      </c>
      <c r="J1543" s="42" t="s">
        <v>60</v>
      </c>
    </row>
    <row r="1544" spans="1:10" x14ac:dyDescent="0.3">
      <c r="A1544" s="42" t="s">
        <v>163</v>
      </c>
      <c r="B1544" s="43">
        <v>45944</v>
      </c>
      <c r="C1544" s="42" t="s">
        <v>18</v>
      </c>
      <c r="D1544" s="42" t="s">
        <v>19</v>
      </c>
      <c r="E1544" s="42" t="s">
        <v>20</v>
      </c>
      <c r="F1544" s="42">
        <v>320</v>
      </c>
      <c r="G1544" s="44">
        <v>500000</v>
      </c>
      <c r="H1544" s="44">
        <v>160000000</v>
      </c>
      <c r="I1544" s="42" t="s">
        <v>2684</v>
      </c>
      <c r="J1544" s="42" t="s">
        <v>127</v>
      </c>
    </row>
    <row r="1545" spans="1:10" x14ac:dyDescent="0.3">
      <c r="A1545" s="42" t="s">
        <v>178</v>
      </c>
      <c r="B1545" s="43">
        <v>45944</v>
      </c>
      <c r="C1545" s="42" t="s">
        <v>14</v>
      </c>
      <c r="D1545" s="42" t="s">
        <v>15</v>
      </c>
      <c r="E1545" s="42" t="s">
        <v>16</v>
      </c>
      <c r="F1545" s="42">
        <v>50</v>
      </c>
      <c r="G1545" s="44">
        <v>350000</v>
      </c>
      <c r="H1545" s="44">
        <v>17500000</v>
      </c>
      <c r="I1545" s="42" t="s">
        <v>2475</v>
      </c>
      <c r="J1545" s="42" t="s">
        <v>47</v>
      </c>
    </row>
    <row r="1546" spans="1:10" x14ac:dyDescent="0.3">
      <c r="A1546" s="42" t="s">
        <v>179</v>
      </c>
      <c r="B1546" s="43">
        <v>45944</v>
      </c>
      <c r="C1546" s="42" t="s">
        <v>42</v>
      </c>
      <c r="D1546" s="42" t="s">
        <v>43</v>
      </c>
      <c r="E1546" s="42" t="s">
        <v>16</v>
      </c>
      <c r="F1546" s="42">
        <v>39</v>
      </c>
      <c r="G1546" s="44">
        <v>1200000</v>
      </c>
      <c r="H1546" s="44">
        <v>46800000</v>
      </c>
      <c r="I1546" s="42" t="s">
        <v>2619</v>
      </c>
      <c r="J1546" s="42" t="s">
        <v>8</v>
      </c>
    </row>
    <row r="1547" spans="1:10" x14ac:dyDescent="0.3">
      <c r="A1547" s="42" t="s">
        <v>200</v>
      </c>
      <c r="B1547" s="43">
        <v>45944</v>
      </c>
      <c r="C1547" s="42" t="s">
        <v>14</v>
      </c>
      <c r="D1547" s="42" t="s">
        <v>15</v>
      </c>
      <c r="E1547" s="42" t="s">
        <v>16</v>
      </c>
      <c r="F1547" s="42">
        <v>280</v>
      </c>
      <c r="G1547" s="44">
        <v>350000</v>
      </c>
      <c r="H1547" s="44">
        <v>98000000</v>
      </c>
      <c r="I1547" s="42" t="s">
        <v>2686</v>
      </c>
      <c r="J1547" s="42" t="s">
        <v>8</v>
      </c>
    </row>
    <row r="1548" spans="1:10" x14ac:dyDescent="0.3">
      <c r="A1548" s="42" t="s">
        <v>201</v>
      </c>
      <c r="B1548" s="43">
        <v>45944</v>
      </c>
      <c r="C1548" s="42" t="s">
        <v>14</v>
      </c>
      <c r="D1548" s="42" t="s">
        <v>15</v>
      </c>
      <c r="E1548" s="42" t="s">
        <v>16</v>
      </c>
      <c r="F1548" s="42">
        <v>48</v>
      </c>
      <c r="G1548" s="44">
        <v>350000</v>
      </c>
      <c r="H1548" s="44">
        <v>16800000</v>
      </c>
      <c r="I1548" s="42" t="s">
        <v>2607</v>
      </c>
      <c r="J1548" s="42" t="s">
        <v>47</v>
      </c>
    </row>
    <row r="1549" spans="1:10" x14ac:dyDescent="0.3">
      <c r="A1549" s="42" t="s">
        <v>202</v>
      </c>
      <c r="B1549" s="43">
        <v>45945</v>
      </c>
      <c r="C1549" s="42" t="s">
        <v>22</v>
      </c>
      <c r="D1549" s="42" t="s">
        <v>23</v>
      </c>
      <c r="E1549" s="42" t="s">
        <v>12</v>
      </c>
      <c r="F1549" s="42">
        <v>22</v>
      </c>
      <c r="G1549" s="44">
        <v>25000</v>
      </c>
      <c r="H1549" s="44">
        <v>550000</v>
      </c>
      <c r="I1549" s="42" t="s">
        <v>2754</v>
      </c>
      <c r="J1549" s="42" t="s">
        <v>127</v>
      </c>
    </row>
    <row r="1550" spans="1:10" x14ac:dyDescent="0.3">
      <c r="A1550" s="42" t="s">
        <v>212</v>
      </c>
      <c r="B1550" s="43">
        <v>45945</v>
      </c>
      <c r="C1550" s="42" t="s">
        <v>22</v>
      </c>
      <c r="D1550" s="42" t="s">
        <v>23</v>
      </c>
      <c r="E1550" s="42" t="s">
        <v>12</v>
      </c>
      <c r="F1550" s="42">
        <v>15</v>
      </c>
      <c r="G1550" s="44">
        <v>25000</v>
      </c>
      <c r="H1550" s="44">
        <v>375000</v>
      </c>
      <c r="I1550" s="42" t="s">
        <v>2780</v>
      </c>
      <c r="J1550" s="42" t="s">
        <v>127</v>
      </c>
    </row>
    <row r="1551" spans="1:10" x14ac:dyDescent="0.3">
      <c r="A1551" s="42" t="s">
        <v>227</v>
      </c>
      <c r="B1551" s="43">
        <v>45945</v>
      </c>
      <c r="C1551" s="42" t="s">
        <v>18</v>
      </c>
      <c r="D1551" s="42" t="s">
        <v>19</v>
      </c>
      <c r="E1551" s="42" t="s">
        <v>20</v>
      </c>
      <c r="F1551" s="42">
        <v>36</v>
      </c>
      <c r="G1551" s="44">
        <v>500000</v>
      </c>
      <c r="H1551" s="44">
        <v>18000000</v>
      </c>
      <c r="I1551" s="42" t="s">
        <v>2286</v>
      </c>
      <c r="J1551" s="42" t="s">
        <v>8</v>
      </c>
    </row>
    <row r="1552" spans="1:10" x14ac:dyDescent="0.3">
      <c r="A1552" s="42" t="s">
        <v>235</v>
      </c>
      <c r="B1552" s="43">
        <v>45945</v>
      </c>
      <c r="C1552" s="42" t="s">
        <v>40</v>
      </c>
      <c r="D1552" s="42" t="s">
        <v>41</v>
      </c>
      <c r="E1552" s="42" t="s">
        <v>16</v>
      </c>
      <c r="F1552" s="42">
        <v>10</v>
      </c>
      <c r="G1552" s="44">
        <v>950000</v>
      </c>
      <c r="H1552" s="44">
        <v>9500000</v>
      </c>
      <c r="I1552" s="42" t="s">
        <v>2605</v>
      </c>
      <c r="J1552" s="42" t="s">
        <v>127</v>
      </c>
    </row>
    <row r="1553" spans="1:10" x14ac:dyDescent="0.3">
      <c r="A1553" s="42" t="s">
        <v>236</v>
      </c>
      <c r="B1553" s="43">
        <v>45945</v>
      </c>
      <c r="C1553" s="42" t="s">
        <v>28</v>
      </c>
      <c r="D1553" s="42" t="s">
        <v>29</v>
      </c>
      <c r="E1553" s="42" t="s">
        <v>20</v>
      </c>
      <c r="F1553" s="42">
        <v>38</v>
      </c>
      <c r="G1553" s="44">
        <v>450000</v>
      </c>
      <c r="H1553" s="44">
        <v>17100000</v>
      </c>
      <c r="I1553" s="42" t="s">
        <v>2152</v>
      </c>
      <c r="J1553" s="42" t="s">
        <v>69</v>
      </c>
    </row>
    <row r="1554" spans="1:10" x14ac:dyDescent="0.3">
      <c r="A1554" s="42" t="s">
        <v>251</v>
      </c>
      <c r="B1554" s="43">
        <v>45945</v>
      </c>
      <c r="C1554" s="42" t="s">
        <v>28</v>
      </c>
      <c r="D1554" s="42" t="s">
        <v>29</v>
      </c>
      <c r="E1554" s="42" t="s">
        <v>20</v>
      </c>
      <c r="F1554" s="42">
        <v>47</v>
      </c>
      <c r="G1554" s="44">
        <v>450000</v>
      </c>
      <c r="H1554" s="44">
        <v>21150000</v>
      </c>
      <c r="I1554" s="42" t="s">
        <v>2493</v>
      </c>
      <c r="J1554" s="42" t="s">
        <v>69</v>
      </c>
    </row>
    <row r="1555" spans="1:10" x14ac:dyDescent="0.3">
      <c r="A1555" s="42" t="s">
        <v>252</v>
      </c>
      <c r="B1555" s="43">
        <v>45945</v>
      </c>
      <c r="C1555" s="42" t="s">
        <v>14</v>
      </c>
      <c r="D1555" s="42" t="s">
        <v>15</v>
      </c>
      <c r="E1555" s="42" t="s">
        <v>16</v>
      </c>
      <c r="F1555" s="42">
        <v>7</v>
      </c>
      <c r="G1555" s="44">
        <v>350000</v>
      </c>
      <c r="H1555" s="44">
        <v>2450000</v>
      </c>
      <c r="I1555" s="42" t="s">
        <v>2193</v>
      </c>
      <c r="J1555" s="42" t="s">
        <v>127</v>
      </c>
    </row>
    <row r="1556" spans="1:10" x14ac:dyDescent="0.3">
      <c r="A1556" s="42" t="s">
        <v>253</v>
      </c>
      <c r="B1556" s="43">
        <v>45945</v>
      </c>
      <c r="C1556" s="42" t="s">
        <v>40</v>
      </c>
      <c r="D1556" s="42" t="s">
        <v>41</v>
      </c>
      <c r="E1556" s="42" t="s">
        <v>16</v>
      </c>
      <c r="F1556" s="42">
        <v>19</v>
      </c>
      <c r="G1556" s="44">
        <v>950000</v>
      </c>
      <c r="H1556" s="44">
        <v>18050000</v>
      </c>
      <c r="I1556" s="42" t="s">
        <v>2781</v>
      </c>
      <c r="J1556" s="42" t="s">
        <v>127</v>
      </c>
    </row>
    <row r="1557" spans="1:10" x14ac:dyDescent="0.3">
      <c r="A1557" s="42" t="s">
        <v>254</v>
      </c>
      <c r="B1557" s="43">
        <v>45945</v>
      </c>
      <c r="C1557" s="42" t="s">
        <v>31</v>
      </c>
      <c r="D1557" s="42" t="s">
        <v>32</v>
      </c>
      <c r="E1557" s="42" t="s">
        <v>20</v>
      </c>
      <c r="F1557" s="42">
        <v>26</v>
      </c>
      <c r="G1557" s="44">
        <v>180000</v>
      </c>
      <c r="H1557" s="44">
        <v>4680000</v>
      </c>
      <c r="I1557" s="42" t="s">
        <v>2372</v>
      </c>
      <c r="J1557" s="42" t="s">
        <v>8</v>
      </c>
    </row>
    <row r="1558" spans="1:10" x14ac:dyDescent="0.3">
      <c r="A1558" s="42" t="s">
        <v>270</v>
      </c>
      <c r="B1558" s="43">
        <v>45945</v>
      </c>
      <c r="C1558" s="42" t="s">
        <v>18</v>
      </c>
      <c r="D1558" s="42" t="s">
        <v>19</v>
      </c>
      <c r="E1558" s="42" t="s">
        <v>20</v>
      </c>
      <c r="F1558" s="42">
        <v>34</v>
      </c>
      <c r="G1558" s="44">
        <v>500000</v>
      </c>
      <c r="H1558" s="44">
        <v>17000000</v>
      </c>
      <c r="I1558" s="42" t="s">
        <v>2696</v>
      </c>
      <c r="J1558" s="42" t="s">
        <v>60</v>
      </c>
    </row>
    <row r="1559" spans="1:10" x14ac:dyDescent="0.3">
      <c r="A1559" s="42" t="s">
        <v>271</v>
      </c>
      <c r="B1559" s="43">
        <v>45947</v>
      </c>
      <c r="C1559" s="42" t="s">
        <v>40</v>
      </c>
      <c r="D1559" s="42" t="s">
        <v>41</v>
      </c>
      <c r="E1559" s="42" t="s">
        <v>16</v>
      </c>
      <c r="F1559" s="42">
        <v>18</v>
      </c>
      <c r="G1559" s="44">
        <v>950000</v>
      </c>
      <c r="H1559" s="44">
        <v>17100000</v>
      </c>
      <c r="I1559" s="42" t="s">
        <v>2410</v>
      </c>
      <c r="J1559" s="42" t="s">
        <v>8</v>
      </c>
    </row>
    <row r="1560" spans="1:10" x14ac:dyDescent="0.3">
      <c r="A1560" s="42" t="s">
        <v>283</v>
      </c>
      <c r="B1560" s="43">
        <v>45947</v>
      </c>
      <c r="C1560" s="42" t="s">
        <v>28</v>
      </c>
      <c r="D1560" s="42" t="s">
        <v>29</v>
      </c>
      <c r="E1560" s="42" t="s">
        <v>20</v>
      </c>
      <c r="F1560" s="42">
        <v>36</v>
      </c>
      <c r="G1560" s="44">
        <v>450000</v>
      </c>
      <c r="H1560" s="44">
        <v>16200000</v>
      </c>
      <c r="I1560" s="42" t="s">
        <v>2012</v>
      </c>
      <c r="J1560" s="42" t="s">
        <v>60</v>
      </c>
    </row>
    <row r="1561" spans="1:10" x14ac:dyDescent="0.3">
      <c r="A1561" s="42" t="s">
        <v>284</v>
      </c>
      <c r="B1561" s="43">
        <v>45947</v>
      </c>
      <c r="C1561" s="42" t="s">
        <v>10</v>
      </c>
      <c r="D1561" s="42" t="s">
        <v>11</v>
      </c>
      <c r="E1561" s="42" t="s">
        <v>12</v>
      </c>
      <c r="F1561" s="42">
        <v>38</v>
      </c>
      <c r="G1561" s="44">
        <v>120000</v>
      </c>
      <c r="H1561" s="44">
        <v>4560000</v>
      </c>
      <c r="I1561" s="42" t="s">
        <v>274</v>
      </c>
      <c r="J1561" s="42" t="s">
        <v>8</v>
      </c>
    </row>
    <row r="1562" spans="1:10" x14ac:dyDescent="0.3">
      <c r="A1562" s="42" t="s">
        <v>285</v>
      </c>
      <c r="B1562" s="43">
        <v>45947</v>
      </c>
      <c r="C1562" s="42" t="s">
        <v>40</v>
      </c>
      <c r="D1562" s="42" t="s">
        <v>41</v>
      </c>
      <c r="E1562" s="42" t="s">
        <v>16</v>
      </c>
      <c r="F1562" s="42">
        <v>39</v>
      </c>
      <c r="G1562" s="44">
        <v>950000</v>
      </c>
      <c r="H1562" s="44">
        <v>37050000</v>
      </c>
      <c r="I1562" s="42" t="s">
        <v>2704</v>
      </c>
      <c r="J1562" s="42" t="s">
        <v>8</v>
      </c>
    </row>
    <row r="1563" spans="1:10" x14ac:dyDescent="0.3">
      <c r="A1563" s="42" t="s">
        <v>294</v>
      </c>
      <c r="B1563" s="43">
        <v>45947</v>
      </c>
      <c r="C1563" s="42" t="s">
        <v>10</v>
      </c>
      <c r="D1563" s="42" t="s">
        <v>11</v>
      </c>
      <c r="E1563" s="42" t="s">
        <v>12</v>
      </c>
      <c r="F1563" s="42">
        <v>23</v>
      </c>
      <c r="G1563" s="44">
        <v>120000</v>
      </c>
      <c r="H1563" s="44">
        <v>2760000</v>
      </c>
      <c r="I1563" s="42" t="s">
        <v>2480</v>
      </c>
      <c r="J1563" s="42" t="s">
        <v>127</v>
      </c>
    </row>
    <row r="1564" spans="1:10" x14ac:dyDescent="0.3">
      <c r="A1564" s="42" t="s">
        <v>295</v>
      </c>
      <c r="B1564" s="43">
        <v>45947</v>
      </c>
      <c r="C1564" s="42" t="s">
        <v>10</v>
      </c>
      <c r="D1564" s="42" t="s">
        <v>11</v>
      </c>
      <c r="E1564" s="42" t="s">
        <v>12</v>
      </c>
      <c r="F1564" s="42">
        <v>400</v>
      </c>
      <c r="G1564" s="44">
        <v>120000</v>
      </c>
      <c r="H1564" s="44">
        <v>48000000</v>
      </c>
      <c r="I1564" s="42" t="s">
        <v>2618</v>
      </c>
      <c r="J1564" s="42" t="s">
        <v>8</v>
      </c>
    </row>
    <row r="1565" spans="1:10" x14ac:dyDescent="0.3">
      <c r="A1565" s="42" t="s">
        <v>304</v>
      </c>
      <c r="B1565" s="43">
        <v>45947</v>
      </c>
      <c r="C1565" s="42" t="s">
        <v>10</v>
      </c>
      <c r="D1565" s="42" t="s">
        <v>11</v>
      </c>
      <c r="E1565" s="42" t="s">
        <v>12</v>
      </c>
      <c r="F1565" s="42">
        <v>500</v>
      </c>
      <c r="G1565" s="44">
        <v>120000</v>
      </c>
      <c r="H1565" s="44">
        <v>60000000</v>
      </c>
      <c r="I1565" s="42" t="s">
        <v>2624</v>
      </c>
      <c r="J1565" s="42" t="s">
        <v>60</v>
      </c>
    </row>
    <row r="1566" spans="1:10" x14ac:dyDescent="0.3">
      <c r="A1566" s="42" t="s">
        <v>305</v>
      </c>
      <c r="B1566" s="43">
        <v>45947</v>
      </c>
      <c r="C1566" s="42" t="s">
        <v>38</v>
      </c>
      <c r="D1566" s="42" t="s">
        <v>39</v>
      </c>
      <c r="E1566" s="42" t="s">
        <v>16</v>
      </c>
      <c r="F1566" s="42">
        <v>49</v>
      </c>
      <c r="G1566" s="44">
        <v>200000</v>
      </c>
      <c r="H1566" s="44">
        <v>9800000</v>
      </c>
      <c r="I1566" s="42" t="s">
        <v>2477</v>
      </c>
      <c r="J1566" s="42" t="s">
        <v>47</v>
      </c>
    </row>
    <row r="1567" spans="1:10" x14ac:dyDescent="0.3">
      <c r="A1567" s="42" t="s">
        <v>320</v>
      </c>
      <c r="B1567" s="43">
        <v>45950</v>
      </c>
      <c r="C1567" s="42" t="s">
        <v>42</v>
      </c>
      <c r="D1567" s="42" t="s">
        <v>43</v>
      </c>
      <c r="E1567" s="42" t="s">
        <v>16</v>
      </c>
      <c r="F1567" s="42">
        <v>29</v>
      </c>
      <c r="G1567" s="44">
        <v>1200000</v>
      </c>
      <c r="H1567" s="44">
        <v>34800000</v>
      </c>
      <c r="I1567" s="42" t="s">
        <v>2651</v>
      </c>
      <c r="J1567" s="42" t="s">
        <v>47</v>
      </c>
    </row>
    <row r="1568" spans="1:10" x14ac:dyDescent="0.3">
      <c r="A1568" s="42" t="s">
        <v>321</v>
      </c>
      <c r="B1568" s="43">
        <v>45950</v>
      </c>
      <c r="C1568" s="42" t="s">
        <v>10</v>
      </c>
      <c r="D1568" s="42" t="s">
        <v>11</v>
      </c>
      <c r="E1568" s="42" t="s">
        <v>12</v>
      </c>
      <c r="F1568" s="42">
        <v>430</v>
      </c>
      <c r="G1568" s="44">
        <v>120000</v>
      </c>
      <c r="H1568" s="44">
        <v>51600000</v>
      </c>
      <c r="I1568" s="42" t="s">
        <v>2830</v>
      </c>
      <c r="J1568" s="42" t="s">
        <v>69</v>
      </c>
    </row>
    <row r="1569" spans="1:10" x14ac:dyDescent="0.3">
      <c r="A1569" s="42" t="s">
        <v>322</v>
      </c>
      <c r="B1569" s="43">
        <v>45950</v>
      </c>
      <c r="C1569" s="42" t="s">
        <v>18</v>
      </c>
      <c r="D1569" s="42" t="s">
        <v>19</v>
      </c>
      <c r="E1569" s="42" t="s">
        <v>20</v>
      </c>
      <c r="F1569" s="42">
        <v>230</v>
      </c>
      <c r="G1569" s="44">
        <v>500000</v>
      </c>
      <c r="H1569" s="44">
        <v>115000000</v>
      </c>
      <c r="I1569" s="42" t="s">
        <v>2695</v>
      </c>
      <c r="J1569" s="42" t="s">
        <v>8</v>
      </c>
    </row>
    <row r="1570" spans="1:10" x14ac:dyDescent="0.3">
      <c r="A1570" s="42" t="s">
        <v>334</v>
      </c>
      <c r="B1570" s="43">
        <v>45950</v>
      </c>
      <c r="C1570" s="42" t="s">
        <v>44</v>
      </c>
      <c r="D1570" s="42" t="s">
        <v>45</v>
      </c>
      <c r="E1570" s="42" t="s">
        <v>16</v>
      </c>
      <c r="F1570" s="42">
        <v>30</v>
      </c>
      <c r="G1570" s="44">
        <v>250000</v>
      </c>
      <c r="H1570" s="44">
        <v>7500000</v>
      </c>
      <c r="I1570" s="42" t="s">
        <v>2786</v>
      </c>
      <c r="J1570" s="42" t="s">
        <v>127</v>
      </c>
    </row>
    <row r="1571" spans="1:10" x14ac:dyDescent="0.3">
      <c r="A1571" s="42" t="s">
        <v>335</v>
      </c>
      <c r="B1571" s="43">
        <v>45950</v>
      </c>
      <c r="C1571" s="42" t="s">
        <v>14</v>
      </c>
      <c r="D1571" s="42" t="s">
        <v>15</v>
      </c>
      <c r="E1571" s="42" t="s">
        <v>16</v>
      </c>
      <c r="F1571" s="42">
        <v>21</v>
      </c>
      <c r="G1571" s="44">
        <v>350000</v>
      </c>
      <c r="H1571" s="44">
        <v>7350000</v>
      </c>
      <c r="I1571" s="42" t="s">
        <v>2198</v>
      </c>
      <c r="J1571" s="42" t="s">
        <v>8</v>
      </c>
    </row>
    <row r="1572" spans="1:10" x14ac:dyDescent="0.3">
      <c r="A1572" s="42" t="s">
        <v>351</v>
      </c>
      <c r="B1572" s="43">
        <v>45950</v>
      </c>
      <c r="C1572" s="42" t="s">
        <v>31</v>
      </c>
      <c r="D1572" s="42" t="s">
        <v>32</v>
      </c>
      <c r="E1572" s="42" t="s">
        <v>20</v>
      </c>
      <c r="F1572" s="42">
        <v>18</v>
      </c>
      <c r="G1572" s="44">
        <v>180000</v>
      </c>
      <c r="H1572" s="44">
        <v>3240000</v>
      </c>
      <c r="I1572" s="42" t="s">
        <v>2558</v>
      </c>
      <c r="J1572" s="42" t="s">
        <v>8</v>
      </c>
    </row>
    <row r="1573" spans="1:10" x14ac:dyDescent="0.3">
      <c r="A1573" s="42" t="s">
        <v>352</v>
      </c>
      <c r="B1573" s="43">
        <v>45950</v>
      </c>
      <c r="C1573" s="42" t="s">
        <v>14</v>
      </c>
      <c r="D1573" s="42" t="s">
        <v>15</v>
      </c>
      <c r="E1573" s="42" t="s">
        <v>16</v>
      </c>
      <c r="F1573" s="42">
        <v>44</v>
      </c>
      <c r="G1573" s="44">
        <v>350000</v>
      </c>
      <c r="H1573" s="44">
        <v>15400000</v>
      </c>
      <c r="I1573" s="42" t="s">
        <v>2660</v>
      </c>
      <c r="J1573" s="42" t="s">
        <v>69</v>
      </c>
    </row>
    <row r="1574" spans="1:10" x14ac:dyDescent="0.3">
      <c r="A1574" s="42" t="s">
        <v>353</v>
      </c>
      <c r="B1574" s="43">
        <v>45950</v>
      </c>
      <c r="C1574" s="42" t="s">
        <v>18</v>
      </c>
      <c r="D1574" s="42" t="s">
        <v>19</v>
      </c>
      <c r="E1574" s="42" t="s">
        <v>20</v>
      </c>
      <c r="F1574" s="42">
        <v>43</v>
      </c>
      <c r="G1574" s="44">
        <v>500000</v>
      </c>
      <c r="H1574" s="44">
        <v>21500000</v>
      </c>
      <c r="I1574" s="42" t="s">
        <v>2652</v>
      </c>
      <c r="J1574" s="42" t="s">
        <v>8</v>
      </c>
    </row>
    <row r="1575" spans="1:10" x14ac:dyDescent="0.3">
      <c r="A1575" s="42" t="s">
        <v>375</v>
      </c>
      <c r="B1575" s="43">
        <v>45950</v>
      </c>
      <c r="C1575" s="42" t="s">
        <v>42</v>
      </c>
      <c r="D1575" s="42" t="s">
        <v>43</v>
      </c>
      <c r="E1575" s="42" t="s">
        <v>16</v>
      </c>
      <c r="F1575" s="42">
        <v>6</v>
      </c>
      <c r="G1575" s="44">
        <v>1200000</v>
      </c>
      <c r="H1575" s="44">
        <v>7200000</v>
      </c>
      <c r="I1575" s="42" t="s">
        <v>2397</v>
      </c>
      <c r="J1575" s="42" t="s">
        <v>47</v>
      </c>
    </row>
    <row r="1576" spans="1:10" x14ac:dyDescent="0.3">
      <c r="A1576" s="42" t="s">
        <v>393</v>
      </c>
      <c r="B1576" s="43">
        <v>45950</v>
      </c>
      <c r="C1576" s="42" t="s">
        <v>28</v>
      </c>
      <c r="D1576" s="42" t="s">
        <v>29</v>
      </c>
      <c r="E1576" s="42" t="s">
        <v>20</v>
      </c>
      <c r="F1576" s="42">
        <v>29</v>
      </c>
      <c r="G1576" s="44">
        <v>450000</v>
      </c>
      <c r="H1576" s="44">
        <v>13050000</v>
      </c>
      <c r="I1576" s="42" t="s">
        <v>2767</v>
      </c>
      <c r="J1576" s="42" t="s">
        <v>127</v>
      </c>
    </row>
    <row r="1577" spans="1:10" x14ac:dyDescent="0.3">
      <c r="A1577" s="42" t="s">
        <v>394</v>
      </c>
      <c r="B1577" s="43">
        <v>45950</v>
      </c>
      <c r="C1577" s="42" t="s">
        <v>14</v>
      </c>
      <c r="D1577" s="42" t="s">
        <v>15</v>
      </c>
      <c r="E1577" s="42" t="s">
        <v>16</v>
      </c>
      <c r="F1577" s="42">
        <v>33</v>
      </c>
      <c r="G1577" s="44">
        <v>350000</v>
      </c>
      <c r="H1577" s="44">
        <v>11550000</v>
      </c>
      <c r="I1577" s="42" t="s">
        <v>2649</v>
      </c>
      <c r="J1577" s="42" t="s">
        <v>60</v>
      </c>
    </row>
    <row r="1578" spans="1:10" x14ac:dyDescent="0.3">
      <c r="A1578" s="42" t="s">
        <v>395</v>
      </c>
      <c r="B1578" s="43">
        <v>45950</v>
      </c>
      <c r="C1578" s="42" t="s">
        <v>38</v>
      </c>
      <c r="D1578" s="42" t="s">
        <v>39</v>
      </c>
      <c r="E1578" s="42" t="s">
        <v>16</v>
      </c>
      <c r="F1578" s="42">
        <v>32</v>
      </c>
      <c r="G1578" s="44">
        <v>200000</v>
      </c>
      <c r="H1578" s="44">
        <v>6400000</v>
      </c>
      <c r="I1578" s="42" t="s">
        <v>152</v>
      </c>
      <c r="J1578" s="42" t="s">
        <v>127</v>
      </c>
    </row>
    <row r="1579" spans="1:10" x14ac:dyDescent="0.3">
      <c r="A1579" s="42" t="s">
        <v>412</v>
      </c>
      <c r="B1579" s="43">
        <v>45950</v>
      </c>
      <c r="C1579" s="42" t="s">
        <v>42</v>
      </c>
      <c r="D1579" s="42" t="s">
        <v>43</v>
      </c>
      <c r="E1579" s="42" t="s">
        <v>16</v>
      </c>
      <c r="F1579" s="42">
        <v>19</v>
      </c>
      <c r="G1579" s="44">
        <v>1200000</v>
      </c>
      <c r="H1579" s="44">
        <v>22800000</v>
      </c>
      <c r="I1579" s="42" t="s">
        <v>2248</v>
      </c>
      <c r="J1579" s="42" t="s">
        <v>60</v>
      </c>
    </row>
    <row r="1580" spans="1:10" x14ac:dyDescent="0.3">
      <c r="A1580" s="42" t="s">
        <v>413</v>
      </c>
      <c r="B1580" s="43">
        <v>45951</v>
      </c>
      <c r="C1580" s="42" t="s">
        <v>40</v>
      </c>
      <c r="D1580" s="42" t="s">
        <v>41</v>
      </c>
      <c r="E1580" s="42" t="s">
        <v>16</v>
      </c>
      <c r="F1580" s="42">
        <v>48</v>
      </c>
      <c r="G1580" s="44">
        <v>950000</v>
      </c>
      <c r="H1580" s="44">
        <v>45600000</v>
      </c>
      <c r="I1580" s="42" t="s">
        <v>2187</v>
      </c>
      <c r="J1580" s="42" t="s">
        <v>60</v>
      </c>
    </row>
    <row r="1581" spans="1:10" x14ac:dyDescent="0.3">
      <c r="A1581" s="42" t="s">
        <v>414</v>
      </c>
      <c r="B1581" s="43">
        <v>45951</v>
      </c>
      <c r="C1581" s="42" t="s">
        <v>14</v>
      </c>
      <c r="D1581" s="42" t="s">
        <v>15</v>
      </c>
      <c r="E1581" s="42" t="s">
        <v>16</v>
      </c>
      <c r="F1581" s="42">
        <v>41</v>
      </c>
      <c r="G1581" s="44">
        <v>350000</v>
      </c>
      <c r="H1581" s="44">
        <v>14350000</v>
      </c>
      <c r="I1581" s="42" t="s">
        <v>2646</v>
      </c>
      <c r="J1581" s="42" t="s">
        <v>60</v>
      </c>
    </row>
    <row r="1582" spans="1:10" x14ac:dyDescent="0.3">
      <c r="A1582" s="42" t="s">
        <v>415</v>
      </c>
      <c r="B1582" s="43">
        <v>45951</v>
      </c>
      <c r="C1582" s="42" t="s">
        <v>40</v>
      </c>
      <c r="D1582" s="42" t="s">
        <v>41</v>
      </c>
      <c r="E1582" s="42" t="s">
        <v>16</v>
      </c>
      <c r="F1582" s="42">
        <v>26</v>
      </c>
      <c r="G1582" s="44">
        <v>950000</v>
      </c>
      <c r="H1582" s="44">
        <v>24700000</v>
      </c>
      <c r="I1582" s="42" t="s">
        <v>2179</v>
      </c>
      <c r="J1582" s="42" t="s">
        <v>127</v>
      </c>
    </row>
    <row r="1583" spans="1:10" x14ac:dyDescent="0.3">
      <c r="A1583" s="42" t="s">
        <v>430</v>
      </c>
      <c r="B1583" s="43">
        <v>45951</v>
      </c>
      <c r="C1583" s="42" t="s">
        <v>44</v>
      </c>
      <c r="D1583" s="42" t="s">
        <v>45</v>
      </c>
      <c r="E1583" s="42" t="s">
        <v>16</v>
      </c>
      <c r="F1583" s="42">
        <v>36</v>
      </c>
      <c r="G1583" s="44">
        <v>250000</v>
      </c>
      <c r="H1583" s="44">
        <v>9000000</v>
      </c>
      <c r="I1583" s="42" t="s">
        <v>2205</v>
      </c>
      <c r="J1583" s="42" t="s">
        <v>60</v>
      </c>
    </row>
    <row r="1584" spans="1:10" x14ac:dyDescent="0.3">
      <c r="A1584" s="42" t="s">
        <v>431</v>
      </c>
      <c r="B1584" s="43">
        <v>45951</v>
      </c>
      <c r="C1584" s="42" t="s">
        <v>10</v>
      </c>
      <c r="D1584" s="42" t="s">
        <v>11</v>
      </c>
      <c r="E1584" s="42" t="s">
        <v>12</v>
      </c>
      <c r="F1584" s="42">
        <v>6</v>
      </c>
      <c r="G1584" s="44">
        <v>120000</v>
      </c>
      <c r="H1584" s="44">
        <v>720000</v>
      </c>
      <c r="I1584" s="42" t="s">
        <v>2608</v>
      </c>
      <c r="J1584" s="42" t="s">
        <v>60</v>
      </c>
    </row>
    <row r="1585" spans="1:10" x14ac:dyDescent="0.3">
      <c r="A1585" s="42" t="s">
        <v>440</v>
      </c>
      <c r="B1585" s="43">
        <v>45951</v>
      </c>
      <c r="C1585" s="42" t="s">
        <v>22</v>
      </c>
      <c r="D1585" s="42" t="s">
        <v>23</v>
      </c>
      <c r="E1585" s="42" t="s">
        <v>12</v>
      </c>
      <c r="F1585" s="42">
        <v>29</v>
      </c>
      <c r="G1585" s="44">
        <v>25000</v>
      </c>
      <c r="H1585" s="44">
        <v>725000</v>
      </c>
      <c r="I1585" s="42" t="s">
        <v>1584</v>
      </c>
      <c r="J1585" s="42" t="s">
        <v>127</v>
      </c>
    </row>
    <row r="1586" spans="1:10" x14ac:dyDescent="0.3">
      <c r="A1586" s="42" t="s">
        <v>456</v>
      </c>
      <c r="B1586" s="43">
        <v>45951</v>
      </c>
      <c r="C1586" s="42" t="s">
        <v>31</v>
      </c>
      <c r="D1586" s="42" t="s">
        <v>32</v>
      </c>
      <c r="E1586" s="42" t="s">
        <v>20</v>
      </c>
      <c r="F1586" s="42">
        <v>33</v>
      </c>
      <c r="G1586" s="44">
        <v>180000</v>
      </c>
      <c r="H1586" s="44">
        <v>5940000</v>
      </c>
      <c r="I1586" s="42" t="s">
        <v>2373</v>
      </c>
      <c r="J1586" s="42" t="s">
        <v>69</v>
      </c>
    </row>
    <row r="1587" spans="1:10" x14ac:dyDescent="0.3">
      <c r="A1587" s="42" t="s">
        <v>457</v>
      </c>
      <c r="B1587" s="43">
        <v>45951</v>
      </c>
      <c r="C1587" s="42" t="s">
        <v>40</v>
      </c>
      <c r="D1587" s="42" t="s">
        <v>41</v>
      </c>
      <c r="E1587" s="42" t="s">
        <v>16</v>
      </c>
      <c r="F1587" s="42">
        <v>10</v>
      </c>
      <c r="G1587" s="44">
        <v>950000</v>
      </c>
      <c r="H1587" s="44">
        <v>9500000</v>
      </c>
      <c r="I1587" s="42" t="s">
        <v>2231</v>
      </c>
      <c r="J1587" s="42" t="s">
        <v>60</v>
      </c>
    </row>
    <row r="1588" spans="1:10" x14ac:dyDescent="0.3">
      <c r="A1588" s="42" t="s">
        <v>458</v>
      </c>
      <c r="B1588" s="43">
        <v>45951</v>
      </c>
      <c r="C1588" s="42" t="s">
        <v>18</v>
      </c>
      <c r="D1588" s="42" t="s">
        <v>19</v>
      </c>
      <c r="E1588" s="42" t="s">
        <v>20</v>
      </c>
      <c r="F1588" s="42">
        <v>490</v>
      </c>
      <c r="G1588" s="44">
        <v>500000</v>
      </c>
      <c r="H1588" s="44">
        <v>245000000</v>
      </c>
      <c r="I1588" s="42" t="s">
        <v>728</v>
      </c>
      <c r="J1588" s="42" t="s">
        <v>47</v>
      </c>
    </row>
    <row r="1589" spans="1:10" x14ac:dyDescent="0.3">
      <c r="A1589" s="42" t="s">
        <v>478</v>
      </c>
      <c r="B1589" s="43">
        <v>45951</v>
      </c>
      <c r="C1589" s="42" t="s">
        <v>22</v>
      </c>
      <c r="D1589" s="42" t="s">
        <v>23</v>
      </c>
      <c r="E1589" s="42" t="s">
        <v>12</v>
      </c>
      <c r="F1589" s="42">
        <v>15</v>
      </c>
      <c r="G1589" s="44">
        <v>25000</v>
      </c>
      <c r="H1589" s="44">
        <v>375000</v>
      </c>
      <c r="I1589" s="42" t="s">
        <v>2637</v>
      </c>
      <c r="J1589" s="42" t="s">
        <v>47</v>
      </c>
    </row>
    <row r="1590" spans="1:10" x14ac:dyDescent="0.3">
      <c r="A1590" s="42" t="s">
        <v>479</v>
      </c>
      <c r="B1590" s="43">
        <v>45951</v>
      </c>
      <c r="C1590" s="42" t="s">
        <v>22</v>
      </c>
      <c r="D1590" s="42" t="s">
        <v>23</v>
      </c>
      <c r="E1590" s="42" t="s">
        <v>12</v>
      </c>
      <c r="F1590" s="42">
        <v>15</v>
      </c>
      <c r="G1590" s="44">
        <v>25000</v>
      </c>
      <c r="H1590" s="44">
        <v>375000</v>
      </c>
      <c r="I1590" s="42" t="s">
        <v>2833</v>
      </c>
      <c r="J1590" s="42" t="s">
        <v>60</v>
      </c>
    </row>
    <row r="1591" spans="1:10" x14ac:dyDescent="0.3">
      <c r="A1591" s="42" t="s">
        <v>503</v>
      </c>
      <c r="B1591" s="43">
        <v>45951</v>
      </c>
      <c r="C1591" s="42" t="s">
        <v>28</v>
      </c>
      <c r="D1591" s="42" t="s">
        <v>29</v>
      </c>
      <c r="E1591" s="42" t="s">
        <v>20</v>
      </c>
      <c r="F1591" s="42">
        <v>20</v>
      </c>
      <c r="G1591" s="44">
        <v>450000</v>
      </c>
      <c r="H1591" s="44">
        <v>9000000</v>
      </c>
      <c r="I1591" s="42" t="s">
        <v>2583</v>
      </c>
      <c r="J1591" s="42" t="s">
        <v>69</v>
      </c>
    </row>
    <row r="1592" spans="1:10" x14ac:dyDescent="0.3">
      <c r="A1592" s="42" t="s">
        <v>504</v>
      </c>
      <c r="B1592" s="43">
        <v>45952</v>
      </c>
      <c r="C1592" s="42" t="s">
        <v>14</v>
      </c>
      <c r="D1592" s="42" t="s">
        <v>15</v>
      </c>
      <c r="E1592" s="42" t="s">
        <v>16</v>
      </c>
      <c r="F1592" s="42">
        <v>41</v>
      </c>
      <c r="G1592" s="44">
        <v>350000</v>
      </c>
      <c r="H1592" s="44">
        <v>14350000</v>
      </c>
      <c r="I1592" s="42" t="s">
        <v>2185</v>
      </c>
      <c r="J1592" s="42" t="s">
        <v>47</v>
      </c>
    </row>
    <row r="1593" spans="1:10" x14ac:dyDescent="0.3">
      <c r="A1593" s="42" t="s">
        <v>505</v>
      </c>
      <c r="B1593" s="43">
        <v>45952</v>
      </c>
      <c r="C1593" s="42" t="s">
        <v>44</v>
      </c>
      <c r="D1593" s="42" t="s">
        <v>45</v>
      </c>
      <c r="E1593" s="42" t="s">
        <v>16</v>
      </c>
      <c r="F1593" s="42">
        <v>110</v>
      </c>
      <c r="G1593" s="44">
        <v>250000</v>
      </c>
      <c r="H1593" s="44">
        <v>27500000</v>
      </c>
      <c r="I1593" s="42" t="s">
        <v>2684</v>
      </c>
      <c r="J1593" s="42" t="s">
        <v>127</v>
      </c>
    </row>
    <row r="1594" spans="1:10" x14ac:dyDescent="0.3">
      <c r="A1594" s="42" t="s">
        <v>522</v>
      </c>
      <c r="B1594" s="43">
        <v>45952</v>
      </c>
      <c r="C1594" s="42" t="s">
        <v>10</v>
      </c>
      <c r="D1594" s="42" t="s">
        <v>11</v>
      </c>
      <c r="E1594" s="42" t="s">
        <v>12</v>
      </c>
      <c r="F1594" s="42">
        <v>15</v>
      </c>
      <c r="G1594" s="44">
        <v>120000</v>
      </c>
      <c r="H1594" s="44">
        <v>1800000</v>
      </c>
      <c r="I1594" s="42" t="s">
        <v>2637</v>
      </c>
      <c r="J1594" s="42" t="s">
        <v>47</v>
      </c>
    </row>
    <row r="1595" spans="1:10" x14ac:dyDescent="0.3">
      <c r="A1595" s="42" t="s">
        <v>523</v>
      </c>
      <c r="B1595" s="43">
        <v>45952</v>
      </c>
      <c r="C1595" s="42" t="s">
        <v>38</v>
      </c>
      <c r="D1595" s="42" t="s">
        <v>39</v>
      </c>
      <c r="E1595" s="42" t="s">
        <v>16</v>
      </c>
      <c r="F1595" s="42">
        <v>39</v>
      </c>
      <c r="G1595" s="44">
        <v>200000</v>
      </c>
      <c r="H1595" s="44">
        <v>7800000</v>
      </c>
      <c r="I1595" s="42" t="s">
        <v>2585</v>
      </c>
      <c r="J1595" s="42" t="s">
        <v>8</v>
      </c>
    </row>
    <row r="1596" spans="1:10" x14ac:dyDescent="0.3">
      <c r="A1596" s="42" t="s">
        <v>524</v>
      </c>
      <c r="B1596" s="43">
        <v>45952</v>
      </c>
      <c r="C1596" s="42" t="s">
        <v>40</v>
      </c>
      <c r="D1596" s="42" t="s">
        <v>41</v>
      </c>
      <c r="E1596" s="42" t="s">
        <v>16</v>
      </c>
      <c r="F1596" s="42">
        <v>47</v>
      </c>
      <c r="G1596" s="44">
        <v>950000</v>
      </c>
      <c r="H1596" s="44">
        <v>44650000</v>
      </c>
      <c r="I1596" s="42" t="s">
        <v>2272</v>
      </c>
      <c r="J1596" s="42" t="s">
        <v>8</v>
      </c>
    </row>
    <row r="1597" spans="1:10" x14ac:dyDescent="0.3">
      <c r="A1597" s="42" t="s">
        <v>549</v>
      </c>
      <c r="B1597" s="43">
        <v>45952</v>
      </c>
      <c r="C1597" s="42" t="s">
        <v>14</v>
      </c>
      <c r="D1597" s="42" t="s">
        <v>15</v>
      </c>
      <c r="E1597" s="42" t="s">
        <v>16</v>
      </c>
      <c r="F1597" s="42">
        <v>43</v>
      </c>
      <c r="G1597" s="44">
        <v>350000</v>
      </c>
      <c r="H1597" s="44">
        <v>15050000</v>
      </c>
      <c r="I1597" s="42" t="s">
        <v>2183</v>
      </c>
      <c r="J1597" s="42" t="s">
        <v>8</v>
      </c>
    </row>
    <row r="1598" spans="1:10" x14ac:dyDescent="0.3">
      <c r="A1598" s="42" t="s">
        <v>550</v>
      </c>
      <c r="B1598" s="43">
        <v>45952</v>
      </c>
      <c r="C1598" s="42" t="s">
        <v>44</v>
      </c>
      <c r="D1598" s="42" t="s">
        <v>45</v>
      </c>
      <c r="E1598" s="42" t="s">
        <v>16</v>
      </c>
      <c r="F1598" s="42">
        <v>34</v>
      </c>
      <c r="G1598" s="44">
        <v>250000</v>
      </c>
      <c r="H1598" s="44">
        <v>8500000</v>
      </c>
      <c r="I1598" s="42" t="s">
        <v>2775</v>
      </c>
      <c r="J1598" s="42" t="s">
        <v>47</v>
      </c>
    </row>
    <row r="1599" spans="1:10" x14ac:dyDescent="0.3">
      <c r="A1599" s="42" t="s">
        <v>551</v>
      </c>
      <c r="B1599" s="43">
        <v>45952</v>
      </c>
      <c r="C1599" s="42" t="s">
        <v>18</v>
      </c>
      <c r="D1599" s="42" t="s">
        <v>19</v>
      </c>
      <c r="E1599" s="42" t="s">
        <v>20</v>
      </c>
      <c r="F1599" s="42">
        <v>5</v>
      </c>
      <c r="G1599" s="44">
        <v>500000</v>
      </c>
      <c r="H1599" s="44">
        <v>2500000</v>
      </c>
      <c r="I1599" s="42" t="s">
        <v>2419</v>
      </c>
      <c r="J1599" s="42" t="s">
        <v>47</v>
      </c>
    </row>
    <row r="1600" spans="1:10" x14ac:dyDescent="0.3">
      <c r="A1600" s="42" t="s">
        <v>552</v>
      </c>
      <c r="B1600" s="43">
        <v>45952</v>
      </c>
      <c r="C1600" s="42" t="s">
        <v>42</v>
      </c>
      <c r="D1600" s="42" t="s">
        <v>43</v>
      </c>
      <c r="E1600" s="42" t="s">
        <v>16</v>
      </c>
      <c r="F1600" s="42">
        <v>16</v>
      </c>
      <c r="G1600" s="44">
        <v>1200000</v>
      </c>
      <c r="H1600" s="44">
        <v>19200000</v>
      </c>
      <c r="I1600" s="42" t="s">
        <v>2473</v>
      </c>
      <c r="J1600" s="42" t="s">
        <v>69</v>
      </c>
    </row>
    <row r="1601" spans="1:10" x14ac:dyDescent="0.3">
      <c r="A1601" s="42" t="s">
        <v>553</v>
      </c>
      <c r="B1601" s="43">
        <v>45952</v>
      </c>
      <c r="C1601" s="42" t="s">
        <v>14</v>
      </c>
      <c r="D1601" s="42" t="s">
        <v>15</v>
      </c>
      <c r="E1601" s="42" t="s">
        <v>16</v>
      </c>
      <c r="F1601" s="42">
        <v>5</v>
      </c>
      <c r="G1601" s="44">
        <v>350000</v>
      </c>
      <c r="H1601" s="44">
        <v>1750000</v>
      </c>
      <c r="I1601" s="42" t="s">
        <v>2801</v>
      </c>
      <c r="J1601" s="42" t="s">
        <v>60</v>
      </c>
    </row>
    <row r="1602" spans="1:10" x14ac:dyDescent="0.3">
      <c r="A1602" s="42" t="s">
        <v>570</v>
      </c>
      <c r="B1602" s="43">
        <v>45952</v>
      </c>
      <c r="C1602" s="42" t="s">
        <v>14</v>
      </c>
      <c r="D1602" s="42" t="s">
        <v>15</v>
      </c>
      <c r="E1602" s="42" t="s">
        <v>16</v>
      </c>
      <c r="F1602" s="42">
        <v>5</v>
      </c>
      <c r="G1602" s="44">
        <v>350000</v>
      </c>
      <c r="H1602" s="44">
        <v>1750000</v>
      </c>
      <c r="I1602" s="42" t="s">
        <v>2764</v>
      </c>
      <c r="J1602" s="42" t="s">
        <v>127</v>
      </c>
    </row>
    <row r="1603" spans="1:10" x14ac:dyDescent="0.3">
      <c r="A1603" s="42" t="s">
        <v>587</v>
      </c>
      <c r="B1603" s="43">
        <v>45952</v>
      </c>
      <c r="C1603" s="42" t="s">
        <v>42</v>
      </c>
      <c r="D1603" s="42" t="s">
        <v>43</v>
      </c>
      <c r="E1603" s="42" t="s">
        <v>16</v>
      </c>
      <c r="F1603" s="42">
        <v>420</v>
      </c>
      <c r="G1603" s="44">
        <v>1200000</v>
      </c>
      <c r="H1603" s="44">
        <v>504000000</v>
      </c>
      <c r="I1603" s="42" t="s">
        <v>2239</v>
      </c>
      <c r="J1603" s="42" t="s">
        <v>8</v>
      </c>
    </row>
    <row r="1604" spans="1:10" x14ac:dyDescent="0.3">
      <c r="A1604" s="42" t="s">
        <v>588</v>
      </c>
      <c r="B1604" s="43">
        <v>45952</v>
      </c>
      <c r="C1604" s="42" t="s">
        <v>42</v>
      </c>
      <c r="D1604" s="42" t="s">
        <v>43</v>
      </c>
      <c r="E1604" s="42" t="s">
        <v>16</v>
      </c>
      <c r="F1604" s="42">
        <v>18</v>
      </c>
      <c r="G1604" s="44">
        <v>1200000</v>
      </c>
      <c r="H1604" s="44">
        <v>21600000</v>
      </c>
      <c r="I1604" s="42" t="s">
        <v>2136</v>
      </c>
      <c r="J1604" s="42" t="s">
        <v>69</v>
      </c>
    </row>
    <row r="1605" spans="1:10" x14ac:dyDescent="0.3">
      <c r="A1605" s="42" t="s">
        <v>589</v>
      </c>
      <c r="B1605" s="43">
        <v>45952</v>
      </c>
      <c r="C1605" s="42" t="s">
        <v>22</v>
      </c>
      <c r="D1605" s="42" t="s">
        <v>23</v>
      </c>
      <c r="E1605" s="42" t="s">
        <v>12</v>
      </c>
      <c r="F1605" s="42">
        <v>31</v>
      </c>
      <c r="G1605" s="44">
        <v>25000</v>
      </c>
      <c r="H1605" s="44">
        <v>775000</v>
      </c>
      <c r="I1605" s="42" t="s">
        <v>2682</v>
      </c>
      <c r="J1605" s="42" t="s">
        <v>60</v>
      </c>
    </row>
    <row r="1606" spans="1:10" x14ac:dyDescent="0.3">
      <c r="A1606" s="42" t="s">
        <v>590</v>
      </c>
      <c r="B1606" s="43">
        <v>45952</v>
      </c>
      <c r="C1606" s="42" t="s">
        <v>40</v>
      </c>
      <c r="D1606" s="42" t="s">
        <v>41</v>
      </c>
      <c r="E1606" s="42" t="s">
        <v>16</v>
      </c>
      <c r="F1606" s="42">
        <v>20</v>
      </c>
      <c r="G1606" s="44">
        <v>950000</v>
      </c>
      <c r="H1606" s="44">
        <v>19000000</v>
      </c>
      <c r="I1606" s="42" t="s">
        <v>2605</v>
      </c>
      <c r="J1606" s="42" t="s">
        <v>127</v>
      </c>
    </row>
    <row r="1607" spans="1:10" x14ac:dyDescent="0.3">
      <c r="A1607" s="42" t="s">
        <v>591</v>
      </c>
      <c r="B1607" s="43">
        <v>45952</v>
      </c>
      <c r="C1607" s="42" t="s">
        <v>42</v>
      </c>
      <c r="D1607" s="42" t="s">
        <v>43</v>
      </c>
      <c r="E1607" s="42" t="s">
        <v>16</v>
      </c>
      <c r="F1607" s="42">
        <v>4</v>
      </c>
      <c r="G1607" s="44">
        <v>1200000</v>
      </c>
      <c r="H1607" s="44">
        <v>4800000</v>
      </c>
      <c r="I1607" s="42" t="s">
        <v>2276</v>
      </c>
      <c r="J1607" s="42" t="s">
        <v>8</v>
      </c>
    </row>
    <row r="1608" spans="1:10" x14ac:dyDescent="0.3">
      <c r="A1608" s="42" t="s">
        <v>592</v>
      </c>
      <c r="B1608" s="43">
        <v>45954</v>
      </c>
      <c r="C1608" s="42" t="s">
        <v>44</v>
      </c>
      <c r="D1608" s="42" t="s">
        <v>45</v>
      </c>
      <c r="E1608" s="42" t="s">
        <v>16</v>
      </c>
      <c r="F1608" s="42">
        <v>27</v>
      </c>
      <c r="G1608" s="44">
        <v>250000</v>
      </c>
      <c r="H1608" s="44">
        <v>6750000</v>
      </c>
      <c r="I1608" s="42" t="s">
        <v>2470</v>
      </c>
      <c r="J1608" s="42" t="s">
        <v>60</v>
      </c>
    </row>
    <row r="1609" spans="1:10" x14ac:dyDescent="0.3">
      <c r="A1609" s="42" t="s">
        <v>593</v>
      </c>
      <c r="B1609" s="43">
        <v>45954</v>
      </c>
      <c r="C1609" s="42" t="s">
        <v>44</v>
      </c>
      <c r="D1609" s="42" t="s">
        <v>45</v>
      </c>
      <c r="E1609" s="42" t="s">
        <v>16</v>
      </c>
      <c r="F1609" s="42">
        <v>20</v>
      </c>
      <c r="G1609" s="44">
        <v>250000</v>
      </c>
      <c r="H1609" s="44">
        <v>5000000</v>
      </c>
      <c r="I1609" s="42" t="s">
        <v>2671</v>
      </c>
      <c r="J1609" s="42" t="s">
        <v>127</v>
      </c>
    </row>
    <row r="1610" spans="1:10" x14ac:dyDescent="0.3">
      <c r="A1610" s="42" t="s">
        <v>594</v>
      </c>
      <c r="B1610" s="43">
        <v>45954</v>
      </c>
      <c r="C1610" s="42" t="s">
        <v>42</v>
      </c>
      <c r="D1610" s="42" t="s">
        <v>43</v>
      </c>
      <c r="E1610" s="42" t="s">
        <v>16</v>
      </c>
      <c r="F1610" s="42">
        <v>430</v>
      </c>
      <c r="G1610" s="44">
        <v>1200000</v>
      </c>
      <c r="H1610" s="44">
        <v>516000000</v>
      </c>
      <c r="I1610" s="42" t="s">
        <v>2830</v>
      </c>
      <c r="J1610" s="42" t="s">
        <v>69</v>
      </c>
    </row>
    <row r="1611" spans="1:10" x14ac:dyDescent="0.3">
      <c r="A1611" s="42" t="s">
        <v>607</v>
      </c>
      <c r="B1611" s="43">
        <v>45954</v>
      </c>
      <c r="C1611" s="42" t="s">
        <v>10</v>
      </c>
      <c r="D1611" s="42" t="s">
        <v>11</v>
      </c>
      <c r="E1611" s="42" t="s">
        <v>12</v>
      </c>
      <c r="F1611" s="42">
        <v>44</v>
      </c>
      <c r="G1611" s="44">
        <v>120000</v>
      </c>
      <c r="H1611" s="44">
        <v>5280000</v>
      </c>
      <c r="I1611" s="42" t="s">
        <v>2530</v>
      </c>
      <c r="J1611" s="42" t="s">
        <v>127</v>
      </c>
    </row>
    <row r="1612" spans="1:10" x14ac:dyDescent="0.3">
      <c r="A1612" s="42" t="s">
        <v>631</v>
      </c>
      <c r="B1612" s="43">
        <v>45954</v>
      </c>
      <c r="C1612" s="42" t="s">
        <v>40</v>
      </c>
      <c r="D1612" s="42" t="s">
        <v>41</v>
      </c>
      <c r="E1612" s="42" t="s">
        <v>16</v>
      </c>
      <c r="F1612" s="42">
        <v>18</v>
      </c>
      <c r="G1612" s="44">
        <v>950000</v>
      </c>
      <c r="H1612" s="44">
        <v>17100000</v>
      </c>
      <c r="I1612" s="42" t="s">
        <v>418</v>
      </c>
      <c r="J1612" s="42" t="s">
        <v>47</v>
      </c>
    </row>
    <row r="1613" spans="1:10" x14ac:dyDescent="0.3">
      <c r="A1613" s="42" t="s">
        <v>632</v>
      </c>
      <c r="B1613" s="43">
        <v>45954</v>
      </c>
      <c r="C1613" s="42" t="s">
        <v>40</v>
      </c>
      <c r="D1613" s="42" t="s">
        <v>41</v>
      </c>
      <c r="E1613" s="42" t="s">
        <v>16</v>
      </c>
      <c r="F1613" s="42">
        <v>23</v>
      </c>
      <c r="G1613" s="44">
        <v>950000</v>
      </c>
      <c r="H1613" s="44">
        <v>21850000</v>
      </c>
      <c r="I1613" s="42" t="s">
        <v>2635</v>
      </c>
      <c r="J1613" s="42" t="s">
        <v>47</v>
      </c>
    </row>
    <row r="1614" spans="1:10" x14ac:dyDescent="0.3">
      <c r="A1614" s="42" t="s">
        <v>633</v>
      </c>
      <c r="B1614" s="43">
        <v>45954</v>
      </c>
      <c r="C1614" s="42" t="s">
        <v>18</v>
      </c>
      <c r="D1614" s="42" t="s">
        <v>19</v>
      </c>
      <c r="E1614" s="42" t="s">
        <v>20</v>
      </c>
      <c r="F1614" s="42">
        <v>44</v>
      </c>
      <c r="G1614" s="44">
        <v>500000</v>
      </c>
      <c r="H1614" s="44">
        <v>22000000</v>
      </c>
      <c r="I1614" s="42" t="s">
        <v>2666</v>
      </c>
      <c r="J1614" s="42" t="s">
        <v>69</v>
      </c>
    </row>
    <row r="1615" spans="1:10" x14ac:dyDescent="0.3">
      <c r="A1615" s="42" t="s">
        <v>634</v>
      </c>
      <c r="B1615" s="43">
        <v>45959</v>
      </c>
      <c r="C1615" s="42" t="s">
        <v>40</v>
      </c>
      <c r="D1615" s="42" t="s">
        <v>41</v>
      </c>
      <c r="E1615" s="42" t="s">
        <v>16</v>
      </c>
      <c r="F1615" s="42">
        <v>460</v>
      </c>
      <c r="G1615" s="44">
        <v>950000</v>
      </c>
      <c r="H1615" s="44">
        <v>437000000</v>
      </c>
      <c r="I1615" s="42" t="s">
        <v>2496</v>
      </c>
      <c r="J1615" s="42" t="s">
        <v>60</v>
      </c>
    </row>
    <row r="1616" spans="1:10" x14ac:dyDescent="0.3">
      <c r="A1616" s="42" t="s">
        <v>635</v>
      </c>
      <c r="B1616" s="43">
        <v>45959</v>
      </c>
      <c r="C1616" s="42" t="s">
        <v>38</v>
      </c>
      <c r="D1616" s="42" t="s">
        <v>39</v>
      </c>
      <c r="E1616" s="42" t="s">
        <v>16</v>
      </c>
      <c r="F1616" s="42">
        <v>7</v>
      </c>
      <c r="G1616" s="44">
        <v>200000</v>
      </c>
      <c r="H1616" s="44">
        <v>1400000</v>
      </c>
      <c r="I1616" s="42" t="s">
        <v>2692</v>
      </c>
      <c r="J1616" s="42" t="s">
        <v>47</v>
      </c>
    </row>
    <row r="1617" spans="1:10" x14ac:dyDescent="0.3">
      <c r="A1617" s="42" t="s">
        <v>636</v>
      </c>
      <c r="B1617" s="43">
        <v>45959</v>
      </c>
      <c r="C1617" s="42" t="s">
        <v>10</v>
      </c>
      <c r="D1617" s="42" t="s">
        <v>11</v>
      </c>
      <c r="E1617" s="42" t="s">
        <v>12</v>
      </c>
      <c r="F1617" s="42">
        <v>400</v>
      </c>
      <c r="G1617" s="44">
        <v>120000</v>
      </c>
      <c r="H1617" s="44">
        <v>48000000</v>
      </c>
      <c r="I1617" s="42" t="s">
        <v>2429</v>
      </c>
      <c r="J1617" s="42" t="s">
        <v>127</v>
      </c>
    </row>
    <row r="1618" spans="1:10" x14ac:dyDescent="0.3">
      <c r="A1618" s="42" t="s">
        <v>660</v>
      </c>
      <c r="B1618" s="43">
        <v>45959</v>
      </c>
      <c r="C1618" s="42" t="s">
        <v>14</v>
      </c>
      <c r="D1618" s="42" t="s">
        <v>15</v>
      </c>
      <c r="E1618" s="42" t="s">
        <v>16</v>
      </c>
      <c r="F1618" s="42">
        <v>36</v>
      </c>
      <c r="G1618" s="44">
        <v>350000</v>
      </c>
      <c r="H1618" s="44">
        <v>12600000</v>
      </c>
      <c r="I1618" s="42" t="s">
        <v>2717</v>
      </c>
      <c r="J1618" s="42" t="s">
        <v>127</v>
      </c>
    </row>
    <row r="1619" spans="1:10" x14ac:dyDescent="0.3">
      <c r="A1619" s="42" t="s">
        <v>661</v>
      </c>
      <c r="B1619" s="43">
        <v>45959</v>
      </c>
      <c r="C1619" s="42" t="s">
        <v>18</v>
      </c>
      <c r="D1619" s="42" t="s">
        <v>19</v>
      </c>
      <c r="E1619" s="42" t="s">
        <v>20</v>
      </c>
      <c r="F1619" s="42">
        <v>9</v>
      </c>
      <c r="G1619" s="44">
        <v>500000</v>
      </c>
      <c r="H1619" s="44">
        <v>4500000</v>
      </c>
      <c r="I1619" s="42" t="s">
        <v>2420</v>
      </c>
      <c r="J1619" s="42" t="s">
        <v>127</v>
      </c>
    </row>
    <row r="1620" spans="1:10" x14ac:dyDescent="0.3">
      <c r="A1620" s="42" t="s">
        <v>662</v>
      </c>
      <c r="B1620" s="43">
        <v>45959</v>
      </c>
      <c r="C1620" s="42" t="s">
        <v>44</v>
      </c>
      <c r="D1620" s="42" t="s">
        <v>45</v>
      </c>
      <c r="E1620" s="42" t="s">
        <v>16</v>
      </c>
      <c r="F1620" s="42">
        <v>44</v>
      </c>
      <c r="G1620" s="44">
        <v>250000</v>
      </c>
      <c r="H1620" s="44">
        <v>11000000</v>
      </c>
      <c r="I1620" s="42" t="s">
        <v>2644</v>
      </c>
      <c r="J1620" s="42" t="s">
        <v>69</v>
      </c>
    </row>
    <row r="1621" spans="1:10" x14ac:dyDescent="0.3">
      <c r="A1621" s="42" t="s">
        <v>663</v>
      </c>
      <c r="B1621" s="43">
        <v>45959</v>
      </c>
      <c r="C1621" s="42" t="s">
        <v>31</v>
      </c>
      <c r="D1621" s="42" t="s">
        <v>32</v>
      </c>
      <c r="E1621" s="42" t="s">
        <v>20</v>
      </c>
      <c r="F1621" s="42">
        <v>14</v>
      </c>
      <c r="G1621" s="44">
        <v>180000</v>
      </c>
      <c r="H1621" s="44">
        <v>2520000</v>
      </c>
      <c r="I1621" s="42" t="s">
        <v>2314</v>
      </c>
      <c r="J1621" s="42" t="s">
        <v>8</v>
      </c>
    </row>
    <row r="1622" spans="1:10" x14ac:dyDescent="0.3">
      <c r="A1622" s="42" t="s">
        <v>664</v>
      </c>
      <c r="B1622" s="43">
        <v>45959</v>
      </c>
      <c r="C1622" s="42" t="s">
        <v>10</v>
      </c>
      <c r="D1622" s="42" t="s">
        <v>11</v>
      </c>
      <c r="E1622" s="42" t="s">
        <v>12</v>
      </c>
      <c r="F1622" s="42">
        <v>50</v>
      </c>
      <c r="G1622" s="44">
        <v>120000</v>
      </c>
      <c r="H1622" s="44">
        <v>6000000</v>
      </c>
      <c r="I1622" s="42" t="s">
        <v>2747</v>
      </c>
      <c r="J1622" s="42" t="s">
        <v>8</v>
      </c>
    </row>
    <row r="1623" spans="1:10" x14ac:dyDescent="0.3">
      <c r="A1623" s="42" t="s">
        <v>665</v>
      </c>
      <c r="B1623" s="43">
        <v>45959</v>
      </c>
      <c r="C1623" s="42" t="s">
        <v>18</v>
      </c>
      <c r="D1623" s="42" t="s">
        <v>19</v>
      </c>
      <c r="E1623" s="42" t="s">
        <v>20</v>
      </c>
      <c r="F1623" s="42">
        <v>25</v>
      </c>
      <c r="G1623" s="44">
        <v>500000</v>
      </c>
      <c r="H1623" s="44">
        <v>12500000</v>
      </c>
      <c r="I1623" s="42" t="s">
        <v>2722</v>
      </c>
      <c r="J1623" s="42" t="s">
        <v>8</v>
      </c>
    </row>
    <row r="1624" spans="1:10" x14ac:dyDescent="0.3">
      <c r="A1624" s="42" t="s">
        <v>666</v>
      </c>
      <c r="B1624" s="43">
        <v>45959</v>
      </c>
      <c r="C1624" s="42" t="s">
        <v>22</v>
      </c>
      <c r="D1624" s="42" t="s">
        <v>23</v>
      </c>
      <c r="E1624" s="42" t="s">
        <v>12</v>
      </c>
      <c r="F1624" s="42">
        <v>48</v>
      </c>
      <c r="G1624" s="44">
        <v>25000</v>
      </c>
      <c r="H1624" s="44">
        <v>1200000</v>
      </c>
      <c r="I1624" s="42" t="s">
        <v>2804</v>
      </c>
      <c r="J1624" s="42" t="s">
        <v>8</v>
      </c>
    </row>
    <row r="1625" spans="1:10" x14ac:dyDescent="0.3">
      <c r="A1625" s="42" t="s">
        <v>687</v>
      </c>
      <c r="B1625" s="43">
        <v>45959</v>
      </c>
      <c r="C1625" s="42" t="s">
        <v>44</v>
      </c>
      <c r="D1625" s="42" t="s">
        <v>45</v>
      </c>
      <c r="E1625" s="42" t="s">
        <v>16</v>
      </c>
      <c r="F1625" s="42">
        <v>18</v>
      </c>
      <c r="G1625" s="44">
        <v>250000</v>
      </c>
      <c r="H1625" s="44">
        <v>4500000</v>
      </c>
      <c r="I1625" s="42" t="s">
        <v>2268</v>
      </c>
      <c r="J1625" s="42" t="s">
        <v>60</v>
      </c>
    </row>
    <row r="1626" spans="1:10" x14ac:dyDescent="0.3">
      <c r="A1626" s="42" t="s">
        <v>688</v>
      </c>
      <c r="B1626" s="43">
        <v>45959</v>
      </c>
      <c r="C1626" s="42" t="s">
        <v>10</v>
      </c>
      <c r="D1626" s="42" t="s">
        <v>11</v>
      </c>
      <c r="E1626" s="42" t="s">
        <v>12</v>
      </c>
      <c r="F1626" s="42">
        <v>400</v>
      </c>
      <c r="G1626" s="44">
        <v>120000</v>
      </c>
      <c r="H1626" s="44">
        <v>48000000</v>
      </c>
      <c r="I1626" s="42" t="s">
        <v>2149</v>
      </c>
      <c r="J1626" s="42" t="s">
        <v>127</v>
      </c>
    </row>
    <row r="1627" spans="1:10" x14ac:dyDescent="0.3">
      <c r="A1627" s="42" t="s">
        <v>689</v>
      </c>
      <c r="B1627" s="43">
        <v>45960</v>
      </c>
      <c r="C1627" s="42" t="s">
        <v>28</v>
      </c>
      <c r="D1627" s="42" t="s">
        <v>29</v>
      </c>
      <c r="E1627" s="42" t="s">
        <v>20</v>
      </c>
      <c r="F1627" s="42">
        <v>350</v>
      </c>
      <c r="G1627" s="44">
        <v>450000</v>
      </c>
      <c r="H1627" s="44">
        <v>157500000</v>
      </c>
      <c r="I1627" s="42" t="s">
        <v>2160</v>
      </c>
      <c r="J1627" s="42" t="s">
        <v>60</v>
      </c>
    </row>
    <row r="1628" spans="1:10" x14ac:dyDescent="0.3">
      <c r="A1628" s="42" t="s">
        <v>690</v>
      </c>
      <c r="B1628" s="43">
        <v>45960</v>
      </c>
      <c r="C1628" s="42" t="s">
        <v>28</v>
      </c>
      <c r="D1628" s="42" t="s">
        <v>29</v>
      </c>
      <c r="E1628" s="42" t="s">
        <v>20</v>
      </c>
      <c r="F1628" s="42">
        <v>12</v>
      </c>
      <c r="G1628" s="44">
        <v>450000</v>
      </c>
      <c r="H1628" s="44">
        <v>5400000</v>
      </c>
      <c r="I1628" s="42" t="s">
        <v>2570</v>
      </c>
      <c r="J1628" s="42" t="s">
        <v>8</v>
      </c>
    </row>
    <row r="1629" spans="1:10" x14ac:dyDescent="0.3">
      <c r="A1629" s="42" t="s">
        <v>691</v>
      </c>
      <c r="B1629" s="43">
        <v>45960</v>
      </c>
      <c r="C1629" s="42" t="s">
        <v>42</v>
      </c>
      <c r="D1629" s="42" t="s">
        <v>43</v>
      </c>
      <c r="E1629" s="42" t="s">
        <v>16</v>
      </c>
      <c r="F1629" s="42">
        <v>14</v>
      </c>
      <c r="G1629" s="44">
        <v>1200000</v>
      </c>
      <c r="H1629" s="44">
        <v>16800000</v>
      </c>
      <c r="I1629" s="42" t="s">
        <v>2492</v>
      </c>
      <c r="J1629" s="42" t="s">
        <v>127</v>
      </c>
    </row>
    <row r="1630" spans="1:10" x14ac:dyDescent="0.3">
      <c r="A1630" s="42" t="s">
        <v>724</v>
      </c>
      <c r="B1630" s="43">
        <v>45960</v>
      </c>
      <c r="C1630" s="42" t="s">
        <v>38</v>
      </c>
      <c r="D1630" s="42" t="s">
        <v>39</v>
      </c>
      <c r="E1630" s="42" t="s">
        <v>16</v>
      </c>
      <c r="F1630" s="42">
        <v>32</v>
      </c>
      <c r="G1630" s="44">
        <v>200000</v>
      </c>
      <c r="H1630" s="44">
        <v>6400000</v>
      </c>
      <c r="I1630" s="42" t="s">
        <v>2425</v>
      </c>
      <c r="J1630" s="42" t="s">
        <v>60</v>
      </c>
    </row>
    <row r="1631" spans="1:10" x14ac:dyDescent="0.3">
      <c r="A1631" s="42" t="s">
        <v>725</v>
      </c>
      <c r="B1631" s="43">
        <v>45960</v>
      </c>
      <c r="C1631" s="42" t="s">
        <v>10</v>
      </c>
      <c r="D1631" s="42" t="s">
        <v>11</v>
      </c>
      <c r="E1631" s="42" t="s">
        <v>12</v>
      </c>
      <c r="F1631" s="42">
        <v>38</v>
      </c>
      <c r="G1631" s="44">
        <v>120000</v>
      </c>
      <c r="H1631" s="44">
        <v>4560000</v>
      </c>
      <c r="I1631" s="42" t="s">
        <v>2625</v>
      </c>
      <c r="J1631" s="42" t="s">
        <v>8</v>
      </c>
    </row>
    <row r="1632" spans="1:10" x14ac:dyDescent="0.3">
      <c r="A1632" s="42" t="s">
        <v>726</v>
      </c>
      <c r="B1632" s="43">
        <v>45960</v>
      </c>
      <c r="C1632" s="42" t="s">
        <v>10</v>
      </c>
      <c r="D1632" s="42" t="s">
        <v>11</v>
      </c>
      <c r="E1632" s="42" t="s">
        <v>12</v>
      </c>
      <c r="F1632" s="42">
        <v>36</v>
      </c>
      <c r="G1632" s="44">
        <v>120000</v>
      </c>
      <c r="H1632" s="44">
        <v>4320000</v>
      </c>
      <c r="I1632" s="42" t="s">
        <v>2658</v>
      </c>
      <c r="J1632" s="42" t="s">
        <v>8</v>
      </c>
    </row>
    <row r="1633" spans="1:10" x14ac:dyDescent="0.3">
      <c r="A1633" s="42" t="s">
        <v>727</v>
      </c>
      <c r="B1633" s="43">
        <v>45960</v>
      </c>
      <c r="C1633" s="42" t="s">
        <v>18</v>
      </c>
      <c r="D1633" s="42" t="s">
        <v>19</v>
      </c>
      <c r="E1633" s="42" t="s">
        <v>20</v>
      </c>
      <c r="F1633" s="42">
        <v>11</v>
      </c>
      <c r="G1633" s="44">
        <v>500000</v>
      </c>
      <c r="H1633" s="44">
        <v>5500000</v>
      </c>
      <c r="I1633" s="42" t="s">
        <v>2757</v>
      </c>
      <c r="J1633" s="42" t="s">
        <v>127</v>
      </c>
    </row>
    <row r="1634" spans="1:10" x14ac:dyDescent="0.3">
      <c r="A1634" s="42" t="s">
        <v>742</v>
      </c>
      <c r="B1634" s="43">
        <v>45960</v>
      </c>
      <c r="C1634" s="42" t="s">
        <v>40</v>
      </c>
      <c r="D1634" s="42" t="s">
        <v>41</v>
      </c>
      <c r="E1634" s="42" t="s">
        <v>16</v>
      </c>
      <c r="F1634" s="42">
        <v>19</v>
      </c>
      <c r="G1634" s="44">
        <v>950000</v>
      </c>
      <c r="H1634" s="44">
        <v>18050000</v>
      </c>
      <c r="I1634" s="42" t="s">
        <v>2601</v>
      </c>
      <c r="J1634" s="42" t="s">
        <v>127</v>
      </c>
    </row>
    <row r="1635" spans="1:10" x14ac:dyDescent="0.3">
      <c r="A1635" s="42" t="s">
        <v>743</v>
      </c>
      <c r="B1635" s="43">
        <v>45960</v>
      </c>
      <c r="C1635" s="42" t="s">
        <v>10</v>
      </c>
      <c r="D1635" s="42" t="s">
        <v>11</v>
      </c>
      <c r="E1635" s="42" t="s">
        <v>12</v>
      </c>
      <c r="F1635" s="42">
        <v>47</v>
      </c>
      <c r="G1635" s="44">
        <v>120000</v>
      </c>
      <c r="H1635" s="44">
        <v>5640000</v>
      </c>
      <c r="I1635" s="42" t="s">
        <v>2491</v>
      </c>
      <c r="J1635" s="42" t="s">
        <v>47</v>
      </c>
    </row>
    <row r="1636" spans="1:10" x14ac:dyDescent="0.3">
      <c r="A1636" s="42" t="s">
        <v>744</v>
      </c>
      <c r="B1636" s="43">
        <v>45960</v>
      </c>
      <c r="C1636" s="42" t="s">
        <v>22</v>
      </c>
      <c r="D1636" s="42" t="s">
        <v>23</v>
      </c>
      <c r="E1636" s="42" t="s">
        <v>12</v>
      </c>
      <c r="F1636" s="42">
        <v>36</v>
      </c>
      <c r="G1636" s="44">
        <v>25000</v>
      </c>
      <c r="H1636" s="44">
        <v>900000</v>
      </c>
      <c r="I1636" s="42" t="s">
        <v>2376</v>
      </c>
      <c r="J1636" s="42" t="s">
        <v>127</v>
      </c>
    </row>
    <row r="1637" spans="1:10" x14ac:dyDescent="0.3">
      <c r="A1637" s="42" t="s">
        <v>745</v>
      </c>
      <c r="B1637" s="43">
        <v>45960</v>
      </c>
      <c r="C1637" s="42" t="s">
        <v>14</v>
      </c>
      <c r="D1637" s="42" t="s">
        <v>15</v>
      </c>
      <c r="E1637" s="42" t="s">
        <v>16</v>
      </c>
      <c r="F1637" s="42">
        <v>28</v>
      </c>
      <c r="G1637" s="44">
        <v>350000</v>
      </c>
      <c r="H1637" s="44">
        <v>9800000</v>
      </c>
      <c r="I1637" s="42" t="s">
        <v>2189</v>
      </c>
      <c r="J1637" s="42" t="s">
        <v>8</v>
      </c>
    </row>
    <row r="1638" spans="1:10" x14ac:dyDescent="0.3">
      <c r="A1638" s="42" t="s">
        <v>746</v>
      </c>
      <c r="B1638" s="43">
        <v>45960</v>
      </c>
      <c r="C1638" s="42" t="s">
        <v>10</v>
      </c>
      <c r="D1638" s="42" t="s">
        <v>11</v>
      </c>
      <c r="E1638" s="42" t="s">
        <v>12</v>
      </c>
      <c r="F1638" s="42">
        <v>47</v>
      </c>
      <c r="G1638" s="44">
        <v>120000</v>
      </c>
      <c r="H1638" s="44">
        <v>5640000</v>
      </c>
      <c r="I1638" s="42" t="s">
        <v>2132</v>
      </c>
      <c r="J1638" s="42" t="s">
        <v>127</v>
      </c>
    </row>
    <row r="1639" spans="1:10" x14ac:dyDescent="0.3">
      <c r="A1639" s="42" t="s">
        <v>763</v>
      </c>
      <c r="B1639" s="43">
        <v>45960</v>
      </c>
      <c r="C1639" s="42" t="s">
        <v>18</v>
      </c>
      <c r="D1639" s="42" t="s">
        <v>19</v>
      </c>
      <c r="E1639" s="42" t="s">
        <v>20</v>
      </c>
      <c r="F1639" s="42">
        <v>26</v>
      </c>
      <c r="G1639" s="44">
        <v>500000</v>
      </c>
      <c r="H1639" s="44">
        <v>13000000</v>
      </c>
      <c r="I1639" s="42" t="s">
        <v>2243</v>
      </c>
      <c r="J1639" s="42" t="s">
        <v>8</v>
      </c>
    </row>
    <row r="1640" spans="1:10" x14ac:dyDescent="0.3">
      <c r="A1640" s="42" t="s">
        <v>764</v>
      </c>
      <c r="B1640" s="43">
        <v>45960</v>
      </c>
      <c r="C1640" s="42" t="s">
        <v>14</v>
      </c>
      <c r="D1640" s="42" t="s">
        <v>15</v>
      </c>
      <c r="E1640" s="42" t="s">
        <v>16</v>
      </c>
      <c r="F1640" s="42">
        <v>34</v>
      </c>
      <c r="G1640" s="44">
        <v>350000</v>
      </c>
      <c r="H1640" s="44">
        <v>11900000</v>
      </c>
      <c r="I1640" s="42" t="s">
        <v>2457</v>
      </c>
      <c r="J1640" s="42" t="s">
        <v>60</v>
      </c>
    </row>
    <row r="1641" spans="1:10" x14ac:dyDescent="0.3">
      <c r="A1641" s="42" t="s">
        <v>765</v>
      </c>
      <c r="B1641" s="43">
        <v>45960</v>
      </c>
      <c r="C1641" s="42" t="s">
        <v>38</v>
      </c>
      <c r="D1641" s="42" t="s">
        <v>39</v>
      </c>
      <c r="E1641" s="42" t="s">
        <v>16</v>
      </c>
      <c r="F1641" s="42">
        <v>15</v>
      </c>
      <c r="G1641" s="44">
        <v>200000</v>
      </c>
      <c r="H1641" s="44">
        <v>3000000</v>
      </c>
      <c r="I1641" s="42" t="s">
        <v>2632</v>
      </c>
      <c r="J1641" s="42" t="s">
        <v>60</v>
      </c>
    </row>
    <row r="1642" spans="1:10" x14ac:dyDescent="0.3">
      <c r="A1642" s="42" t="s">
        <v>786</v>
      </c>
      <c r="B1642" s="43">
        <v>45960</v>
      </c>
      <c r="C1642" s="42" t="s">
        <v>18</v>
      </c>
      <c r="D1642" s="42" t="s">
        <v>19</v>
      </c>
      <c r="E1642" s="42" t="s">
        <v>20</v>
      </c>
      <c r="F1642" s="42">
        <v>360</v>
      </c>
      <c r="G1642" s="44">
        <v>500000</v>
      </c>
      <c r="H1642" s="44">
        <v>180000000</v>
      </c>
      <c r="I1642" s="42" t="s">
        <v>2362</v>
      </c>
      <c r="J1642" s="42" t="s">
        <v>8</v>
      </c>
    </row>
    <row r="1643" spans="1:10" x14ac:dyDescent="0.3">
      <c r="A1643" s="42" t="s">
        <v>787</v>
      </c>
      <c r="B1643" s="43">
        <v>45960</v>
      </c>
      <c r="C1643" s="42" t="s">
        <v>38</v>
      </c>
      <c r="D1643" s="42" t="s">
        <v>39</v>
      </c>
      <c r="E1643" s="42" t="s">
        <v>16</v>
      </c>
      <c r="F1643" s="42">
        <v>28</v>
      </c>
      <c r="G1643" s="44">
        <v>200000</v>
      </c>
      <c r="H1643" s="44">
        <v>5600000</v>
      </c>
      <c r="I1643" s="42" t="s">
        <v>2190</v>
      </c>
      <c r="J1643" s="42" t="s">
        <v>8</v>
      </c>
    </row>
    <row r="1644" spans="1:10" x14ac:dyDescent="0.3">
      <c r="A1644" s="42" t="s">
        <v>788</v>
      </c>
      <c r="B1644" s="43">
        <v>45961</v>
      </c>
      <c r="C1644" s="42" t="s">
        <v>31</v>
      </c>
      <c r="D1644" s="42" t="s">
        <v>32</v>
      </c>
      <c r="E1644" s="42" t="s">
        <v>20</v>
      </c>
      <c r="F1644" s="42">
        <v>200</v>
      </c>
      <c r="G1644" s="44">
        <v>180000</v>
      </c>
      <c r="H1644" s="44">
        <v>36000000</v>
      </c>
      <c r="I1644" s="42" t="s">
        <v>2668</v>
      </c>
      <c r="J1644" s="42" t="s">
        <v>127</v>
      </c>
    </row>
    <row r="1645" spans="1:10" x14ac:dyDescent="0.3">
      <c r="A1645" s="42" t="s">
        <v>789</v>
      </c>
      <c r="B1645" s="43">
        <v>45961</v>
      </c>
      <c r="C1645" s="42" t="s">
        <v>28</v>
      </c>
      <c r="D1645" s="42" t="s">
        <v>29</v>
      </c>
      <c r="E1645" s="42" t="s">
        <v>20</v>
      </c>
      <c r="F1645" s="42">
        <v>35</v>
      </c>
      <c r="G1645" s="44">
        <v>450000</v>
      </c>
      <c r="H1645" s="44">
        <v>15750000</v>
      </c>
      <c r="I1645" s="42" t="s">
        <v>2639</v>
      </c>
      <c r="J1645" s="42" t="s">
        <v>69</v>
      </c>
    </row>
    <row r="1646" spans="1:10" x14ac:dyDescent="0.3">
      <c r="A1646" s="42" t="s">
        <v>790</v>
      </c>
      <c r="B1646" s="43">
        <v>45961</v>
      </c>
      <c r="C1646" s="42" t="s">
        <v>22</v>
      </c>
      <c r="D1646" s="42" t="s">
        <v>23</v>
      </c>
      <c r="E1646" s="42" t="s">
        <v>12</v>
      </c>
      <c r="F1646" s="42">
        <v>9</v>
      </c>
      <c r="G1646" s="44">
        <v>25000</v>
      </c>
      <c r="H1646" s="44">
        <v>225000</v>
      </c>
      <c r="I1646" s="42" t="s">
        <v>2402</v>
      </c>
      <c r="J1646" s="42" t="s">
        <v>69</v>
      </c>
    </row>
    <row r="1647" spans="1:10" x14ac:dyDescent="0.3">
      <c r="A1647" s="42" t="s">
        <v>805</v>
      </c>
      <c r="B1647" s="43">
        <v>45961</v>
      </c>
      <c r="C1647" s="42" t="s">
        <v>31</v>
      </c>
      <c r="D1647" s="42" t="s">
        <v>32</v>
      </c>
      <c r="E1647" s="42" t="s">
        <v>20</v>
      </c>
      <c r="F1647" s="42">
        <v>27</v>
      </c>
      <c r="G1647" s="44">
        <v>180000</v>
      </c>
      <c r="H1647" s="44">
        <v>4860000</v>
      </c>
      <c r="I1647" s="42" t="s">
        <v>2525</v>
      </c>
      <c r="J1647" s="42" t="s">
        <v>127</v>
      </c>
    </row>
    <row r="1648" spans="1:10" x14ac:dyDescent="0.3">
      <c r="A1648" s="42" t="s">
        <v>806</v>
      </c>
      <c r="B1648" s="43">
        <v>45961</v>
      </c>
      <c r="C1648" s="42" t="s">
        <v>22</v>
      </c>
      <c r="D1648" s="42" t="s">
        <v>23</v>
      </c>
      <c r="E1648" s="42" t="s">
        <v>12</v>
      </c>
      <c r="F1648" s="42">
        <v>480</v>
      </c>
      <c r="G1648" s="44">
        <v>25000</v>
      </c>
      <c r="H1648" s="44">
        <v>12000000</v>
      </c>
      <c r="I1648" s="42" t="s">
        <v>2753</v>
      </c>
      <c r="J1648" s="42" t="s">
        <v>47</v>
      </c>
    </row>
    <row r="1649" spans="1:10" x14ac:dyDescent="0.3">
      <c r="A1649" s="42" t="s">
        <v>816</v>
      </c>
      <c r="B1649" s="43">
        <v>45961</v>
      </c>
      <c r="C1649" s="42" t="s">
        <v>14</v>
      </c>
      <c r="D1649" s="42" t="s">
        <v>15</v>
      </c>
      <c r="E1649" s="42" t="s">
        <v>16</v>
      </c>
      <c r="F1649" s="42">
        <v>30</v>
      </c>
      <c r="G1649" s="44">
        <v>350000</v>
      </c>
      <c r="H1649" s="44">
        <v>10500000</v>
      </c>
      <c r="I1649" s="42" t="s">
        <v>2785</v>
      </c>
      <c r="J1649" s="42" t="s">
        <v>69</v>
      </c>
    </row>
    <row r="1650" spans="1:10" x14ac:dyDescent="0.3">
      <c r="A1650" s="42" t="s">
        <v>817</v>
      </c>
      <c r="B1650" s="43">
        <v>45961</v>
      </c>
      <c r="C1650" s="42" t="s">
        <v>31</v>
      </c>
      <c r="D1650" s="42" t="s">
        <v>32</v>
      </c>
      <c r="E1650" s="42" t="s">
        <v>20</v>
      </c>
      <c r="F1650" s="42">
        <v>48</v>
      </c>
      <c r="G1650" s="44">
        <v>180000</v>
      </c>
      <c r="H1650" s="44">
        <v>8640000</v>
      </c>
      <c r="I1650" s="42" t="s">
        <v>2176</v>
      </c>
      <c r="J1650" s="42" t="s">
        <v>127</v>
      </c>
    </row>
    <row r="1651" spans="1:10" x14ac:dyDescent="0.3">
      <c r="A1651" s="42" t="s">
        <v>818</v>
      </c>
      <c r="B1651" s="43">
        <v>45961</v>
      </c>
      <c r="C1651" s="42" t="s">
        <v>28</v>
      </c>
      <c r="D1651" s="42" t="s">
        <v>29</v>
      </c>
      <c r="E1651" s="42" t="s">
        <v>20</v>
      </c>
      <c r="F1651" s="42">
        <v>25</v>
      </c>
      <c r="G1651" s="44">
        <v>450000</v>
      </c>
      <c r="H1651" s="44">
        <v>11250000</v>
      </c>
      <c r="I1651" s="42" t="s">
        <v>2762</v>
      </c>
      <c r="J1651" s="42" t="s">
        <v>127</v>
      </c>
    </row>
    <row r="1652" spans="1:10" x14ac:dyDescent="0.3">
      <c r="A1652" s="42" t="s">
        <v>819</v>
      </c>
      <c r="B1652" s="43">
        <v>45961</v>
      </c>
      <c r="C1652" s="42" t="s">
        <v>38</v>
      </c>
      <c r="D1652" s="42" t="s">
        <v>39</v>
      </c>
      <c r="E1652" s="42" t="s">
        <v>16</v>
      </c>
      <c r="F1652" s="42">
        <v>100</v>
      </c>
      <c r="G1652" s="44">
        <v>200000</v>
      </c>
      <c r="H1652" s="44">
        <v>20000000</v>
      </c>
      <c r="I1652" s="42" t="s">
        <v>2688</v>
      </c>
      <c r="J1652" s="42" t="s">
        <v>60</v>
      </c>
    </row>
    <row r="1653" spans="1:10" x14ac:dyDescent="0.3">
      <c r="A1653" s="42" t="s">
        <v>820</v>
      </c>
      <c r="B1653" s="43">
        <v>45961</v>
      </c>
      <c r="C1653" s="42" t="s">
        <v>18</v>
      </c>
      <c r="D1653" s="42" t="s">
        <v>19</v>
      </c>
      <c r="E1653" s="42" t="s">
        <v>20</v>
      </c>
      <c r="F1653" s="42">
        <v>8</v>
      </c>
      <c r="G1653" s="44">
        <v>500000</v>
      </c>
      <c r="H1653" s="44">
        <v>4000000</v>
      </c>
      <c r="I1653" s="42" t="s">
        <v>461</v>
      </c>
      <c r="J1653" s="42" t="s">
        <v>127</v>
      </c>
    </row>
    <row r="1654" spans="1:10" x14ac:dyDescent="0.3">
      <c r="A1654" s="42" t="s">
        <v>835</v>
      </c>
      <c r="B1654" s="43">
        <v>45961</v>
      </c>
      <c r="C1654" s="42" t="s">
        <v>44</v>
      </c>
      <c r="D1654" s="42" t="s">
        <v>45</v>
      </c>
      <c r="E1654" s="42" t="s">
        <v>16</v>
      </c>
      <c r="F1654" s="42">
        <v>10</v>
      </c>
      <c r="G1654" s="44">
        <v>250000</v>
      </c>
      <c r="H1654" s="44">
        <v>2500000</v>
      </c>
      <c r="I1654" s="42" t="s">
        <v>2302</v>
      </c>
      <c r="J1654" s="42" t="s">
        <v>8</v>
      </c>
    </row>
    <row r="1655" spans="1:10" x14ac:dyDescent="0.3">
      <c r="A1655" s="42" t="s">
        <v>860</v>
      </c>
      <c r="B1655" s="43">
        <v>45961</v>
      </c>
      <c r="C1655" s="42" t="s">
        <v>14</v>
      </c>
      <c r="D1655" s="42" t="s">
        <v>15</v>
      </c>
      <c r="E1655" s="42" t="s">
        <v>16</v>
      </c>
      <c r="F1655" s="42">
        <v>48</v>
      </c>
      <c r="G1655" s="44">
        <v>350000</v>
      </c>
      <c r="H1655" s="44">
        <v>16800000</v>
      </c>
      <c r="I1655" s="42" t="s">
        <v>2453</v>
      </c>
      <c r="J1655" s="42" t="s">
        <v>8</v>
      </c>
    </row>
    <row r="1656" spans="1:10" x14ac:dyDescent="0.3">
      <c r="A1656" s="42" t="s">
        <v>861</v>
      </c>
      <c r="B1656" s="43">
        <v>45961</v>
      </c>
      <c r="C1656" s="42" t="s">
        <v>38</v>
      </c>
      <c r="D1656" s="42" t="s">
        <v>39</v>
      </c>
      <c r="E1656" s="42" t="s">
        <v>16</v>
      </c>
      <c r="F1656" s="42">
        <v>41</v>
      </c>
      <c r="G1656" s="44">
        <v>200000</v>
      </c>
      <c r="H1656" s="44">
        <v>8200000</v>
      </c>
      <c r="I1656" s="42" t="s">
        <v>2430</v>
      </c>
      <c r="J1656" s="42" t="s">
        <v>8</v>
      </c>
    </row>
    <row r="1657" spans="1:10" x14ac:dyDescent="0.3">
      <c r="A1657" s="42" t="s">
        <v>873</v>
      </c>
      <c r="B1657" s="43">
        <v>45965</v>
      </c>
      <c r="C1657" s="42" t="s">
        <v>44</v>
      </c>
      <c r="D1657" s="42" t="s">
        <v>45</v>
      </c>
      <c r="E1657" s="42" t="s">
        <v>16</v>
      </c>
      <c r="F1657" s="42">
        <v>1320</v>
      </c>
      <c r="G1657" s="44">
        <v>250000</v>
      </c>
      <c r="H1657" s="44">
        <v>330000000</v>
      </c>
      <c r="I1657" s="42" t="s">
        <v>2429</v>
      </c>
      <c r="J1657" s="42" t="s">
        <v>127</v>
      </c>
    </row>
    <row r="1658" spans="1:10" x14ac:dyDescent="0.3">
      <c r="A1658" s="42" t="s">
        <v>874</v>
      </c>
      <c r="B1658" s="43">
        <v>45965</v>
      </c>
      <c r="C1658" s="42" t="s">
        <v>40</v>
      </c>
      <c r="D1658" s="42" t="s">
        <v>41</v>
      </c>
      <c r="E1658" s="42" t="s">
        <v>16</v>
      </c>
      <c r="F1658" s="42">
        <v>39</v>
      </c>
      <c r="G1658" s="44">
        <v>950000</v>
      </c>
      <c r="H1658" s="44">
        <v>37050000</v>
      </c>
      <c r="I1658" s="42" t="s">
        <v>2260</v>
      </c>
      <c r="J1658" s="42" t="s">
        <v>127</v>
      </c>
    </row>
    <row r="1659" spans="1:10" x14ac:dyDescent="0.3">
      <c r="A1659" s="42" t="s">
        <v>875</v>
      </c>
      <c r="B1659" s="43">
        <v>45965</v>
      </c>
      <c r="C1659" s="42" t="s">
        <v>18</v>
      </c>
      <c r="D1659" s="42" t="s">
        <v>19</v>
      </c>
      <c r="E1659" s="42" t="s">
        <v>20</v>
      </c>
      <c r="F1659" s="42">
        <v>80</v>
      </c>
      <c r="G1659" s="44">
        <v>500000</v>
      </c>
      <c r="H1659" s="44">
        <v>40000000</v>
      </c>
      <c r="I1659" s="42" t="s">
        <v>2824</v>
      </c>
      <c r="J1659" s="42" t="s">
        <v>127</v>
      </c>
    </row>
    <row r="1660" spans="1:10" x14ac:dyDescent="0.3">
      <c r="A1660" s="42" t="s">
        <v>893</v>
      </c>
      <c r="B1660" s="43">
        <v>45965</v>
      </c>
      <c r="C1660" s="42" t="s">
        <v>18</v>
      </c>
      <c r="D1660" s="42" t="s">
        <v>19</v>
      </c>
      <c r="E1660" s="42" t="s">
        <v>20</v>
      </c>
      <c r="F1660" s="42">
        <v>50</v>
      </c>
      <c r="G1660" s="44">
        <v>500000</v>
      </c>
      <c r="H1660" s="44">
        <v>25000000</v>
      </c>
      <c r="I1660" s="42" t="s">
        <v>2535</v>
      </c>
      <c r="J1660" s="42" t="s">
        <v>127</v>
      </c>
    </row>
    <row r="1661" spans="1:10" x14ac:dyDescent="0.3">
      <c r="A1661" s="42" t="s">
        <v>894</v>
      </c>
      <c r="B1661" s="43">
        <v>45965</v>
      </c>
      <c r="C1661" s="42" t="s">
        <v>44</v>
      </c>
      <c r="D1661" s="42" t="s">
        <v>45</v>
      </c>
      <c r="E1661" s="42" t="s">
        <v>16</v>
      </c>
      <c r="F1661" s="42">
        <v>8</v>
      </c>
      <c r="G1661" s="44">
        <v>250000</v>
      </c>
      <c r="H1661" s="44">
        <v>2000000</v>
      </c>
      <c r="I1661" s="42" t="s">
        <v>2426</v>
      </c>
      <c r="J1661" s="42" t="s">
        <v>69</v>
      </c>
    </row>
    <row r="1662" spans="1:10" x14ac:dyDescent="0.3">
      <c r="A1662" s="42" t="s">
        <v>920</v>
      </c>
      <c r="B1662" s="43">
        <v>45965</v>
      </c>
      <c r="C1662" s="42" t="s">
        <v>31</v>
      </c>
      <c r="D1662" s="42" t="s">
        <v>32</v>
      </c>
      <c r="E1662" s="42" t="s">
        <v>20</v>
      </c>
      <c r="F1662" s="42">
        <v>24</v>
      </c>
      <c r="G1662" s="44">
        <v>180000</v>
      </c>
      <c r="H1662" s="44">
        <v>4320000</v>
      </c>
      <c r="I1662" s="42" t="s">
        <v>2502</v>
      </c>
      <c r="J1662" s="42" t="s">
        <v>47</v>
      </c>
    </row>
    <row r="1663" spans="1:10" x14ac:dyDescent="0.3">
      <c r="A1663" s="42" t="s">
        <v>952</v>
      </c>
      <c r="B1663" s="43">
        <v>45965</v>
      </c>
      <c r="C1663" s="42" t="s">
        <v>22</v>
      </c>
      <c r="D1663" s="42" t="s">
        <v>23</v>
      </c>
      <c r="E1663" s="42" t="s">
        <v>12</v>
      </c>
      <c r="F1663" s="42">
        <v>100</v>
      </c>
      <c r="G1663" s="44">
        <v>25000</v>
      </c>
      <c r="H1663" s="44">
        <v>2500000</v>
      </c>
      <c r="I1663" s="42" t="s">
        <v>2779</v>
      </c>
      <c r="J1663" s="42" t="s">
        <v>8</v>
      </c>
    </row>
    <row r="1664" spans="1:10" x14ac:dyDescent="0.3">
      <c r="A1664" s="42" t="s">
        <v>953</v>
      </c>
      <c r="B1664" s="43">
        <v>45965</v>
      </c>
      <c r="C1664" s="42" t="s">
        <v>28</v>
      </c>
      <c r="D1664" s="42" t="s">
        <v>29</v>
      </c>
      <c r="E1664" s="42" t="s">
        <v>20</v>
      </c>
      <c r="F1664" s="42">
        <v>6</v>
      </c>
      <c r="G1664" s="44">
        <v>450000</v>
      </c>
      <c r="H1664" s="44">
        <v>2700000</v>
      </c>
      <c r="I1664" s="42" t="s">
        <v>2447</v>
      </c>
      <c r="J1664" s="42" t="s">
        <v>8</v>
      </c>
    </row>
    <row r="1665" spans="1:10" x14ac:dyDescent="0.3">
      <c r="A1665" s="42" t="s">
        <v>954</v>
      </c>
      <c r="B1665" s="43">
        <v>45965</v>
      </c>
      <c r="C1665" s="42" t="s">
        <v>31</v>
      </c>
      <c r="D1665" s="42" t="s">
        <v>32</v>
      </c>
      <c r="E1665" s="42" t="s">
        <v>20</v>
      </c>
      <c r="F1665" s="42">
        <v>300</v>
      </c>
      <c r="G1665" s="44">
        <v>180000</v>
      </c>
      <c r="H1665" s="44">
        <v>54000000</v>
      </c>
      <c r="I1665" s="42" t="s">
        <v>2604</v>
      </c>
      <c r="J1665" s="42" t="s">
        <v>47</v>
      </c>
    </row>
    <row r="1666" spans="1:10" x14ac:dyDescent="0.3">
      <c r="A1666" s="42" t="s">
        <v>955</v>
      </c>
      <c r="B1666" s="43">
        <v>45965</v>
      </c>
      <c r="C1666" s="42" t="s">
        <v>18</v>
      </c>
      <c r="D1666" s="42" t="s">
        <v>19</v>
      </c>
      <c r="E1666" s="42" t="s">
        <v>20</v>
      </c>
      <c r="F1666" s="42">
        <v>5</v>
      </c>
      <c r="G1666" s="44">
        <v>500000</v>
      </c>
      <c r="H1666" s="44">
        <v>2500000</v>
      </c>
      <c r="I1666" s="42" t="s">
        <v>2665</v>
      </c>
      <c r="J1666" s="42" t="s">
        <v>127</v>
      </c>
    </row>
    <row r="1667" spans="1:10" x14ac:dyDescent="0.3">
      <c r="A1667" s="42" t="s">
        <v>956</v>
      </c>
      <c r="B1667" s="43">
        <v>45965</v>
      </c>
      <c r="C1667" s="42" t="s">
        <v>31</v>
      </c>
      <c r="D1667" s="42" t="s">
        <v>32</v>
      </c>
      <c r="E1667" s="42" t="s">
        <v>20</v>
      </c>
      <c r="F1667" s="42">
        <v>14</v>
      </c>
      <c r="G1667" s="44">
        <v>180000</v>
      </c>
      <c r="H1667" s="44">
        <v>2520000</v>
      </c>
      <c r="I1667" s="42" t="s">
        <v>68</v>
      </c>
      <c r="J1667" s="42" t="s">
        <v>8</v>
      </c>
    </row>
    <row r="1668" spans="1:10" x14ac:dyDescent="0.3">
      <c r="A1668" s="42" t="s">
        <v>994</v>
      </c>
      <c r="B1668" s="43">
        <v>45965</v>
      </c>
      <c r="C1668" s="42" t="s">
        <v>18</v>
      </c>
      <c r="D1668" s="42" t="s">
        <v>19</v>
      </c>
      <c r="E1668" s="42" t="s">
        <v>20</v>
      </c>
      <c r="F1668" s="42">
        <v>9</v>
      </c>
      <c r="G1668" s="44">
        <v>500000</v>
      </c>
      <c r="H1668" s="44">
        <v>4500000</v>
      </c>
      <c r="I1668" s="42" t="s">
        <v>2645</v>
      </c>
      <c r="J1668" s="42" t="s">
        <v>127</v>
      </c>
    </row>
    <row r="1669" spans="1:10" x14ac:dyDescent="0.3">
      <c r="A1669" s="42" t="s">
        <v>995</v>
      </c>
      <c r="B1669" s="43">
        <v>45965</v>
      </c>
      <c r="C1669" s="42" t="s">
        <v>28</v>
      </c>
      <c r="D1669" s="42" t="s">
        <v>29</v>
      </c>
      <c r="E1669" s="42" t="s">
        <v>20</v>
      </c>
      <c r="F1669" s="42">
        <v>13</v>
      </c>
      <c r="G1669" s="44">
        <v>450000</v>
      </c>
      <c r="H1669" s="44">
        <v>5850000</v>
      </c>
      <c r="I1669" s="42" t="s">
        <v>824</v>
      </c>
      <c r="J1669" s="42" t="s">
        <v>60</v>
      </c>
    </row>
    <row r="1670" spans="1:10" x14ac:dyDescent="0.3">
      <c r="A1670" s="42" t="s">
        <v>996</v>
      </c>
      <c r="B1670" s="43">
        <v>45965</v>
      </c>
      <c r="C1670" s="42" t="s">
        <v>40</v>
      </c>
      <c r="D1670" s="42" t="s">
        <v>41</v>
      </c>
      <c r="E1670" s="42" t="s">
        <v>16</v>
      </c>
      <c r="F1670" s="42">
        <v>27</v>
      </c>
      <c r="G1670" s="44">
        <v>950000</v>
      </c>
      <c r="H1670" s="44">
        <v>25650000</v>
      </c>
      <c r="I1670" s="42" t="s">
        <v>2691</v>
      </c>
      <c r="J1670" s="42" t="s">
        <v>69</v>
      </c>
    </row>
    <row r="1671" spans="1:10" x14ac:dyDescent="0.3">
      <c r="A1671" s="42" t="s">
        <v>997</v>
      </c>
      <c r="B1671" s="43">
        <v>45966</v>
      </c>
      <c r="C1671" s="42" t="s">
        <v>40</v>
      </c>
      <c r="D1671" s="42" t="s">
        <v>41</v>
      </c>
      <c r="E1671" s="42" t="s">
        <v>16</v>
      </c>
      <c r="F1671" s="42">
        <v>24</v>
      </c>
      <c r="G1671" s="44">
        <v>950000</v>
      </c>
      <c r="H1671" s="44">
        <v>22800000</v>
      </c>
      <c r="I1671" s="42" t="s">
        <v>2218</v>
      </c>
      <c r="J1671" s="42" t="s">
        <v>47</v>
      </c>
    </row>
    <row r="1672" spans="1:10" x14ac:dyDescent="0.3">
      <c r="A1672" s="42" t="s">
        <v>998</v>
      </c>
      <c r="B1672" s="43">
        <v>45966</v>
      </c>
      <c r="C1672" s="42" t="s">
        <v>18</v>
      </c>
      <c r="D1672" s="42" t="s">
        <v>19</v>
      </c>
      <c r="E1672" s="42" t="s">
        <v>20</v>
      </c>
      <c r="F1672" s="42">
        <v>8</v>
      </c>
      <c r="G1672" s="44">
        <v>500000</v>
      </c>
      <c r="H1672" s="44">
        <v>4000000</v>
      </c>
      <c r="I1672" s="42" t="s">
        <v>2313</v>
      </c>
      <c r="J1672" s="42" t="s">
        <v>127</v>
      </c>
    </row>
    <row r="1673" spans="1:10" x14ac:dyDescent="0.3">
      <c r="A1673" s="42" t="s">
        <v>1031</v>
      </c>
      <c r="B1673" s="43">
        <v>45966</v>
      </c>
      <c r="C1673" s="42" t="s">
        <v>14</v>
      </c>
      <c r="D1673" s="42" t="s">
        <v>15</v>
      </c>
      <c r="E1673" s="42" t="s">
        <v>16</v>
      </c>
      <c r="F1673" s="42">
        <v>43</v>
      </c>
      <c r="G1673" s="44">
        <v>350000</v>
      </c>
      <c r="H1673" s="44">
        <v>15050000</v>
      </c>
      <c r="I1673" s="42" t="s">
        <v>2645</v>
      </c>
      <c r="J1673" s="42" t="s">
        <v>127</v>
      </c>
    </row>
    <row r="1674" spans="1:10" x14ac:dyDescent="0.3">
      <c r="A1674" s="42" t="s">
        <v>1032</v>
      </c>
      <c r="B1674" s="43">
        <v>45966</v>
      </c>
      <c r="C1674" s="42" t="s">
        <v>31</v>
      </c>
      <c r="D1674" s="42" t="s">
        <v>32</v>
      </c>
      <c r="E1674" s="42" t="s">
        <v>20</v>
      </c>
      <c r="F1674" s="42">
        <v>7</v>
      </c>
      <c r="G1674" s="44">
        <v>180000</v>
      </c>
      <c r="H1674" s="44">
        <v>1260000</v>
      </c>
      <c r="I1674" s="42" t="s">
        <v>2728</v>
      </c>
      <c r="J1674" s="42" t="s">
        <v>47</v>
      </c>
    </row>
    <row r="1675" spans="1:10" x14ac:dyDescent="0.3">
      <c r="A1675" s="42" t="s">
        <v>1033</v>
      </c>
      <c r="B1675" s="43">
        <v>45966</v>
      </c>
      <c r="C1675" s="42" t="s">
        <v>18</v>
      </c>
      <c r="D1675" s="42" t="s">
        <v>19</v>
      </c>
      <c r="E1675" s="42" t="s">
        <v>20</v>
      </c>
      <c r="F1675" s="42">
        <v>6</v>
      </c>
      <c r="G1675" s="44">
        <v>500000</v>
      </c>
      <c r="H1675" s="44">
        <v>3000000</v>
      </c>
      <c r="I1675" s="42" t="s">
        <v>2515</v>
      </c>
      <c r="J1675" s="42" t="s">
        <v>60</v>
      </c>
    </row>
    <row r="1676" spans="1:10" x14ac:dyDescent="0.3">
      <c r="A1676" s="42" t="s">
        <v>1034</v>
      </c>
      <c r="B1676" s="43">
        <v>45966</v>
      </c>
      <c r="C1676" s="42" t="s">
        <v>38</v>
      </c>
      <c r="D1676" s="42" t="s">
        <v>39</v>
      </c>
      <c r="E1676" s="42" t="s">
        <v>16</v>
      </c>
      <c r="F1676" s="42">
        <v>43</v>
      </c>
      <c r="G1676" s="44">
        <v>200000</v>
      </c>
      <c r="H1676" s="44">
        <v>8600000</v>
      </c>
      <c r="I1676" s="42" t="s">
        <v>2539</v>
      </c>
      <c r="J1676" s="42" t="s">
        <v>47</v>
      </c>
    </row>
    <row r="1677" spans="1:10" x14ac:dyDescent="0.3">
      <c r="A1677" s="42" t="s">
        <v>1035</v>
      </c>
      <c r="B1677" s="43">
        <v>45966</v>
      </c>
      <c r="C1677" s="42" t="s">
        <v>10</v>
      </c>
      <c r="D1677" s="42" t="s">
        <v>11</v>
      </c>
      <c r="E1677" s="42" t="s">
        <v>12</v>
      </c>
      <c r="F1677" s="42">
        <v>44</v>
      </c>
      <c r="G1677" s="44">
        <v>120000</v>
      </c>
      <c r="H1677" s="44">
        <v>5280000</v>
      </c>
      <c r="I1677" s="42" t="s">
        <v>2178</v>
      </c>
      <c r="J1677" s="42" t="s">
        <v>47</v>
      </c>
    </row>
    <row r="1678" spans="1:10" x14ac:dyDescent="0.3">
      <c r="A1678" s="42" t="s">
        <v>1036</v>
      </c>
      <c r="B1678" s="43">
        <v>45966</v>
      </c>
      <c r="C1678" s="42" t="s">
        <v>38</v>
      </c>
      <c r="D1678" s="42" t="s">
        <v>39</v>
      </c>
      <c r="E1678" s="42" t="s">
        <v>16</v>
      </c>
      <c r="F1678" s="42">
        <v>11</v>
      </c>
      <c r="G1678" s="44">
        <v>200000</v>
      </c>
      <c r="H1678" s="44">
        <v>2200000</v>
      </c>
      <c r="I1678" s="42" t="s">
        <v>2808</v>
      </c>
      <c r="J1678" s="42" t="s">
        <v>8</v>
      </c>
    </row>
    <row r="1679" spans="1:10" x14ac:dyDescent="0.3">
      <c r="A1679" s="42" t="s">
        <v>1071</v>
      </c>
      <c r="B1679" s="43">
        <v>45966</v>
      </c>
      <c r="C1679" s="42" t="s">
        <v>31</v>
      </c>
      <c r="D1679" s="42" t="s">
        <v>32</v>
      </c>
      <c r="E1679" s="42" t="s">
        <v>20</v>
      </c>
      <c r="F1679" s="42">
        <v>23</v>
      </c>
      <c r="G1679" s="44">
        <v>180000</v>
      </c>
      <c r="H1679" s="44">
        <v>4140000</v>
      </c>
      <c r="I1679" s="42" t="s">
        <v>2450</v>
      </c>
      <c r="J1679" s="42" t="s">
        <v>8</v>
      </c>
    </row>
    <row r="1680" spans="1:10" x14ac:dyDescent="0.3">
      <c r="A1680" s="42" t="s">
        <v>1072</v>
      </c>
      <c r="B1680" s="43">
        <v>45967</v>
      </c>
      <c r="C1680" s="42" t="s">
        <v>14</v>
      </c>
      <c r="D1680" s="42" t="s">
        <v>15</v>
      </c>
      <c r="E1680" s="42" t="s">
        <v>16</v>
      </c>
      <c r="F1680" s="42">
        <v>6</v>
      </c>
      <c r="G1680" s="44">
        <v>350000</v>
      </c>
      <c r="H1680" s="44">
        <v>2100000</v>
      </c>
      <c r="I1680" s="42" t="s">
        <v>2553</v>
      </c>
      <c r="J1680" s="42" t="s">
        <v>127</v>
      </c>
    </row>
    <row r="1681" spans="1:10" x14ac:dyDescent="0.3">
      <c r="A1681" s="42" t="s">
        <v>1073</v>
      </c>
      <c r="B1681" s="43">
        <v>45967</v>
      </c>
      <c r="C1681" s="42" t="s">
        <v>28</v>
      </c>
      <c r="D1681" s="42" t="s">
        <v>29</v>
      </c>
      <c r="E1681" s="42" t="s">
        <v>20</v>
      </c>
      <c r="F1681" s="42">
        <v>14</v>
      </c>
      <c r="G1681" s="44">
        <v>450000</v>
      </c>
      <c r="H1681" s="44">
        <v>6300000</v>
      </c>
      <c r="I1681" s="42" t="s">
        <v>2353</v>
      </c>
      <c r="J1681" s="42" t="s">
        <v>69</v>
      </c>
    </row>
    <row r="1682" spans="1:10" x14ac:dyDescent="0.3">
      <c r="A1682" s="42" t="s">
        <v>1074</v>
      </c>
      <c r="B1682" s="43">
        <v>45967</v>
      </c>
      <c r="C1682" s="42" t="s">
        <v>18</v>
      </c>
      <c r="D1682" s="42" t="s">
        <v>19</v>
      </c>
      <c r="E1682" s="42" t="s">
        <v>20</v>
      </c>
      <c r="F1682" s="42">
        <v>390</v>
      </c>
      <c r="G1682" s="44">
        <v>500000</v>
      </c>
      <c r="H1682" s="44">
        <v>195000000</v>
      </c>
      <c r="I1682" s="42" t="s">
        <v>2739</v>
      </c>
      <c r="J1682" s="42" t="s">
        <v>8</v>
      </c>
    </row>
    <row r="1683" spans="1:10" x14ac:dyDescent="0.3">
      <c r="A1683" s="42" t="s">
        <v>1075</v>
      </c>
      <c r="B1683" s="43">
        <v>45967</v>
      </c>
      <c r="C1683" s="42" t="s">
        <v>40</v>
      </c>
      <c r="D1683" s="42" t="s">
        <v>41</v>
      </c>
      <c r="E1683" s="42" t="s">
        <v>16</v>
      </c>
      <c r="F1683" s="42">
        <v>11</v>
      </c>
      <c r="G1683" s="44">
        <v>950000</v>
      </c>
      <c r="H1683" s="44">
        <v>10450000</v>
      </c>
      <c r="I1683" s="42" t="s">
        <v>2714</v>
      </c>
      <c r="J1683" s="42" t="s">
        <v>8</v>
      </c>
    </row>
    <row r="1684" spans="1:10" x14ac:dyDescent="0.3">
      <c r="A1684" s="42" t="s">
        <v>1076</v>
      </c>
      <c r="B1684" s="43">
        <v>45967</v>
      </c>
      <c r="C1684" s="42" t="s">
        <v>22</v>
      </c>
      <c r="D1684" s="42" t="s">
        <v>23</v>
      </c>
      <c r="E1684" s="42" t="s">
        <v>12</v>
      </c>
      <c r="F1684" s="42">
        <v>10</v>
      </c>
      <c r="G1684" s="44">
        <v>25000</v>
      </c>
      <c r="H1684" s="44">
        <v>250000</v>
      </c>
      <c r="I1684" s="42" t="s">
        <v>2645</v>
      </c>
      <c r="J1684" s="42" t="s">
        <v>127</v>
      </c>
    </row>
    <row r="1685" spans="1:10" x14ac:dyDescent="0.3">
      <c r="A1685" s="42" t="s">
        <v>1108</v>
      </c>
      <c r="B1685" s="43">
        <v>45967</v>
      </c>
      <c r="C1685" s="42" t="s">
        <v>28</v>
      </c>
      <c r="D1685" s="42" t="s">
        <v>29</v>
      </c>
      <c r="E1685" s="42" t="s">
        <v>20</v>
      </c>
      <c r="F1685" s="42">
        <v>500</v>
      </c>
      <c r="G1685" s="44">
        <v>450000</v>
      </c>
      <c r="H1685" s="44">
        <v>225000000</v>
      </c>
      <c r="I1685" s="42" t="s">
        <v>2245</v>
      </c>
      <c r="J1685" s="42" t="s">
        <v>127</v>
      </c>
    </row>
    <row r="1686" spans="1:10" x14ac:dyDescent="0.3">
      <c r="A1686" s="42" t="s">
        <v>1109</v>
      </c>
      <c r="B1686" s="43">
        <v>45967</v>
      </c>
      <c r="C1686" s="42" t="s">
        <v>42</v>
      </c>
      <c r="D1686" s="42" t="s">
        <v>43</v>
      </c>
      <c r="E1686" s="42" t="s">
        <v>16</v>
      </c>
      <c r="F1686" s="42">
        <v>370</v>
      </c>
      <c r="G1686" s="44">
        <v>1200000</v>
      </c>
      <c r="H1686" s="44">
        <v>444000000</v>
      </c>
      <c r="I1686" s="42" t="s">
        <v>2160</v>
      </c>
      <c r="J1686" s="42" t="s">
        <v>60</v>
      </c>
    </row>
    <row r="1687" spans="1:10" x14ac:dyDescent="0.3">
      <c r="A1687" s="42" t="s">
        <v>1110</v>
      </c>
      <c r="B1687" s="43">
        <v>45967</v>
      </c>
      <c r="C1687" s="42" t="s">
        <v>40</v>
      </c>
      <c r="D1687" s="42" t="s">
        <v>41</v>
      </c>
      <c r="E1687" s="42" t="s">
        <v>16</v>
      </c>
      <c r="F1687" s="42">
        <v>31</v>
      </c>
      <c r="G1687" s="44">
        <v>950000</v>
      </c>
      <c r="H1687" s="44">
        <v>29450000</v>
      </c>
      <c r="I1687" s="42" t="s">
        <v>709</v>
      </c>
      <c r="J1687" s="42" t="s">
        <v>8</v>
      </c>
    </row>
    <row r="1688" spans="1:10" x14ac:dyDescent="0.3">
      <c r="A1688" s="42" t="s">
        <v>1111</v>
      </c>
      <c r="B1688" s="43">
        <v>45967</v>
      </c>
      <c r="C1688" s="42" t="s">
        <v>28</v>
      </c>
      <c r="D1688" s="42" t="s">
        <v>29</v>
      </c>
      <c r="E1688" s="42" t="s">
        <v>20</v>
      </c>
      <c r="F1688" s="42">
        <v>19</v>
      </c>
      <c r="G1688" s="44">
        <v>450000</v>
      </c>
      <c r="H1688" s="44">
        <v>8550000</v>
      </c>
      <c r="I1688" s="42" t="s">
        <v>2802</v>
      </c>
      <c r="J1688" s="42" t="s">
        <v>69</v>
      </c>
    </row>
    <row r="1689" spans="1:10" x14ac:dyDescent="0.3">
      <c r="A1689" s="42" t="s">
        <v>1155</v>
      </c>
      <c r="B1689" s="43">
        <v>45968</v>
      </c>
      <c r="C1689" s="42" t="s">
        <v>40</v>
      </c>
      <c r="D1689" s="42" t="s">
        <v>41</v>
      </c>
      <c r="E1689" s="42" t="s">
        <v>16</v>
      </c>
      <c r="F1689" s="42">
        <v>390</v>
      </c>
      <c r="G1689" s="44">
        <v>950000</v>
      </c>
      <c r="H1689" s="44">
        <v>370500000</v>
      </c>
      <c r="I1689" s="42" t="s">
        <v>2740</v>
      </c>
      <c r="J1689" s="42" t="s">
        <v>127</v>
      </c>
    </row>
    <row r="1690" spans="1:10" x14ac:dyDescent="0.3">
      <c r="A1690" s="42" t="s">
        <v>1156</v>
      </c>
      <c r="B1690" s="43">
        <v>45968</v>
      </c>
      <c r="C1690" s="42" t="s">
        <v>44</v>
      </c>
      <c r="D1690" s="42" t="s">
        <v>45</v>
      </c>
      <c r="E1690" s="42" t="s">
        <v>16</v>
      </c>
      <c r="F1690" s="42">
        <v>20</v>
      </c>
      <c r="G1690" s="44">
        <v>250000</v>
      </c>
      <c r="H1690" s="44">
        <v>5000000</v>
      </c>
      <c r="I1690" s="42" t="s">
        <v>2404</v>
      </c>
      <c r="J1690" s="42" t="s">
        <v>60</v>
      </c>
    </row>
    <row r="1691" spans="1:10" x14ac:dyDescent="0.3">
      <c r="A1691" s="42" t="s">
        <v>1157</v>
      </c>
      <c r="B1691" s="43">
        <v>45968</v>
      </c>
      <c r="C1691" s="42" t="s">
        <v>38</v>
      </c>
      <c r="D1691" s="42" t="s">
        <v>39</v>
      </c>
      <c r="E1691" s="42" t="s">
        <v>16</v>
      </c>
      <c r="F1691" s="42">
        <v>33</v>
      </c>
      <c r="G1691" s="44">
        <v>200000</v>
      </c>
      <c r="H1691" s="44">
        <v>6600000</v>
      </c>
      <c r="I1691" s="42" t="s">
        <v>2751</v>
      </c>
      <c r="J1691" s="42" t="s">
        <v>127</v>
      </c>
    </row>
    <row r="1692" spans="1:10" x14ac:dyDescent="0.3">
      <c r="A1692" s="42" t="s">
        <v>1158</v>
      </c>
      <c r="B1692" s="43">
        <v>45968</v>
      </c>
      <c r="C1692" s="42" t="s">
        <v>31</v>
      </c>
      <c r="D1692" s="42" t="s">
        <v>32</v>
      </c>
      <c r="E1692" s="42" t="s">
        <v>20</v>
      </c>
      <c r="F1692" s="42">
        <v>6</v>
      </c>
      <c r="G1692" s="44">
        <v>180000</v>
      </c>
      <c r="H1692" s="44">
        <v>1080000</v>
      </c>
      <c r="I1692" s="42" t="s">
        <v>2723</v>
      </c>
      <c r="J1692" s="42" t="s">
        <v>8</v>
      </c>
    </row>
    <row r="1693" spans="1:10" x14ac:dyDescent="0.3">
      <c r="A1693" s="42" t="s">
        <v>1159</v>
      </c>
      <c r="B1693" s="43">
        <v>45968</v>
      </c>
      <c r="C1693" s="42" t="s">
        <v>28</v>
      </c>
      <c r="D1693" s="42" t="s">
        <v>29</v>
      </c>
      <c r="E1693" s="42" t="s">
        <v>20</v>
      </c>
      <c r="F1693" s="42">
        <v>50</v>
      </c>
      <c r="G1693" s="44">
        <v>450000</v>
      </c>
      <c r="H1693" s="44">
        <v>22500000</v>
      </c>
      <c r="I1693" s="42" t="s">
        <v>2377</v>
      </c>
      <c r="J1693" s="42" t="s">
        <v>60</v>
      </c>
    </row>
    <row r="1694" spans="1:10" x14ac:dyDescent="0.3">
      <c r="A1694" s="42" t="s">
        <v>1160</v>
      </c>
      <c r="B1694" s="43">
        <v>45968</v>
      </c>
      <c r="C1694" s="42" t="s">
        <v>31</v>
      </c>
      <c r="D1694" s="42" t="s">
        <v>32</v>
      </c>
      <c r="E1694" s="42" t="s">
        <v>20</v>
      </c>
      <c r="F1694" s="42">
        <v>26</v>
      </c>
      <c r="G1694" s="44">
        <v>180000</v>
      </c>
      <c r="H1694" s="44">
        <v>4680000</v>
      </c>
      <c r="I1694" s="42" t="s">
        <v>2510</v>
      </c>
      <c r="J1694" s="42" t="s">
        <v>69</v>
      </c>
    </row>
    <row r="1695" spans="1:10" x14ac:dyDescent="0.3">
      <c r="A1695" s="42" t="s">
        <v>1161</v>
      </c>
      <c r="B1695" s="43">
        <v>45968</v>
      </c>
      <c r="C1695" s="42" t="s">
        <v>22</v>
      </c>
      <c r="D1695" s="42" t="s">
        <v>23</v>
      </c>
      <c r="E1695" s="42" t="s">
        <v>12</v>
      </c>
      <c r="F1695" s="42">
        <v>50</v>
      </c>
      <c r="G1695" s="44">
        <v>25000</v>
      </c>
      <c r="H1695" s="44">
        <v>1250000</v>
      </c>
      <c r="I1695" s="42" t="s">
        <v>2742</v>
      </c>
      <c r="J1695" s="42" t="s">
        <v>8</v>
      </c>
    </row>
    <row r="1696" spans="1:10" x14ac:dyDescent="0.3">
      <c r="A1696" s="42" t="s">
        <v>1162</v>
      </c>
      <c r="B1696" s="43">
        <v>45968</v>
      </c>
      <c r="C1696" s="42" t="s">
        <v>40</v>
      </c>
      <c r="D1696" s="42" t="s">
        <v>41</v>
      </c>
      <c r="E1696" s="42" t="s">
        <v>16</v>
      </c>
      <c r="F1696" s="42">
        <v>410</v>
      </c>
      <c r="G1696" s="44">
        <v>950000</v>
      </c>
      <c r="H1696" s="44">
        <v>389500000</v>
      </c>
      <c r="I1696" s="42" t="s">
        <v>2533</v>
      </c>
      <c r="J1696" s="42" t="s">
        <v>8</v>
      </c>
    </row>
    <row r="1697" spans="1:10" x14ac:dyDescent="0.3">
      <c r="A1697" s="42" t="s">
        <v>1163</v>
      </c>
      <c r="B1697" s="43">
        <v>45968</v>
      </c>
      <c r="C1697" s="42" t="s">
        <v>22</v>
      </c>
      <c r="D1697" s="42" t="s">
        <v>23</v>
      </c>
      <c r="E1697" s="42" t="s">
        <v>12</v>
      </c>
      <c r="F1697" s="42">
        <v>24</v>
      </c>
      <c r="G1697" s="44">
        <v>25000</v>
      </c>
      <c r="H1697" s="44">
        <v>600000</v>
      </c>
      <c r="I1697" s="42" t="s">
        <v>2131</v>
      </c>
      <c r="J1697" s="42" t="s">
        <v>60</v>
      </c>
    </row>
    <row r="1698" spans="1:10" x14ac:dyDescent="0.3">
      <c r="A1698" s="42" t="s">
        <v>1183</v>
      </c>
      <c r="B1698" s="43">
        <v>45968</v>
      </c>
      <c r="C1698" s="42" t="s">
        <v>42</v>
      </c>
      <c r="D1698" s="42" t="s">
        <v>43</v>
      </c>
      <c r="E1698" s="42" t="s">
        <v>16</v>
      </c>
      <c r="F1698" s="42">
        <v>420</v>
      </c>
      <c r="G1698" s="44">
        <v>1200000</v>
      </c>
      <c r="H1698" s="44">
        <v>504000000</v>
      </c>
      <c r="I1698" s="42" t="s">
        <v>2233</v>
      </c>
      <c r="J1698" s="42" t="s">
        <v>8</v>
      </c>
    </row>
    <row r="1699" spans="1:10" x14ac:dyDescent="0.3">
      <c r="A1699" s="42" t="s">
        <v>1184</v>
      </c>
      <c r="B1699" s="43">
        <v>45968</v>
      </c>
      <c r="C1699" s="42" t="s">
        <v>10</v>
      </c>
      <c r="D1699" s="42" t="s">
        <v>11</v>
      </c>
      <c r="E1699" s="42" t="s">
        <v>12</v>
      </c>
      <c r="F1699" s="42">
        <v>24</v>
      </c>
      <c r="G1699" s="44">
        <v>120000</v>
      </c>
      <c r="H1699" s="44">
        <v>2880000</v>
      </c>
      <c r="I1699" s="42" t="s">
        <v>2428</v>
      </c>
      <c r="J1699" s="42" t="s">
        <v>60</v>
      </c>
    </row>
    <row r="1700" spans="1:10" x14ac:dyDescent="0.3">
      <c r="A1700" s="42" t="s">
        <v>1185</v>
      </c>
      <c r="B1700" s="43">
        <v>45968</v>
      </c>
      <c r="C1700" s="42" t="s">
        <v>44</v>
      </c>
      <c r="D1700" s="42" t="s">
        <v>45</v>
      </c>
      <c r="E1700" s="42" t="s">
        <v>16</v>
      </c>
      <c r="F1700" s="42">
        <v>10</v>
      </c>
      <c r="G1700" s="44">
        <v>250000</v>
      </c>
      <c r="H1700" s="44">
        <v>2500000</v>
      </c>
      <c r="I1700" s="42" t="s">
        <v>2296</v>
      </c>
      <c r="J1700" s="42" t="s">
        <v>8</v>
      </c>
    </row>
    <row r="1701" spans="1:10" x14ac:dyDescent="0.3">
      <c r="A1701" s="42" t="s">
        <v>1186</v>
      </c>
      <c r="B1701" s="43">
        <v>45968</v>
      </c>
      <c r="C1701" s="42" t="s">
        <v>31</v>
      </c>
      <c r="D1701" s="42" t="s">
        <v>32</v>
      </c>
      <c r="E1701" s="42" t="s">
        <v>20</v>
      </c>
      <c r="F1701" s="42">
        <v>41</v>
      </c>
      <c r="G1701" s="44">
        <v>180000</v>
      </c>
      <c r="H1701" s="44">
        <v>7380000</v>
      </c>
      <c r="I1701" s="42" t="s">
        <v>2392</v>
      </c>
      <c r="J1701" s="42" t="s">
        <v>8</v>
      </c>
    </row>
    <row r="1702" spans="1:10" x14ac:dyDescent="0.3">
      <c r="A1702" s="42" t="s">
        <v>1187</v>
      </c>
      <c r="B1702" s="43">
        <v>45968</v>
      </c>
      <c r="C1702" s="42" t="s">
        <v>31</v>
      </c>
      <c r="D1702" s="42" t="s">
        <v>32</v>
      </c>
      <c r="E1702" s="42" t="s">
        <v>20</v>
      </c>
      <c r="F1702" s="42">
        <v>23</v>
      </c>
      <c r="G1702" s="44">
        <v>180000</v>
      </c>
      <c r="H1702" s="44">
        <v>4140000</v>
      </c>
      <c r="I1702" s="42" t="s">
        <v>1584</v>
      </c>
      <c r="J1702" s="42" t="s">
        <v>127</v>
      </c>
    </row>
    <row r="1703" spans="1:10" x14ac:dyDescent="0.3">
      <c r="A1703" s="42" t="s">
        <v>1188</v>
      </c>
      <c r="B1703" s="43">
        <v>45972</v>
      </c>
      <c r="C1703" s="42" t="s">
        <v>42</v>
      </c>
      <c r="D1703" s="42" t="s">
        <v>43</v>
      </c>
      <c r="E1703" s="42" t="s">
        <v>16</v>
      </c>
      <c r="F1703" s="42">
        <v>10</v>
      </c>
      <c r="G1703" s="44">
        <v>1200000</v>
      </c>
      <c r="H1703" s="44">
        <v>12000000</v>
      </c>
      <c r="I1703" s="42" t="s">
        <v>2497</v>
      </c>
      <c r="J1703" s="42" t="s">
        <v>127</v>
      </c>
    </row>
    <row r="1704" spans="1:10" x14ac:dyDescent="0.3">
      <c r="A1704" s="42" t="s">
        <v>1189</v>
      </c>
      <c r="B1704" s="43">
        <v>45972</v>
      </c>
      <c r="C1704" s="42" t="s">
        <v>42</v>
      </c>
      <c r="D1704" s="42" t="s">
        <v>43</v>
      </c>
      <c r="E1704" s="42" t="s">
        <v>16</v>
      </c>
      <c r="F1704" s="42">
        <v>8</v>
      </c>
      <c r="G1704" s="44">
        <v>1200000</v>
      </c>
      <c r="H1704" s="44">
        <v>9600000</v>
      </c>
      <c r="I1704" s="42" t="s">
        <v>2483</v>
      </c>
      <c r="J1704" s="42" t="s">
        <v>8</v>
      </c>
    </row>
    <row r="1705" spans="1:10" x14ac:dyDescent="0.3">
      <c r="A1705" s="42" t="s">
        <v>1190</v>
      </c>
      <c r="B1705" s="43">
        <v>45972</v>
      </c>
      <c r="C1705" s="42" t="s">
        <v>10</v>
      </c>
      <c r="D1705" s="42" t="s">
        <v>11</v>
      </c>
      <c r="E1705" s="42" t="s">
        <v>12</v>
      </c>
      <c r="F1705" s="42">
        <v>41</v>
      </c>
      <c r="G1705" s="44">
        <v>120000</v>
      </c>
      <c r="H1705" s="44">
        <v>4920000</v>
      </c>
      <c r="I1705" s="42" t="s">
        <v>2468</v>
      </c>
      <c r="J1705" s="42" t="s">
        <v>60</v>
      </c>
    </row>
    <row r="1706" spans="1:10" x14ac:dyDescent="0.3">
      <c r="A1706" s="42" t="s">
        <v>1191</v>
      </c>
      <c r="B1706" s="43">
        <v>45972</v>
      </c>
      <c r="C1706" s="42" t="s">
        <v>38</v>
      </c>
      <c r="D1706" s="42" t="s">
        <v>39</v>
      </c>
      <c r="E1706" s="42" t="s">
        <v>16</v>
      </c>
      <c r="F1706" s="42">
        <v>130</v>
      </c>
      <c r="G1706" s="44">
        <v>200000</v>
      </c>
      <c r="H1706" s="44">
        <v>26000000</v>
      </c>
      <c r="I1706" s="42" t="s">
        <v>2236</v>
      </c>
      <c r="J1706" s="42" t="s">
        <v>8</v>
      </c>
    </row>
    <row r="1707" spans="1:10" x14ac:dyDescent="0.3">
      <c r="A1707" s="42" t="s">
        <v>1192</v>
      </c>
      <c r="B1707" s="43">
        <v>45972</v>
      </c>
      <c r="C1707" s="42" t="s">
        <v>14</v>
      </c>
      <c r="D1707" s="42" t="s">
        <v>15</v>
      </c>
      <c r="E1707" s="42" t="s">
        <v>16</v>
      </c>
      <c r="F1707" s="42">
        <v>29</v>
      </c>
      <c r="G1707" s="44">
        <v>350000</v>
      </c>
      <c r="H1707" s="44">
        <v>10150000</v>
      </c>
      <c r="I1707" s="42" t="s">
        <v>2524</v>
      </c>
      <c r="J1707" s="42" t="s">
        <v>127</v>
      </c>
    </row>
    <row r="1708" spans="1:10" x14ac:dyDescent="0.3">
      <c r="A1708" s="42" t="s">
        <v>1193</v>
      </c>
      <c r="B1708" s="43">
        <v>45972</v>
      </c>
      <c r="C1708" s="42" t="s">
        <v>22</v>
      </c>
      <c r="D1708" s="42" t="s">
        <v>23</v>
      </c>
      <c r="E1708" s="42" t="s">
        <v>12</v>
      </c>
      <c r="F1708" s="42">
        <v>9</v>
      </c>
      <c r="G1708" s="44">
        <v>25000</v>
      </c>
      <c r="H1708" s="44">
        <v>225000</v>
      </c>
      <c r="I1708" s="42" t="s">
        <v>2143</v>
      </c>
      <c r="J1708" s="42" t="s">
        <v>8</v>
      </c>
    </row>
    <row r="1709" spans="1:10" x14ac:dyDescent="0.3">
      <c r="A1709" s="42" t="s">
        <v>1194</v>
      </c>
      <c r="B1709" s="43">
        <v>45972</v>
      </c>
      <c r="C1709" s="42" t="s">
        <v>28</v>
      </c>
      <c r="D1709" s="42" t="s">
        <v>29</v>
      </c>
      <c r="E1709" s="42" t="s">
        <v>20</v>
      </c>
      <c r="F1709" s="42">
        <v>32</v>
      </c>
      <c r="G1709" s="44">
        <v>450000</v>
      </c>
      <c r="H1709" s="44">
        <v>14400000</v>
      </c>
      <c r="I1709" s="42" t="s">
        <v>2511</v>
      </c>
      <c r="J1709" s="42" t="s">
        <v>127</v>
      </c>
    </row>
    <row r="1710" spans="1:10" x14ac:dyDescent="0.3">
      <c r="A1710" s="42" t="s">
        <v>1232</v>
      </c>
      <c r="B1710" s="43">
        <v>45972</v>
      </c>
      <c r="C1710" s="42" t="s">
        <v>22</v>
      </c>
      <c r="D1710" s="42" t="s">
        <v>23</v>
      </c>
      <c r="E1710" s="42" t="s">
        <v>12</v>
      </c>
      <c r="F1710" s="42">
        <v>11</v>
      </c>
      <c r="G1710" s="44">
        <v>25000</v>
      </c>
      <c r="H1710" s="44">
        <v>275000</v>
      </c>
      <c r="I1710" s="42" t="s">
        <v>2355</v>
      </c>
      <c r="J1710" s="42" t="s">
        <v>47</v>
      </c>
    </row>
    <row r="1711" spans="1:10" x14ac:dyDescent="0.3">
      <c r="A1711" s="42" t="s">
        <v>1233</v>
      </c>
      <c r="B1711" s="43">
        <v>45972</v>
      </c>
      <c r="C1711" s="42" t="s">
        <v>31</v>
      </c>
      <c r="D1711" s="42" t="s">
        <v>32</v>
      </c>
      <c r="E1711" s="42" t="s">
        <v>20</v>
      </c>
      <c r="F1711" s="42">
        <v>16</v>
      </c>
      <c r="G1711" s="44">
        <v>180000</v>
      </c>
      <c r="H1711" s="44">
        <v>2880000</v>
      </c>
      <c r="I1711" s="42" t="s">
        <v>2637</v>
      </c>
      <c r="J1711" s="42" t="s">
        <v>47</v>
      </c>
    </row>
    <row r="1712" spans="1:10" x14ac:dyDescent="0.3">
      <c r="A1712" s="42" t="s">
        <v>1234</v>
      </c>
      <c r="B1712" s="43">
        <v>45972</v>
      </c>
      <c r="C1712" s="42" t="s">
        <v>10</v>
      </c>
      <c r="D1712" s="42" t="s">
        <v>11</v>
      </c>
      <c r="E1712" s="42" t="s">
        <v>12</v>
      </c>
      <c r="F1712" s="42">
        <v>37</v>
      </c>
      <c r="G1712" s="44">
        <v>120000</v>
      </c>
      <c r="H1712" s="44">
        <v>4440000</v>
      </c>
      <c r="I1712" s="42" t="s">
        <v>2734</v>
      </c>
      <c r="J1712" s="42" t="s">
        <v>8</v>
      </c>
    </row>
    <row r="1713" spans="1:10" x14ac:dyDescent="0.3">
      <c r="A1713" s="42" t="s">
        <v>1235</v>
      </c>
      <c r="B1713" s="43">
        <v>45972</v>
      </c>
      <c r="C1713" s="42" t="s">
        <v>31</v>
      </c>
      <c r="D1713" s="42" t="s">
        <v>32</v>
      </c>
      <c r="E1713" s="42" t="s">
        <v>20</v>
      </c>
      <c r="F1713" s="42">
        <v>45</v>
      </c>
      <c r="G1713" s="44">
        <v>180000</v>
      </c>
      <c r="H1713" s="44">
        <v>8100000</v>
      </c>
      <c r="I1713" s="42" t="s">
        <v>2485</v>
      </c>
      <c r="J1713" s="42" t="s">
        <v>127</v>
      </c>
    </row>
    <row r="1714" spans="1:10" x14ac:dyDescent="0.3">
      <c r="A1714" s="42" t="s">
        <v>1236</v>
      </c>
      <c r="B1714" s="43">
        <v>45974</v>
      </c>
      <c r="C1714" s="42" t="s">
        <v>22</v>
      </c>
      <c r="D1714" s="42" t="s">
        <v>23</v>
      </c>
      <c r="E1714" s="42" t="s">
        <v>12</v>
      </c>
      <c r="F1714" s="42">
        <v>9</v>
      </c>
      <c r="G1714" s="44">
        <v>25000</v>
      </c>
      <c r="H1714" s="44">
        <v>225000</v>
      </c>
      <c r="I1714" s="42" t="s">
        <v>2633</v>
      </c>
      <c r="J1714" s="42" t="s">
        <v>60</v>
      </c>
    </row>
    <row r="1715" spans="1:10" x14ac:dyDescent="0.3">
      <c r="A1715" s="42" t="s">
        <v>1237</v>
      </c>
      <c r="B1715" s="43">
        <v>45974</v>
      </c>
      <c r="C1715" s="42" t="s">
        <v>28</v>
      </c>
      <c r="D1715" s="42" t="s">
        <v>29</v>
      </c>
      <c r="E1715" s="42" t="s">
        <v>20</v>
      </c>
      <c r="F1715" s="42">
        <v>14</v>
      </c>
      <c r="G1715" s="44">
        <v>450000</v>
      </c>
      <c r="H1715" s="44">
        <v>6300000</v>
      </c>
      <c r="I1715" s="42" t="s">
        <v>2532</v>
      </c>
      <c r="J1715" s="42" t="s">
        <v>47</v>
      </c>
    </row>
    <row r="1716" spans="1:10" x14ac:dyDescent="0.3">
      <c r="A1716" s="42" t="s">
        <v>1238</v>
      </c>
      <c r="B1716" s="43">
        <v>45974</v>
      </c>
      <c r="C1716" s="42" t="s">
        <v>31</v>
      </c>
      <c r="D1716" s="42" t="s">
        <v>32</v>
      </c>
      <c r="E1716" s="42" t="s">
        <v>20</v>
      </c>
      <c r="F1716" s="42">
        <v>24</v>
      </c>
      <c r="G1716" s="44">
        <v>180000</v>
      </c>
      <c r="H1716" s="44">
        <v>4320000</v>
      </c>
      <c r="I1716" s="42" t="s">
        <v>2237</v>
      </c>
      <c r="J1716" s="42" t="s">
        <v>47</v>
      </c>
    </row>
    <row r="1717" spans="1:10" x14ac:dyDescent="0.3">
      <c r="A1717" s="42" t="s">
        <v>1239</v>
      </c>
      <c r="B1717" s="43">
        <v>45974</v>
      </c>
      <c r="C1717" s="42" t="s">
        <v>40</v>
      </c>
      <c r="D1717" s="42" t="s">
        <v>41</v>
      </c>
      <c r="E1717" s="42" t="s">
        <v>16</v>
      </c>
      <c r="F1717" s="42">
        <v>410</v>
      </c>
      <c r="G1717" s="44">
        <v>950000</v>
      </c>
      <c r="H1717" s="44">
        <v>389500000</v>
      </c>
      <c r="I1717" s="42" t="s">
        <v>2245</v>
      </c>
      <c r="J1717" s="42" t="s">
        <v>127</v>
      </c>
    </row>
    <row r="1718" spans="1:10" x14ac:dyDescent="0.3">
      <c r="A1718" s="42" t="s">
        <v>1240</v>
      </c>
      <c r="B1718" s="43">
        <v>45974</v>
      </c>
      <c r="C1718" s="42" t="s">
        <v>18</v>
      </c>
      <c r="D1718" s="42" t="s">
        <v>19</v>
      </c>
      <c r="E1718" s="42" t="s">
        <v>20</v>
      </c>
      <c r="F1718" s="42">
        <v>27</v>
      </c>
      <c r="G1718" s="44">
        <v>500000</v>
      </c>
      <c r="H1718" s="44">
        <v>13500000</v>
      </c>
      <c r="I1718" s="42" t="s">
        <v>2727</v>
      </c>
      <c r="J1718" s="42" t="s">
        <v>69</v>
      </c>
    </row>
    <row r="1719" spans="1:10" x14ac:dyDescent="0.3">
      <c r="A1719" s="42" t="s">
        <v>1241</v>
      </c>
      <c r="B1719" s="43">
        <v>45974</v>
      </c>
      <c r="C1719" s="42" t="s">
        <v>14</v>
      </c>
      <c r="D1719" s="42" t="s">
        <v>15</v>
      </c>
      <c r="E1719" s="42" t="s">
        <v>16</v>
      </c>
      <c r="F1719" s="42">
        <v>39</v>
      </c>
      <c r="G1719" s="44">
        <v>350000</v>
      </c>
      <c r="H1719" s="44">
        <v>13650000</v>
      </c>
      <c r="I1719" s="42" t="s">
        <v>2801</v>
      </c>
      <c r="J1719" s="42" t="s">
        <v>60</v>
      </c>
    </row>
    <row r="1720" spans="1:10" x14ac:dyDescent="0.3">
      <c r="A1720" s="42" t="s">
        <v>1271</v>
      </c>
      <c r="B1720" s="43">
        <v>45974</v>
      </c>
      <c r="C1720" s="42" t="s">
        <v>10</v>
      </c>
      <c r="D1720" s="42" t="s">
        <v>11</v>
      </c>
      <c r="E1720" s="42" t="s">
        <v>12</v>
      </c>
      <c r="F1720" s="42">
        <v>27</v>
      </c>
      <c r="G1720" s="44">
        <v>120000</v>
      </c>
      <c r="H1720" s="44">
        <v>3240000</v>
      </c>
      <c r="I1720" s="42" t="s">
        <v>2363</v>
      </c>
      <c r="J1720" s="42" t="s">
        <v>8</v>
      </c>
    </row>
    <row r="1721" spans="1:10" x14ac:dyDescent="0.3">
      <c r="A1721" s="42" t="s">
        <v>1272</v>
      </c>
      <c r="B1721" s="43">
        <v>45974</v>
      </c>
      <c r="C1721" s="42" t="s">
        <v>18</v>
      </c>
      <c r="D1721" s="42" t="s">
        <v>19</v>
      </c>
      <c r="E1721" s="42" t="s">
        <v>20</v>
      </c>
      <c r="F1721" s="42">
        <v>25</v>
      </c>
      <c r="G1721" s="44">
        <v>500000</v>
      </c>
      <c r="H1721" s="44">
        <v>12500000</v>
      </c>
      <c r="I1721" s="42" t="s">
        <v>2500</v>
      </c>
      <c r="J1721" s="42" t="s">
        <v>69</v>
      </c>
    </row>
    <row r="1722" spans="1:10" x14ac:dyDescent="0.3">
      <c r="A1722" s="42" t="s">
        <v>1273</v>
      </c>
      <c r="B1722" s="43">
        <v>45974</v>
      </c>
      <c r="C1722" s="42" t="s">
        <v>22</v>
      </c>
      <c r="D1722" s="42" t="s">
        <v>23</v>
      </c>
      <c r="E1722" s="42" t="s">
        <v>12</v>
      </c>
      <c r="F1722" s="42">
        <v>48</v>
      </c>
      <c r="G1722" s="44">
        <v>25000</v>
      </c>
      <c r="H1722" s="44">
        <v>1200000</v>
      </c>
      <c r="I1722" s="42" t="s">
        <v>2371</v>
      </c>
      <c r="J1722" s="42" t="s">
        <v>8</v>
      </c>
    </row>
    <row r="1723" spans="1:10" x14ac:dyDescent="0.3">
      <c r="A1723" s="42" t="s">
        <v>1274</v>
      </c>
      <c r="B1723" s="43">
        <v>45974</v>
      </c>
      <c r="C1723" s="42" t="s">
        <v>18</v>
      </c>
      <c r="D1723" s="42" t="s">
        <v>19</v>
      </c>
      <c r="E1723" s="42" t="s">
        <v>20</v>
      </c>
      <c r="F1723" s="42">
        <v>460</v>
      </c>
      <c r="G1723" s="44">
        <v>500000</v>
      </c>
      <c r="H1723" s="44">
        <v>230000000</v>
      </c>
      <c r="I1723" s="42" t="s">
        <v>1789</v>
      </c>
      <c r="J1723" s="42" t="s">
        <v>8</v>
      </c>
    </row>
    <row r="1724" spans="1:10" x14ac:dyDescent="0.3">
      <c r="A1724" s="42" t="s">
        <v>1275</v>
      </c>
      <c r="B1724" s="43">
        <v>45974</v>
      </c>
      <c r="C1724" s="42" t="s">
        <v>44</v>
      </c>
      <c r="D1724" s="42" t="s">
        <v>45</v>
      </c>
      <c r="E1724" s="42" t="s">
        <v>16</v>
      </c>
      <c r="F1724" s="42">
        <v>8</v>
      </c>
      <c r="G1724" s="44">
        <v>250000</v>
      </c>
      <c r="H1724" s="44">
        <v>2000000</v>
      </c>
      <c r="I1724" s="42" t="s">
        <v>2532</v>
      </c>
      <c r="J1724" s="42" t="s">
        <v>47</v>
      </c>
    </row>
    <row r="1725" spans="1:10" x14ac:dyDescent="0.3">
      <c r="A1725" s="42" t="s">
        <v>1276</v>
      </c>
      <c r="B1725" s="43">
        <v>45974</v>
      </c>
      <c r="C1725" s="42" t="s">
        <v>10</v>
      </c>
      <c r="D1725" s="42" t="s">
        <v>11</v>
      </c>
      <c r="E1725" s="42" t="s">
        <v>12</v>
      </c>
      <c r="F1725" s="42">
        <v>33</v>
      </c>
      <c r="G1725" s="44">
        <v>120000</v>
      </c>
      <c r="H1725" s="44">
        <v>3960000</v>
      </c>
      <c r="I1725" s="42" t="s">
        <v>2829</v>
      </c>
      <c r="J1725" s="42" t="s">
        <v>69</v>
      </c>
    </row>
    <row r="1726" spans="1:10" x14ac:dyDescent="0.3">
      <c r="A1726" s="42" t="s">
        <v>1277</v>
      </c>
      <c r="B1726" s="43">
        <v>45974</v>
      </c>
      <c r="C1726" s="42" t="s">
        <v>44</v>
      </c>
      <c r="D1726" s="42" t="s">
        <v>45</v>
      </c>
      <c r="E1726" s="42" t="s">
        <v>16</v>
      </c>
      <c r="F1726" s="42">
        <v>35</v>
      </c>
      <c r="G1726" s="44">
        <v>250000</v>
      </c>
      <c r="H1726" s="44">
        <v>8750000</v>
      </c>
      <c r="I1726" s="42" t="s">
        <v>2505</v>
      </c>
      <c r="J1726" s="42" t="s">
        <v>69</v>
      </c>
    </row>
    <row r="1727" spans="1:10" x14ac:dyDescent="0.3">
      <c r="A1727" s="42" t="s">
        <v>1278</v>
      </c>
      <c r="B1727" s="43">
        <v>45974</v>
      </c>
      <c r="C1727" s="42" t="s">
        <v>31</v>
      </c>
      <c r="D1727" s="42" t="s">
        <v>32</v>
      </c>
      <c r="E1727" s="42" t="s">
        <v>20</v>
      </c>
      <c r="F1727" s="42">
        <v>43</v>
      </c>
      <c r="G1727" s="44">
        <v>180000</v>
      </c>
      <c r="H1727" s="44">
        <v>7740000</v>
      </c>
      <c r="I1727" s="42" t="s">
        <v>2247</v>
      </c>
      <c r="J1727" s="42" t="s">
        <v>8</v>
      </c>
    </row>
    <row r="1728" spans="1:10" x14ac:dyDescent="0.3">
      <c r="A1728" s="42" t="s">
        <v>1279</v>
      </c>
      <c r="B1728" s="43">
        <v>45974</v>
      </c>
      <c r="C1728" s="42" t="s">
        <v>42</v>
      </c>
      <c r="D1728" s="42" t="s">
        <v>43</v>
      </c>
      <c r="E1728" s="42" t="s">
        <v>16</v>
      </c>
      <c r="F1728" s="42">
        <v>50</v>
      </c>
      <c r="G1728" s="44">
        <v>1200000</v>
      </c>
      <c r="H1728" s="44">
        <v>60000000</v>
      </c>
      <c r="I1728" s="42" t="s">
        <v>2226</v>
      </c>
      <c r="J1728" s="42" t="s">
        <v>60</v>
      </c>
    </row>
    <row r="1729" spans="1:10" x14ac:dyDescent="0.3">
      <c r="A1729" s="42" t="s">
        <v>1314</v>
      </c>
      <c r="B1729" s="43">
        <v>45974</v>
      </c>
      <c r="C1729" s="42" t="s">
        <v>22</v>
      </c>
      <c r="D1729" s="42" t="s">
        <v>23</v>
      </c>
      <c r="E1729" s="42" t="s">
        <v>12</v>
      </c>
      <c r="F1729" s="42">
        <v>39</v>
      </c>
      <c r="G1729" s="44">
        <v>25000</v>
      </c>
      <c r="H1729" s="44">
        <v>975000</v>
      </c>
      <c r="I1729" s="42" t="s">
        <v>2556</v>
      </c>
      <c r="J1729" s="42" t="s">
        <v>8</v>
      </c>
    </row>
    <row r="1730" spans="1:10" x14ac:dyDescent="0.3">
      <c r="A1730" s="42" t="s">
        <v>1315</v>
      </c>
      <c r="B1730" s="43">
        <v>45978</v>
      </c>
      <c r="C1730" s="42" t="s">
        <v>31</v>
      </c>
      <c r="D1730" s="42" t="s">
        <v>32</v>
      </c>
      <c r="E1730" s="42" t="s">
        <v>20</v>
      </c>
      <c r="F1730" s="42">
        <v>380</v>
      </c>
      <c r="G1730" s="44">
        <v>180000</v>
      </c>
      <c r="H1730" s="44">
        <v>68400000</v>
      </c>
      <c r="I1730" s="42" t="s">
        <v>2753</v>
      </c>
      <c r="J1730" s="42" t="s">
        <v>47</v>
      </c>
    </row>
    <row r="1731" spans="1:10" x14ac:dyDescent="0.3">
      <c r="A1731" s="42" t="s">
        <v>1316</v>
      </c>
      <c r="B1731" s="43">
        <v>45978</v>
      </c>
      <c r="C1731" s="42" t="s">
        <v>28</v>
      </c>
      <c r="D1731" s="42" t="s">
        <v>29</v>
      </c>
      <c r="E1731" s="42" t="s">
        <v>20</v>
      </c>
      <c r="F1731" s="42">
        <v>17</v>
      </c>
      <c r="G1731" s="44">
        <v>450000</v>
      </c>
      <c r="H1731" s="44">
        <v>7650000</v>
      </c>
      <c r="I1731" s="42" t="s">
        <v>2769</v>
      </c>
      <c r="J1731" s="42" t="s">
        <v>47</v>
      </c>
    </row>
    <row r="1732" spans="1:10" x14ac:dyDescent="0.3">
      <c r="A1732" s="42" t="s">
        <v>1317</v>
      </c>
      <c r="B1732" s="43">
        <v>45978</v>
      </c>
      <c r="C1732" s="42" t="s">
        <v>14</v>
      </c>
      <c r="D1732" s="42" t="s">
        <v>15</v>
      </c>
      <c r="E1732" s="42" t="s">
        <v>16</v>
      </c>
      <c r="F1732" s="42">
        <v>43</v>
      </c>
      <c r="G1732" s="44">
        <v>350000</v>
      </c>
      <c r="H1732" s="44">
        <v>15050000</v>
      </c>
      <c r="I1732" s="42" t="s">
        <v>2797</v>
      </c>
      <c r="J1732" s="42" t="s">
        <v>47</v>
      </c>
    </row>
    <row r="1733" spans="1:10" x14ac:dyDescent="0.3">
      <c r="A1733" s="42" t="s">
        <v>1318</v>
      </c>
      <c r="B1733" s="43">
        <v>45978</v>
      </c>
      <c r="C1733" s="42" t="s">
        <v>14</v>
      </c>
      <c r="D1733" s="42" t="s">
        <v>15</v>
      </c>
      <c r="E1733" s="42" t="s">
        <v>16</v>
      </c>
      <c r="F1733" s="42">
        <v>41</v>
      </c>
      <c r="G1733" s="44">
        <v>350000</v>
      </c>
      <c r="H1733" s="44">
        <v>14350000</v>
      </c>
      <c r="I1733" s="42" t="s">
        <v>2296</v>
      </c>
      <c r="J1733" s="42" t="s">
        <v>8</v>
      </c>
    </row>
    <row r="1734" spans="1:10" x14ac:dyDescent="0.3">
      <c r="A1734" s="42" t="s">
        <v>1319</v>
      </c>
      <c r="B1734" s="43">
        <v>45978</v>
      </c>
      <c r="C1734" s="42" t="s">
        <v>14</v>
      </c>
      <c r="D1734" s="42" t="s">
        <v>15</v>
      </c>
      <c r="E1734" s="42" t="s">
        <v>16</v>
      </c>
      <c r="F1734" s="42">
        <v>39</v>
      </c>
      <c r="G1734" s="44">
        <v>350000</v>
      </c>
      <c r="H1734" s="44">
        <v>13650000</v>
      </c>
      <c r="I1734" s="42" t="s">
        <v>2786</v>
      </c>
      <c r="J1734" s="42" t="s">
        <v>127</v>
      </c>
    </row>
    <row r="1735" spans="1:10" x14ac:dyDescent="0.3">
      <c r="A1735" s="42" t="s">
        <v>1355</v>
      </c>
      <c r="B1735" s="43">
        <v>45978</v>
      </c>
      <c r="C1735" s="42" t="s">
        <v>42</v>
      </c>
      <c r="D1735" s="42" t="s">
        <v>43</v>
      </c>
      <c r="E1735" s="42" t="s">
        <v>16</v>
      </c>
      <c r="F1735" s="42">
        <v>470</v>
      </c>
      <c r="G1735" s="44">
        <v>1200000</v>
      </c>
      <c r="H1735" s="44">
        <v>564000000</v>
      </c>
      <c r="I1735" s="42" t="s">
        <v>2668</v>
      </c>
      <c r="J1735" s="42" t="s">
        <v>127</v>
      </c>
    </row>
    <row r="1736" spans="1:10" x14ac:dyDescent="0.3">
      <c r="A1736" s="42" t="s">
        <v>1356</v>
      </c>
      <c r="B1736" s="43">
        <v>45978</v>
      </c>
      <c r="C1736" s="42" t="s">
        <v>31</v>
      </c>
      <c r="D1736" s="42" t="s">
        <v>32</v>
      </c>
      <c r="E1736" s="42" t="s">
        <v>20</v>
      </c>
      <c r="F1736" s="42">
        <v>37</v>
      </c>
      <c r="G1736" s="44">
        <v>180000</v>
      </c>
      <c r="H1736" s="44">
        <v>6660000</v>
      </c>
      <c r="I1736" s="42" t="s">
        <v>2633</v>
      </c>
      <c r="J1736" s="42" t="s">
        <v>60</v>
      </c>
    </row>
    <row r="1737" spans="1:10" x14ac:dyDescent="0.3">
      <c r="A1737" s="42" t="s">
        <v>1357</v>
      </c>
      <c r="B1737" s="43">
        <v>45978</v>
      </c>
      <c r="C1737" s="42" t="s">
        <v>10</v>
      </c>
      <c r="D1737" s="42" t="s">
        <v>11</v>
      </c>
      <c r="E1737" s="42" t="s">
        <v>12</v>
      </c>
      <c r="F1737" s="42">
        <v>33</v>
      </c>
      <c r="G1737" s="44">
        <v>120000</v>
      </c>
      <c r="H1737" s="44">
        <v>3960000</v>
      </c>
      <c r="I1737" s="42" t="s">
        <v>2365</v>
      </c>
      <c r="J1737" s="42" t="s">
        <v>60</v>
      </c>
    </row>
    <row r="1738" spans="1:10" x14ac:dyDescent="0.3">
      <c r="A1738" s="42" t="s">
        <v>1387</v>
      </c>
      <c r="B1738" s="43">
        <v>45978</v>
      </c>
      <c r="C1738" s="42" t="s">
        <v>22</v>
      </c>
      <c r="D1738" s="42" t="s">
        <v>23</v>
      </c>
      <c r="E1738" s="42" t="s">
        <v>12</v>
      </c>
      <c r="F1738" s="42">
        <v>32</v>
      </c>
      <c r="G1738" s="44">
        <v>25000</v>
      </c>
      <c r="H1738" s="44">
        <v>800000</v>
      </c>
      <c r="I1738" s="42" t="s">
        <v>274</v>
      </c>
      <c r="J1738" s="42" t="s">
        <v>8</v>
      </c>
    </row>
    <row r="1739" spans="1:10" x14ac:dyDescent="0.3">
      <c r="A1739" s="42" t="s">
        <v>1388</v>
      </c>
      <c r="B1739" s="43">
        <v>45978</v>
      </c>
      <c r="C1739" s="42" t="s">
        <v>38</v>
      </c>
      <c r="D1739" s="42" t="s">
        <v>39</v>
      </c>
      <c r="E1739" s="42" t="s">
        <v>16</v>
      </c>
      <c r="F1739" s="42">
        <v>49</v>
      </c>
      <c r="G1739" s="44">
        <v>200000</v>
      </c>
      <c r="H1739" s="44">
        <v>9800000</v>
      </c>
      <c r="I1739" s="42" t="s">
        <v>2507</v>
      </c>
      <c r="J1739" s="42" t="s">
        <v>127</v>
      </c>
    </row>
    <row r="1740" spans="1:10" x14ac:dyDescent="0.3">
      <c r="A1740" s="42" t="s">
        <v>1389</v>
      </c>
      <c r="B1740" s="43">
        <v>45978</v>
      </c>
      <c r="C1740" s="42" t="s">
        <v>31</v>
      </c>
      <c r="D1740" s="42" t="s">
        <v>32</v>
      </c>
      <c r="E1740" s="42" t="s">
        <v>20</v>
      </c>
      <c r="F1740" s="42">
        <v>27</v>
      </c>
      <c r="G1740" s="44">
        <v>180000</v>
      </c>
      <c r="H1740" s="44">
        <v>4860000</v>
      </c>
      <c r="I1740" s="42" t="s">
        <v>2318</v>
      </c>
      <c r="J1740" s="42" t="s">
        <v>47</v>
      </c>
    </row>
    <row r="1741" spans="1:10" x14ac:dyDescent="0.3">
      <c r="A1741" s="42" t="s">
        <v>1390</v>
      </c>
      <c r="B1741" s="43">
        <v>45978</v>
      </c>
      <c r="C1741" s="42" t="s">
        <v>40</v>
      </c>
      <c r="D1741" s="42" t="s">
        <v>41</v>
      </c>
      <c r="E1741" s="42" t="s">
        <v>16</v>
      </c>
      <c r="F1741" s="42">
        <v>80</v>
      </c>
      <c r="G1741" s="44">
        <v>950000</v>
      </c>
      <c r="H1741" s="44">
        <v>76000000</v>
      </c>
      <c r="I1741" s="42" t="s">
        <v>2824</v>
      </c>
      <c r="J1741" s="42" t="s">
        <v>127</v>
      </c>
    </row>
    <row r="1742" spans="1:10" x14ac:dyDescent="0.3">
      <c r="A1742" s="42" t="s">
        <v>1391</v>
      </c>
      <c r="B1742" s="43">
        <v>45978</v>
      </c>
      <c r="C1742" s="42" t="s">
        <v>42</v>
      </c>
      <c r="D1742" s="42" t="s">
        <v>43</v>
      </c>
      <c r="E1742" s="42" t="s">
        <v>16</v>
      </c>
      <c r="F1742" s="42">
        <v>32</v>
      </c>
      <c r="G1742" s="44">
        <v>1200000</v>
      </c>
      <c r="H1742" s="44">
        <v>38400000</v>
      </c>
      <c r="I1742" s="42" t="s">
        <v>164</v>
      </c>
      <c r="J1742" s="42" t="s">
        <v>8</v>
      </c>
    </row>
    <row r="1743" spans="1:10" x14ac:dyDescent="0.3">
      <c r="A1743" s="42" t="s">
        <v>1392</v>
      </c>
      <c r="B1743" s="43">
        <v>45979</v>
      </c>
      <c r="C1743" s="42" t="s">
        <v>42</v>
      </c>
      <c r="D1743" s="42" t="s">
        <v>43</v>
      </c>
      <c r="E1743" s="42" t="s">
        <v>16</v>
      </c>
      <c r="F1743" s="42">
        <v>10</v>
      </c>
      <c r="G1743" s="44">
        <v>1200000</v>
      </c>
      <c r="H1743" s="44">
        <v>12000000</v>
      </c>
      <c r="I1743" s="42" t="s">
        <v>2587</v>
      </c>
      <c r="J1743" s="42" t="s">
        <v>8</v>
      </c>
    </row>
    <row r="1744" spans="1:10" x14ac:dyDescent="0.3">
      <c r="A1744" s="42" t="s">
        <v>1393</v>
      </c>
      <c r="B1744" s="43">
        <v>45979</v>
      </c>
      <c r="C1744" s="42" t="s">
        <v>38</v>
      </c>
      <c r="D1744" s="42" t="s">
        <v>39</v>
      </c>
      <c r="E1744" s="42" t="s">
        <v>16</v>
      </c>
      <c r="F1744" s="42">
        <v>260</v>
      </c>
      <c r="G1744" s="44">
        <v>200000</v>
      </c>
      <c r="H1744" s="44">
        <v>52000000</v>
      </c>
      <c r="I1744" s="42" t="s">
        <v>2429</v>
      </c>
      <c r="J1744" s="42" t="s">
        <v>127</v>
      </c>
    </row>
    <row r="1745" spans="1:10" x14ac:dyDescent="0.3">
      <c r="A1745" s="42" t="s">
        <v>1394</v>
      </c>
      <c r="B1745" s="43">
        <v>45979</v>
      </c>
      <c r="C1745" s="42" t="s">
        <v>31</v>
      </c>
      <c r="D1745" s="42" t="s">
        <v>32</v>
      </c>
      <c r="E1745" s="42" t="s">
        <v>20</v>
      </c>
      <c r="F1745" s="42">
        <v>28</v>
      </c>
      <c r="G1745" s="44">
        <v>180000</v>
      </c>
      <c r="H1745" s="44">
        <v>5040000</v>
      </c>
      <c r="I1745" s="42" t="s">
        <v>2339</v>
      </c>
      <c r="J1745" s="42" t="s">
        <v>69</v>
      </c>
    </row>
    <row r="1746" spans="1:10" x14ac:dyDescent="0.3">
      <c r="A1746" s="42" t="s">
        <v>1395</v>
      </c>
      <c r="B1746" s="43">
        <v>45979</v>
      </c>
      <c r="C1746" s="42" t="s">
        <v>38</v>
      </c>
      <c r="D1746" s="42" t="s">
        <v>39</v>
      </c>
      <c r="E1746" s="42" t="s">
        <v>16</v>
      </c>
      <c r="F1746" s="42">
        <v>43</v>
      </c>
      <c r="G1746" s="44">
        <v>200000</v>
      </c>
      <c r="H1746" s="44">
        <v>8600000</v>
      </c>
      <c r="I1746" s="42" t="s">
        <v>2726</v>
      </c>
      <c r="J1746" s="42" t="s">
        <v>60</v>
      </c>
    </row>
    <row r="1747" spans="1:10" x14ac:dyDescent="0.3">
      <c r="A1747" s="42" t="s">
        <v>1396</v>
      </c>
      <c r="B1747" s="43">
        <v>45979</v>
      </c>
      <c r="C1747" s="42" t="s">
        <v>38</v>
      </c>
      <c r="D1747" s="42" t="s">
        <v>39</v>
      </c>
      <c r="E1747" s="42" t="s">
        <v>16</v>
      </c>
      <c r="F1747" s="42">
        <v>340</v>
      </c>
      <c r="G1747" s="44">
        <v>200000</v>
      </c>
      <c r="H1747" s="44">
        <v>68000000</v>
      </c>
      <c r="I1747" s="42" t="s">
        <v>853</v>
      </c>
      <c r="J1747" s="42" t="s">
        <v>47</v>
      </c>
    </row>
    <row r="1748" spans="1:10" x14ac:dyDescent="0.3">
      <c r="A1748" s="42" t="s">
        <v>1397</v>
      </c>
      <c r="B1748" s="43">
        <v>45979</v>
      </c>
      <c r="C1748" s="42" t="s">
        <v>31</v>
      </c>
      <c r="D1748" s="42" t="s">
        <v>32</v>
      </c>
      <c r="E1748" s="42" t="s">
        <v>20</v>
      </c>
      <c r="F1748" s="42">
        <v>49</v>
      </c>
      <c r="G1748" s="44">
        <v>180000</v>
      </c>
      <c r="H1748" s="44">
        <v>8820000</v>
      </c>
      <c r="I1748" s="42" t="s">
        <v>2420</v>
      </c>
      <c r="J1748" s="42" t="s">
        <v>127</v>
      </c>
    </row>
    <row r="1749" spans="1:10" x14ac:dyDescent="0.3">
      <c r="A1749" s="42" t="s">
        <v>1425</v>
      </c>
      <c r="B1749" s="43">
        <v>45979</v>
      </c>
      <c r="C1749" s="42" t="s">
        <v>14</v>
      </c>
      <c r="D1749" s="42" t="s">
        <v>15</v>
      </c>
      <c r="E1749" s="42" t="s">
        <v>16</v>
      </c>
      <c r="F1749" s="42">
        <v>22</v>
      </c>
      <c r="G1749" s="44">
        <v>350000</v>
      </c>
      <c r="H1749" s="44">
        <v>7700000</v>
      </c>
      <c r="I1749" s="42" t="s">
        <v>2380</v>
      </c>
      <c r="J1749" s="42" t="s">
        <v>69</v>
      </c>
    </row>
    <row r="1750" spans="1:10" x14ac:dyDescent="0.3">
      <c r="A1750" s="42" t="s">
        <v>1426</v>
      </c>
      <c r="B1750" s="43">
        <v>45979</v>
      </c>
      <c r="C1750" s="42" t="s">
        <v>18</v>
      </c>
      <c r="D1750" s="42" t="s">
        <v>19</v>
      </c>
      <c r="E1750" s="42" t="s">
        <v>20</v>
      </c>
      <c r="F1750" s="42">
        <v>20</v>
      </c>
      <c r="G1750" s="44">
        <v>500000</v>
      </c>
      <c r="H1750" s="44">
        <v>10000000</v>
      </c>
      <c r="I1750" s="42" t="s">
        <v>2808</v>
      </c>
      <c r="J1750" s="42" t="s">
        <v>8</v>
      </c>
    </row>
    <row r="1751" spans="1:10" x14ac:dyDescent="0.3">
      <c r="A1751" s="42" t="s">
        <v>1427</v>
      </c>
      <c r="B1751" s="43">
        <v>45979</v>
      </c>
      <c r="C1751" s="42" t="s">
        <v>14</v>
      </c>
      <c r="D1751" s="42" t="s">
        <v>15</v>
      </c>
      <c r="E1751" s="42" t="s">
        <v>16</v>
      </c>
      <c r="F1751" s="42">
        <v>27</v>
      </c>
      <c r="G1751" s="44">
        <v>350000</v>
      </c>
      <c r="H1751" s="44">
        <v>9450000</v>
      </c>
      <c r="I1751" s="42" t="s">
        <v>2530</v>
      </c>
      <c r="J1751" s="42" t="s">
        <v>127</v>
      </c>
    </row>
    <row r="1752" spans="1:10" x14ac:dyDescent="0.3">
      <c r="A1752" s="42" t="s">
        <v>1428</v>
      </c>
      <c r="B1752" s="43">
        <v>45979</v>
      </c>
      <c r="C1752" s="42" t="s">
        <v>28</v>
      </c>
      <c r="D1752" s="42" t="s">
        <v>29</v>
      </c>
      <c r="E1752" s="42" t="s">
        <v>20</v>
      </c>
      <c r="F1752" s="42">
        <v>22</v>
      </c>
      <c r="G1752" s="44">
        <v>450000</v>
      </c>
      <c r="H1752" s="44">
        <v>9900000</v>
      </c>
      <c r="I1752" s="42" t="s">
        <v>2549</v>
      </c>
      <c r="J1752" s="42" t="s">
        <v>60</v>
      </c>
    </row>
    <row r="1753" spans="1:10" x14ac:dyDescent="0.3">
      <c r="A1753" s="42" t="s">
        <v>1429</v>
      </c>
      <c r="B1753" s="43">
        <v>45979</v>
      </c>
      <c r="C1753" s="42" t="s">
        <v>42</v>
      </c>
      <c r="D1753" s="42" t="s">
        <v>43</v>
      </c>
      <c r="E1753" s="42" t="s">
        <v>16</v>
      </c>
      <c r="F1753" s="42">
        <v>48</v>
      </c>
      <c r="G1753" s="44">
        <v>1200000</v>
      </c>
      <c r="H1753" s="44">
        <v>57600000</v>
      </c>
      <c r="I1753" s="42" t="s">
        <v>2382</v>
      </c>
      <c r="J1753" s="42" t="s">
        <v>47</v>
      </c>
    </row>
    <row r="1754" spans="1:10" x14ac:dyDescent="0.3">
      <c r="A1754" s="42" t="s">
        <v>1430</v>
      </c>
      <c r="B1754" s="43">
        <v>45980</v>
      </c>
      <c r="C1754" s="42" t="s">
        <v>44</v>
      </c>
      <c r="D1754" s="42" t="s">
        <v>45</v>
      </c>
      <c r="E1754" s="42" t="s">
        <v>16</v>
      </c>
      <c r="F1754" s="42">
        <v>16</v>
      </c>
      <c r="G1754" s="44">
        <v>250000</v>
      </c>
      <c r="H1754" s="44">
        <v>4000000</v>
      </c>
      <c r="I1754" s="42" t="s">
        <v>2230</v>
      </c>
      <c r="J1754" s="42" t="s">
        <v>47</v>
      </c>
    </row>
    <row r="1755" spans="1:10" x14ac:dyDescent="0.3">
      <c r="A1755" s="42" t="s">
        <v>1463</v>
      </c>
      <c r="B1755" s="43">
        <v>45980</v>
      </c>
      <c r="C1755" s="42" t="s">
        <v>40</v>
      </c>
      <c r="D1755" s="42" t="s">
        <v>41</v>
      </c>
      <c r="E1755" s="42" t="s">
        <v>16</v>
      </c>
      <c r="F1755" s="42">
        <v>11</v>
      </c>
      <c r="G1755" s="44">
        <v>950000</v>
      </c>
      <c r="H1755" s="44">
        <v>10450000</v>
      </c>
      <c r="I1755" s="42" t="s">
        <v>2623</v>
      </c>
      <c r="J1755" s="42" t="s">
        <v>127</v>
      </c>
    </row>
    <row r="1756" spans="1:10" x14ac:dyDescent="0.3">
      <c r="A1756" s="42" t="s">
        <v>1464</v>
      </c>
      <c r="B1756" s="43">
        <v>45980</v>
      </c>
      <c r="C1756" s="42" t="s">
        <v>42</v>
      </c>
      <c r="D1756" s="42" t="s">
        <v>43</v>
      </c>
      <c r="E1756" s="42" t="s">
        <v>16</v>
      </c>
      <c r="F1756" s="42">
        <v>9</v>
      </c>
      <c r="G1756" s="44">
        <v>1200000</v>
      </c>
      <c r="H1756" s="44">
        <v>10800000</v>
      </c>
      <c r="I1756" s="42" t="s">
        <v>2119</v>
      </c>
      <c r="J1756" s="42" t="s">
        <v>127</v>
      </c>
    </row>
    <row r="1757" spans="1:10" x14ac:dyDescent="0.3">
      <c r="A1757" s="42" t="s">
        <v>1465</v>
      </c>
      <c r="B1757" s="43">
        <v>45980</v>
      </c>
      <c r="C1757" s="42" t="s">
        <v>42</v>
      </c>
      <c r="D1757" s="42" t="s">
        <v>43</v>
      </c>
      <c r="E1757" s="42" t="s">
        <v>16</v>
      </c>
      <c r="F1757" s="42">
        <v>80</v>
      </c>
      <c r="G1757" s="44">
        <v>1200000</v>
      </c>
      <c r="H1757" s="44">
        <v>96000000</v>
      </c>
      <c r="I1757" s="42" t="s">
        <v>2233</v>
      </c>
      <c r="J1757" s="42" t="s">
        <v>8</v>
      </c>
    </row>
    <row r="1758" spans="1:10" x14ac:dyDescent="0.3">
      <c r="A1758" s="42" t="s">
        <v>1466</v>
      </c>
      <c r="B1758" s="43">
        <v>45980</v>
      </c>
      <c r="C1758" s="42" t="s">
        <v>10</v>
      </c>
      <c r="D1758" s="42" t="s">
        <v>11</v>
      </c>
      <c r="E1758" s="42" t="s">
        <v>12</v>
      </c>
      <c r="F1758" s="42">
        <v>10</v>
      </c>
      <c r="G1758" s="44">
        <v>120000</v>
      </c>
      <c r="H1758" s="44">
        <v>1200000</v>
      </c>
      <c r="I1758" s="42" t="s">
        <v>2440</v>
      </c>
      <c r="J1758" s="42" t="s">
        <v>127</v>
      </c>
    </row>
    <row r="1759" spans="1:10" x14ac:dyDescent="0.3">
      <c r="A1759" s="42" t="s">
        <v>1467</v>
      </c>
      <c r="B1759" s="43">
        <v>45980</v>
      </c>
      <c r="C1759" s="42" t="s">
        <v>18</v>
      </c>
      <c r="D1759" s="42" t="s">
        <v>19</v>
      </c>
      <c r="E1759" s="42" t="s">
        <v>20</v>
      </c>
      <c r="F1759" s="42">
        <v>12</v>
      </c>
      <c r="G1759" s="44">
        <v>500000</v>
      </c>
      <c r="H1759" s="44">
        <v>6000000</v>
      </c>
      <c r="I1759" s="42" t="s">
        <v>2450</v>
      </c>
      <c r="J1759" s="42" t="s">
        <v>8</v>
      </c>
    </row>
    <row r="1760" spans="1:10" x14ac:dyDescent="0.3">
      <c r="A1760" s="42" t="s">
        <v>1468</v>
      </c>
      <c r="B1760" s="43">
        <v>45980</v>
      </c>
      <c r="C1760" s="42" t="s">
        <v>38</v>
      </c>
      <c r="D1760" s="42" t="s">
        <v>39</v>
      </c>
      <c r="E1760" s="42" t="s">
        <v>16</v>
      </c>
      <c r="F1760" s="42">
        <v>7</v>
      </c>
      <c r="G1760" s="44">
        <v>200000</v>
      </c>
      <c r="H1760" s="44">
        <v>1400000</v>
      </c>
      <c r="I1760" s="42" t="s">
        <v>2733</v>
      </c>
      <c r="J1760" s="42" t="s">
        <v>127</v>
      </c>
    </row>
    <row r="1761" spans="1:10" x14ac:dyDescent="0.3">
      <c r="A1761" s="42" t="s">
        <v>1469</v>
      </c>
      <c r="B1761" s="43">
        <v>45980</v>
      </c>
      <c r="C1761" s="42" t="s">
        <v>31</v>
      </c>
      <c r="D1761" s="42" t="s">
        <v>32</v>
      </c>
      <c r="E1761" s="42" t="s">
        <v>20</v>
      </c>
      <c r="F1761" s="42">
        <v>42</v>
      </c>
      <c r="G1761" s="44">
        <v>180000</v>
      </c>
      <c r="H1761" s="44">
        <v>7560000</v>
      </c>
      <c r="I1761" s="42" t="s">
        <v>2502</v>
      </c>
      <c r="J1761" s="42" t="s">
        <v>47</v>
      </c>
    </row>
    <row r="1762" spans="1:10" x14ac:dyDescent="0.3">
      <c r="A1762" s="42" t="s">
        <v>1504</v>
      </c>
      <c r="B1762" s="43">
        <v>45980</v>
      </c>
      <c r="C1762" s="42" t="s">
        <v>44</v>
      </c>
      <c r="D1762" s="42" t="s">
        <v>45</v>
      </c>
      <c r="E1762" s="42" t="s">
        <v>16</v>
      </c>
      <c r="F1762" s="42">
        <v>35</v>
      </c>
      <c r="G1762" s="44">
        <v>250000</v>
      </c>
      <c r="H1762" s="44">
        <v>8750000</v>
      </c>
      <c r="I1762" s="42" t="s">
        <v>2703</v>
      </c>
      <c r="J1762" s="42" t="s">
        <v>127</v>
      </c>
    </row>
    <row r="1763" spans="1:10" x14ac:dyDescent="0.3">
      <c r="A1763" s="42" t="s">
        <v>1505</v>
      </c>
      <c r="B1763" s="43">
        <v>45982</v>
      </c>
      <c r="C1763" s="42" t="s">
        <v>42</v>
      </c>
      <c r="D1763" s="42" t="s">
        <v>43</v>
      </c>
      <c r="E1763" s="42" t="s">
        <v>16</v>
      </c>
      <c r="F1763" s="42">
        <v>190</v>
      </c>
      <c r="G1763" s="44">
        <v>1200000</v>
      </c>
      <c r="H1763" s="44">
        <v>228000000</v>
      </c>
      <c r="I1763" s="42" t="s">
        <v>2236</v>
      </c>
      <c r="J1763" s="42" t="s">
        <v>8</v>
      </c>
    </row>
    <row r="1764" spans="1:10" x14ac:dyDescent="0.3">
      <c r="A1764" s="42" t="s">
        <v>1506</v>
      </c>
      <c r="B1764" s="43">
        <v>45982</v>
      </c>
      <c r="C1764" s="42" t="s">
        <v>44</v>
      </c>
      <c r="D1764" s="42" t="s">
        <v>45</v>
      </c>
      <c r="E1764" s="42" t="s">
        <v>16</v>
      </c>
      <c r="F1764" s="42">
        <v>29</v>
      </c>
      <c r="G1764" s="44">
        <v>250000</v>
      </c>
      <c r="H1764" s="44">
        <v>7250000</v>
      </c>
      <c r="I1764" s="42" t="s">
        <v>2763</v>
      </c>
      <c r="J1764" s="42" t="s">
        <v>127</v>
      </c>
    </row>
    <row r="1765" spans="1:10" x14ac:dyDescent="0.3">
      <c r="A1765" s="42" t="s">
        <v>1507</v>
      </c>
      <c r="B1765" s="43">
        <v>45982</v>
      </c>
      <c r="C1765" s="42" t="s">
        <v>44</v>
      </c>
      <c r="D1765" s="42" t="s">
        <v>45</v>
      </c>
      <c r="E1765" s="42" t="s">
        <v>16</v>
      </c>
      <c r="F1765" s="42">
        <v>46</v>
      </c>
      <c r="G1765" s="44">
        <v>250000</v>
      </c>
      <c r="H1765" s="44">
        <v>11500000</v>
      </c>
      <c r="I1765" s="42" t="s">
        <v>2146</v>
      </c>
      <c r="J1765" s="42" t="s">
        <v>69</v>
      </c>
    </row>
    <row r="1766" spans="1:10" x14ac:dyDescent="0.3">
      <c r="A1766" s="42" t="s">
        <v>1508</v>
      </c>
      <c r="B1766" s="43">
        <v>45982</v>
      </c>
      <c r="C1766" s="42" t="s">
        <v>42</v>
      </c>
      <c r="D1766" s="42" t="s">
        <v>43</v>
      </c>
      <c r="E1766" s="42" t="s">
        <v>16</v>
      </c>
      <c r="F1766" s="42">
        <v>7</v>
      </c>
      <c r="G1766" s="44">
        <v>1200000</v>
      </c>
      <c r="H1766" s="44">
        <v>8400000</v>
      </c>
      <c r="I1766" s="42" t="s">
        <v>2182</v>
      </c>
      <c r="J1766" s="42" t="s">
        <v>47</v>
      </c>
    </row>
    <row r="1767" spans="1:10" x14ac:dyDescent="0.3">
      <c r="A1767" s="42" t="s">
        <v>1509</v>
      </c>
      <c r="B1767" s="43">
        <v>45982</v>
      </c>
      <c r="C1767" s="42" t="s">
        <v>22</v>
      </c>
      <c r="D1767" s="42" t="s">
        <v>23</v>
      </c>
      <c r="E1767" s="42" t="s">
        <v>12</v>
      </c>
      <c r="F1767" s="42">
        <v>14</v>
      </c>
      <c r="G1767" s="44">
        <v>25000</v>
      </c>
      <c r="H1767" s="44">
        <v>350000</v>
      </c>
      <c r="I1767" s="42" t="s">
        <v>2223</v>
      </c>
      <c r="J1767" s="42" t="s">
        <v>8</v>
      </c>
    </row>
    <row r="1768" spans="1:10" x14ac:dyDescent="0.3">
      <c r="A1768" s="42" t="s">
        <v>1510</v>
      </c>
      <c r="B1768" s="43">
        <v>45982</v>
      </c>
      <c r="C1768" s="42" t="s">
        <v>42</v>
      </c>
      <c r="D1768" s="42" t="s">
        <v>43</v>
      </c>
      <c r="E1768" s="42" t="s">
        <v>16</v>
      </c>
      <c r="F1768" s="42">
        <v>8</v>
      </c>
      <c r="G1768" s="44">
        <v>1200000</v>
      </c>
      <c r="H1768" s="44">
        <v>9600000</v>
      </c>
      <c r="I1768" s="42" t="s">
        <v>2780</v>
      </c>
      <c r="J1768" s="42" t="s">
        <v>127</v>
      </c>
    </row>
    <row r="1769" spans="1:10" x14ac:dyDescent="0.3">
      <c r="A1769" s="42" t="s">
        <v>1511</v>
      </c>
      <c r="B1769" s="43">
        <v>45982</v>
      </c>
      <c r="C1769" s="42" t="s">
        <v>40</v>
      </c>
      <c r="D1769" s="42" t="s">
        <v>41</v>
      </c>
      <c r="E1769" s="42" t="s">
        <v>16</v>
      </c>
      <c r="F1769" s="42">
        <v>100</v>
      </c>
      <c r="G1769" s="44">
        <v>950000</v>
      </c>
      <c r="H1769" s="44">
        <v>95000000</v>
      </c>
      <c r="I1769" s="42" t="s">
        <v>2779</v>
      </c>
      <c r="J1769" s="42" t="s">
        <v>8</v>
      </c>
    </row>
    <row r="1770" spans="1:10" x14ac:dyDescent="0.3">
      <c r="A1770" s="42" t="s">
        <v>1512</v>
      </c>
      <c r="B1770" s="43">
        <v>45982</v>
      </c>
      <c r="C1770" s="42" t="s">
        <v>44</v>
      </c>
      <c r="D1770" s="42" t="s">
        <v>45</v>
      </c>
      <c r="E1770" s="42" t="s">
        <v>16</v>
      </c>
      <c r="F1770" s="42">
        <v>40</v>
      </c>
      <c r="G1770" s="44">
        <v>250000</v>
      </c>
      <c r="H1770" s="44">
        <v>10000000</v>
      </c>
      <c r="I1770" s="42" t="s">
        <v>2182</v>
      </c>
      <c r="J1770" s="42" t="s">
        <v>47</v>
      </c>
    </row>
    <row r="1771" spans="1:10" x14ac:dyDescent="0.3">
      <c r="A1771" s="42" t="s">
        <v>1513</v>
      </c>
      <c r="B1771" s="43">
        <v>45982</v>
      </c>
      <c r="C1771" s="42" t="s">
        <v>38</v>
      </c>
      <c r="D1771" s="42" t="s">
        <v>39</v>
      </c>
      <c r="E1771" s="42" t="s">
        <v>16</v>
      </c>
      <c r="F1771" s="42">
        <v>49</v>
      </c>
      <c r="G1771" s="44">
        <v>200000</v>
      </c>
      <c r="H1771" s="44">
        <v>9800000</v>
      </c>
      <c r="I1771" s="42" t="s">
        <v>2580</v>
      </c>
      <c r="J1771" s="42" t="s">
        <v>60</v>
      </c>
    </row>
    <row r="1772" spans="1:10" x14ac:dyDescent="0.3">
      <c r="A1772" s="42" t="s">
        <v>1551</v>
      </c>
      <c r="B1772" s="43">
        <v>45982</v>
      </c>
      <c r="C1772" s="42" t="s">
        <v>40</v>
      </c>
      <c r="D1772" s="42" t="s">
        <v>41</v>
      </c>
      <c r="E1772" s="42" t="s">
        <v>16</v>
      </c>
      <c r="F1772" s="42">
        <v>14</v>
      </c>
      <c r="G1772" s="44">
        <v>950000</v>
      </c>
      <c r="H1772" s="44">
        <v>13300000</v>
      </c>
      <c r="I1772" s="42" t="s">
        <v>2579</v>
      </c>
      <c r="J1772" s="42" t="s">
        <v>60</v>
      </c>
    </row>
    <row r="1773" spans="1:10" x14ac:dyDescent="0.3">
      <c r="A1773" s="42" t="s">
        <v>1552</v>
      </c>
      <c r="B1773" s="43">
        <v>45982</v>
      </c>
      <c r="C1773" s="42" t="s">
        <v>28</v>
      </c>
      <c r="D1773" s="42" t="s">
        <v>29</v>
      </c>
      <c r="E1773" s="42" t="s">
        <v>20</v>
      </c>
      <c r="F1773" s="42">
        <v>4</v>
      </c>
      <c r="G1773" s="44">
        <v>450000</v>
      </c>
      <c r="H1773" s="44">
        <v>1800000</v>
      </c>
      <c r="I1773" s="42" t="s">
        <v>2276</v>
      </c>
      <c r="J1773" s="42" t="s">
        <v>8</v>
      </c>
    </row>
    <row r="1774" spans="1:10" x14ac:dyDescent="0.3">
      <c r="A1774" s="42" t="s">
        <v>1553</v>
      </c>
      <c r="B1774" s="43">
        <v>45982</v>
      </c>
      <c r="C1774" s="42" t="s">
        <v>38</v>
      </c>
      <c r="D1774" s="42" t="s">
        <v>39</v>
      </c>
      <c r="E1774" s="42" t="s">
        <v>16</v>
      </c>
      <c r="F1774" s="42">
        <v>10</v>
      </c>
      <c r="G1774" s="44">
        <v>200000</v>
      </c>
      <c r="H1774" s="44">
        <v>2000000</v>
      </c>
      <c r="I1774" s="42" t="s">
        <v>2387</v>
      </c>
      <c r="J1774" s="42" t="s">
        <v>8</v>
      </c>
    </row>
    <row r="1775" spans="1:10" x14ac:dyDescent="0.3">
      <c r="A1775" s="42" t="s">
        <v>1582</v>
      </c>
      <c r="B1775" s="43">
        <v>45982</v>
      </c>
      <c r="C1775" s="42" t="s">
        <v>18</v>
      </c>
      <c r="D1775" s="42" t="s">
        <v>19</v>
      </c>
      <c r="E1775" s="42" t="s">
        <v>20</v>
      </c>
      <c r="F1775" s="42">
        <v>17</v>
      </c>
      <c r="G1775" s="44">
        <v>500000</v>
      </c>
      <c r="H1775" s="44">
        <v>8500000</v>
      </c>
      <c r="I1775" s="42" t="s">
        <v>2179</v>
      </c>
      <c r="J1775" s="42" t="s">
        <v>127</v>
      </c>
    </row>
    <row r="1776" spans="1:10" x14ac:dyDescent="0.3">
      <c r="A1776" s="42" t="s">
        <v>1583</v>
      </c>
      <c r="B1776" s="43">
        <v>45982</v>
      </c>
      <c r="C1776" s="42" t="s">
        <v>14</v>
      </c>
      <c r="D1776" s="42" t="s">
        <v>15</v>
      </c>
      <c r="E1776" s="42" t="s">
        <v>16</v>
      </c>
      <c r="F1776" s="42">
        <v>49</v>
      </c>
      <c r="G1776" s="44">
        <v>350000</v>
      </c>
      <c r="H1776" s="44">
        <v>17150000</v>
      </c>
      <c r="I1776" s="42" t="s">
        <v>2274</v>
      </c>
      <c r="J1776" s="42" t="s">
        <v>60</v>
      </c>
    </row>
    <row r="1777" spans="1:10" x14ac:dyDescent="0.3">
      <c r="A1777" s="42" t="s">
        <v>1602</v>
      </c>
      <c r="B1777" s="43">
        <v>45985</v>
      </c>
      <c r="C1777" s="42" t="s">
        <v>40</v>
      </c>
      <c r="D1777" s="42" t="s">
        <v>41</v>
      </c>
      <c r="E1777" s="42" t="s">
        <v>16</v>
      </c>
      <c r="F1777" s="42">
        <v>34</v>
      </c>
      <c r="G1777" s="44">
        <v>950000</v>
      </c>
      <c r="H1777" s="44">
        <v>32300000</v>
      </c>
      <c r="I1777" s="42" t="s">
        <v>2486</v>
      </c>
      <c r="J1777" s="42" t="s">
        <v>127</v>
      </c>
    </row>
    <row r="1778" spans="1:10" x14ac:dyDescent="0.3">
      <c r="A1778" s="42" t="s">
        <v>1603</v>
      </c>
      <c r="B1778" s="43">
        <v>45985</v>
      </c>
      <c r="C1778" s="42" t="s">
        <v>22</v>
      </c>
      <c r="D1778" s="42" t="s">
        <v>23</v>
      </c>
      <c r="E1778" s="42" t="s">
        <v>12</v>
      </c>
      <c r="F1778" s="42">
        <v>21</v>
      </c>
      <c r="G1778" s="44">
        <v>25000</v>
      </c>
      <c r="H1778" s="44">
        <v>525000</v>
      </c>
      <c r="I1778" s="42" t="s">
        <v>2303</v>
      </c>
      <c r="J1778" s="42" t="s">
        <v>127</v>
      </c>
    </row>
    <row r="1779" spans="1:10" x14ac:dyDescent="0.3">
      <c r="A1779" s="42" t="s">
        <v>1604</v>
      </c>
      <c r="B1779" s="43">
        <v>45985</v>
      </c>
      <c r="C1779" s="42" t="s">
        <v>14</v>
      </c>
      <c r="D1779" s="42" t="s">
        <v>15</v>
      </c>
      <c r="E1779" s="42" t="s">
        <v>16</v>
      </c>
      <c r="F1779" s="42">
        <v>8</v>
      </c>
      <c r="G1779" s="44">
        <v>350000</v>
      </c>
      <c r="H1779" s="44">
        <v>2800000</v>
      </c>
      <c r="I1779" s="42" t="s">
        <v>2584</v>
      </c>
      <c r="J1779" s="42" t="s">
        <v>60</v>
      </c>
    </row>
    <row r="1780" spans="1:10" x14ac:dyDescent="0.3">
      <c r="A1780" s="42" t="s">
        <v>1605</v>
      </c>
      <c r="B1780" s="43">
        <v>45985</v>
      </c>
      <c r="C1780" s="42" t="s">
        <v>18</v>
      </c>
      <c r="D1780" s="42" t="s">
        <v>19</v>
      </c>
      <c r="E1780" s="42" t="s">
        <v>20</v>
      </c>
      <c r="F1780" s="42">
        <v>47</v>
      </c>
      <c r="G1780" s="44">
        <v>500000</v>
      </c>
      <c r="H1780" s="44">
        <v>23500000</v>
      </c>
      <c r="I1780" s="42" t="s">
        <v>2326</v>
      </c>
      <c r="J1780" s="42" t="s">
        <v>69</v>
      </c>
    </row>
    <row r="1781" spans="1:10" x14ac:dyDescent="0.3">
      <c r="A1781" s="42" t="s">
        <v>1606</v>
      </c>
      <c r="B1781" s="43">
        <v>45985</v>
      </c>
      <c r="C1781" s="42" t="s">
        <v>44</v>
      </c>
      <c r="D1781" s="42" t="s">
        <v>45</v>
      </c>
      <c r="E1781" s="42" t="s">
        <v>16</v>
      </c>
      <c r="F1781" s="42">
        <v>30</v>
      </c>
      <c r="G1781" s="44">
        <v>250000</v>
      </c>
      <c r="H1781" s="44">
        <v>7500000</v>
      </c>
      <c r="I1781" s="42" t="s">
        <v>2477</v>
      </c>
      <c r="J1781" s="42" t="s">
        <v>47</v>
      </c>
    </row>
    <row r="1782" spans="1:10" x14ac:dyDescent="0.3">
      <c r="A1782" s="42" t="s">
        <v>1607</v>
      </c>
      <c r="B1782" s="43">
        <v>45985</v>
      </c>
      <c r="C1782" s="42" t="s">
        <v>31</v>
      </c>
      <c r="D1782" s="42" t="s">
        <v>32</v>
      </c>
      <c r="E1782" s="42" t="s">
        <v>20</v>
      </c>
      <c r="F1782" s="42">
        <v>48</v>
      </c>
      <c r="G1782" s="44">
        <v>180000</v>
      </c>
      <c r="H1782" s="44">
        <v>8640000</v>
      </c>
      <c r="I1782" s="42" t="s">
        <v>2820</v>
      </c>
      <c r="J1782" s="42" t="s">
        <v>127</v>
      </c>
    </row>
    <row r="1783" spans="1:10" x14ac:dyDescent="0.3">
      <c r="A1783" s="42" t="s">
        <v>1631</v>
      </c>
      <c r="B1783" s="43">
        <v>45985</v>
      </c>
      <c r="C1783" s="42" t="s">
        <v>10</v>
      </c>
      <c r="D1783" s="42" t="s">
        <v>11</v>
      </c>
      <c r="E1783" s="42" t="s">
        <v>12</v>
      </c>
      <c r="F1783" s="42">
        <v>16</v>
      </c>
      <c r="G1783" s="44">
        <v>120000</v>
      </c>
      <c r="H1783" s="44">
        <v>1920000</v>
      </c>
      <c r="I1783" s="42" t="s">
        <v>2519</v>
      </c>
      <c r="J1783" s="42" t="s">
        <v>127</v>
      </c>
    </row>
    <row r="1784" spans="1:10" x14ac:dyDescent="0.3">
      <c r="A1784" s="42" t="s">
        <v>1632</v>
      </c>
      <c r="B1784" s="43">
        <v>45985</v>
      </c>
      <c r="C1784" s="42" t="s">
        <v>31</v>
      </c>
      <c r="D1784" s="42" t="s">
        <v>32</v>
      </c>
      <c r="E1784" s="42" t="s">
        <v>20</v>
      </c>
      <c r="F1784" s="42">
        <v>10</v>
      </c>
      <c r="G1784" s="44">
        <v>180000</v>
      </c>
      <c r="H1784" s="44">
        <v>1800000</v>
      </c>
      <c r="I1784" s="42" t="s">
        <v>2561</v>
      </c>
      <c r="J1784" s="42" t="s">
        <v>8</v>
      </c>
    </row>
    <row r="1785" spans="1:10" x14ac:dyDescent="0.3">
      <c r="A1785" s="42" t="s">
        <v>1633</v>
      </c>
      <c r="B1785" s="43">
        <v>45985</v>
      </c>
      <c r="C1785" s="42" t="s">
        <v>42</v>
      </c>
      <c r="D1785" s="42" t="s">
        <v>43</v>
      </c>
      <c r="E1785" s="42" t="s">
        <v>16</v>
      </c>
      <c r="F1785" s="42">
        <v>20</v>
      </c>
      <c r="G1785" s="44">
        <v>1200000</v>
      </c>
      <c r="H1785" s="44">
        <v>24000000</v>
      </c>
      <c r="I1785" s="42" t="s">
        <v>1358</v>
      </c>
      <c r="J1785" s="42" t="s">
        <v>47</v>
      </c>
    </row>
    <row r="1786" spans="1:10" x14ac:dyDescent="0.3">
      <c r="A1786" s="42" t="s">
        <v>1634</v>
      </c>
      <c r="B1786" s="43">
        <v>45986</v>
      </c>
      <c r="C1786" s="42" t="s">
        <v>18</v>
      </c>
      <c r="D1786" s="42" t="s">
        <v>19</v>
      </c>
      <c r="E1786" s="42" t="s">
        <v>20</v>
      </c>
      <c r="F1786" s="42">
        <v>380</v>
      </c>
      <c r="G1786" s="44">
        <v>500000</v>
      </c>
      <c r="H1786" s="44">
        <v>190000000</v>
      </c>
      <c r="I1786" s="42" t="s">
        <v>1789</v>
      </c>
      <c r="J1786" s="42" t="s">
        <v>8</v>
      </c>
    </row>
    <row r="1787" spans="1:10" x14ac:dyDescent="0.3">
      <c r="A1787" s="42" t="s">
        <v>1635</v>
      </c>
      <c r="B1787" s="43">
        <v>45986</v>
      </c>
      <c r="C1787" s="42" t="s">
        <v>28</v>
      </c>
      <c r="D1787" s="42" t="s">
        <v>29</v>
      </c>
      <c r="E1787" s="42" t="s">
        <v>20</v>
      </c>
      <c r="F1787" s="42">
        <v>38</v>
      </c>
      <c r="G1787" s="44">
        <v>450000</v>
      </c>
      <c r="H1787" s="44">
        <v>17100000</v>
      </c>
      <c r="I1787" s="42" t="s">
        <v>2754</v>
      </c>
      <c r="J1787" s="42" t="s">
        <v>127</v>
      </c>
    </row>
    <row r="1788" spans="1:10" x14ac:dyDescent="0.3">
      <c r="A1788" s="42" t="s">
        <v>1636</v>
      </c>
      <c r="B1788" s="43">
        <v>45986</v>
      </c>
      <c r="C1788" s="42" t="s">
        <v>28</v>
      </c>
      <c r="D1788" s="42" t="s">
        <v>29</v>
      </c>
      <c r="E1788" s="42" t="s">
        <v>20</v>
      </c>
      <c r="F1788" s="42">
        <v>380</v>
      </c>
      <c r="G1788" s="44">
        <v>450000</v>
      </c>
      <c r="H1788" s="44">
        <v>171000000</v>
      </c>
      <c r="I1788" s="42" t="s">
        <v>2488</v>
      </c>
      <c r="J1788" s="42" t="s">
        <v>8</v>
      </c>
    </row>
    <row r="1789" spans="1:10" x14ac:dyDescent="0.3">
      <c r="A1789" s="42" t="s">
        <v>1637</v>
      </c>
      <c r="B1789" s="43">
        <v>45986</v>
      </c>
      <c r="C1789" s="42" t="s">
        <v>14</v>
      </c>
      <c r="D1789" s="42" t="s">
        <v>15</v>
      </c>
      <c r="E1789" s="42" t="s">
        <v>16</v>
      </c>
      <c r="F1789" s="42">
        <v>46</v>
      </c>
      <c r="G1789" s="44">
        <v>350000</v>
      </c>
      <c r="H1789" s="44">
        <v>16100000</v>
      </c>
      <c r="I1789" s="42" t="s">
        <v>2519</v>
      </c>
      <c r="J1789" s="42" t="s">
        <v>127</v>
      </c>
    </row>
    <row r="1790" spans="1:10" x14ac:dyDescent="0.3">
      <c r="A1790" s="42" t="s">
        <v>1638</v>
      </c>
      <c r="B1790" s="43">
        <v>45986</v>
      </c>
      <c r="C1790" s="42" t="s">
        <v>40</v>
      </c>
      <c r="D1790" s="42" t="s">
        <v>41</v>
      </c>
      <c r="E1790" s="42" t="s">
        <v>16</v>
      </c>
      <c r="F1790" s="42">
        <v>5</v>
      </c>
      <c r="G1790" s="44">
        <v>950000</v>
      </c>
      <c r="H1790" s="44">
        <v>4750000</v>
      </c>
      <c r="I1790" s="42" t="s">
        <v>2676</v>
      </c>
      <c r="J1790" s="42" t="s">
        <v>69</v>
      </c>
    </row>
    <row r="1791" spans="1:10" x14ac:dyDescent="0.3">
      <c r="A1791" s="42" t="s">
        <v>1639</v>
      </c>
      <c r="B1791" s="43">
        <v>45986</v>
      </c>
      <c r="C1791" s="42" t="s">
        <v>44</v>
      </c>
      <c r="D1791" s="42" t="s">
        <v>45</v>
      </c>
      <c r="E1791" s="42" t="s">
        <v>16</v>
      </c>
      <c r="F1791" s="42">
        <v>22</v>
      </c>
      <c r="G1791" s="44">
        <v>250000</v>
      </c>
      <c r="H1791" s="44">
        <v>5500000</v>
      </c>
      <c r="I1791" s="42" t="s">
        <v>2805</v>
      </c>
      <c r="J1791" s="42" t="s">
        <v>8</v>
      </c>
    </row>
    <row r="1792" spans="1:10" x14ac:dyDescent="0.3">
      <c r="A1792" s="42" t="s">
        <v>1678</v>
      </c>
      <c r="B1792" s="43">
        <v>45986</v>
      </c>
      <c r="C1792" s="42" t="s">
        <v>44</v>
      </c>
      <c r="D1792" s="42" t="s">
        <v>45</v>
      </c>
      <c r="E1792" s="42" t="s">
        <v>16</v>
      </c>
      <c r="F1792" s="42">
        <v>21</v>
      </c>
      <c r="G1792" s="44">
        <v>250000</v>
      </c>
      <c r="H1792" s="44">
        <v>5250000</v>
      </c>
      <c r="I1792" s="42" t="s">
        <v>2416</v>
      </c>
      <c r="J1792" s="42" t="s">
        <v>69</v>
      </c>
    </row>
    <row r="1793" spans="1:10" x14ac:dyDescent="0.3">
      <c r="A1793" s="42" t="s">
        <v>1679</v>
      </c>
      <c r="B1793" s="43">
        <v>45986</v>
      </c>
      <c r="C1793" s="42" t="s">
        <v>22</v>
      </c>
      <c r="D1793" s="42" t="s">
        <v>23</v>
      </c>
      <c r="E1793" s="42" t="s">
        <v>12</v>
      </c>
      <c r="F1793" s="42">
        <v>37</v>
      </c>
      <c r="G1793" s="44">
        <v>25000</v>
      </c>
      <c r="H1793" s="44">
        <v>925000</v>
      </c>
      <c r="I1793" s="42" t="s">
        <v>2273</v>
      </c>
      <c r="J1793" s="42" t="s">
        <v>60</v>
      </c>
    </row>
    <row r="1794" spans="1:10" x14ac:dyDescent="0.3">
      <c r="A1794" s="42" t="s">
        <v>1680</v>
      </c>
      <c r="B1794" s="43">
        <v>45986</v>
      </c>
      <c r="C1794" s="42" t="s">
        <v>14</v>
      </c>
      <c r="D1794" s="42" t="s">
        <v>15</v>
      </c>
      <c r="E1794" s="42" t="s">
        <v>16</v>
      </c>
      <c r="F1794" s="42">
        <v>5</v>
      </c>
      <c r="G1794" s="44">
        <v>350000</v>
      </c>
      <c r="H1794" s="44">
        <v>1750000</v>
      </c>
      <c r="I1794" s="42" t="s">
        <v>274</v>
      </c>
      <c r="J1794" s="42" t="s">
        <v>8</v>
      </c>
    </row>
    <row r="1795" spans="1:10" x14ac:dyDescent="0.3">
      <c r="A1795" s="42" t="s">
        <v>1681</v>
      </c>
      <c r="B1795" s="43">
        <v>45987</v>
      </c>
      <c r="C1795" s="42" t="s">
        <v>31</v>
      </c>
      <c r="D1795" s="42" t="s">
        <v>32</v>
      </c>
      <c r="E1795" s="42" t="s">
        <v>20</v>
      </c>
      <c r="F1795" s="42">
        <v>49</v>
      </c>
      <c r="G1795" s="44">
        <v>180000</v>
      </c>
      <c r="H1795" s="44">
        <v>8820000</v>
      </c>
      <c r="I1795" s="42" t="s">
        <v>2595</v>
      </c>
      <c r="J1795" s="42" t="s">
        <v>127</v>
      </c>
    </row>
    <row r="1796" spans="1:10" x14ac:dyDescent="0.3">
      <c r="A1796" s="42" t="s">
        <v>1682</v>
      </c>
      <c r="B1796" s="43">
        <v>45987</v>
      </c>
      <c r="C1796" s="42" t="s">
        <v>22</v>
      </c>
      <c r="D1796" s="42" t="s">
        <v>23</v>
      </c>
      <c r="E1796" s="42" t="s">
        <v>12</v>
      </c>
      <c r="F1796" s="42">
        <v>25</v>
      </c>
      <c r="G1796" s="44">
        <v>25000</v>
      </c>
      <c r="H1796" s="44">
        <v>625000</v>
      </c>
      <c r="I1796" s="42" t="s">
        <v>2691</v>
      </c>
      <c r="J1796" s="42" t="s">
        <v>69</v>
      </c>
    </row>
    <row r="1797" spans="1:10" x14ac:dyDescent="0.3">
      <c r="A1797" s="42" t="s">
        <v>1710</v>
      </c>
      <c r="B1797" s="43">
        <v>45987</v>
      </c>
      <c r="C1797" s="42" t="s">
        <v>22</v>
      </c>
      <c r="D1797" s="42" t="s">
        <v>23</v>
      </c>
      <c r="E1797" s="42" t="s">
        <v>12</v>
      </c>
      <c r="F1797" s="42">
        <v>33</v>
      </c>
      <c r="G1797" s="44">
        <v>25000</v>
      </c>
      <c r="H1797" s="44">
        <v>825000</v>
      </c>
      <c r="I1797" s="42" t="s">
        <v>2679</v>
      </c>
      <c r="J1797" s="42" t="s">
        <v>69</v>
      </c>
    </row>
    <row r="1798" spans="1:10" x14ac:dyDescent="0.3">
      <c r="A1798" s="42" t="s">
        <v>1711</v>
      </c>
      <c r="B1798" s="43">
        <v>45987</v>
      </c>
      <c r="C1798" s="42" t="s">
        <v>10</v>
      </c>
      <c r="D1798" s="42" t="s">
        <v>11</v>
      </c>
      <c r="E1798" s="42" t="s">
        <v>12</v>
      </c>
      <c r="F1798" s="42">
        <v>370</v>
      </c>
      <c r="G1798" s="44">
        <v>120000</v>
      </c>
      <c r="H1798" s="44">
        <v>44400000</v>
      </c>
      <c r="I1798" s="42" t="s">
        <v>2233</v>
      </c>
      <c r="J1798" s="42" t="s">
        <v>8</v>
      </c>
    </row>
    <row r="1799" spans="1:10" x14ac:dyDescent="0.3">
      <c r="A1799" s="42" t="s">
        <v>1712</v>
      </c>
      <c r="B1799" s="43">
        <v>45987</v>
      </c>
      <c r="C1799" s="42" t="s">
        <v>42</v>
      </c>
      <c r="D1799" s="42" t="s">
        <v>43</v>
      </c>
      <c r="E1799" s="42" t="s">
        <v>16</v>
      </c>
      <c r="F1799" s="42">
        <v>100</v>
      </c>
      <c r="G1799" s="44">
        <v>1200000</v>
      </c>
      <c r="H1799" s="44">
        <v>120000000</v>
      </c>
      <c r="I1799" s="42" t="s">
        <v>2779</v>
      </c>
      <c r="J1799" s="42" t="s">
        <v>8</v>
      </c>
    </row>
    <row r="1800" spans="1:10" x14ac:dyDescent="0.3">
      <c r="A1800" s="42" t="s">
        <v>1713</v>
      </c>
      <c r="B1800" s="43">
        <v>45987</v>
      </c>
      <c r="C1800" s="42" t="s">
        <v>38</v>
      </c>
      <c r="D1800" s="42" t="s">
        <v>39</v>
      </c>
      <c r="E1800" s="42" t="s">
        <v>16</v>
      </c>
      <c r="F1800" s="42">
        <v>46</v>
      </c>
      <c r="G1800" s="44">
        <v>200000</v>
      </c>
      <c r="H1800" s="44">
        <v>9200000</v>
      </c>
      <c r="I1800" s="42" t="s">
        <v>2480</v>
      </c>
      <c r="J1800" s="42" t="s">
        <v>127</v>
      </c>
    </row>
    <row r="1801" spans="1:10" x14ac:dyDescent="0.3">
      <c r="A1801" s="42" t="s">
        <v>1714</v>
      </c>
      <c r="B1801" s="43">
        <v>45987</v>
      </c>
      <c r="C1801" s="42" t="s">
        <v>31</v>
      </c>
      <c r="D1801" s="42" t="s">
        <v>32</v>
      </c>
      <c r="E1801" s="42" t="s">
        <v>20</v>
      </c>
      <c r="F1801" s="42">
        <v>50</v>
      </c>
      <c r="G1801" s="44">
        <v>180000</v>
      </c>
      <c r="H1801" s="44">
        <v>9000000</v>
      </c>
      <c r="I1801" s="42" t="s">
        <v>2150</v>
      </c>
      <c r="J1801" s="42" t="s">
        <v>127</v>
      </c>
    </row>
    <row r="1802" spans="1:10" x14ac:dyDescent="0.3">
      <c r="A1802" s="42" t="s">
        <v>1715</v>
      </c>
      <c r="B1802" s="43">
        <v>45987</v>
      </c>
      <c r="C1802" s="42" t="s">
        <v>28</v>
      </c>
      <c r="D1802" s="42" t="s">
        <v>29</v>
      </c>
      <c r="E1802" s="42" t="s">
        <v>20</v>
      </c>
      <c r="F1802" s="42">
        <v>27</v>
      </c>
      <c r="G1802" s="44">
        <v>450000</v>
      </c>
      <c r="H1802" s="44">
        <v>12150000</v>
      </c>
      <c r="I1802" s="42" t="s">
        <v>2125</v>
      </c>
      <c r="J1802" s="42" t="s">
        <v>47</v>
      </c>
    </row>
    <row r="1803" spans="1:10" x14ac:dyDescent="0.3">
      <c r="A1803" s="42" t="s">
        <v>1748</v>
      </c>
      <c r="B1803" s="43">
        <v>45987</v>
      </c>
      <c r="C1803" s="42" t="s">
        <v>28</v>
      </c>
      <c r="D1803" s="42" t="s">
        <v>29</v>
      </c>
      <c r="E1803" s="42" t="s">
        <v>20</v>
      </c>
      <c r="F1803" s="42">
        <v>26</v>
      </c>
      <c r="G1803" s="44">
        <v>450000</v>
      </c>
      <c r="H1803" s="44">
        <v>11700000</v>
      </c>
      <c r="I1803" s="42" t="s">
        <v>2543</v>
      </c>
      <c r="J1803" s="42" t="s">
        <v>8</v>
      </c>
    </row>
    <row r="1804" spans="1:10" x14ac:dyDescent="0.3">
      <c r="A1804" s="42" t="s">
        <v>1749</v>
      </c>
      <c r="B1804" s="43">
        <v>45987</v>
      </c>
      <c r="C1804" s="42" t="s">
        <v>14</v>
      </c>
      <c r="D1804" s="42" t="s">
        <v>15</v>
      </c>
      <c r="E1804" s="42" t="s">
        <v>16</v>
      </c>
      <c r="F1804" s="42">
        <v>20</v>
      </c>
      <c r="G1804" s="44">
        <v>350000</v>
      </c>
      <c r="H1804" s="44">
        <v>7000000</v>
      </c>
      <c r="I1804" s="42" t="s">
        <v>2370</v>
      </c>
      <c r="J1804" s="42" t="s">
        <v>60</v>
      </c>
    </row>
    <row r="1805" spans="1:10" x14ac:dyDescent="0.3">
      <c r="A1805" s="42" t="s">
        <v>1750</v>
      </c>
      <c r="B1805" s="43">
        <v>45987</v>
      </c>
      <c r="C1805" s="42" t="s">
        <v>40</v>
      </c>
      <c r="D1805" s="42" t="s">
        <v>41</v>
      </c>
      <c r="E1805" s="42" t="s">
        <v>16</v>
      </c>
      <c r="F1805" s="42">
        <v>380</v>
      </c>
      <c r="G1805" s="44">
        <v>950000</v>
      </c>
      <c r="H1805" s="44">
        <v>361000000</v>
      </c>
      <c r="I1805" s="42" t="s">
        <v>2236</v>
      </c>
      <c r="J1805" s="42" t="s">
        <v>8</v>
      </c>
    </row>
    <row r="1806" spans="1:10" x14ac:dyDescent="0.3">
      <c r="A1806" s="42" t="s">
        <v>1751</v>
      </c>
      <c r="B1806" s="43">
        <v>45987</v>
      </c>
      <c r="C1806" s="42" t="s">
        <v>10</v>
      </c>
      <c r="D1806" s="42" t="s">
        <v>11</v>
      </c>
      <c r="E1806" s="42" t="s">
        <v>12</v>
      </c>
      <c r="F1806" s="42">
        <v>26</v>
      </c>
      <c r="G1806" s="44">
        <v>120000</v>
      </c>
      <c r="H1806" s="44">
        <v>3120000</v>
      </c>
      <c r="I1806" s="42" t="s">
        <v>2334</v>
      </c>
      <c r="J1806" s="42" t="s">
        <v>127</v>
      </c>
    </row>
    <row r="1807" spans="1:10" x14ac:dyDescent="0.3">
      <c r="A1807" s="42" t="s">
        <v>1752</v>
      </c>
      <c r="B1807" s="43">
        <v>45987</v>
      </c>
      <c r="C1807" s="42" t="s">
        <v>44</v>
      </c>
      <c r="D1807" s="42" t="s">
        <v>45</v>
      </c>
      <c r="E1807" s="42" t="s">
        <v>16</v>
      </c>
      <c r="F1807" s="42">
        <v>15</v>
      </c>
      <c r="G1807" s="44">
        <v>250000</v>
      </c>
      <c r="H1807" s="44">
        <v>3750000</v>
      </c>
      <c r="I1807" s="42" t="s">
        <v>2725</v>
      </c>
      <c r="J1807" s="42" t="s">
        <v>8</v>
      </c>
    </row>
    <row r="1808" spans="1:10" x14ac:dyDescent="0.3">
      <c r="A1808" s="42" t="s">
        <v>1753</v>
      </c>
      <c r="B1808" s="43">
        <v>45987</v>
      </c>
      <c r="C1808" s="42" t="s">
        <v>28</v>
      </c>
      <c r="D1808" s="42" t="s">
        <v>29</v>
      </c>
      <c r="E1808" s="42" t="s">
        <v>20</v>
      </c>
      <c r="F1808" s="42">
        <v>17</v>
      </c>
      <c r="G1808" s="44">
        <v>450000</v>
      </c>
      <c r="H1808" s="44">
        <v>7650000</v>
      </c>
      <c r="I1808" s="42" t="s">
        <v>2122</v>
      </c>
      <c r="J1808" s="42" t="s">
        <v>47</v>
      </c>
    </row>
    <row r="1809" spans="1:10" x14ac:dyDescent="0.3">
      <c r="A1809" s="42" t="s">
        <v>1754</v>
      </c>
      <c r="B1809" s="43">
        <v>45988</v>
      </c>
      <c r="C1809" s="42" t="s">
        <v>38</v>
      </c>
      <c r="D1809" s="42" t="s">
        <v>39</v>
      </c>
      <c r="E1809" s="42" t="s">
        <v>16</v>
      </c>
      <c r="F1809" s="42">
        <v>23</v>
      </c>
      <c r="G1809" s="44">
        <v>200000</v>
      </c>
      <c r="H1809" s="44">
        <v>4600000</v>
      </c>
      <c r="I1809" s="42" t="s">
        <v>2584</v>
      </c>
      <c r="J1809" s="42" t="s">
        <v>60</v>
      </c>
    </row>
    <row r="1810" spans="1:10" x14ac:dyDescent="0.3">
      <c r="A1810" s="42" t="s">
        <v>1755</v>
      </c>
      <c r="B1810" s="43">
        <v>45988</v>
      </c>
      <c r="C1810" s="42" t="s">
        <v>22</v>
      </c>
      <c r="D1810" s="42" t="s">
        <v>23</v>
      </c>
      <c r="E1810" s="42" t="s">
        <v>12</v>
      </c>
      <c r="F1810" s="42">
        <v>33</v>
      </c>
      <c r="G1810" s="44">
        <v>25000</v>
      </c>
      <c r="H1810" s="44">
        <v>825000</v>
      </c>
      <c r="I1810" s="42" t="s">
        <v>2818</v>
      </c>
      <c r="J1810" s="42" t="s">
        <v>127</v>
      </c>
    </row>
    <row r="1811" spans="1:10" x14ac:dyDescent="0.3">
      <c r="A1811" s="42" t="s">
        <v>1787</v>
      </c>
      <c r="B1811" s="43">
        <v>45988</v>
      </c>
      <c r="C1811" s="42" t="s">
        <v>44</v>
      </c>
      <c r="D1811" s="42" t="s">
        <v>45</v>
      </c>
      <c r="E1811" s="42" t="s">
        <v>16</v>
      </c>
      <c r="F1811" s="42">
        <v>44</v>
      </c>
      <c r="G1811" s="44">
        <v>250000</v>
      </c>
      <c r="H1811" s="44">
        <v>11000000</v>
      </c>
      <c r="I1811" s="42" t="s">
        <v>2727</v>
      </c>
      <c r="J1811" s="42" t="s">
        <v>69</v>
      </c>
    </row>
    <row r="1812" spans="1:10" x14ac:dyDescent="0.3">
      <c r="A1812" s="42" t="s">
        <v>1788</v>
      </c>
      <c r="B1812" s="43">
        <v>45988</v>
      </c>
      <c r="C1812" s="42" t="s">
        <v>10</v>
      </c>
      <c r="D1812" s="42" t="s">
        <v>11</v>
      </c>
      <c r="E1812" s="42" t="s">
        <v>12</v>
      </c>
      <c r="F1812" s="42">
        <v>13</v>
      </c>
      <c r="G1812" s="44">
        <v>120000</v>
      </c>
      <c r="H1812" s="44">
        <v>1560000</v>
      </c>
      <c r="I1812" s="42" t="s">
        <v>2061</v>
      </c>
      <c r="J1812" s="42" t="s">
        <v>127</v>
      </c>
    </row>
    <row r="1813" spans="1:10" x14ac:dyDescent="0.3">
      <c r="A1813" s="42" t="s">
        <v>1819</v>
      </c>
      <c r="B1813" s="43">
        <v>45988</v>
      </c>
      <c r="C1813" s="42" t="s">
        <v>42</v>
      </c>
      <c r="D1813" s="42" t="s">
        <v>43</v>
      </c>
      <c r="E1813" s="42" t="s">
        <v>16</v>
      </c>
      <c r="F1813" s="42">
        <v>470</v>
      </c>
      <c r="G1813" s="44">
        <v>1200000</v>
      </c>
      <c r="H1813" s="44">
        <v>564000000</v>
      </c>
      <c r="I1813" s="42" t="s">
        <v>2624</v>
      </c>
      <c r="J1813" s="42" t="s">
        <v>60</v>
      </c>
    </row>
    <row r="1814" spans="1:10" x14ac:dyDescent="0.3">
      <c r="A1814" s="42" t="s">
        <v>1820</v>
      </c>
      <c r="B1814" s="43">
        <v>45988</v>
      </c>
      <c r="C1814" s="42" t="s">
        <v>28</v>
      </c>
      <c r="D1814" s="42" t="s">
        <v>29</v>
      </c>
      <c r="E1814" s="42" t="s">
        <v>20</v>
      </c>
      <c r="F1814" s="42">
        <v>40</v>
      </c>
      <c r="G1814" s="44">
        <v>450000</v>
      </c>
      <c r="H1814" s="44">
        <v>18000000</v>
      </c>
      <c r="I1814" s="42" t="s">
        <v>2165</v>
      </c>
      <c r="J1814" s="42" t="s">
        <v>127</v>
      </c>
    </row>
    <row r="1815" spans="1:10" x14ac:dyDescent="0.3">
      <c r="A1815" s="42" t="s">
        <v>1821</v>
      </c>
      <c r="B1815" s="43">
        <v>45988</v>
      </c>
      <c r="C1815" s="42" t="s">
        <v>10</v>
      </c>
      <c r="D1815" s="42" t="s">
        <v>11</v>
      </c>
      <c r="E1815" s="42" t="s">
        <v>12</v>
      </c>
      <c r="F1815" s="42">
        <v>8</v>
      </c>
      <c r="G1815" s="44">
        <v>120000</v>
      </c>
      <c r="H1815" s="44">
        <v>960000</v>
      </c>
      <c r="I1815" s="42" t="s">
        <v>2139</v>
      </c>
      <c r="J1815" s="42" t="s">
        <v>8</v>
      </c>
    </row>
    <row r="1816" spans="1:10" x14ac:dyDescent="0.3">
      <c r="A1816" s="42" t="s">
        <v>1822</v>
      </c>
      <c r="B1816" s="43">
        <v>45988</v>
      </c>
      <c r="C1816" s="42" t="s">
        <v>10</v>
      </c>
      <c r="D1816" s="42" t="s">
        <v>11</v>
      </c>
      <c r="E1816" s="42" t="s">
        <v>12</v>
      </c>
      <c r="F1816" s="42">
        <v>20</v>
      </c>
      <c r="G1816" s="44">
        <v>120000</v>
      </c>
      <c r="H1816" s="44">
        <v>2400000</v>
      </c>
      <c r="I1816" s="42" t="s">
        <v>2306</v>
      </c>
      <c r="J1816" s="42" t="s">
        <v>47</v>
      </c>
    </row>
    <row r="1817" spans="1:10" x14ac:dyDescent="0.3">
      <c r="A1817" s="42" t="s">
        <v>1823</v>
      </c>
      <c r="B1817" s="43">
        <v>45988</v>
      </c>
      <c r="C1817" s="42" t="s">
        <v>31</v>
      </c>
      <c r="D1817" s="42" t="s">
        <v>32</v>
      </c>
      <c r="E1817" s="42" t="s">
        <v>20</v>
      </c>
      <c r="F1817" s="42">
        <v>28</v>
      </c>
      <c r="G1817" s="44">
        <v>180000</v>
      </c>
      <c r="H1817" s="44">
        <v>5040000</v>
      </c>
      <c r="I1817" s="42" t="s">
        <v>642</v>
      </c>
      <c r="J1817" s="42" t="s">
        <v>8</v>
      </c>
    </row>
    <row r="1818" spans="1:10" x14ac:dyDescent="0.3">
      <c r="A1818" s="42" t="s">
        <v>1824</v>
      </c>
      <c r="B1818" s="43">
        <v>45988</v>
      </c>
      <c r="C1818" s="42" t="s">
        <v>22</v>
      </c>
      <c r="D1818" s="42" t="s">
        <v>23</v>
      </c>
      <c r="E1818" s="42" t="s">
        <v>12</v>
      </c>
      <c r="F1818" s="42">
        <v>5</v>
      </c>
      <c r="G1818" s="44">
        <v>25000</v>
      </c>
      <c r="H1818" s="44">
        <v>125000</v>
      </c>
      <c r="I1818" s="42" t="s">
        <v>2310</v>
      </c>
      <c r="J1818" s="42" t="s">
        <v>8</v>
      </c>
    </row>
    <row r="1819" spans="1:10" x14ac:dyDescent="0.3">
      <c r="A1819" s="42" t="s">
        <v>1825</v>
      </c>
      <c r="B1819" s="43">
        <v>45992</v>
      </c>
      <c r="C1819" s="42" t="s">
        <v>40</v>
      </c>
      <c r="D1819" s="42" t="s">
        <v>41</v>
      </c>
      <c r="E1819" s="42" t="s">
        <v>16</v>
      </c>
      <c r="F1819" s="42">
        <v>80</v>
      </c>
      <c r="G1819" s="44">
        <v>950000</v>
      </c>
      <c r="H1819" s="44">
        <v>76000000</v>
      </c>
      <c r="I1819" s="42" t="s">
        <v>2824</v>
      </c>
      <c r="J1819" s="42" t="s">
        <v>127</v>
      </c>
    </row>
    <row r="1820" spans="1:10" x14ac:dyDescent="0.3">
      <c r="A1820" s="42" t="s">
        <v>1848</v>
      </c>
      <c r="B1820" s="43">
        <v>45992</v>
      </c>
      <c r="C1820" s="42" t="s">
        <v>22</v>
      </c>
      <c r="D1820" s="42" t="s">
        <v>23</v>
      </c>
      <c r="E1820" s="42" t="s">
        <v>12</v>
      </c>
      <c r="F1820" s="42">
        <v>37</v>
      </c>
      <c r="G1820" s="44">
        <v>25000</v>
      </c>
      <c r="H1820" s="44">
        <v>925000</v>
      </c>
      <c r="I1820" s="42" t="s">
        <v>2673</v>
      </c>
      <c r="J1820" s="42" t="s">
        <v>8</v>
      </c>
    </row>
    <row r="1821" spans="1:10" x14ac:dyDescent="0.3">
      <c r="A1821" s="42" t="s">
        <v>1849</v>
      </c>
      <c r="B1821" s="43">
        <v>45992</v>
      </c>
      <c r="C1821" s="42" t="s">
        <v>44</v>
      </c>
      <c r="D1821" s="42" t="s">
        <v>45</v>
      </c>
      <c r="E1821" s="42" t="s">
        <v>16</v>
      </c>
      <c r="F1821" s="42">
        <v>46</v>
      </c>
      <c r="G1821" s="44">
        <v>250000</v>
      </c>
      <c r="H1821" s="44">
        <v>11500000</v>
      </c>
      <c r="I1821" s="42" t="s">
        <v>2808</v>
      </c>
      <c r="J1821" s="42" t="s">
        <v>8</v>
      </c>
    </row>
    <row r="1822" spans="1:10" x14ac:dyDescent="0.3">
      <c r="A1822" s="42" t="s">
        <v>1850</v>
      </c>
      <c r="B1822" s="43">
        <v>45992</v>
      </c>
      <c r="C1822" s="42" t="s">
        <v>42</v>
      </c>
      <c r="D1822" s="42" t="s">
        <v>43</v>
      </c>
      <c r="E1822" s="42" t="s">
        <v>16</v>
      </c>
      <c r="F1822" s="42">
        <v>190</v>
      </c>
      <c r="G1822" s="44">
        <v>1200000</v>
      </c>
      <c r="H1822" s="44">
        <v>228000000</v>
      </c>
      <c r="I1822" s="42" t="s">
        <v>2169</v>
      </c>
      <c r="J1822" s="42" t="s">
        <v>127</v>
      </c>
    </row>
    <row r="1823" spans="1:10" x14ac:dyDescent="0.3">
      <c r="A1823" s="42" t="s">
        <v>1851</v>
      </c>
      <c r="B1823" s="43">
        <v>45992</v>
      </c>
      <c r="C1823" s="42" t="s">
        <v>38</v>
      </c>
      <c r="D1823" s="42" t="s">
        <v>39</v>
      </c>
      <c r="E1823" s="42" t="s">
        <v>16</v>
      </c>
      <c r="F1823" s="42">
        <v>17</v>
      </c>
      <c r="G1823" s="44">
        <v>200000</v>
      </c>
      <c r="H1823" s="44">
        <v>3400000</v>
      </c>
      <c r="I1823" s="42" t="s">
        <v>2576</v>
      </c>
      <c r="J1823" s="42" t="s">
        <v>69</v>
      </c>
    </row>
    <row r="1824" spans="1:10" x14ac:dyDescent="0.3">
      <c r="A1824" s="42" t="s">
        <v>1852</v>
      </c>
      <c r="B1824" s="43">
        <v>45992</v>
      </c>
      <c r="C1824" s="42" t="s">
        <v>44</v>
      </c>
      <c r="D1824" s="42" t="s">
        <v>45</v>
      </c>
      <c r="E1824" s="42" t="s">
        <v>16</v>
      </c>
      <c r="F1824" s="42">
        <v>34</v>
      </c>
      <c r="G1824" s="44">
        <v>250000</v>
      </c>
      <c r="H1824" s="44">
        <v>8500000</v>
      </c>
      <c r="I1824" s="42" t="s">
        <v>2663</v>
      </c>
      <c r="J1824" s="42" t="s">
        <v>8</v>
      </c>
    </row>
    <row r="1825" spans="1:10" x14ac:dyDescent="0.3">
      <c r="A1825" s="42" t="s">
        <v>1853</v>
      </c>
      <c r="B1825" s="43">
        <v>45992</v>
      </c>
      <c r="C1825" s="42" t="s">
        <v>31</v>
      </c>
      <c r="D1825" s="42" t="s">
        <v>32</v>
      </c>
      <c r="E1825" s="42" t="s">
        <v>20</v>
      </c>
      <c r="F1825" s="42">
        <v>22</v>
      </c>
      <c r="G1825" s="44">
        <v>180000</v>
      </c>
      <c r="H1825" s="44">
        <v>3960000</v>
      </c>
      <c r="I1825" s="42" t="s">
        <v>2738</v>
      </c>
      <c r="J1825" s="42" t="s">
        <v>8</v>
      </c>
    </row>
    <row r="1826" spans="1:10" x14ac:dyDescent="0.3">
      <c r="A1826" s="42" t="s">
        <v>1854</v>
      </c>
      <c r="B1826" s="43">
        <v>45992</v>
      </c>
      <c r="C1826" s="42" t="s">
        <v>10</v>
      </c>
      <c r="D1826" s="42" t="s">
        <v>11</v>
      </c>
      <c r="E1826" s="42" t="s">
        <v>12</v>
      </c>
      <c r="F1826" s="42">
        <v>11</v>
      </c>
      <c r="G1826" s="44">
        <v>120000</v>
      </c>
      <c r="H1826" s="44">
        <v>1320000</v>
      </c>
      <c r="I1826" s="42" t="s">
        <v>2181</v>
      </c>
      <c r="J1826" s="42" t="s">
        <v>69</v>
      </c>
    </row>
    <row r="1827" spans="1:10" x14ac:dyDescent="0.3">
      <c r="A1827" s="42" t="s">
        <v>1881</v>
      </c>
      <c r="B1827" s="43">
        <v>45992</v>
      </c>
      <c r="C1827" s="42" t="s">
        <v>22</v>
      </c>
      <c r="D1827" s="42" t="s">
        <v>23</v>
      </c>
      <c r="E1827" s="42" t="s">
        <v>12</v>
      </c>
      <c r="F1827" s="42">
        <v>24</v>
      </c>
      <c r="G1827" s="44">
        <v>25000</v>
      </c>
      <c r="H1827" s="44">
        <v>600000</v>
      </c>
      <c r="I1827" s="42" t="s">
        <v>2631</v>
      </c>
      <c r="J1827" s="42" t="s">
        <v>127</v>
      </c>
    </row>
    <row r="1828" spans="1:10" x14ac:dyDescent="0.3">
      <c r="A1828" s="42" t="s">
        <v>1882</v>
      </c>
      <c r="B1828" s="43">
        <v>45992</v>
      </c>
      <c r="C1828" s="42" t="s">
        <v>14</v>
      </c>
      <c r="D1828" s="42" t="s">
        <v>15</v>
      </c>
      <c r="E1828" s="42" t="s">
        <v>16</v>
      </c>
      <c r="F1828" s="42">
        <v>30</v>
      </c>
      <c r="G1828" s="44">
        <v>350000</v>
      </c>
      <c r="H1828" s="44">
        <v>10500000</v>
      </c>
      <c r="I1828" s="42" t="s">
        <v>2849</v>
      </c>
      <c r="J1828" s="42" t="s">
        <v>47</v>
      </c>
    </row>
    <row r="1829" spans="1:10" x14ac:dyDescent="0.3">
      <c r="A1829" s="42" t="s">
        <v>1883</v>
      </c>
      <c r="B1829" s="43">
        <v>45992</v>
      </c>
      <c r="C1829" s="42" t="s">
        <v>38</v>
      </c>
      <c r="D1829" s="42" t="s">
        <v>39</v>
      </c>
      <c r="E1829" s="42" t="s">
        <v>16</v>
      </c>
      <c r="F1829" s="42">
        <v>12</v>
      </c>
      <c r="G1829" s="44">
        <v>200000</v>
      </c>
      <c r="H1829" s="44">
        <v>2400000</v>
      </c>
      <c r="I1829" s="42" t="s">
        <v>2326</v>
      </c>
      <c r="J1829" s="42" t="s">
        <v>69</v>
      </c>
    </row>
    <row r="1830" spans="1:10" x14ac:dyDescent="0.3">
      <c r="A1830" s="42" t="s">
        <v>1884</v>
      </c>
      <c r="B1830" s="43">
        <v>45992</v>
      </c>
      <c r="C1830" s="42" t="s">
        <v>31</v>
      </c>
      <c r="D1830" s="42" t="s">
        <v>32</v>
      </c>
      <c r="E1830" s="42" t="s">
        <v>20</v>
      </c>
      <c r="F1830" s="42">
        <v>100</v>
      </c>
      <c r="G1830" s="44">
        <v>180000</v>
      </c>
      <c r="H1830" s="44">
        <v>18000000</v>
      </c>
      <c r="I1830" s="42" t="s">
        <v>2779</v>
      </c>
      <c r="J1830" s="42" t="s">
        <v>8</v>
      </c>
    </row>
    <row r="1831" spans="1:10" x14ac:dyDescent="0.3">
      <c r="A1831" s="42" t="s">
        <v>1897</v>
      </c>
      <c r="B1831" s="43">
        <v>45992</v>
      </c>
      <c r="C1831" s="42" t="s">
        <v>38</v>
      </c>
      <c r="D1831" s="42" t="s">
        <v>39</v>
      </c>
      <c r="E1831" s="42" t="s">
        <v>16</v>
      </c>
      <c r="F1831" s="42">
        <v>31</v>
      </c>
      <c r="G1831" s="44">
        <v>200000</v>
      </c>
      <c r="H1831" s="44">
        <v>6200000</v>
      </c>
      <c r="I1831" s="42" t="s">
        <v>2414</v>
      </c>
      <c r="J1831" s="42" t="s">
        <v>8</v>
      </c>
    </row>
    <row r="1832" spans="1:10" x14ac:dyDescent="0.3">
      <c r="A1832" s="42" t="s">
        <v>1898</v>
      </c>
      <c r="B1832" s="43">
        <v>45992</v>
      </c>
      <c r="C1832" s="42" t="s">
        <v>22</v>
      </c>
      <c r="D1832" s="42" t="s">
        <v>23</v>
      </c>
      <c r="E1832" s="42" t="s">
        <v>12</v>
      </c>
      <c r="F1832" s="42">
        <v>250</v>
      </c>
      <c r="G1832" s="44">
        <v>25000</v>
      </c>
      <c r="H1832" s="44">
        <v>6250000</v>
      </c>
      <c r="I1832" s="42" t="s">
        <v>2740</v>
      </c>
      <c r="J1832" s="42" t="s">
        <v>127</v>
      </c>
    </row>
    <row r="1833" spans="1:10" x14ac:dyDescent="0.3">
      <c r="A1833" s="42" t="s">
        <v>1912</v>
      </c>
      <c r="B1833" s="43">
        <v>45994</v>
      </c>
      <c r="C1833" s="42" t="s">
        <v>31</v>
      </c>
      <c r="D1833" s="42" t="s">
        <v>32</v>
      </c>
      <c r="E1833" s="42" t="s">
        <v>20</v>
      </c>
      <c r="F1833" s="42">
        <v>35</v>
      </c>
      <c r="G1833" s="44">
        <v>180000</v>
      </c>
      <c r="H1833" s="44">
        <v>6300000</v>
      </c>
      <c r="I1833" s="42" t="s">
        <v>2487</v>
      </c>
      <c r="J1833" s="42" t="s">
        <v>47</v>
      </c>
    </row>
    <row r="1834" spans="1:10" x14ac:dyDescent="0.3">
      <c r="A1834" s="42" t="s">
        <v>1923</v>
      </c>
      <c r="B1834" s="43">
        <v>45994</v>
      </c>
      <c r="C1834" s="42" t="s">
        <v>28</v>
      </c>
      <c r="D1834" s="42" t="s">
        <v>29</v>
      </c>
      <c r="E1834" s="42" t="s">
        <v>20</v>
      </c>
      <c r="F1834" s="42">
        <v>44</v>
      </c>
      <c r="G1834" s="44">
        <v>450000</v>
      </c>
      <c r="H1834" s="44">
        <v>19800000</v>
      </c>
      <c r="I1834" s="42" t="s">
        <v>2219</v>
      </c>
      <c r="J1834" s="42" t="s">
        <v>60</v>
      </c>
    </row>
    <row r="1835" spans="1:10" x14ac:dyDescent="0.3">
      <c r="A1835" s="42" t="s">
        <v>1924</v>
      </c>
      <c r="B1835" s="43">
        <v>45994</v>
      </c>
      <c r="C1835" s="42" t="s">
        <v>18</v>
      </c>
      <c r="D1835" s="42" t="s">
        <v>19</v>
      </c>
      <c r="E1835" s="42" t="s">
        <v>20</v>
      </c>
      <c r="F1835" s="42">
        <v>13</v>
      </c>
      <c r="G1835" s="44">
        <v>500000</v>
      </c>
      <c r="H1835" s="44">
        <v>6500000</v>
      </c>
      <c r="I1835" s="42" t="s">
        <v>2774</v>
      </c>
      <c r="J1835" s="42" t="s">
        <v>8</v>
      </c>
    </row>
    <row r="1836" spans="1:10" x14ac:dyDescent="0.3">
      <c r="A1836" s="42" t="s">
        <v>1925</v>
      </c>
      <c r="B1836" s="43">
        <v>45994</v>
      </c>
      <c r="C1836" s="42" t="s">
        <v>14</v>
      </c>
      <c r="D1836" s="42" t="s">
        <v>15</v>
      </c>
      <c r="E1836" s="42" t="s">
        <v>16</v>
      </c>
      <c r="F1836" s="42">
        <v>16</v>
      </c>
      <c r="G1836" s="44">
        <v>350000</v>
      </c>
      <c r="H1836" s="44">
        <v>5600000</v>
      </c>
      <c r="I1836" s="42" t="s">
        <v>2746</v>
      </c>
      <c r="J1836" s="42" t="s">
        <v>127</v>
      </c>
    </row>
    <row r="1837" spans="1:10" x14ac:dyDescent="0.3">
      <c r="A1837" s="42" t="s">
        <v>1936</v>
      </c>
      <c r="B1837" s="43">
        <v>45994</v>
      </c>
      <c r="C1837" s="42" t="s">
        <v>10</v>
      </c>
      <c r="D1837" s="42" t="s">
        <v>11</v>
      </c>
      <c r="E1837" s="42" t="s">
        <v>12</v>
      </c>
      <c r="F1837" s="42">
        <v>37</v>
      </c>
      <c r="G1837" s="44">
        <v>120000</v>
      </c>
      <c r="H1837" s="44">
        <v>4440000</v>
      </c>
      <c r="I1837" s="42" t="s">
        <v>2272</v>
      </c>
      <c r="J1837" s="42" t="s">
        <v>8</v>
      </c>
    </row>
    <row r="1838" spans="1:10" x14ac:dyDescent="0.3">
      <c r="A1838" s="42" t="s">
        <v>1937</v>
      </c>
      <c r="B1838" s="43">
        <v>45994</v>
      </c>
      <c r="C1838" s="42" t="s">
        <v>28</v>
      </c>
      <c r="D1838" s="42" t="s">
        <v>29</v>
      </c>
      <c r="E1838" s="42" t="s">
        <v>20</v>
      </c>
      <c r="F1838" s="42">
        <v>35</v>
      </c>
      <c r="G1838" s="44">
        <v>450000</v>
      </c>
      <c r="H1838" s="44">
        <v>15750000</v>
      </c>
      <c r="I1838" s="42" t="s">
        <v>2328</v>
      </c>
      <c r="J1838" s="42" t="s">
        <v>8</v>
      </c>
    </row>
    <row r="1839" spans="1:10" x14ac:dyDescent="0.3">
      <c r="A1839" s="42" t="s">
        <v>1938</v>
      </c>
      <c r="B1839" s="43">
        <v>45994</v>
      </c>
      <c r="C1839" s="42" t="s">
        <v>28</v>
      </c>
      <c r="D1839" s="42" t="s">
        <v>29</v>
      </c>
      <c r="E1839" s="42" t="s">
        <v>20</v>
      </c>
      <c r="F1839" s="42">
        <v>450</v>
      </c>
      <c r="G1839" s="44">
        <v>450000</v>
      </c>
      <c r="H1839" s="44">
        <v>202500000</v>
      </c>
      <c r="I1839" s="42" t="s">
        <v>2739</v>
      </c>
      <c r="J1839" s="42" t="s">
        <v>8</v>
      </c>
    </row>
    <row r="1840" spans="1:10" x14ac:dyDescent="0.3">
      <c r="A1840" s="42" t="s">
        <v>1947</v>
      </c>
      <c r="B1840" s="43">
        <v>45994</v>
      </c>
      <c r="C1840" s="42" t="s">
        <v>44</v>
      </c>
      <c r="D1840" s="42" t="s">
        <v>45</v>
      </c>
      <c r="E1840" s="42" t="s">
        <v>16</v>
      </c>
      <c r="F1840" s="42">
        <v>19</v>
      </c>
      <c r="G1840" s="44">
        <v>250000</v>
      </c>
      <c r="H1840" s="44">
        <v>4750000</v>
      </c>
      <c r="I1840" s="42" t="s">
        <v>2287</v>
      </c>
      <c r="J1840" s="42" t="s">
        <v>127</v>
      </c>
    </row>
    <row r="1841" spans="1:10" x14ac:dyDescent="0.3">
      <c r="A1841" s="42" t="s">
        <v>1948</v>
      </c>
      <c r="B1841" s="43">
        <v>45994</v>
      </c>
      <c r="C1841" s="42" t="s">
        <v>22</v>
      </c>
      <c r="D1841" s="42" t="s">
        <v>23</v>
      </c>
      <c r="E1841" s="42" t="s">
        <v>12</v>
      </c>
      <c r="F1841" s="42">
        <v>8</v>
      </c>
      <c r="G1841" s="44">
        <v>25000</v>
      </c>
      <c r="H1841" s="44">
        <v>200000</v>
      </c>
      <c r="I1841" s="42" t="s">
        <v>2719</v>
      </c>
      <c r="J1841" s="42" t="s">
        <v>69</v>
      </c>
    </row>
    <row r="1842" spans="1:10" x14ac:dyDescent="0.3">
      <c r="A1842" s="42" t="s">
        <v>1949</v>
      </c>
      <c r="B1842" s="43">
        <v>45994</v>
      </c>
      <c r="C1842" s="42" t="s">
        <v>40</v>
      </c>
      <c r="D1842" s="42" t="s">
        <v>41</v>
      </c>
      <c r="E1842" s="42" t="s">
        <v>16</v>
      </c>
      <c r="F1842" s="42">
        <v>13</v>
      </c>
      <c r="G1842" s="44">
        <v>950000</v>
      </c>
      <c r="H1842" s="44">
        <v>12350000</v>
      </c>
      <c r="I1842" s="42" t="s">
        <v>2632</v>
      </c>
      <c r="J1842" s="42" t="s">
        <v>60</v>
      </c>
    </row>
    <row r="1843" spans="1:10" x14ac:dyDescent="0.3">
      <c r="A1843" s="42" t="s">
        <v>1950</v>
      </c>
      <c r="B1843" s="43">
        <v>45994</v>
      </c>
      <c r="C1843" s="42" t="s">
        <v>18</v>
      </c>
      <c r="D1843" s="42" t="s">
        <v>19</v>
      </c>
      <c r="E1843" s="42" t="s">
        <v>20</v>
      </c>
      <c r="F1843" s="42">
        <v>19</v>
      </c>
      <c r="G1843" s="44">
        <v>500000</v>
      </c>
      <c r="H1843" s="44">
        <v>9500000</v>
      </c>
      <c r="I1843" s="42" t="s">
        <v>2568</v>
      </c>
      <c r="J1843" s="42" t="s">
        <v>8</v>
      </c>
    </row>
    <row r="1844" spans="1:10" x14ac:dyDescent="0.3">
      <c r="A1844" s="42" t="s">
        <v>1958</v>
      </c>
      <c r="B1844" s="43">
        <v>45994</v>
      </c>
      <c r="C1844" s="42" t="s">
        <v>31</v>
      </c>
      <c r="D1844" s="42" t="s">
        <v>32</v>
      </c>
      <c r="E1844" s="42" t="s">
        <v>20</v>
      </c>
      <c r="F1844" s="42">
        <v>49</v>
      </c>
      <c r="G1844" s="44">
        <v>180000</v>
      </c>
      <c r="H1844" s="44">
        <v>8820000</v>
      </c>
      <c r="I1844" s="42" t="s">
        <v>2370</v>
      </c>
      <c r="J1844" s="42" t="s">
        <v>60</v>
      </c>
    </row>
    <row r="1845" spans="1:10" x14ac:dyDescent="0.3">
      <c r="A1845" s="42" t="s">
        <v>1966</v>
      </c>
      <c r="B1845" s="43">
        <v>45994</v>
      </c>
      <c r="C1845" s="42" t="s">
        <v>28</v>
      </c>
      <c r="D1845" s="42" t="s">
        <v>29</v>
      </c>
      <c r="E1845" s="42" t="s">
        <v>20</v>
      </c>
      <c r="F1845" s="42">
        <v>10</v>
      </c>
      <c r="G1845" s="44">
        <v>450000</v>
      </c>
      <c r="H1845" s="44">
        <v>4500000</v>
      </c>
      <c r="I1845" s="42" t="s">
        <v>1584</v>
      </c>
      <c r="J1845" s="42" t="s">
        <v>127</v>
      </c>
    </row>
    <row r="1846" spans="1:10" x14ac:dyDescent="0.3">
      <c r="A1846" s="42" t="s">
        <v>1967</v>
      </c>
      <c r="B1846" s="43">
        <v>45994</v>
      </c>
      <c r="C1846" s="42" t="s">
        <v>10</v>
      </c>
      <c r="D1846" s="42" t="s">
        <v>11</v>
      </c>
      <c r="E1846" s="42" t="s">
        <v>12</v>
      </c>
      <c r="F1846" s="42">
        <v>47</v>
      </c>
      <c r="G1846" s="44">
        <v>120000</v>
      </c>
      <c r="H1846" s="44">
        <v>5640000</v>
      </c>
      <c r="I1846" s="42" t="s">
        <v>2844</v>
      </c>
      <c r="J1846" s="42" t="s">
        <v>47</v>
      </c>
    </row>
    <row r="1847" spans="1:10" x14ac:dyDescent="0.3">
      <c r="A1847" s="42" t="s">
        <v>1968</v>
      </c>
      <c r="B1847" s="43">
        <v>45994</v>
      </c>
      <c r="C1847" s="42" t="s">
        <v>31</v>
      </c>
      <c r="D1847" s="42" t="s">
        <v>32</v>
      </c>
      <c r="E1847" s="42" t="s">
        <v>20</v>
      </c>
      <c r="F1847" s="42">
        <v>39</v>
      </c>
      <c r="G1847" s="44">
        <v>180000</v>
      </c>
      <c r="H1847" s="44">
        <v>7020000</v>
      </c>
      <c r="I1847" s="42" t="s">
        <v>2815</v>
      </c>
      <c r="J1847" s="42" t="s">
        <v>127</v>
      </c>
    </row>
    <row r="1848" spans="1:10" x14ac:dyDescent="0.3">
      <c r="A1848" s="42" t="s">
        <v>1969</v>
      </c>
      <c r="B1848" s="43">
        <v>45994</v>
      </c>
      <c r="C1848" s="42" t="s">
        <v>44</v>
      </c>
      <c r="D1848" s="42" t="s">
        <v>45</v>
      </c>
      <c r="E1848" s="42" t="s">
        <v>16</v>
      </c>
      <c r="F1848" s="42">
        <v>19</v>
      </c>
      <c r="G1848" s="44">
        <v>250000</v>
      </c>
      <c r="H1848" s="44">
        <v>4750000</v>
      </c>
      <c r="I1848" s="42" t="s">
        <v>2478</v>
      </c>
      <c r="J1848" s="42" t="s">
        <v>69</v>
      </c>
    </row>
    <row r="1849" spans="1:10" x14ac:dyDescent="0.3">
      <c r="A1849" s="42" t="s">
        <v>1976</v>
      </c>
      <c r="B1849" s="43">
        <v>45995</v>
      </c>
      <c r="C1849" s="42" t="s">
        <v>31</v>
      </c>
      <c r="D1849" s="42" t="s">
        <v>32</v>
      </c>
      <c r="E1849" s="42" t="s">
        <v>20</v>
      </c>
      <c r="F1849" s="42">
        <v>39</v>
      </c>
      <c r="G1849" s="44">
        <v>180000</v>
      </c>
      <c r="H1849" s="44">
        <v>7020000</v>
      </c>
      <c r="I1849" s="42" t="s">
        <v>2528</v>
      </c>
      <c r="J1849" s="42" t="s">
        <v>8</v>
      </c>
    </row>
    <row r="1850" spans="1:10" x14ac:dyDescent="0.3">
      <c r="A1850" s="42" t="s">
        <v>1985</v>
      </c>
      <c r="B1850" s="43">
        <v>45995</v>
      </c>
      <c r="C1850" s="42" t="s">
        <v>28</v>
      </c>
      <c r="D1850" s="42" t="s">
        <v>29</v>
      </c>
      <c r="E1850" s="42" t="s">
        <v>20</v>
      </c>
      <c r="F1850" s="42">
        <v>18</v>
      </c>
      <c r="G1850" s="44">
        <v>450000</v>
      </c>
      <c r="H1850" s="44">
        <v>8100000</v>
      </c>
      <c r="I1850" s="42" t="s">
        <v>2538</v>
      </c>
      <c r="J1850" s="42" t="s">
        <v>127</v>
      </c>
    </row>
    <row r="1851" spans="1:10" x14ac:dyDescent="0.3">
      <c r="A1851" s="42" t="s">
        <v>2002</v>
      </c>
      <c r="B1851" s="43">
        <v>45995</v>
      </c>
      <c r="C1851" s="42" t="s">
        <v>40</v>
      </c>
      <c r="D1851" s="42" t="s">
        <v>41</v>
      </c>
      <c r="E1851" s="42" t="s">
        <v>16</v>
      </c>
      <c r="F1851" s="42">
        <v>21</v>
      </c>
      <c r="G1851" s="44">
        <v>950000</v>
      </c>
      <c r="H1851" s="44">
        <v>19950000</v>
      </c>
      <c r="I1851" s="42" t="s">
        <v>2825</v>
      </c>
      <c r="J1851" s="42" t="s">
        <v>127</v>
      </c>
    </row>
    <row r="1852" spans="1:10" x14ac:dyDescent="0.3">
      <c r="A1852" s="42" t="s">
        <v>2009</v>
      </c>
      <c r="B1852" s="43">
        <v>45995</v>
      </c>
      <c r="C1852" s="42" t="s">
        <v>44</v>
      </c>
      <c r="D1852" s="42" t="s">
        <v>45</v>
      </c>
      <c r="E1852" s="42" t="s">
        <v>16</v>
      </c>
      <c r="F1852" s="42">
        <v>25</v>
      </c>
      <c r="G1852" s="44">
        <v>250000</v>
      </c>
      <c r="H1852" s="44">
        <v>6250000</v>
      </c>
      <c r="I1852" s="42" t="s">
        <v>2744</v>
      </c>
      <c r="J1852" s="42" t="s">
        <v>127</v>
      </c>
    </row>
    <row r="1853" spans="1:10" x14ac:dyDescent="0.3">
      <c r="A1853" s="42" t="s">
        <v>2010</v>
      </c>
      <c r="B1853" s="43">
        <v>45995</v>
      </c>
      <c r="C1853" s="42" t="s">
        <v>44</v>
      </c>
      <c r="D1853" s="42" t="s">
        <v>45</v>
      </c>
      <c r="E1853" s="42" t="s">
        <v>16</v>
      </c>
      <c r="F1853" s="42">
        <v>22</v>
      </c>
      <c r="G1853" s="44">
        <v>250000</v>
      </c>
      <c r="H1853" s="44">
        <v>5500000</v>
      </c>
      <c r="I1853" s="42" t="s">
        <v>2257</v>
      </c>
      <c r="J1853" s="42" t="s">
        <v>127</v>
      </c>
    </row>
    <row r="1854" spans="1:10" x14ac:dyDescent="0.3">
      <c r="A1854" s="42" t="s">
        <v>2011</v>
      </c>
      <c r="B1854" s="43">
        <v>45995</v>
      </c>
      <c r="C1854" s="42" t="s">
        <v>31</v>
      </c>
      <c r="D1854" s="42" t="s">
        <v>32</v>
      </c>
      <c r="E1854" s="42" t="s">
        <v>20</v>
      </c>
      <c r="F1854" s="42">
        <v>15</v>
      </c>
      <c r="G1854" s="44">
        <v>180000</v>
      </c>
      <c r="H1854" s="44">
        <v>2700000</v>
      </c>
      <c r="I1854" s="42" t="s">
        <v>2413</v>
      </c>
      <c r="J1854" s="42" t="s">
        <v>8</v>
      </c>
    </row>
    <row r="1855" spans="1:10" x14ac:dyDescent="0.3">
      <c r="A1855" s="42" t="s">
        <v>2039</v>
      </c>
      <c r="B1855" s="43">
        <v>45995</v>
      </c>
      <c r="C1855" s="42" t="s">
        <v>28</v>
      </c>
      <c r="D1855" s="42" t="s">
        <v>29</v>
      </c>
      <c r="E1855" s="42" t="s">
        <v>20</v>
      </c>
      <c r="F1855" s="42">
        <v>10</v>
      </c>
      <c r="G1855" s="44">
        <v>450000</v>
      </c>
      <c r="H1855" s="44">
        <v>4500000</v>
      </c>
      <c r="I1855" s="42" t="s">
        <v>2164</v>
      </c>
      <c r="J1855" s="42" t="s">
        <v>127</v>
      </c>
    </row>
    <row r="1856" spans="1:10" x14ac:dyDescent="0.3">
      <c r="A1856" s="42" t="s">
        <v>2060</v>
      </c>
      <c r="B1856" s="43">
        <v>45995</v>
      </c>
      <c r="C1856" s="42" t="s">
        <v>14</v>
      </c>
      <c r="D1856" s="42" t="s">
        <v>15</v>
      </c>
      <c r="E1856" s="42" t="s">
        <v>16</v>
      </c>
      <c r="F1856" s="42">
        <v>39</v>
      </c>
      <c r="G1856" s="44">
        <v>350000</v>
      </c>
      <c r="H1856" s="44">
        <v>13650000</v>
      </c>
      <c r="I1856" s="42" t="s">
        <v>2167</v>
      </c>
      <c r="J1856" s="42" t="s">
        <v>69</v>
      </c>
    </row>
    <row r="1857" spans="1:10" x14ac:dyDescent="0.3">
      <c r="A1857" s="42" t="s">
        <v>2072</v>
      </c>
      <c r="B1857" s="43">
        <v>45996</v>
      </c>
      <c r="C1857" s="42" t="s">
        <v>18</v>
      </c>
      <c r="D1857" s="42" t="s">
        <v>19</v>
      </c>
      <c r="E1857" s="42" t="s">
        <v>20</v>
      </c>
      <c r="F1857" s="42">
        <v>20</v>
      </c>
      <c r="G1857" s="44">
        <v>500000</v>
      </c>
      <c r="H1857" s="44">
        <v>10000000</v>
      </c>
      <c r="I1857" s="42" t="s">
        <v>2327</v>
      </c>
      <c r="J1857" s="42" t="s">
        <v>127</v>
      </c>
    </row>
    <row r="1858" spans="1:10" x14ac:dyDescent="0.3">
      <c r="A1858" s="42" t="s">
        <v>2086</v>
      </c>
      <c r="B1858" s="43">
        <v>45996</v>
      </c>
      <c r="C1858" s="42" t="s">
        <v>31</v>
      </c>
      <c r="D1858" s="42" t="s">
        <v>32</v>
      </c>
      <c r="E1858" s="42" t="s">
        <v>20</v>
      </c>
      <c r="F1858" s="42">
        <v>12</v>
      </c>
      <c r="G1858" s="44">
        <v>180000</v>
      </c>
      <c r="H1858" s="44">
        <v>2160000</v>
      </c>
      <c r="I1858" s="42" t="s">
        <v>2550</v>
      </c>
      <c r="J1858" s="42" t="s">
        <v>60</v>
      </c>
    </row>
    <row r="1859" spans="1:10" x14ac:dyDescent="0.3">
      <c r="A1859" s="42" t="s">
        <v>2087</v>
      </c>
      <c r="B1859" s="43">
        <v>45996</v>
      </c>
      <c r="C1859" s="42" t="s">
        <v>10</v>
      </c>
      <c r="D1859" s="42" t="s">
        <v>11</v>
      </c>
      <c r="E1859" s="42" t="s">
        <v>12</v>
      </c>
      <c r="F1859" s="42">
        <v>45</v>
      </c>
      <c r="G1859" s="44">
        <v>120000</v>
      </c>
      <c r="H1859" s="44">
        <v>5400000</v>
      </c>
      <c r="I1859" s="42" t="s">
        <v>2282</v>
      </c>
      <c r="J1859" s="42" t="s">
        <v>69</v>
      </c>
    </row>
    <row r="1860" spans="1:10" x14ac:dyDescent="0.3">
      <c r="A1860" s="42" t="s">
        <v>2094</v>
      </c>
      <c r="B1860" s="43">
        <v>45996</v>
      </c>
      <c r="C1860" s="42" t="s">
        <v>22</v>
      </c>
      <c r="D1860" s="42" t="s">
        <v>23</v>
      </c>
      <c r="E1860" s="42" t="s">
        <v>12</v>
      </c>
      <c r="F1860" s="42">
        <v>5</v>
      </c>
      <c r="G1860" s="44">
        <v>25000</v>
      </c>
      <c r="H1860" s="44">
        <v>125000</v>
      </c>
      <c r="I1860" s="42" t="s">
        <v>2719</v>
      </c>
      <c r="J1860" s="42" t="s">
        <v>69</v>
      </c>
    </row>
    <row r="1861" spans="1:10" x14ac:dyDescent="0.3">
      <c r="A1861" s="42" t="s">
        <v>2102</v>
      </c>
      <c r="B1861" s="43">
        <v>45996</v>
      </c>
      <c r="C1861" s="42" t="s">
        <v>42</v>
      </c>
      <c r="D1861" s="42" t="s">
        <v>43</v>
      </c>
      <c r="E1861" s="42" t="s">
        <v>16</v>
      </c>
      <c r="F1861" s="42">
        <v>11</v>
      </c>
      <c r="G1861" s="44">
        <v>1200000</v>
      </c>
      <c r="H1861" s="44">
        <v>13200000</v>
      </c>
      <c r="I1861" s="42" t="s">
        <v>2632</v>
      </c>
      <c r="J1861" s="42" t="s">
        <v>60</v>
      </c>
    </row>
    <row r="1862" spans="1:10" x14ac:dyDescent="0.3">
      <c r="A1862" s="42" t="s">
        <v>34</v>
      </c>
      <c r="B1862" s="43">
        <v>45996</v>
      </c>
      <c r="C1862" s="42" t="s">
        <v>44</v>
      </c>
      <c r="D1862" s="42" t="s">
        <v>45</v>
      </c>
      <c r="E1862" s="42" t="s">
        <v>16</v>
      </c>
      <c r="F1862" s="42">
        <v>19</v>
      </c>
      <c r="G1862" s="44">
        <v>250000</v>
      </c>
      <c r="H1862" s="44">
        <v>4750000</v>
      </c>
      <c r="I1862" s="42" t="s">
        <v>2053</v>
      </c>
      <c r="J1862" s="42" t="s">
        <v>8</v>
      </c>
    </row>
    <row r="1863" spans="1:10" x14ac:dyDescent="0.3">
      <c r="A1863" s="42" t="s">
        <v>35</v>
      </c>
      <c r="B1863" s="43">
        <v>45996</v>
      </c>
      <c r="C1863" s="42" t="s">
        <v>31</v>
      </c>
      <c r="D1863" s="42" t="s">
        <v>32</v>
      </c>
      <c r="E1863" s="42" t="s">
        <v>20</v>
      </c>
      <c r="F1863" s="42">
        <v>28</v>
      </c>
      <c r="G1863" s="44">
        <v>180000</v>
      </c>
      <c r="H1863" s="44">
        <v>5040000</v>
      </c>
      <c r="I1863" s="42" t="s">
        <v>2708</v>
      </c>
      <c r="J1863" s="42" t="s">
        <v>60</v>
      </c>
    </row>
    <row r="1864" spans="1:10" x14ac:dyDescent="0.3">
      <c r="A1864" s="42" t="s">
        <v>36</v>
      </c>
      <c r="B1864" s="43">
        <v>45996</v>
      </c>
      <c r="C1864" s="42" t="s">
        <v>44</v>
      </c>
      <c r="D1864" s="42" t="s">
        <v>45</v>
      </c>
      <c r="E1864" s="42" t="s">
        <v>16</v>
      </c>
      <c r="F1864" s="42">
        <v>46</v>
      </c>
      <c r="G1864" s="44">
        <v>250000</v>
      </c>
      <c r="H1864" s="44">
        <v>11500000</v>
      </c>
      <c r="I1864" s="42" t="s">
        <v>2556</v>
      </c>
      <c r="J1864" s="42" t="s">
        <v>8</v>
      </c>
    </row>
    <row r="1865" spans="1:10" x14ac:dyDescent="0.3">
      <c r="A1865" s="42" t="s">
        <v>37</v>
      </c>
      <c r="B1865" s="43">
        <v>45996</v>
      </c>
      <c r="C1865" s="42" t="s">
        <v>40</v>
      </c>
      <c r="D1865" s="42" t="s">
        <v>41</v>
      </c>
      <c r="E1865" s="42" t="s">
        <v>16</v>
      </c>
      <c r="F1865" s="42">
        <v>22</v>
      </c>
      <c r="G1865" s="44">
        <v>950000</v>
      </c>
      <c r="H1865" s="44">
        <v>20900000</v>
      </c>
      <c r="I1865" s="42" t="s">
        <v>2792</v>
      </c>
      <c r="J1865" s="42" t="s">
        <v>69</v>
      </c>
    </row>
    <row r="1866" spans="1:10" x14ac:dyDescent="0.3">
      <c r="A1866" s="42" t="s">
        <v>59</v>
      </c>
      <c r="B1866" s="43">
        <v>45996</v>
      </c>
      <c r="C1866" s="42" t="s">
        <v>44</v>
      </c>
      <c r="D1866" s="42" t="s">
        <v>45</v>
      </c>
      <c r="E1866" s="42" t="s">
        <v>16</v>
      </c>
      <c r="F1866" s="42">
        <v>37</v>
      </c>
      <c r="G1866" s="44">
        <v>250000</v>
      </c>
      <c r="H1866" s="44">
        <v>9250000</v>
      </c>
      <c r="I1866" s="42" t="s">
        <v>2685</v>
      </c>
      <c r="J1866" s="42" t="s">
        <v>69</v>
      </c>
    </row>
    <row r="1867" spans="1:10" x14ac:dyDescent="0.3">
      <c r="A1867" s="42" t="s">
        <v>67</v>
      </c>
      <c r="B1867" s="43">
        <v>45999</v>
      </c>
      <c r="C1867" s="42" t="s">
        <v>22</v>
      </c>
      <c r="D1867" s="42" t="s">
        <v>23</v>
      </c>
      <c r="E1867" s="42" t="s">
        <v>12</v>
      </c>
      <c r="F1867" s="42">
        <v>38</v>
      </c>
      <c r="G1867" s="44">
        <v>25000</v>
      </c>
      <c r="H1867" s="44">
        <v>950000</v>
      </c>
      <c r="I1867" s="42" t="s">
        <v>2243</v>
      </c>
      <c r="J1867" s="42" t="s">
        <v>8</v>
      </c>
    </row>
    <row r="1868" spans="1:10" x14ac:dyDescent="0.3">
      <c r="A1868" s="42" t="s">
        <v>77</v>
      </c>
      <c r="B1868" s="43">
        <v>45999</v>
      </c>
      <c r="C1868" s="42" t="s">
        <v>14</v>
      </c>
      <c r="D1868" s="42" t="s">
        <v>15</v>
      </c>
      <c r="E1868" s="42" t="s">
        <v>16</v>
      </c>
      <c r="F1868" s="42">
        <v>36</v>
      </c>
      <c r="G1868" s="44">
        <v>350000</v>
      </c>
      <c r="H1868" s="44">
        <v>12600000</v>
      </c>
      <c r="I1868" s="42" t="s">
        <v>2673</v>
      </c>
      <c r="J1868" s="42" t="s">
        <v>8</v>
      </c>
    </row>
    <row r="1869" spans="1:10" x14ac:dyDescent="0.3">
      <c r="A1869" s="42" t="s">
        <v>87</v>
      </c>
      <c r="B1869" s="43">
        <v>45999</v>
      </c>
      <c r="C1869" s="42" t="s">
        <v>10</v>
      </c>
      <c r="D1869" s="42" t="s">
        <v>11</v>
      </c>
      <c r="E1869" s="42" t="s">
        <v>12</v>
      </c>
      <c r="F1869" s="42">
        <v>8</v>
      </c>
      <c r="G1869" s="44">
        <v>120000</v>
      </c>
      <c r="H1869" s="44">
        <v>960000</v>
      </c>
      <c r="I1869" s="42" t="s">
        <v>2232</v>
      </c>
      <c r="J1869" s="42" t="s">
        <v>60</v>
      </c>
    </row>
    <row r="1870" spans="1:10" x14ac:dyDescent="0.3">
      <c r="A1870" s="42" t="s">
        <v>88</v>
      </c>
      <c r="B1870" s="43">
        <v>45999</v>
      </c>
      <c r="C1870" s="42" t="s">
        <v>38</v>
      </c>
      <c r="D1870" s="42" t="s">
        <v>39</v>
      </c>
      <c r="E1870" s="42" t="s">
        <v>16</v>
      </c>
      <c r="F1870" s="42">
        <v>480</v>
      </c>
      <c r="G1870" s="44">
        <v>200000</v>
      </c>
      <c r="H1870" s="44">
        <v>96000000</v>
      </c>
      <c r="I1870" s="42" t="s">
        <v>2695</v>
      </c>
      <c r="J1870" s="42" t="s">
        <v>8</v>
      </c>
    </row>
    <row r="1871" spans="1:10" x14ac:dyDescent="0.3">
      <c r="A1871" s="42" t="s">
        <v>99</v>
      </c>
      <c r="B1871" s="43">
        <v>45999</v>
      </c>
      <c r="C1871" s="42" t="s">
        <v>38</v>
      </c>
      <c r="D1871" s="42" t="s">
        <v>39</v>
      </c>
      <c r="E1871" s="42" t="s">
        <v>16</v>
      </c>
      <c r="F1871" s="42">
        <v>14</v>
      </c>
      <c r="G1871" s="44">
        <v>200000</v>
      </c>
      <c r="H1871" s="44">
        <v>2800000</v>
      </c>
      <c r="I1871" s="42" t="s">
        <v>2263</v>
      </c>
      <c r="J1871" s="42" t="s">
        <v>8</v>
      </c>
    </row>
    <row r="1872" spans="1:10" x14ac:dyDescent="0.3">
      <c r="A1872" s="42" t="s">
        <v>113</v>
      </c>
      <c r="B1872" s="43">
        <v>45999</v>
      </c>
      <c r="C1872" s="42" t="s">
        <v>22</v>
      </c>
      <c r="D1872" s="42" t="s">
        <v>23</v>
      </c>
      <c r="E1872" s="42" t="s">
        <v>12</v>
      </c>
      <c r="F1872" s="42">
        <v>46</v>
      </c>
      <c r="G1872" s="44">
        <v>25000</v>
      </c>
      <c r="H1872" s="44">
        <v>1150000</v>
      </c>
      <c r="I1872" s="42" t="s">
        <v>2754</v>
      </c>
      <c r="J1872" s="42" t="s">
        <v>127</v>
      </c>
    </row>
    <row r="1873" spans="1:10" x14ac:dyDescent="0.3">
      <c r="A1873" s="42" t="s">
        <v>114</v>
      </c>
      <c r="B1873" s="43">
        <v>45999</v>
      </c>
      <c r="C1873" s="42" t="s">
        <v>40</v>
      </c>
      <c r="D1873" s="42" t="s">
        <v>41</v>
      </c>
      <c r="E1873" s="42" t="s">
        <v>16</v>
      </c>
      <c r="F1873" s="42">
        <v>160</v>
      </c>
      <c r="G1873" s="44">
        <v>950000</v>
      </c>
      <c r="H1873" s="44">
        <v>152000000</v>
      </c>
      <c r="I1873" s="42" t="s">
        <v>2837</v>
      </c>
      <c r="J1873" s="42" t="s">
        <v>47</v>
      </c>
    </row>
    <row r="1874" spans="1:10" x14ac:dyDescent="0.3">
      <c r="A1874" s="42" t="s">
        <v>115</v>
      </c>
      <c r="B1874" s="43">
        <v>45999</v>
      </c>
      <c r="C1874" s="42" t="s">
        <v>28</v>
      </c>
      <c r="D1874" s="42" t="s">
        <v>29</v>
      </c>
      <c r="E1874" s="42" t="s">
        <v>20</v>
      </c>
      <c r="F1874" s="42">
        <v>24</v>
      </c>
      <c r="G1874" s="44">
        <v>450000</v>
      </c>
      <c r="H1874" s="44">
        <v>10800000</v>
      </c>
      <c r="I1874" s="42" t="s">
        <v>2301</v>
      </c>
      <c r="J1874" s="42" t="s">
        <v>8</v>
      </c>
    </row>
    <row r="1875" spans="1:10" x14ac:dyDescent="0.3">
      <c r="A1875" s="42" t="s">
        <v>116</v>
      </c>
      <c r="B1875" s="43">
        <v>45999</v>
      </c>
      <c r="C1875" s="42" t="s">
        <v>10</v>
      </c>
      <c r="D1875" s="42" t="s">
        <v>11</v>
      </c>
      <c r="E1875" s="42" t="s">
        <v>12</v>
      </c>
      <c r="F1875" s="42">
        <v>25</v>
      </c>
      <c r="G1875" s="44">
        <v>120000</v>
      </c>
      <c r="H1875" s="44">
        <v>3000000</v>
      </c>
      <c r="I1875" s="42" t="s">
        <v>2550</v>
      </c>
      <c r="J1875" s="42" t="s">
        <v>60</v>
      </c>
    </row>
    <row r="1876" spans="1:10" x14ac:dyDescent="0.3">
      <c r="A1876" s="42" t="s">
        <v>125</v>
      </c>
      <c r="B1876" s="43">
        <v>45999</v>
      </c>
      <c r="C1876" s="42" t="s">
        <v>38</v>
      </c>
      <c r="D1876" s="42" t="s">
        <v>39</v>
      </c>
      <c r="E1876" s="42" t="s">
        <v>16</v>
      </c>
      <c r="F1876" s="42">
        <v>120</v>
      </c>
      <c r="G1876" s="44">
        <v>200000</v>
      </c>
      <c r="H1876" s="44">
        <v>24000000</v>
      </c>
      <c r="I1876" s="42" t="s">
        <v>2567</v>
      </c>
      <c r="J1876" s="42" t="s">
        <v>8</v>
      </c>
    </row>
    <row r="1877" spans="1:10" x14ac:dyDescent="0.3">
      <c r="A1877" s="42" t="s">
        <v>143</v>
      </c>
      <c r="B1877" s="43">
        <v>46000</v>
      </c>
      <c r="C1877" s="42" t="s">
        <v>31</v>
      </c>
      <c r="D1877" s="42" t="s">
        <v>32</v>
      </c>
      <c r="E1877" s="42" t="s">
        <v>20</v>
      </c>
      <c r="F1877" s="42">
        <v>26</v>
      </c>
      <c r="G1877" s="44">
        <v>180000</v>
      </c>
      <c r="H1877" s="44">
        <v>4680000</v>
      </c>
      <c r="I1877" s="42" t="s">
        <v>2598</v>
      </c>
      <c r="J1877" s="42" t="s">
        <v>127</v>
      </c>
    </row>
    <row r="1878" spans="1:10" x14ac:dyDescent="0.3">
      <c r="A1878" s="42" t="s">
        <v>144</v>
      </c>
      <c r="B1878" s="43">
        <v>46000</v>
      </c>
      <c r="C1878" s="42" t="s">
        <v>31</v>
      </c>
      <c r="D1878" s="42" t="s">
        <v>32</v>
      </c>
      <c r="E1878" s="42" t="s">
        <v>20</v>
      </c>
      <c r="F1878" s="42">
        <v>38</v>
      </c>
      <c r="G1878" s="44">
        <v>180000</v>
      </c>
      <c r="H1878" s="44">
        <v>6840000</v>
      </c>
      <c r="I1878" s="42" t="s">
        <v>2814</v>
      </c>
      <c r="J1878" s="42" t="s">
        <v>8</v>
      </c>
    </row>
    <row r="1879" spans="1:10" x14ac:dyDescent="0.3">
      <c r="A1879" s="42" t="s">
        <v>145</v>
      </c>
      <c r="B1879" s="43">
        <v>46000</v>
      </c>
      <c r="C1879" s="42" t="s">
        <v>38</v>
      </c>
      <c r="D1879" s="42" t="s">
        <v>39</v>
      </c>
      <c r="E1879" s="42" t="s">
        <v>16</v>
      </c>
      <c r="F1879" s="42">
        <v>18</v>
      </c>
      <c r="G1879" s="44">
        <v>200000</v>
      </c>
      <c r="H1879" s="44">
        <v>3600000</v>
      </c>
      <c r="I1879" s="42" t="s">
        <v>2155</v>
      </c>
      <c r="J1879" s="42" t="s">
        <v>69</v>
      </c>
    </row>
    <row r="1880" spans="1:10" x14ac:dyDescent="0.3">
      <c r="A1880" s="42" t="s">
        <v>180</v>
      </c>
      <c r="B1880" s="43">
        <v>46000</v>
      </c>
      <c r="C1880" s="42" t="s">
        <v>18</v>
      </c>
      <c r="D1880" s="42" t="s">
        <v>19</v>
      </c>
      <c r="E1880" s="42" t="s">
        <v>20</v>
      </c>
      <c r="F1880" s="42">
        <v>37</v>
      </c>
      <c r="G1880" s="44">
        <v>500000</v>
      </c>
      <c r="H1880" s="44">
        <v>18500000</v>
      </c>
      <c r="I1880" s="42" t="s">
        <v>2263</v>
      </c>
      <c r="J1880" s="42" t="s">
        <v>8</v>
      </c>
    </row>
    <row r="1881" spans="1:10" x14ac:dyDescent="0.3">
      <c r="A1881" s="42" t="s">
        <v>181</v>
      </c>
      <c r="B1881" s="43">
        <v>46000</v>
      </c>
      <c r="C1881" s="42" t="s">
        <v>40</v>
      </c>
      <c r="D1881" s="42" t="s">
        <v>41</v>
      </c>
      <c r="E1881" s="42" t="s">
        <v>16</v>
      </c>
      <c r="F1881" s="42">
        <v>29</v>
      </c>
      <c r="G1881" s="44">
        <v>950000</v>
      </c>
      <c r="H1881" s="44">
        <v>27550000</v>
      </c>
      <c r="I1881" s="42" t="s">
        <v>2215</v>
      </c>
      <c r="J1881" s="42" t="s">
        <v>60</v>
      </c>
    </row>
    <row r="1882" spans="1:10" x14ac:dyDescent="0.3">
      <c r="A1882" s="42" t="s">
        <v>182</v>
      </c>
      <c r="B1882" s="43">
        <v>46000</v>
      </c>
      <c r="C1882" s="42" t="s">
        <v>10</v>
      </c>
      <c r="D1882" s="42" t="s">
        <v>11</v>
      </c>
      <c r="E1882" s="42" t="s">
        <v>12</v>
      </c>
      <c r="F1882" s="42">
        <v>41</v>
      </c>
      <c r="G1882" s="44">
        <v>120000</v>
      </c>
      <c r="H1882" s="44">
        <v>4920000</v>
      </c>
      <c r="I1882" s="42" t="s">
        <v>2438</v>
      </c>
      <c r="J1882" s="42" t="s">
        <v>69</v>
      </c>
    </row>
    <row r="1883" spans="1:10" x14ac:dyDescent="0.3">
      <c r="A1883" s="42" t="s">
        <v>183</v>
      </c>
      <c r="B1883" s="43">
        <v>46000</v>
      </c>
      <c r="C1883" s="42" t="s">
        <v>28</v>
      </c>
      <c r="D1883" s="42" t="s">
        <v>29</v>
      </c>
      <c r="E1883" s="42" t="s">
        <v>20</v>
      </c>
      <c r="F1883" s="42">
        <v>25</v>
      </c>
      <c r="G1883" s="44">
        <v>450000</v>
      </c>
      <c r="H1883" s="44">
        <v>11250000</v>
      </c>
      <c r="I1883" s="42" t="s">
        <v>46</v>
      </c>
      <c r="J1883" s="42" t="s">
        <v>127</v>
      </c>
    </row>
    <row r="1884" spans="1:10" x14ac:dyDescent="0.3">
      <c r="A1884" s="42" t="s">
        <v>203</v>
      </c>
      <c r="B1884" s="43">
        <v>46000</v>
      </c>
      <c r="C1884" s="42" t="s">
        <v>18</v>
      </c>
      <c r="D1884" s="42" t="s">
        <v>19</v>
      </c>
      <c r="E1884" s="42" t="s">
        <v>20</v>
      </c>
      <c r="F1884" s="42">
        <v>29</v>
      </c>
      <c r="G1884" s="44">
        <v>500000</v>
      </c>
      <c r="H1884" s="44">
        <v>14500000</v>
      </c>
      <c r="I1884" s="42" t="s">
        <v>2602</v>
      </c>
      <c r="J1884" s="42" t="s">
        <v>8</v>
      </c>
    </row>
    <row r="1885" spans="1:10" x14ac:dyDescent="0.3">
      <c r="A1885" s="42" t="s">
        <v>213</v>
      </c>
      <c r="B1885" s="43">
        <v>46000</v>
      </c>
      <c r="C1885" s="42" t="s">
        <v>10</v>
      </c>
      <c r="D1885" s="42" t="s">
        <v>11</v>
      </c>
      <c r="E1885" s="42" t="s">
        <v>12</v>
      </c>
      <c r="F1885" s="42">
        <v>13</v>
      </c>
      <c r="G1885" s="44">
        <v>120000</v>
      </c>
      <c r="H1885" s="44">
        <v>1560000</v>
      </c>
      <c r="I1885" s="42" t="s">
        <v>2159</v>
      </c>
      <c r="J1885" s="42" t="s">
        <v>127</v>
      </c>
    </row>
    <row r="1886" spans="1:10" x14ac:dyDescent="0.3">
      <c r="A1886" s="42" t="s">
        <v>214</v>
      </c>
      <c r="B1886" s="43">
        <v>46000</v>
      </c>
      <c r="C1886" s="42" t="s">
        <v>42</v>
      </c>
      <c r="D1886" s="42" t="s">
        <v>43</v>
      </c>
      <c r="E1886" s="42" t="s">
        <v>16</v>
      </c>
      <c r="F1886" s="42">
        <v>40</v>
      </c>
      <c r="G1886" s="44">
        <v>1200000</v>
      </c>
      <c r="H1886" s="44">
        <v>48000000</v>
      </c>
      <c r="I1886" s="42" t="s">
        <v>2464</v>
      </c>
      <c r="J1886" s="42" t="s">
        <v>8</v>
      </c>
    </row>
    <row r="1887" spans="1:10" x14ac:dyDescent="0.3">
      <c r="A1887" s="42" t="s">
        <v>215</v>
      </c>
      <c r="B1887" s="43">
        <v>46000</v>
      </c>
      <c r="C1887" s="42" t="s">
        <v>44</v>
      </c>
      <c r="D1887" s="42" t="s">
        <v>45</v>
      </c>
      <c r="E1887" s="42" t="s">
        <v>16</v>
      </c>
      <c r="F1887" s="42">
        <v>18</v>
      </c>
      <c r="G1887" s="44">
        <v>250000</v>
      </c>
      <c r="H1887" s="44">
        <v>4500000</v>
      </c>
      <c r="I1887" s="42" t="s">
        <v>2494</v>
      </c>
      <c r="J1887" s="42" t="s">
        <v>8</v>
      </c>
    </row>
    <row r="1888" spans="1:10" x14ac:dyDescent="0.3">
      <c r="A1888" s="42" t="s">
        <v>228</v>
      </c>
      <c r="B1888" s="43">
        <v>46003</v>
      </c>
      <c r="C1888" s="42" t="s">
        <v>42</v>
      </c>
      <c r="D1888" s="42" t="s">
        <v>43</v>
      </c>
      <c r="E1888" s="42" t="s">
        <v>16</v>
      </c>
      <c r="F1888" s="42">
        <v>44</v>
      </c>
      <c r="G1888" s="44">
        <v>1200000</v>
      </c>
      <c r="H1888" s="44">
        <v>52800000</v>
      </c>
      <c r="I1888" s="42" t="s">
        <v>2424</v>
      </c>
      <c r="J1888" s="42" t="s">
        <v>60</v>
      </c>
    </row>
    <row r="1889" spans="1:10" x14ac:dyDescent="0.3">
      <c r="A1889" s="42" t="s">
        <v>237</v>
      </c>
      <c r="B1889" s="43">
        <v>46003</v>
      </c>
      <c r="C1889" s="42" t="s">
        <v>28</v>
      </c>
      <c r="D1889" s="42" t="s">
        <v>29</v>
      </c>
      <c r="E1889" s="42" t="s">
        <v>20</v>
      </c>
      <c r="F1889" s="42">
        <v>29</v>
      </c>
      <c r="G1889" s="44">
        <v>450000</v>
      </c>
      <c r="H1889" s="44">
        <v>13050000</v>
      </c>
      <c r="I1889" s="42" t="s">
        <v>2808</v>
      </c>
      <c r="J1889" s="42" t="s">
        <v>8</v>
      </c>
    </row>
    <row r="1890" spans="1:10" x14ac:dyDescent="0.3">
      <c r="A1890" s="42" t="s">
        <v>255</v>
      </c>
      <c r="B1890" s="43">
        <v>46003</v>
      </c>
      <c r="C1890" s="42" t="s">
        <v>14</v>
      </c>
      <c r="D1890" s="42" t="s">
        <v>15</v>
      </c>
      <c r="E1890" s="42" t="s">
        <v>16</v>
      </c>
      <c r="F1890" s="42">
        <v>45</v>
      </c>
      <c r="G1890" s="44">
        <v>350000</v>
      </c>
      <c r="H1890" s="44">
        <v>15750000</v>
      </c>
      <c r="I1890" s="42" t="s">
        <v>2263</v>
      </c>
      <c r="J1890" s="42" t="s">
        <v>8</v>
      </c>
    </row>
    <row r="1891" spans="1:10" x14ac:dyDescent="0.3">
      <c r="A1891" s="42" t="s">
        <v>256</v>
      </c>
      <c r="B1891" s="43">
        <v>46003</v>
      </c>
      <c r="C1891" s="42" t="s">
        <v>42</v>
      </c>
      <c r="D1891" s="42" t="s">
        <v>43</v>
      </c>
      <c r="E1891" s="42" t="s">
        <v>16</v>
      </c>
      <c r="F1891" s="42">
        <v>5</v>
      </c>
      <c r="G1891" s="44">
        <v>1200000</v>
      </c>
      <c r="H1891" s="44">
        <v>6000000</v>
      </c>
      <c r="I1891" s="42" t="s">
        <v>2129</v>
      </c>
      <c r="J1891" s="42" t="s">
        <v>8</v>
      </c>
    </row>
    <row r="1892" spans="1:10" x14ac:dyDescent="0.3">
      <c r="A1892" s="42" t="s">
        <v>257</v>
      </c>
      <c r="B1892" s="43">
        <v>46003</v>
      </c>
      <c r="C1892" s="42" t="s">
        <v>31</v>
      </c>
      <c r="D1892" s="42" t="s">
        <v>32</v>
      </c>
      <c r="E1892" s="42" t="s">
        <v>20</v>
      </c>
      <c r="F1892" s="42">
        <v>50</v>
      </c>
      <c r="G1892" s="44">
        <v>180000</v>
      </c>
      <c r="H1892" s="44">
        <v>9000000</v>
      </c>
      <c r="I1892" s="42" t="s">
        <v>2303</v>
      </c>
      <c r="J1892" s="42" t="s">
        <v>127</v>
      </c>
    </row>
    <row r="1893" spans="1:10" x14ac:dyDescent="0.3">
      <c r="A1893" s="42" t="s">
        <v>272</v>
      </c>
      <c r="B1893" s="43">
        <v>46003</v>
      </c>
      <c r="C1893" s="42" t="s">
        <v>10</v>
      </c>
      <c r="D1893" s="42" t="s">
        <v>11</v>
      </c>
      <c r="E1893" s="42" t="s">
        <v>12</v>
      </c>
      <c r="F1893" s="42">
        <v>12</v>
      </c>
      <c r="G1893" s="44">
        <v>120000</v>
      </c>
      <c r="H1893" s="44">
        <v>1440000</v>
      </c>
      <c r="I1893" s="42" t="s">
        <v>2409</v>
      </c>
      <c r="J1893" s="42" t="s">
        <v>69</v>
      </c>
    </row>
    <row r="1894" spans="1:10" x14ac:dyDescent="0.3">
      <c r="A1894" s="42" t="s">
        <v>273</v>
      </c>
      <c r="B1894" s="43">
        <v>46003</v>
      </c>
      <c r="C1894" s="42" t="s">
        <v>10</v>
      </c>
      <c r="D1894" s="42" t="s">
        <v>11</v>
      </c>
      <c r="E1894" s="42" t="s">
        <v>12</v>
      </c>
      <c r="F1894" s="42">
        <v>41</v>
      </c>
      <c r="G1894" s="44">
        <v>120000</v>
      </c>
      <c r="H1894" s="44">
        <v>4920000</v>
      </c>
      <c r="I1894" s="42" t="s">
        <v>2122</v>
      </c>
      <c r="J1894" s="42" t="s">
        <v>47</v>
      </c>
    </row>
    <row r="1895" spans="1:10" x14ac:dyDescent="0.3">
      <c r="A1895" s="42" t="s">
        <v>286</v>
      </c>
      <c r="B1895" s="43">
        <v>46003</v>
      </c>
      <c r="C1895" s="42" t="s">
        <v>42</v>
      </c>
      <c r="D1895" s="42" t="s">
        <v>43</v>
      </c>
      <c r="E1895" s="42" t="s">
        <v>16</v>
      </c>
      <c r="F1895" s="42">
        <v>6</v>
      </c>
      <c r="G1895" s="44">
        <v>1200000</v>
      </c>
      <c r="H1895" s="44">
        <v>7200000</v>
      </c>
      <c r="I1895" s="42" t="s">
        <v>2385</v>
      </c>
      <c r="J1895" s="42" t="s">
        <v>47</v>
      </c>
    </row>
    <row r="1896" spans="1:10" x14ac:dyDescent="0.3">
      <c r="A1896" s="42" t="s">
        <v>306</v>
      </c>
      <c r="B1896" s="43">
        <v>46003</v>
      </c>
      <c r="C1896" s="42" t="s">
        <v>10</v>
      </c>
      <c r="D1896" s="42" t="s">
        <v>11</v>
      </c>
      <c r="E1896" s="42" t="s">
        <v>12</v>
      </c>
      <c r="F1896" s="42">
        <v>29</v>
      </c>
      <c r="G1896" s="44">
        <v>120000</v>
      </c>
      <c r="H1896" s="44">
        <v>3480000</v>
      </c>
      <c r="I1896" s="42" t="s">
        <v>2366</v>
      </c>
      <c r="J1896" s="42" t="s">
        <v>8</v>
      </c>
    </row>
    <row r="1897" spans="1:10" x14ac:dyDescent="0.3">
      <c r="A1897" s="42" t="s">
        <v>323</v>
      </c>
      <c r="B1897" s="43">
        <v>46003</v>
      </c>
      <c r="C1897" s="42" t="s">
        <v>10</v>
      </c>
      <c r="D1897" s="42" t="s">
        <v>11</v>
      </c>
      <c r="E1897" s="42" t="s">
        <v>12</v>
      </c>
      <c r="F1897" s="42">
        <v>16</v>
      </c>
      <c r="G1897" s="44">
        <v>120000</v>
      </c>
      <c r="H1897" s="44">
        <v>1920000</v>
      </c>
      <c r="I1897" s="42" t="s">
        <v>2636</v>
      </c>
      <c r="J1897" s="42" t="s">
        <v>60</v>
      </c>
    </row>
    <row r="1898" spans="1:10" x14ac:dyDescent="0.3">
      <c r="A1898" s="42" t="s">
        <v>324</v>
      </c>
      <c r="B1898" s="43">
        <v>46003</v>
      </c>
      <c r="C1898" s="42" t="s">
        <v>10</v>
      </c>
      <c r="D1898" s="42" t="s">
        <v>11</v>
      </c>
      <c r="E1898" s="42" t="s">
        <v>12</v>
      </c>
      <c r="F1898" s="42">
        <v>44</v>
      </c>
      <c r="G1898" s="44">
        <v>120000</v>
      </c>
      <c r="H1898" s="44">
        <v>5280000</v>
      </c>
      <c r="I1898" s="42" t="s">
        <v>2401</v>
      </c>
      <c r="J1898" s="42" t="s">
        <v>47</v>
      </c>
    </row>
    <row r="1899" spans="1:10" x14ac:dyDescent="0.3">
      <c r="A1899" s="42" t="s">
        <v>336</v>
      </c>
      <c r="B1899" s="43">
        <v>46003</v>
      </c>
      <c r="C1899" s="42" t="s">
        <v>44</v>
      </c>
      <c r="D1899" s="42" t="s">
        <v>45</v>
      </c>
      <c r="E1899" s="42" t="s">
        <v>16</v>
      </c>
      <c r="F1899" s="42">
        <v>23</v>
      </c>
      <c r="G1899" s="44">
        <v>250000</v>
      </c>
      <c r="H1899" s="44">
        <v>5750000</v>
      </c>
      <c r="I1899" s="42" t="s">
        <v>2655</v>
      </c>
      <c r="J1899" s="42" t="s">
        <v>8</v>
      </c>
    </row>
    <row r="1900" spans="1:10" x14ac:dyDescent="0.3">
      <c r="A1900" s="42" t="s">
        <v>337</v>
      </c>
      <c r="B1900" s="43">
        <v>46007</v>
      </c>
      <c r="C1900" s="42" t="s">
        <v>42</v>
      </c>
      <c r="D1900" s="42" t="s">
        <v>43</v>
      </c>
      <c r="E1900" s="42" t="s">
        <v>16</v>
      </c>
      <c r="F1900" s="42">
        <v>7</v>
      </c>
      <c r="G1900" s="44">
        <v>1200000</v>
      </c>
      <c r="H1900" s="44">
        <v>8400000</v>
      </c>
      <c r="I1900" s="42" t="s">
        <v>2777</v>
      </c>
      <c r="J1900" s="42" t="s">
        <v>8</v>
      </c>
    </row>
    <row r="1901" spans="1:10" x14ac:dyDescent="0.3">
      <c r="A1901" s="42" t="s">
        <v>338</v>
      </c>
      <c r="B1901" s="43">
        <v>46007</v>
      </c>
      <c r="C1901" s="42" t="s">
        <v>40</v>
      </c>
      <c r="D1901" s="42" t="s">
        <v>41</v>
      </c>
      <c r="E1901" s="42" t="s">
        <v>16</v>
      </c>
      <c r="F1901" s="42">
        <v>33</v>
      </c>
      <c r="G1901" s="44">
        <v>950000</v>
      </c>
      <c r="H1901" s="44">
        <v>31350000</v>
      </c>
      <c r="I1901" s="42" t="s">
        <v>2153</v>
      </c>
      <c r="J1901" s="42" t="s">
        <v>127</v>
      </c>
    </row>
    <row r="1902" spans="1:10" x14ac:dyDescent="0.3">
      <c r="A1902" s="42" t="s">
        <v>354</v>
      </c>
      <c r="B1902" s="43">
        <v>46007</v>
      </c>
      <c r="C1902" s="42" t="s">
        <v>31</v>
      </c>
      <c r="D1902" s="42" t="s">
        <v>32</v>
      </c>
      <c r="E1902" s="42" t="s">
        <v>20</v>
      </c>
      <c r="F1902" s="42">
        <v>45</v>
      </c>
      <c r="G1902" s="44">
        <v>180000</v>
      </c>
      <c r="H1902" s="44">
        <v>8100000</v>
      </c>
      <c r="I1902" s="42" t="s">
        <v>2721</v>
      </c>
      <c r="J1902" s="42" t="s">
        <v>8</v>
      </c>
    </row>
    <row r="1903" spans="1:10" x14ac:dyDescent="0.3">
      <c r="A1903" s="42" t="s">
        <v>355</v>
      </c>
      <c r="B1903" s="43">
        <v>46007</v>
      </c>
      <c r="C1903" s="42" t="s">
        <v>22</v>
      </c>
      <c r="D1903" s="42" t="s">
        <v>23</v>
      </c>
      <c r="E1903" s="42" t="s">
        <v>12</v>
      </c>
      <c r="F1903" s="42">
        <v>19</v>
      </c>
      <c r="G1903" s="44">
        <v>25000</v>
      </c>
      <c r="H1903" s="44">
        <v>475000</v>
      </c>
      <c r="I1903" s="42" t="s">
        <v>2293</v>
      </c>
      <c r="J1903" s="42" t="s">
        <v>47</v>
      </c>
    </row>
    <row r="1904" spans="1:10" x14ac:dyDescent="0.3">
      <c r="A1904" s="42" t="s">
        <v>356</v>
      </c>
      <c r="B1904" s="43">
        <v>46007</v>
      </c>
      <c r="C1904" s="42" t="s">
        <v>40</v>
      </c>
      <c r="D1904" s="42" t="s">
        <v>41</v>
      </c>
      <c r="E1904" s="42" t="s">
        <v>16</v>
      </c>
      <c r="F1904" s="42">
        <v>125</v>
      </c>
      <c r="G1904" s="44">
        <v>950000</v>
      </c>
      <c r="H1904" s="44">
        <v>118750000</v>
      </c>
      <c r="I1904" s="42" t="s">
        <v>2776</v>
      </c>
      <c r="J1904" s="42" t="s">
        <v>8</v>
      </c>
    </row>
    <row r="1905" spans="1:10" x14ac:dyDescent="0.3">
      <c r="A1905" s="42" t="s">
        <v>357</v>
      </c>
      <c r="B1905" s="43">
        <v>46007</v>
      </c>
      <c r="C1905" s="42" t="s">
        <v>31</v>
      </c>
      <c r="D1905" s="42" t="s">
        <v>32</v>
      </c>
      <c r="E1905" s="42" t="s">
        <v>20</v>
      </c>
      <c r="F1905" s="42">
        <v>27</v>
      </c>
      <c r="G1905" s="44">
        <v>180000</v>
      </c>
      <c r="H1905" s="44">
        <v>4860000</v>
      </c>
      <c r="I1905" s="42" t="s">
        <v>2466</v>
      </c>
      <c r="J1905" s="42" t="s">
        <v>127</v>
      </c>
    </row>
    <row r="1906" spans="1:10" x14ac:dyDescent="0.3">
      <c r="A1906" s="42" t="s">
        <v>358</v>
      </c>
      <c r="B1906" s="43">
        <v>46007</v>
      </c>
      <c r="C1906" s="42" t="s">
        <v>40</v>
      </c>
      <c r="D1906" s="42" t="s">
        <v>41</v>
      </c>
      <c r="E1906" s="42" t="s">
        <v>16</v>
      </c>
      <c r="F1906" s="42">
        <v>10</v>
      </c>
      <c r="G1906" s="44">
        <v>950000</v>
      </c>
      <c r="H1906" s="44">
        <v>9500000</v>
      </c>
      <c r="I1906" s="42" t="s">
        <v>2544</v>
      </c>
      <c r="J1906" s="42" t="s">
        <v>60</v>
      </c>
    </row>
    <row r="1907" spans="1:10" x14ac:dyDescent="0.3">
      <c r="A1907" s="42" t="s">
        <v>376</v>
      </c>
      <c r="B1907" s="43">
        <v>46007</v>
      </c>
      <c r="C1907" s="42" t="s">
        <v>10</v>
      </c>
      <c r="D1907" s="42" t="s">
        <v>11</v>
      </c>
      <c r="E1907" s="42" t="s">
        <v>12</v>
      </c>
      <c r="F1907" s="42">
        <v>170</v>
      </c>
      <c r="G1907" s="44">
        <v>120000</v>
      </c>
      <c r="H1907" s="44">
        <v>20400000</v>
      </c>
      <c r="I1907" s="42" t="s">
        <v>2684</v>
      </c>
      <c r="J1907" s="42" t="s">
        <v>127</v>
      </c>
    </row>
    <row r="1908" spans="1:10" x14ac:dyDescent="0.3">
      <c r="A1908" s="42" t="s">
        <v>377</v>
      </c>
      <c r="B1908" s="43">
        <v>46007</v>
      </c>
      <c r="C1908" s="42" t="s">
        <v>22</v>
      </c>
      <c r="D1908" s="42" t="s">
        <v>23</v>
      </c>
      <c r="E1908" s="42" t="s">
        <v>12</v>
      </c>
      <c r="F1908" s="42">
        <v>24</v>
      </c>
      <c r="G1908" s="44">
        <v>25000</v>
      </c>
      <c r="H1908" s="44">
        <v>600000</v>
      </c>
      <c r="I1908" s="42" t="s">
        <v>2346</v>
      </c>
      <c r="J1908" s="42" t="s">
        <v>127</v>
      </c>
    </row>
    <row r="1909" spans="1:10" x14ac:dyDescent="0.3">
      <c r="A1909" s="42" t="s">
        <v>378</v>
      </c>
      <c r="B1909" s="43">
        <v>46007</v>
      </c>
      <c r="C1909" s="42" t="s">
        <v>40</v>
      </c>
      <c r="D1909" s="42" t="s">
        <v>41</v>
      </c>
      <c r="E1909" s="42" t="s">
        <v>16</v>
      </c>
      <c r="F1909" s="42">
        <v>150</v>
      </c>
      <c r="G1909" s="44">
        <v>950000</v>
      </c>
      <c r="H1909" s="44">
        <v>142500000</v>
      </c>
      <c r="I1909" s="42" t="s">
        <v>2686</v>
      </c>
      <c r="J1909" s="42" t="s">
        <v>8</v>
      </c>
    </row>
    <row r="1910" spans="1:10" x14ac:dyDescent="0.3">
      <c r="A1910" s="42" t="s">
        <v>396</v>
      </c>
      <c r="B1910" s="43">
        <v>46007</v>
      </c>
      <c r="C1910" s="42" t="s">
        <v>38</v>
      </c>
      <c r="D1910" s="42" t="s">
        <v>39</v>
      </c>
      <c r="E1910" s="42" t="s">
        <v>16</v>
      </c>
      <c r="F1910" s="42">
        <v>33</v>
      </c>
      <c r="G1910" s="44">
        <v>200000</v>
      </c>
      <c r="H1910" s="44">
        <v>6600000</v>
      </c>
      <c r="I1910" s="42" t="s">
        <v>2376</v>
      </c>
      <c r="J1910" s="42" t="s">
        <v>127</v>
      </c>
    </row>
    <row r="1911" spans="1:10" x14ac:dyDescent="0.3">
      <c r="A1911" s="42" t="s">
        <v>397</v>
      </c>
      <c r="B1911" s="43">
        <v>46007</v>
      </c>
      <c r="C1911" s="42" t="s">
        <v>28</v>
      </c>
      <c r="D1911" s="42" t="s">
        <v>29</v>
      </c>
      <c r="E1911" s="42" t="s">
        <v>20</v>
      </c>
      <c r="F1911" s="42">
        <v>36</v>
      </c>
      <c r="G1911" s="44">
        <v>450000</v>
      </c>
      <c r="H1911" s="44">
        <v>16200000</v>
      </c>
      <c r="I1911" s="42" t="s">
        <v>2538</v>
      </c>
      <c r="J1911" s="42" t="s">
        <v>127</v>
      </c>
    </row>
    <row r="1912" spans="1:10" x14ac:dyDescent="0.3">
      <c r="A1912" s="42" t="s">
        <v>398</v>
      </c>
      <c r="B1912" s="43">
        <v>46008</v>
      </c>
      <c r="C1912" s="42" t="s">
        <v>44</v>
      </c>
      <c r="D1912" s="42" t="s">
        <v>45</v>
      </c>
      <c r="E1912" s="42" t="s">
        <v>16</v>
      </c>
      <c r="F1912" s="42">
        <v>46</v>
      </c>
      <c r="G1912" s="44">
        <v>250000</v>
      </c>
      <c r="H1912" s="44">
        <v>11500000</v>
      </c>
      <c r="I1912" s="42" t="s">
        <v>2589</v>
      </c>
      <c r="J1912" s="42" t="s">
        <v>127</v>
      </c>
    </row>
    <row r="1913" spans="1:10" x14ac:dyDescent="0.3">
      <c r="A1913" s="42" t="s">
        <v>399</v>
      </c>
      <c r="B1913" s="43">
        <v>46008</v>
      </c>
      <c r="C1913" s="42" t="s">
        <v>44</v>
      </c>
      <c r="D1913" s="42" t="s">
        <v>45</v>
      </c>
      <c r="E1913" s="42" t="s">
        <v>16</v>
      </c>
      <c r="F1913" s="42">
        <v>47</v>
      </c>
      <c r="G1913" s="44">
        <v>250000</v>
      </c>
      <c r="H1913" s="44">
        <v>11750000</v>
      </c>
      <c r="I1913" s="42" t="s">
        <v>2708</v>
      </c>
      <c r="J1913" s="42" t="s">
        <v>60</v>
      </c>
    </row>
    <row r="1914" spans="1:10" x14ac:dyDescent="0.3">
      <c r="A1914" s="42" t="s">
        <v>400</v>
      </c>
      <c r="B1914" s="43">
        <v>46008</v>
      </c>
      <c r="C1914" s="42" t="s">
        <v>38</v>
      </c>
      <c r="D1914" s="42" t="s">
        <v>39</v>
      </c>
      <c r="E1914" s="42" t="s">
        <v>16</v>
      </c>
      <c r="F1914" s="42">
        <v>21</v>
      </c>
      <c r="G1914" s="44">
        <v>200000</v>
      </c>
      <c r="H1914" s="44">
        <v>4200000</v>
      </c>
      <c r="I1914" s="42" t="s">
        <v>2610</v>
      </c>
      <c r="J1914" s="42" t="s">
        <v>60</v>
      </c>
    </row>
    <row r="1915" spans="1:10" x14ac:dyDescent="0.3">
      <c r="A1915" s="42" t="s">
        <v>401</v>
      </c>
      <c r="B1915" s="43">
        <v>46008</v>
      </c>
      <c r="C1915" s="42" t="s">
        <v>18</v>
      </c>
      <c r="D1915" s="42" t="s">
        <v>19</v>
      </c>
      <c r="E1915" s="42" t="s">
        <v>20</v>
      </c>
      <c r="F1915" s="42">
        <v>18</v>
      </c>
      <c r="G1915" s="44">
        <v>500000</v>
      </c>
      <c r="H1915" s="44">
        <v>9000000</v>
      </c>
      <c r="I1915" s="42" t="s">
        <v>2282</v>
      </c>
      <c r="J1915" s="42" t="s">
        <v>69</v>
      </c>
    </row>
    <row r="1916" spans="1:10" x14ac:dyDescent="0.3">
      <c r="A1916" s="42" t="s">
        <v>416</v>
      </c>
      <c r="B1916" s="43">
        <v>46008</v>
      </c>
      <c r="C1916" s="42" t="s">
        <v>28</v>
      </c>
      <c r="D1916" s="42" t="s">
        <v>29</v>
      </c>
      <c r="E1916" s="42" t="s">
        <v>20</v>
      </c>
      <c r="F1916" s="42">
        <v>38</v>
      </c>
      <c r="G1916" s="44">
        <v>450000</v>
      </c>
      <c r="H1916" s="44">
        <v>17100000</v>
      </c>
      <c r="I1916" s="42" t="s">
        <v>2611</v>
      </c>
      <c r="J1916" s="42" t="s">
        <v>8</v>
      </c>
    </row>
    <row r="1917" spans="1:10" x14ac:dyDescent="0.3">
      <c r="A1917" s="42" t="s">
        <v>417</v>
      </c>
      <c r="B1917" s="43">
        <v>46008</v>
      </c>
      <c r="C1917" s="42" t="s">
        <v>28</v>
      </c>
      <c r="D1917" s="42" t="s">
        <v>29</v>
      </c>
      <c r="E1917" s="42" t="s">
        <v>20</v>
      </c>
      <c r="F1917" s="42">
        <v>41</v>
      </c>
      <c r="G1917" s="44">
        <v>450000</v>
      </c>
      <c r="H1917" s="44">
        <v>18450000</v>
      </c>
      <c r="I1917" s="42" t="s">
        <v>2808</v>
      </c>
      <c r="J1917" s="42" t="s">
        <v>8</v>
      </c>
    </row>
    <row r="1918" spans="1:10" x14ac:dyDescent="0.3">
      <c r="A1918" s="42" t="s">
        <v>432</v>
      </c>
      <c r="B1918" s="43">
        <v>46008</v>
      </c>
      <c r="C1918" s="42" t="s">
        <v>18</v>
      </c>
      <c r="D1918" s="42" t="s">
        <v>19</v>
      </c>
      <c r="E1918" s="42" t="s">
        <v>20</v>
      </c>
      <c r="F1918" s="42">
        <v>15</v>
      </c>
      <c r="G1918" s="44">
        <v>500000</v>
      </c>
      <c r="H1918" s="44">
        <v>7500000</v>
      </c>
      <c r="I1918" s="42" t="s">
        <v>2842</v>
      </c>
      <c r="J1918" s="42" t="s">
        <v>127</v>
      </c>
    </row>
    <row r="1919" spans="1:10" x14ac:dyDescent="0.3">
      <c r="A1919" s="42" t="s">
        <v>433</v>
      </c>
      <c r="B1919" s="43">
        <v>46010</v>
      </c>
      <c r="C1919" s="42" t="s">
        <v>40</v>
      </c>
      <c r="D1919" s="42" t="s">
        <v>41</v>
      </c>
      <c r="E1919" s="42" t="s">
        <v>16</v>
      </c>
      <c r="F1919" s="42">
        <v>8</v>
      </c>
      <c r="G1919" s="44">
        <v>950000</v>
      </c>
      <c r="H1919" s="44">
        <v>7600000</v>
      </c>
      <c r="I1919" s="42" t="s">
        <v>2669</v>
      </c>
      <c r="J1919" s="42" t="s">
        <v>8</v>
      </c>
    </row>
    <row r="1920" spans="1:10" x14ac:dyDescent="0.3">
      <c r="A1920" s="42" t="s">
        <v>434</v>
      </c>
      <c r="B1920" s="43">
        <v>46010</v>
      </c>
      <c r="C1920" s="42" t="s">
        <v>10</v>
      </c>
      <c r="D1920" s="42" t="s">
        <v>11</v>
      </c>
      <c r="E1920" s="42" t="s">
        <v>12</v>
      </c>
      <c r="F1920" s="42">
        <v>31</v>
      </c>
      <c r="G1920" s="44">
        <v>120000</v>
      </c>
      <c r="H1920" s="44">
        <v>3720000</v>
      </c>
      <c r="I1920" s="42" t="s">
        <v>2312</v>
      </c>
      <c r="J1920" s="42" t="s">
        <v>127</v>
      </c>
    </row>
    <row r="1921" spans="1:10" x14ac:dyDescent="0.3">
      <c r="A1921" s="42" t="s">
        <v>441</v>
      </c>
      <c r="B1921" s="43">
        <v>46010</v>
      </c>
      <c r="C1921" s="42" t="s">
        <v>22</v>
      </c>
      <c r="D1921" s="42" t="s">
        <v>23</v>
      </c>
      <c r="E1921" s="42" t="s">
        <v>12</v>
      </c>
      <c r="F1921" s="42">
        <v>16</v>
      </c>
      <c r="G1921" s="44">
        <v>25000</v>
      </c>
      <c r="H1921" s="44">
        <v>400000</v>
      </c>
      <c r="I1921" s="42" t="s">
        <v>2338</v>
      </c>
      <c r="J1921" s="42" t="s">
        <v>69</v>
      </c>
    </row>
    <row r="1922" spans="1:10" x14ac:dyDescent="0.3">
      <c r="A1922" s="42" t="s">
        <v>459</v>
      </c>
      <c r="B1922" s="43">
        <v>46010</v>
      </c>
      <c r="C1922" s="42" t="s">
        <v>14</v>
      </c>
      <c r="D1922" s="42" t="s">
        <v>15</v>
      </c>
      <c r="E1922" s="42" t="s">
        <v>16</v>
      </c>
      <c r="F1922" s="42">
        <v>290</v>
      </c>
      <c r="G1922" s="44">
        <v>350000</v>
      </c>
      <c r="H1922" s="44">
        <v>101500000</v>
      </c>
      <c r="I1922" s="42" t="s">
        <v>2245</v>
      </c>
      <c r="J1922" s="42" t="s">
        <v>127</v>
      </c>
    </row>
    <row r="1923" spans="1:10" x14ac:dyDescent="0.3">
      <c r="A1923" s="42" t="s">
        <v>460</v>
      </c>
      <c r="B1923" s="43">
        <v>46010</v>
      </c>
      <c r="C1923" s="42" t="s">
        <v>40</v>
      </c>
      <c r="D1923" s="42" t="s">
        <v>41</v>
      </c>
      <c r="E1923" s="42" t="s">
        <v>16</v>
      </c>
      <c r="F1923" s="42">
        <v>150</v>
      </c>
      <c r="G1923" s="44">
        <v>950000</v>
      </c>
      <c r="H1923" s="44">
        <v>142500000</v>
      </c>
      <c r="I1923" s="42" t="s">
        <v>2149</v>
      </c>
      <c r="J1923" s="42" t="s">
        <v>127</v>
      </c>
    </row>
    <row r="1924" spans="1:10" x14ac:dyDescent="0.3">
      <c r="A1924" s="42" t="s">
        <v>480</v>
      </c>
      <c r="B1924" s="43">
        <v>46010</v>
      </c>
      <c r="C1924" s="42" t="s">
        <v>22</v>
      </c>
      <c r="D1924" s="42" t="s">
        <v>23</v>
      </c>
      <c r="E1924" s="42" t="s">
        <v>12</v>
      </c>
      <c r="F1924" s="42">
        <v>19</v>
      </c>
      <c r="G1924" s="44">
        <v>25000</v>
      </c>
      <c r="H1924" s="44">
        <v>475000</v>
      </c>
      <c r="I1924" s="42" t="s">
        <v>2423</v>
      </c>
      <c r="J1924" s="42" t="s">
        <v>127</v>
      </c>
    </row>
    <row r="1925" spans="1:10" x14ac:dyDescent="0.3">
      <c r="A1925" s="42" t="s">
        <v>481</v>
      </c>
      <c r="B1925" s="43">
        <v>46010</v>
      </c>
      <c r="C1925" s="42" t="s">
        <v>44</v>
      </c>
      <c r="D1925" s="42" t="s">
        <v>45</v>
      </c>
      <c r="E1925" s="42" t="s">
        <v>16</v>
      </c>
      <c r="F1925" s="42">
        <v>26</v>
      </c>
      <c r="G1925" s="44">
        <v>250000</v>
      </c>
      <c r="H1925" s="44">
        <v>6500000</v>
      </c>
      <c r="I1925" s="42" t="s">
        <v>2592</v>
      </c>
      <c r="J1925" s="42" t="s">
        <v>8</v>
      </c>
    </row>
    <row r="1926" spans="1:10" x14ac:dyDescent="0.3">
      <c r="A1926" s="42" t="s">
        <v>482</v>
      </c>
      <c r="B1926" s="43">
        <v>46010</v>
      </c>
      <c r="C1926" s="42" t="s">
        <v>22</v>
      </c>
      <c r="D1926" s="42" t="s">
        <v>23</v>
      </c>
      <c r="E1926" s="42" t="s">
        <v>12</v>
      </c>
      <c r="F1926" s="42">
        <v>44</v>
      </c>
      <c r="G1926" s="44">
        <v>25000</v>
      </c>
      <c r="H1926" s="44">
        <v>1100000</v>
      </c>
      <c r="I1926" s="42" t="s">
        <v>2508</v>
      </c>
      <c r="J1926" s="42" t="s">
        <v>47</v>
      </c>
    </row>
    <row r="1927" spans="1:10" x14ac:dyDescent="0.3">
      <c r="A1927" s="42" t="s">
        <v>483</v>
      </c>
      <c r="B1927" s="43">
        <v>46010</v>
      </c>
      <c r="C1927" s="42" t="s">
        <v>14</v>
      </c>
      <c r="D1927" s="42" t="s">
        <v>15</v>
      </c>
      <c r="E1927" s="42" t="s">
        <v>16</v>
      </c>
      <c r="F1927" s="42">
        <v>9</v>
      </c>
      <c r="G1927" s="44">
        <v>350000</v>
      </c>
      <c r="H1927" s="44">
        <v>3150000</v>
      </c>
      <c r="I1927" s="42" t="s">
        <v>2122</v>
      </c>
      <c r="J1927" s="42" t="s">
        <v>47</v>
      </c>
    </row>
    <row r="1928" spans="1:10" x14ac:dyDescent="0.3">
      <c r="A1928" s="42" t="s">
        <v>484</v>
      </c>
      <c r="B1928" s="43">
        <v>46013</v>
      </c>
      <c r="C1928" s="42" t="s">
        <v>22</v>
      </c>
      <c r="D1928" s="42" t="s">
        <v>23</v>
      </c>
      <c r="E1928" s="42" t="s">
        <v>12</v>
      </c>
      <c r="F1928" s="42">
        <v>110</v>
      </c>
      <c r="G1928" s="44">
        <v>25000</v>
      </c>
      <c r="H1928" s="44">
        <v>2750000</v>
      </c>
      <c r="I1928" s="42" t="s">
        <v>2149</v>
      </c>
      <c r="J1928" s="42" t="s">
        <v>127</v>
      </c>
    </row>
    <row r="1929" spans="1:10" x14ac:dyDescent="0.3">
      <c r="A1929" s="42" t="s">
        <v>506</v>
      </c>
      <c r="B1929" s="43">
        <v>46013</v>
      </c>
      <c r="C1929" s="42" t="s">
        <v>18</v>
      </c>
      <c r="D1929" s="42" t="s">
        <v>19</v>
      </c>
      <c r="E1929" s="42" t="s">
        <v>20</v>
      </c>
      <c r="F1929" s="42">
        <v>14</v>
      </c>
      <c r="G1929" s="44">
        <v>500000</v>
      </c>
      <c r="H1929" s="44">
        <v>7000000</v>
      </c>
      <c r="I1929" s="42" t="s">
        <v>2752</v>
      </c>
      <c r="J1929" s="42" t="s">
        <v>127</v>
      </c>
    </row>
    <row r="1930" spans="1:10" x14ac:dyDescent="0.3">
      <c r="A1930" s="42" t="s">
        <v>507</v>
      </c>
      <c r="B1930" s="43">
        <v>46013</v>
      </c>
      <c r="C1930" s="42" t="s">
        <v>28</v>
      </c>
      <c r="D1930" s="42" t="s">
        <v>29</v>
      </c>
      <c r="E1930" s="42" t="s">
        <v>20</v>
      </c>
      <c r="F1930" s="42">
        <v>290</v>
      </c>
      <c r="G1930" s="44">
        <v>450000</v>
      </c>
      <c r="H1930" s="44">
        <v>130500000</v>
      </c>
      <c r="I1930" s="42" t="s">
        <v>2688</v>
      </c>
      <c r="J1930" s="42" t="s">
        <v>60</v>
      </c>
    </row>
    <row r="1931" spans="1:10" x14ac:dyDescent="0.3">
      <c r="A1931" s="42" t="s">
        <v>508</v>
      </c>
      <c r="B1931" s="43">
        <v>46013</v>
      </c>
      <c r="C1931" s="42" t="s">
        <v>44</v>
      </c>
      <c r="D1931" s="42" t="s">
        <v>45</v>
      </c>
      <c r="E1931" s="42" t="s">
        <v>16</v>
      </c>
      <c r="F1931" s="42">
        <v>29</v>
      </c>
      <c r="G1931" s="44">
        <v>250000</v>
      </c>
      <c r="H1931" s="44">
        <v>7250000</v>
      </c>
      <c r="I1931" s="42" t="s">
        <v>2828</v>
      </c>
      <c r="J1931" s="42" t="s">
        <v>127</v>
      </c>
    </row>
    <row r="1932" spans="1:10" x14ac:dyDescent="0.3">
      <c r="A1932" s="42" t="s">
        <v>509</v>
      </c>
      <c r="B1932" s="43">
        <v>46013</v>
      </c>
      <c r="C1932" s="42" t="s">
        <v>14</v>
      </c>
      <c r="D1932" s="42" t="s">
        <v>15</v>
      </c>
      <c r="E1932" s="42" t="s">
        <v>16</v>
      </c>
      <c r="F1932" s="42">
        <v>10</v>
      </c>
      <c r="G1932" s="44">
        <v>350000</v>
      </c>
      <c r="H1932" s="44">
        <v>3500000</v>
      </c>
      <c r="I1932" s="42" t="s">
        <v>2626</v>
      </c>
      <c r="J1932" s="42" t="s">
        <v>8</v>
      </c>
    </row>
    <row r="1933" spans="1:10" x14ac:dyDescent="0.3">
      <c r="A1933" s="42" t="s">
        <v>510</v>
      </c>
      <c r="B1933" s="43">
        <v>46013</v>
      </c>
      <c r="C1933" s="42" t="s">
        <v>38</v>
      </c>
      <c r="D1933" s="42" t="s">
        <v>39</v>
      </c>
      <c r="E1933" s="42" t="s">
        <v>16</v>
      </c>
      <c r="F1933" s="42">
        <v>43</v>
      </c>
      <c r="G1933" s="44">
        <v>200000</v>
      </c>
      <c r="H1933" s="44">
        <v>8600000</v>
      </c>
      <c r="I1933" s="42" t="s">
        <v>1899</v>
      </c>
      <c r="J1933" s="42" t="s">
        <v>127</v>
      </c>
    </row>
    <row r="1934" spans="1:10" x14ac:dyDescent="0.3">
      <c r="A1934" s="42" t="s">
        <v>511</v>
      </c>
      <c r="B1934" s="43">
        <v>46013</v>
      </c>
      <c r="C1934" s="42" t="s">
        <v>14</v>
      </c>
      <c r="D1934" s="42" t="s">
        <v>15</v>
      </c>
      <c r="E1934" s="42" t="s">
        <v>16</v>
      </c>
      <c r="F1934" s="42">
        <v>9</v>
      </c>
      <c r="G1934" s="44">
        <v>350000</v>
      </c>
      <c r="H1934" s="44">
        <v>3150000</v>
      </c>
      <c r="I1934" s="42" t="s">
        <v>2519</v>
      </c>
      <c r="J1934" s="42" t="s">
        <v>127</v>
      </c>
    </row>
    <row r="1935" spans="1:10" x14ac:dyDescent="0.3">
      <c r="A1935" s="42" t="s">
        <v>525</v>
      </c>
      <c r="B1935" s="43">
        <v>46013</v>
      </c>
      <c r="C1935" s="42" t="s">
        <v>10</v>
      </c>
      <c r="D1935" s="42" t="s">
        <v>11</v>
      </c>
      <c r="E1935" s="42" t="s">
        <v>12</v>
      </c>
      <c r="F1935" s="42">
        <v>45</v>
      </c>
      <c r="G1935" s="44">
        <v>120000</v>
      </c>
      <c r="H1935" s="44">
        <v>5400000</v>
      </c>
      <c r="I1935" s="42" t="s">
        <v>2484</v>
      </c>
      <c r="J1935" s="42" t="s">
        <v>60</v>
      </c>
    </row>
    <row r="1936" spans="1:10" x14ac:dyDescent="0.3">
      <c r="A1936" s="42" t="s">
        <v>526</v>
      </c>
      <c r="B1936" s="43">
        <v>46013</v>
      </c>
      <c r="C1936" s="42" t="s">
        <v>22</v>
      </c>
      <c r="D1936" s="42" t="s">
        <v>23</v>
      </c>
      <c r="E1936" s="42" t="s">
        <v>12</v>
      </c>
      <c r="F1936" s="42">
        <v>12</v>
      </c>
      <c r="G1936" s="44">
        <v>25000</v>
      </c>
      <c r="H1936" s="44">
        <v>300000</v>
      </c>
      <c r="I1936" s="42" t="s">
        <v>2570</v>
      </c>
      <c r="J1936" s="42" t="s">
        <v>8</v>
      </c>
    </row>
    <row r="1937" spans="1:10" x14ac:dyDescent="0.3">
      <c r="A1937" s="42" t="s">
        <v>527</v>
      </c>
      <c r="B1937" s="43">
        <v>46013</v>
      </c>
      <c r="C1937" s="42" t="s">
        <v>10</v>
      </c>
      <c r="D1937" s="42" t="s">
        <v>11</v>
      </c>
      <c r="E1937" s="42" t="s">
        <v>12</v>
      </c>
      <c r="F1937" s="42">
        <v>49</v>
      </c>
      <c r="G1937" s="44">
        <v>120000</v>
      </c>
      <c r="H1937" s="44">
        <v>5880000</v>
      </c>
      <c r="I1937" s="42" t="s">
        <v>2120</v>
      </c>
      <c r="J1937" s="42" t="s">
        <v>8</v>
      </c>
    </row>
    <row r="1938" spans="1:10" x14ac:dyDescent="0.3">
      <c r="A1938" s="42" t="s">
        <v>528</v>
      </c>
      <c r="B1938" s="43">
        <v>46013</v>
      </c>
      <c r="C1938" s="42" t="s">
        <v>40</v>
      </c>
      <c r="D1938" s="42" t="s">
        <v>41</v>
      </c>
      <c r="E1938" s="42" t="s">
        <v>16</v>
      </c>
      <c r="F1938" s="42">
        <v>15</v>
      </c>
      <c r="G1938" s="44">
        <v>950000</v>
      </c>
      <c r="H1938" s="44">
        <v>14250000</v>
      </c>
      <c r="I1938" s="42" t="s">
        <v>2247</v>
      </c>
      <c r="J1938" s="42" t="s">
        <v>8</v>
      </c>
    </row>
    <row r="1939" spans="1:10" x14ac:dyDescent="0.3">
      <c r="A1939" s="42" t="s">
        <v>529</v>
      </c>
      <c r="B1939" s="43">
        <v>46013</v>
      </c>
      <c r="C1939" s="42" t="s">
        <v>28</v>
      </c>
      <c r="D1939" s="42" t="s">
        <v>29</v>
      </c>
      <c r="E1939" s="42" t="s">
        <v>20</v>
      </c>
      <c r="F1939" s="42">
        <v>18</v>
      </c>
      <c r="G1939" s="44">
        <v>450000</v>
      </c>
      <c r="H1939" s="44">
        <v>8100000</v>
      </c>
      <c r="I1939" s="42" t="s">
        <v>2471</v>
      </c>
      <c r="J1939" s="42" t="s">
        <v>47</v>
      </c>
    </row>
    <row r="1940" spans="1:10" x14ac:dyDescent="0.3">
      <c r="A1940" s="42" t="s">
        <v>530</v>
      </c>
      <c r="B1940" s="43">
        <v>46013</v>
      </c>
      <c r="C1940" s="42" t="s">
        <v>31</v>
      </c>
      <c r="D1940" s="42" t="s">
        <v>32</v>
      </c>
      <c r="E1940" s="42" t="s">
        <v>20</v>
      </c>
      <c r="F1940" s="42">
        <v>450</v>
      </c>
      <c r="G1940" s="44">
        <v>180000</v>
      </c>
      <c r="H1940" s="44">
        <v>81000000</v>
      </c>
      <c r="I1940" s="42" t="s">
        <v>2695</v>
      </c>
      <c r="J1940" s="42" t="s">
        <v>8</v>
      </c>
    </row>
    <row r="1941" spans="1:10" x14ac:dyDescent="0.3">
      <c r="A1941" s="42" t="s">
        <v>531</v>
      </c>
      <c r="B1941" s="43">
        <v>46013</v>
      </c>
      <c r="C1941" s="42" t="s">
        <v>18</v>
      </c>
      <c r="D1941" s="42" t="s">
        <v>19</v>
      </c>
      <c r="E1941" s="42" t="s">
        <v>20</v>
      </c>
      <c r="F1941" s="42">
        <v>33</v>
      </c>
      <c r="G1941" s="44">
        <v>500000</v>
      </c>
      <c r="H1941" s="44">
        <v>16500000</v>
      </c>
      <c r="I1941" s="42" t="s">
        <v>2420</v>
      </c>
      <c r="J1941" s="42" t="s">
        <v>127</v>
      </c>
    </row>
    <row r="1942" spans="1:10" x14ac:dyDescent="0.3">
      <c r="A1942" s="42" t="s">
        <v>532</v>
      </c>
      <c r="B1942" s="43">
        <v>46014</v>
      </c>
      <c r="C1942" s="42" t="s">
        <v>40</v>
      </c>
      <c r="D1942" s="42" t="s">
        <v>41</v>
      </c>
      <c r="E1942" s="42" t="s">
        <v>16</v>
      </c>
      <c r="F1942" s="42">
        <v>37</v>
      </c>
      <c r="G1942" s="44">
        <v>950000</v>
      </c>
      <c r="H1942" s="44">
        <v>35150000</v>
      </c>
      <c r="I1942" s="42" t="s">
        <v>1756</v>
      </c>
      <c r="J1942" s="42" t="s">
        <v>8</v>
      </c>
    </row>
    <row r="1943" spans="1:10" x14ac:dyDescent="0.3">
      <c r="A1943" s="42" t="s">
        <v>554</v>
      </c>
      <c r="B1943" s="43">
        <v>46014</v>
      </c>
      <c r="C1943" s="42" t="s">
        <v>28</v>
      </c>
      <c r="D1943" s="42" t="s">
        <v>29</v>
      </c>
      <c r="E1943" s="42" t="s">
        <v>20</v>
      </c>
      <c r="F1943" s="42">
        <v>7</v>
      </c>
      <c r="G1943" s="44">
        <v>450000</v>
      </c>
      <c r="H1943" s="44">
        <v>3150000</v>
      </c>
      <c r="I1943" s="42" t="s">
        <v>2188</v>
      </c>
      <c r="J1943" s="42" t="s">
        <v>8</v>
      </c>
    </row>
    <row r="1944" spans="1:10" x14ac:dyDescent="0.3">
      <c r="A1944" s="42" t="s">
        <v>555</v>
      </c>
      <c r="B1944" s="43">
        <v>46014</v>
      </c>
      <c r="C1944" s="42" t="s">
        <v>22</v>
      </c>
      <c r="D1944" s="42" t="s">
        <v>23</v>
      </c>
      <c r="E1944" s="42" t="s">
        <v>12</v>
      </c>
      <c r="F1944" s="42">
        <v>22</v>
      </c>
      <c r="G1944" s="44">
        <v>25000</v>
      </c>
      <c r="H1944" s="44">
        <v>550000</v>
      </c>
      <c r="I1944" s="42" t="s">
        <v>2706</v>
      </c>
      <c r="J1944" s="42" t="s">
        <v>60</v>
      </c>
    </row>
    <row r="1945" spans="1:10" x14ac:dyDescent="0.3">
      <c r="A1945" s="42" t="s">
        <v>556</v>
      </c>
      <c r="B1945" s="43">
        <v>46014</v>
      </c>
      <c r="C1945" s="42" t="s">
        <v>40</v>
      </c>
      <c r="D1945" s="42" t="s">
        <v>41</v>
      </c>
      <c r="E1945" s="42" t="s">
        <v>16</v>
      </c>
      <c r="F1945" s="42">
        <v>25</v>
      </c>
      <c r="G1945" s="44">
        <v>950000</v>
      </c>
      <c r="H1945" s="44">
        <v>23750000</v>
      </c>
      <c r="I1945" s="42" t="s">
        <v>2663</v>
      </c>
      <c r="J1945" s="42" t="s">
        <v>8</v>
      </c>
    </row>
    <row r="1946" spans="1:10" x14ac:dyDescent="0.3">
      <c r="A1946" s="42" t="s">
        <v>571</v>
      </c>
      <c r="B1946" s="43">
        <v>46014</v>
      </c>
      <c r="C1946" s="42" t="s">
        <v>14</v>
      </c>
      <c r="D1946" s="42" t="s">
        <v>15</v>
      </c>
      <c r="E1946" s="42" t="s">
        <v>16</v>
      </c>
      <c r="F1946" s="42">
        <v>26</v>
      </c>
      <c r="G1946" s="44">
        <v>350000</v>
      </c>
      <c r="H1946" s="44">
        <v>9100000</v>
      </c>
      <c r="I1946" s="42" t="s">
        <v>2391</v>
      </c>
      <c r="J1946" s="42" t="s">
        <v>127</v>
      </c>
    </row>
    <row r="1947" spans="1:10" x14ac:dyDescent="0.3">
      <c r="A1947" s="42" t="s">
        <v>572</v>
      </c>
      <c r="B1947" s="43">
        <v>46014</v>
      </c>
      <c r="C1947" s="42" t="s">
        <v>14</v>
      </c>
      <c r="D1947" s="42" t="s">
        <v>15</v>
      </c>
      <c r="E1947" s="42" t="s">
        <v>16</v>
      </c>
      <c r="F1947" s="42">
        <v>42</v>
      </c>
      <c r="G1947" s="44">
        <v>350000</v>
      </c>
      <c r="H1947" s="44">
        <v>14700000</v>
      </c>
      <c r="I1947" s="42" t="s">
        <v>2359</v>
      </c>
      <c r="J1947" s="42" t="s">
        <v>127</v>
      </c>
    </row>
    <row r="1948" spans="1:10" x14ac:dyDescent="0.3">
      <c r="A1948" s="42" t="s">
        <v>595</v>
      </c>
      <c r="B1948" s="43">
        <v>46014</v>
      </c>
      <c r="C1948" s="42" t="s">
        <v>18</v>
      </c>
      <c r="D1948" s="42" t="s">
        <v>19</v>
      </c>
      <c r="E1948" s="42" t="s">
        <v>20</v>
      </c>
      <c r="F1948" s="42">
        <v>28</v>
      </c>
      <c r="G1948" s="44">
        <v>500000</v>
      </c>
      <c r="H1948" s="44">
        <v>14000000</v>
      </c>
      <c r="I1948" s="42" t="s">
        <v>2724</v>
      </c>
      <c r="J1948" s="42" t="s">
        <v>47</v>
      </c>
    </row>
    <row r="1949" spans="1:10" x14ac:dyDescent="0.3">
      <c r="A1949" s="42" t="s">
        <v>608</v>
      </c>
      <c r="B1949" s="43">
        <v>46014</v>
      </c>
      <c r="C1949" s="42" t="s">
        <v>31</v>
      </c>
      <c r="D1949" s="42" t="s">
        <v>32</v>
      </c>
      <c r="E1949" s="42" t="s">
        <v>20</v>
      </c>
      <c r="F1949" s="42">
        <v>7</v>
      </c>
      <c r="G1949" s="44">
        <v>180000</v>
      </c>
      <c r="H1949" s="44">
        <v>1260000</v>
      </c>
      <c r="I1949" s="42" t="s">
        <v>2844</v>
      </c>
      <c r="J1949" s="42" t="s">
        <v>47</v>
      </c>
    </row>
    <row r="1950" spans="1:10" x14ac:dyDescent="0.3">
      <c r="A1950" s="42" t="s">
        <v>609</v>
      </c>
      <c r="B1950" s="43">
        <v>46014</v>
      </c>
      <c r="C1950" s="42" t="s">
        <v>18</v>
      </c>
      <c r="D1950" s="42" t="s">
        <v>19</v>
      </c>
      <c r="E1950" s="42" t="s">
        <v>20</v>
      </c>
      <c r="F1950" s="42">
        <v>39</v>
      </c>
      <c r="G1950" s="44">
        <v>500000</v>
      </c>
      <c r="H1950" s="44">
        <v>19500000</v>
      </c>
      <c r="I1950" s="42" t="s">
        <v>2153</v>
      </c>
      <c r="J1950" s="42" t="s">
        <v>127</v>
      </c>
    </row>
    <row r="1951" spans="1:10" x14ac:dyDescent="0.3">
      <c r="A1951" s="42" t="s">
        <v>610</v>
      </c>
      <c r="B1951" s="43">
        <v>46014</v>
      </c>
      <c r="C1951" s="42" t="s">
        <v>31</v>
      </c>
      <c r="D1951" s="42" t="s">
        <v>32</v>
      </c>
      <c r="E1951" s="42" t="s">
        <v>20</v>
      </c>
      <c r="F1951" s="42">
        <v>48</v>
      </c>
      <c r="G1951" s="44">
        <v>180000</v>
      </c>
      <c r="H1951" s="44">
        <v>8640000</v>
      </c>
      <c r="I1951" s="42" t="s">
        <v>2575</v>
      </c>
      <c r="J1951" s="42" t="s">
        <v>8</v>
      </c>
    </row>
    <row r="1952" spans="1:10" x14ac:dyDescent="0.3">
      <c r="A1952" s="42" t="s">
        <v>611</v>
      </c>
      <c r="B1952" s="43">
        <v>46014</v>
      </c>
      <c r="C1952" s="42" t="s">
        <v>22</v>
      </c>
      <c r="D1952" s="42" t="s">
        <v>23</v>
      </c>
      <c r="E1952" s="42" t="s">
        <v>12</v>
      </c>
      <c r="F1952" s="42">
        <v>80</v>
      </c>
      <c r="G1952" s="44">
        <v>25000</v>
      </c>
      <c r="H1952" s="44">
        <v>2000000</v>
      </c>
      <c r="I1952" s="42" t="s">
        <v>2686</v>
      </c>
      <c r="J1952" s="42" t="s">
        <v>8</v>
      </c>
    </row>
    <row r="1953" spans="1:10" x14ac:dyDescent="0.3">
      <c r="A1953" s="42" t="s">
        <v>612</v>
      </c>
      <c r="B1953" s="43">
        <v>46014</v>
      </c>
      <c r="C1953" s="42" t="s">
        <v>14</v>
      </c>
      <c r="D1953" s="42" t="s">
        <v>15</v>
      </c>
      <c r="E1953" s="42" t="s">
        <v>16</v>
      </c>
      <c r="F1953" s="42">
        <v>25</v>
      </c>
      <c r="G1953" s="44">
        <v>350000</v>
      </c>
      <c r="H1953" s="44">
        <v>8750000</v>
      </c>
      <c r="I1953" s="42" t="s">
        <v>2347</v>
      </c>
      <c r="J1953" s="42" t="s">
        <v>69</v>
      </c>
    </row>
    <row r="1954" spans="1:10" x14ac:dyDescent="0.3">
      <c r="A1954" s="42" t="s">
        <v>613</v>
      </c>
      <c r="B1954" s="43">
        <v>46014</v>
      </c>
      <c r="C1954" s="42" t="s">
        <v>44</v>
      </c>
      <c r="D1954" s="42" t="s">
        <v>45</v>
      </c>
      <c r="E1954" s="42" t="s">
        <v>16</v>
      </c>
      <c r="F1954" s="42">
        <v>47</v>
      </c>
      <c r="G1954" s="44">
        <v>250000</v>
      </c>
      <c r="H1954" s="44">
        <v>11750000</v>
      </c>
      <c r="I1954" s="42" t="s">
        <v>2140</v>
      </c>
      <c r="J1954" s="42" t="s">
        <v>127</v>
      </c>
    </row>
    <row r="1955" spans="1:10" x14ac:dyDescent="0.3">
      <c r="A1955" s="42" t="s">
        <v>614</v>
      </c>
      <c r="B1955" s="43">
        <v>46015</v>
      </c>
      <c r="C1955" s="42" t="s">
        <v>18</v>
      </c>
      <c r="D1955" s="42" t="s">
        <v>19</v>
      </c>
      <c r="E1955" s="42" t="s">
        <v>20</v>
      </c>
      <c r="F1955" s="42">
        <v>12</v>
      </c>
      <c r="G1955" s="44">
        <v>500000</v>
      </c>
      <c r="H1955" s="44">
        <v>6000000</v>
      </c>
      <c r="I1955" s="42" t="s">
        <v>2820</v>
      </c>
      <c r="J1955" s="42" t="s">
        <v>127</v>
      </c>
    </row>
    <row r="1956" spans="1:10" x14ac:dyDescent="0.3">
      <c r="A1956" s="42" t="s">
        <v>637</v>
      </c>
      <c r="B1956" s="43">
        <v>46015</v>
      </c>
      <c r="C1956" s="42" t="s">
        <v>22</v>
      </c>
      <c r="D1956" s="42" t="s">
        <v>23</v>
      </c>
      <c r="E1956" s="42" t="s">
        <v>12</v>
      </c>
      <c r="F1956" s="42">
        <v>47</v>
      </c>
      <c r="G1956" s="44">
        <v>25000</v>
      </c>
      <c r="H1956" s="44">
        <v>1175000</v>
      </c>
      <c r="I1956" s="42" t="s">
        <v>2565</v>
      </c>
      <c r="J1956" s="42" t="s">
        <v>8</v>
      </c>
    </row>
    <row r="1957" spans="1:10" x14ac:dyDescent="0.3">
      <c r="A1957" s="42" t="s">
        <v>638</v>
      </c>
      <c r="B1957" s="43">
        <v>46015</v>
      </c>
      <c r="C1957" s="42" t="s">
        <v>44</v>
      </c>
      <c r="D1957" s="42" t="s">
        <v>45</v>
      </c>
      <c r="E1957" s="42" t="s">
        <v>16</v>
      </c>
      <c r="F1957" s="42">
        <v>27</v>
      </c>
      <c r="G1957" s="44">
        <v>250000</v>
      </c>
      <c r="H1957" s="44">
        <v>6750000</v>
      </c>
      <c r="I1957" s="42" t="s">
        <v>2756</v>
      </c>
      <c r="J1957" s="42" t="s">
        <v>47</v>
      </c>
    </row>
    <row r="1958" spans="1:10" x14ac:dyDescent="0.3">
      <c r="A1958" s="42" t="s">
        <v>639</v>
      </c>
      <c r="B1958" s="43">
        <v>46015</v>
      </c>
      <c r="C1958" s="42" t="s">
        <v>28</v>
      </c>
      <c r="D1958" s="42" t="s">
        <v>29</v>
      </c>
      <c r="E1958" s="42" t="s">
        <v>20</v>
      </c>
      <c r="F1958" s="42">
        <v>26</v>
      </c>
      <c r="G1958" s="44">
        <v>450000</v>
      </c>
      <c r="H1958" s="44">
        <v>11700000</v>
      </c>
      <c r="I1958" s="42" t="s">
        <v>2606</v>
      </c>
      <c r="J1958" s="42" t="s">
        <v>47</v>
      </c>
    </row>
    <row r="1959" spans="1:10" x14ac:dyDescent="0.3">
      <c r="A1959" s="42" t="s">
        <v>640</v>
      </c>
      <c r="B1959" s="43">
        <v>46015</v>
      </c>
      <c r="C1959" s="42" t="s">
        <v>28</v>
      </c>
      <c r="D1959" s="42" t="s">
        <v>29</v>
      </c>
      <c r="E1959" s="42" t="s">
        <v>20</v>
      </c>
      <c r="F1959" s="42">
        <v>43</v>
      </c>
      <c r="G1959" s="44">
        <v>450000</v>
      </c>
      <c r="H1959" s="44">
        <v>19350000</v>
      </c>
      <c r="I1959" s="42" t="s">
        <v>2698</v>
      </c>
      <c r="J1959" s="42" t="s">
        <v>8</v>
      </c>
    </row>
    <row r="1960" spans="1:10" x14ac:dyDescent="0.3">
      <c r="A1960" s="42" t="s">
        <v>641</v>
      </c>
      <c r="B1960" s="43">
        <v>46015</v>
      </c>
      <c r="C1960" s="42" t="s">
        <v>31</v>
      </c>
      <c r="D1960" s="42" t="s">
        <v>32</v>
      </c>
      <c r="E1960" s="42" t="s">
        <v>20</v>
      </c>
      <c r="F1960" s="42">
        <v>38</v>
      </c>
      <c r="G1960" s="44">
        <v>180000</v>
      </c>
      <c r="H1960" s="44">
        <v>6840000</v>
      </c>
      <c r="I1960" s="42" t="s">
        <v>2462</v>
      </c>
      <c r="J1960" s="42" t="s">
        <v>60</v>
      </c>
    </row>
    <row r="1961" spans="1:10" x14ac:dyDescent="0.3">
      <c r="A1961" s="42" t="s">
        <v>667</v>
      </c>
      <c r="B1961" s="43">
        <v>46015</v>
      </c>
      <c r="C1961" s="42" t="s">
        <v>22</v>
      </c>
      <c r="D1961" s="42" t="s">
        <v>23</v>
      </c>
      <c r="E1961" s="42" t="s">
        <v>12</v>
      </c>
      <c r="F1961" s="42">
        <v>46</v>
      </c>
      <c r="G1961" s="44">
        <v>25000</v>
      </c>
      <c r="H1961" s="44">
        <v>1150000</v>
      </c>
      <c r="I1961" s="42" t="s">
        <v>287</v>
      </c>
      <c r="J1961" s="42" t="s">
        <v>69</v>
      </c>
    </row>
    <row r="1962" spans="1:10" x14ac:dyDescent="0.3">
      <c r="A1962" s="42" t="s">
        <v>668</v>
      </c>
      <c r="B1962" s="43">
        <v>46015</v>
      </c>
      <c r="C1962" s="42" t="s">
        <v>42</v>
      </c>
      <c r="D1962" s="42" t="s">
        <v>43</v>
      </c>
      <c r="E1962" s="42" t="s">
        <v>16</v>
      </c>
      <c r="F1962" s="42">
        <v>230</v>
      </c>
      <c r="G1962" s="44">
        <v>1200000</v>
      </c>
      <c r="H1962" s="44">
        <v>276000000</v>
      </c>
      <c r="I1962" s="42" t="s">
        <v>2577</v>
      </c>
      <c r="J1962" s="42" t="s">
        <v>47</v>
      </c>
    </row>
    <row r="1963" spans="1:10" x14ac:dyDescent="0.3">
      <c r="A1963" s="42" t="s">
        <v>669</v>
      </c>
      <c r="B1963" s="43">
        <v>46015</v>
      </c>
      <c r="C1963" s="42" t="s">
        <v>14</v>
      </c>
      <c r="D1963" s="42" t="s">
        <v>15</v>
      </c>
      <c r="E1963" s="42" t="s">
        <v>16</v>
      </c>
      <c r="F1963" s="42">
        <v>30</v>
      </c>
      <c r="G1963" s="44">
        <v>350000</v>
      </c>
      <c r="H1963" s="44">
        <v>10500000</v>
      </c>
      <c r="I1963" s="42" t="s">
        <v>2746</v>
      </c>
      <c r="J1963" s="42" t="s">
        <v>127</v>
      </c>
    </row>
    <row r="1964" spans="1:10" x14ac:dyDescent="0.3">
      <c r="A1964" s="42" t="s">
        <v>705</v>
      </c>
      <c r="B1964" s="43">
        <v>46015</v>
      </c>
      <c r="C1964" s="42" t="s">
        <v>31</v>
      </c>
      <c r="D1964" s="42" t="s">
        <v>32</v>
      </c>
      <c r="E1964" s="42" t="s">
        <v>20</v>
      </c>
      <c r="F1964" s="42">
        <v>16</v>
      </c>
      <c r="G1964" s="44">
        <v>180000</v>
      </c>
      <c r="H1964" s="44">
        <v>2880000</v>
      </c>
      <c r="I1964" s="42" t="s">
        <v>2155</v>
      </c>
      <c r="J1964" s="42" t="s">
        <v>69</v>
      </c>
    </row>
    <row r="1965" spans="1:10" x14ac:dyDescent="0.3">
      <c r="A1965" s="42" t="s">
        <v>706</v>
      </c>
      <c r="B1965" s="43">
        <v>46015</v>
      </c>
      <c r="C1965" s="42" t="s">
        <v>31</v>
      </c>
      <c r="D1965" s="42" t="s">
        <v>32</v>
      </c>
      <c r="E1965" s="42" t="s">
        <v>20</v>
      </c>
      <c r="F1965" s="42">
        <v>7</v>
      </c>
      <c r="G1965" s="44">
        <v>180000</v>
      </c>
      <c r="H1965" s="44">
        <v>1260000</v>
      </c>
      <c r="I1965" s="42" t="s">
        <v>2781</v>
      </c>
      <c r="J1965" s="42" t="s">
        <v>127</v>
      </c>
    </row>
    <row r="1966" spans="1:10" x14ac:dyDescent="0.3">
      <c r="A1966" s="42" t="s">
        <v>707</v>
      </c>
      <c r="B1966" s="43">
        <v>46015</v>
      </c>
      <c r="C1966" s="42" t="s">
        <v>22</v>
      </c>
      <c r="D1966" s="42" t="s">
        <v>23</v>
      </c>
      <c r="E1966" s="42" t="s">
        <v>12</v>
      </c>
      <c r="F1966" s="42">
        <v>34</v>
      </c>
      <c r="G1966" s="44">
        <v>25000</v>
      </c>
      <c r="H1966" s="44">
        <v>850000</v>
      </c>
      <c r="I1966" s="42" t="s">
        <v>2732</v>
      </c>
      <c r="J1966" s="42" t="s">
        <v>60</v>
      </c>
    </row>
    <row r="1967" spans="1:10" x14ac:dyDescent="0.3">
      <c r="A1967" s="42" t="s">
        <v>708</v>
      </c>
      <c r="B1967" s="43">
        <v>46016</v>
      </c>
      <c r="C1967" s="42" t="s">
        <v>40</v>
      </c>
      <c r="D1967" s="42" t="s">
        <v>41</v>
      </c>
      <c r="E1967" s="42" t="s">
        <v>16</v>
      </c>
      <c r="F1967" s="42">
        <v>7</v>
      </c>
      <c r="G1967" s="44">
        <v>950000</v>
      </c>
      <c r="H1967" s="44">
        <v>6650000</v>
      </c>
      <c r="I1967" s="42" t="s">
        <v>2710</v>
      </c>
      <c r="J1967" s="42" t="s">
        <v>47</v>
      </c>
    </row>
    <row r="1968" spans="1:10" x14ac:dyDescent="0.3">
      <c r="A1968" s="42" t="s">
        <v>747</v>
      </c>
      <c r="B1968" s="43">
        <v>46016</v>
      </c>
      <c r="C1968" s="42" t="s">
        <v>18</v>
      </c>
      <c r="D1968" s="42" t="s">
        <v>19</v>
      </c>
      <c r="E1968" s="42" t="s">
        <v>20</v>
      </c>
      <c r="F1968" s="42">
        <v>26</v>
      </c>
      <c r="G1968" s="44">
        <v>500000</v>
      </c>
      <c r="H1968" s="44">
        <v>13000000</v>
      </c>
      <c r="I1968" s="42" t="s">
        <v>2612</v>
      </c>
      <c r="J1968" s="42" t="s">
        <v>60</v>
      </c>
    </row>
    <row r="1969" spans="1:10" x14ac:dyDescent="0.3">
      <c r="A1969" s="42" t="s">
        <v>748</v>
      </c>
      <c r="B1969" s="43">
        <v>46016</v>
      </c>
      <c r="C1969" s="42" t="s">
        <v>44</v>
      </c>
      <c r="D1969" s="42" t="s">
        <v>45</v>
      </c>
      <c r="E1969" s="42" t="s">
        <v>16</v>
      </c>
      <c r="F1969" s="42">
        <v>21</v>
      </c>
      <c r="G1969" s="44">
        <v>250000</v>
      </c>
      <c r="H1969" s="44">
        <v>5250000</v>
      </c>
      <c r="I1969" s="42" t="s">
        <v>46</v>
      </c>
      <c r="J1969" s="42" t="s">
        <v>127</v>
      </c>
    </row>
    <row r="1970" spans="1:10" x14ac:dyDescent="0.3">
      <c r="A1970" s="42" t="s">
        <v>766</v>
      </c>
      <c r="B1970" s="43">
        <v>46016</v>
      </c>
      <c r="C1970" s="42" t="s">
        <v>22</v>
      </c>
      <c r="D1970" s="42" t="s">
        <v>23</v>
      </c>
      <c r="E1970" s="42" t="s">
        <v>12</v>
      </c>
      <c r="F1970" s="42">
        <v>30</v>
      </c>
      <c r="G1970" s="44">
        <v>25000</v>
      </c>
      <c r="H1970" s="44">
        <v>750000</v>
      </c>
      <c r="I1970" s="42" t="s">
        <v>2761</v>
      </c>
      <c r="J1970" s="42" t="s">
        <v>69</v>
      </c>
    </row>
    <row r="1971" spans="1:10" x14ac:dyDescent="0.3">
      <c r="A1971" s="42" t="s">
        <v>767</v>
      </c>
      <c r="B1971" s="43">
        <v>46016</v>
      </c>
      <c r="C1971" s="42" t="s">
        <v>38</v>
      </c>
      <c r="D1971" s="42" t="s">
        <v>39</v>
      </c>
      <c r="E1971" s="42" t="s">
        <v>16</v>
      </c>
      <c r="F1971" s="42">
        <v>21</v>
      </c>
      <c r="G1971" s="44">
        <v>200000</v>
      </c>
      <c r="H1971" s="44">
        <v>4200000</v>
      </c>
      <c r="I1971" s="42" t="s">
        <v>2829</v>
      </c>
      <c r="J1971" s="42" t="s">
        <v>69</v>
      </c>
    </row>
    <row r="1972" spans="1:10" x14ac:dyDescent="0.3">
      <c r="A1972" s="42" t="s">
        <v>768</v>
      </c>
      <c r="B1972" s="43">
        <v>46016</v>
      </c>
      <c r="C1972" s="42" t="s">
        <v>38</v>
      </c>
      <c r="D1972" s="42" t="s">
        <v>39</v>
      </c>
      <c r="E1972" s="42" t="s">
        <v>16</v>
      </c>
      <c r="F1972" s="42">
        <v>440</v>
      </c>
      <c r="G1972" s="44">
        <v>200000</v>
      </c>
      <c r="H1972" s="44">
        <v>88000000</v>
      </c>
      <c r="I1972" s="42" t="s">
        <v>2149</v>
      </c>
      <c r="J1972" s="42" t="s">
        <v>127</v>
      </c>
    </row>
    <row r="1973" spans="1:10" x14ac:dyDescent="0.3">
      <c r="A1973" s="42" t="s">
        <v>769</v>
      </c>
      <c r="B1973" s="43">
        <v>46016</v>
      </c>
      <c r="C1973" s="42" t="s">
        <v>40</v>
      </c>
      <c r="D1973" s="42" t="s">
        <v>41</v>
      </c>
      <c r="E1973" s="42" t="s">
        <v>16</v>
      </c>
      <c r="F1973" s="42">
        <v>460</v>
      </c>
      <c r="G1973" s="44">
        <v>950000</v>
      </c>
      <c r="H1973" s="44">
        <v>437000000</v>
      </c>
      <c r="I1973" s="42" t="s">
        <v>2496</v>
      </c>
      <c r="J1973" s="42" t="s">
        <v>60</v>
      </c>
    </row>
    <row r="1974" spans="1:10" x14ac:dyDescent="0.3">
      <c r="A1974" s="42" t="s">
        <v>770</v>
      </c>
      <c r="B1974" s="43">
        <v>46016</v>
      </c>
      <c r="C1974" s="42" t="s">
        <v>40</v>
      </c>
      <c r="D1974" s="42" t="s">
        <v>41</v>
      </c>
      <c r="E1974" s="42" t="s">
        <v>16</v>
      </c>
      <c r="F1974" s="42">
        <v>11</v>
      </c>
      <c r="G1974" s="44">
        <v>950000</v>
      </c>
      <c r="H1974" s="44">
        <v>10450000</v>
      </c>
      <c r="I1974" s="42" t="s">
        <v>2391</v>
      </c>
      <c r="J1974" s="42" t="s">
        <v>127</v>
      </c>
    </row>
    <row r="1975" spans="1:10" x14ac:dyDescent="0.3">
      <c r="A1975" s="42" t="s">
        <v>791</v>
      </c>
      <c r="B1975" s="43">
        <v>46016</v>
      </c>
      <c r="C1975" s="42" t="s">
        <v>42</v>
      </c>
      <c r="D1975" s="42" t="s">
        <v>43</v>
      </c>
      <c r="E1975" s="42" t="s">
        <v>16</v>
      </c>
      <c r="F1975" s="42">
        <v>18</v>
      </c>
      <c r="G1975" s="44">
        <v>1200000</v>
      </c>
      <c r="H1975" s="44">
        <v>21600000</v>
      </c>
      <c r="I1975" s="42" t="s">
        <v>2128</v>
      </c>
      <c r="J1975" s="42" t="s">
        <v>69</v>
      </c>
    </row>
    <row r="1976" spans="1:10" x14ac:dyDescent="0.3">
      <c r="A1976" s="42" t="s">
        <v>807</v>
      </c>
      <c r="B1976" s="43">
        <v>46016</v>
      </c>
      <c r="C1976" s="42" t="s">
        <v>40</v>
      </c>
      <c r="D1976" s="42" t="s">
        <v>41</v>
      </c>
      <c r="E1976" s="42" t="s">
        <v>16</v>
      </c>
      <c r="F1976" s="42">
        <v>39</v>
      </c>
      <c r="G1976" s="44">
        <v>950000</v>
      </c>
      <c r="H1976" s="44">
        <v>37050000</v>
      </c>
      <c r="I1976" s="42" t="s">
        <v>2126</v>
      </c>
      <c r="J1976" s="42" t="s">
        <v>127</v>
      </c>
    </row>
    <row r="1977" spans="1:10" x14ac:dyDescent="0.3">
      <c r="A1977" s="42" t="s">
        <v>808</v>
      </c>
      <c r="B1977" s="43">
        <v>46017</v>
      </c>
      <c r="C1977" s="42" t="s">
        <v>14</v>
      </c>
      <c r="D1977" s="42" t="s">
        <v>15</v>
      </c>
      <c r="E1977" s="42" t="s">
        <v>16</v>
      </c>
      <c r="F1977" s="42">
        <v>32</v>
      </c>
      <c r="G1977" s="44">
        <v>350000</v>
      </c>
      <c r="H1977" s="44">
        <v>11200000</v>
      </c>
      <c r="I1977" s="42" t="s">
        <v>2630</v>
      </c>
      <c r="J1977" s="42" t="s">
        <v>8</v>
      </c>
    </row>
    <row r="1978" spans="1:10" x14ac:dyDescent="0.3">
      <c r="A1978" s="42" t="s">
        <v>809</v>
      </c>
      <c r="B1978" s="43">
        <v>46017</v>
      </c>
      <c r="C1978" s="42" t="s">
        <v>18</v>
      </c>
      <c r="D1978" s="42" t="s">
        <v>19</v>
      </c>
      <c r="E1978" s="42" t="s">
        <v>20</v>
      </c>
      <c r="F1978" s="42">
        <v>430</v>
      </c>
      <c r="G1978" s="44">
        <v>500000</v>
      </c>
      <c r="H1978" s="44">
        <v>215000000</v>
      </c>
      <c r="I1978" s="42" t="s">
        <v>2688</v>
      </c>
      <c r="J1978" s="42" t="s">
        <v>60</v>
      </c>
    </row>
    <row r="1979" spans="1:10" x14ac:dyDescent="0.3">
      <c r="A1979" s="42" t="s">
        <v>821</v>
      </c>
      <c r="B1979" s="43">
        <v>46017</v>
      </c>
      <c r="C1979" s="42" t="s">
        <v>31</v>
      </c>
      <c r="D1979" s="42" t="s">
        <v>32</v>
      </c>
      <c r="E1979" s="42" t="s">
        <v>20</v>
      </c>
      <c r="F1979" s="42">
        <v>21</v>
      </c>
      <c r="G1979" s="44">
        <v>180000</v>
      </c>
      <c r="H1979" s="44">
        <v>3780000</v>
      </c>
      <c r="I1979" s="42" t="s">
        <v>2344</v>
      </c>
      <c r="J1979" s="42" t="s">
        <v>47</v>
      </c>
    </row>
    <row r="1980" spans="1:10" x14ac:dyDescent="0.3">
      <c r="A1980" s="42" t="s">
        <v>822</v>
      </c>
      <c r="B1980" s="43">
        <v>46017</v>
      </c>
      <c r="C1980" s="42" t="s">
        <v>28</v>
      </c>
      <c r="D1980" s="42" t="s">
        <v>29</v>
      </c>
      <c r="E1980" s="42" t="s">
        <v>20</v>
      </c>
      <c r="F1980" s="42">
        <v>370</v>
      </c>
      <c r="G1980" s="44">
        <v>450000</v>
      </c>
      <c r="H1980" s="44">
        <v>166500000</v>
      </c>
      <c r="I1980" s="42" t="s">
        <v>2291</v>
      </c>
      <c r="J1980" s="42" t="s">
        <v>127</v>
      </c>
    </row>
    <row r="1981" spans="1:10" x14ac:dyDescent="0.3">
      <c r="A1981" s="42" t="s">
        <v>823</v>
      </c>
      <c r="B1981" s="43">
        <v>46017</v>
      </c>
      <c r="C1981" s="42" t="s">
        <v>10</v>
      </c>
      <c r="D1981" s="42" t="s">
        <v>11</v>
      </c>
      <c r="E1981" s="42" t="s">
        <v>12</v>
      </c>
      <c r="F1981" s="42">
        <v>30</v>
      </c>
      <c r="G1981" s="44">
        <v>120000</v>
      </c>
      <c r="H1981" s="44">
        <v>3600000</v>
      </c>
      <c r="I1981" s="42" t="s">
        <v>2250</v>
      </c>
      <c r="J1981" s="42" t="s">
        <v>69</v>
      </c>
    </row>
    <row r="1982" spans="1:10" x14ac:dyDescent="0.3">
      <c r="A1982" s="42" t="s">
        <v>836</v>
      </c>
      <c r="B1982" s="43">
        <v>46017</v>
      </c>
      <c r="C1982" s="42" t="s">
        <v>31</v>
      </c>
      <c r="D1982" s="42" t="s">
        <v>32</v>
      </c>
      <c r="E1982" s="42" t="s">
        <v>20</v>
      </c>
      <c r="F1982" s="42">
        <v>360</v>
      </c>
      <c r="G1982" s="44">
        <v>180000</v>
      </c>
      <c r="H1982" s="44">
        <v>64800000</v>
      </c>
      <c r="I1982" s="42" t="s">
        <v>2197</v>
      </c>
      <c r="J1982" s="42" t="s">
        <v>8</v>
      </c>
    </row>
    <row r="1983" spans="1:10" x14ac:dyDescent="0.3">
      <c r="A1983" s="42" t="s">
        <v>837</v>
      </c>
      <c r="B1983" s="43">
        <v>46017</v>
      </c>
      <c r="C1983" s="42" t="s">
        <v>14</v>
      </c>
      <c r="D1983" s="42" t="s">
        <v>15</v>
      </c>
      <c r="E1983" s="42" t="s">
        <v>16</v>
      </c>
      <c r="F1983" s="42">
        <v>8</v>
      </c>
      <c r="G1983" s="44">
        <v>350000</v>
      </c>
      <c r="H1983" s="44">
        <v>2800000</v>
      </c>
      <c r="I1983" s="42" t="s">
        <v>2612</v>
      </c>
      <c r="J1983" s="42" t="s">
        <v>60</v>
      </c>
    </row>
    <row r="1984" spans="1:10" x14ac:dyDescent="0.3">
      <c r="A1984" s="42" t="s">
        <v>838</v>
      </c>
      <c r="B1984" s="43">
        <v>46017</v>
      </c>
      <c r="C1984" s="42" t="s">
        <v>22</v>
      </c>
      <c r="D1984" s="42" t="s">
        <v>23</v>
      </c>
      <c r="E1984" s="42" t="s">
        <v>12</v>
      </c>
      <c r="F1984" s="42">
        <v>48</v>
      </c>
      <c r="G1984" s="44">
        <v>25000</v>
      </c>
      <c r="H1984" s="44">
        <v>1200000</v>
      </c>
      <c r="I1984" s="42" t="s">
        <v>2656</v>
      </c>
      <c r="J1984" s="42" t="s">
        <v>127</v>
      </c>
    </row>
    <row r="1985" spans="1:10" x14ac:dyDescent="0.3">
      <c r="A1985" s="42" t="s">
        <v>839</v>
      </c>
      <c r="B1985" s="43">
        <v>46017</v>
      </c>
      <c r="C1985" s="42" t="s">
        <v>42</v>
      </c>
      <c r="D1985" s="42" t="s">
        <v>43</v>
      </c>
      <c r="E1985" s="42" t="s">
        <v>16</v>
      </c>
      <c r="F1985" s="42">
        <v>29</v>
      </c>
      <c r="G1985" s="44">
        <v>1200000</v>
      </c>
      <c r="H1985" s="44">
        <v>34800000</v>
      </c>
      <c r="I1985" s="42" t="s">
        <v>2705</v>
      </c>
      <c r="J1985" s="42" t="s">
        <v>69</v>
      </c>
    </row>
    <row r="1986" spans="1:10" x14ac:dyDescent="0.3">
      <c r="A1986" s="42" t="s">
        <v>849</v>
      </c>
      <c r="B1986" s="43">
        <v>46021</v>
      </c>
      <c r="C1986" s="42" t="s">
        <v>18</v>
      </c>
      <c r="D1986" s="42" t="s">
        <v>19</v>
      </c>
      <c r="E1986" s="42" t="s">
        <v>20</v>
      </c>
      <c r="F1986" s="42">
        <v>15</v>
      </c>
      <c r="G1986" s="44">
        <v>500000</v>
      </c>
      <c r="H1986" s="44">
        <v>7500000</v>
      </c>
      <c r="I1986" s="42" t="s">
        <v>2497</v>
      </c>
      <c r="J1986" s="42" t="s">
        <v>127</v>
      </c>
    </row>
    <row r="1987" spans="1:10" x14ac:dyDescent="0.3">
      <c r="A1987" s="42" t="s">
        <v>850</v>
      </c>
      <c r="B1987" s="43">
        <v>46021</v>
      </c>
      <c r="C1987" s="42" t="s">
        <v>38</v>
      </c>
      <c r="D1987" s="42" t="s">
        <v>39</v>
      </c>
      <c r="E1987" s="42" t="s">
        <v>16</v>
      </c>
      <c r="F1987" s="42">
        <v>39</v>
      </c>
      <c r="G1987" s="44">
        <v>200000</v>
      </c>
      <c r="H1987" s="44">
        <v>7800000</v>
      </c>
      <c r="I1987" s="42" t="s">
        <v>2616</v>
      </c>
      <c r="J1987" s="42" t="s">
        <v>60</v>
      </c>
    </row>
    <row r="1988" spans="1:10" x14ac:dyDescent="0.3">
      <c r="A1988" s="42" t="s">
        <v>851</v>
      </c>
      <c r="B1988" s="43">
        <v>46021</v>
      </c>
      <c r="C1988" s="42" t="s">
        <v>22</v>
      </c>
      <c r="D1988" s="42" t="s">
        <v>23</v>
      </c>
      <c r="E1988" s="42" t="s">
        <v>12</v>
      </c>
      <c r="F1988" s="42">
        <v>26</v>
      </c>
      <c r="G1988" s="44">
        <v>25000</v>
      </c>
      <c r="H1988" s="44">
        <v>650000</v>
      </c>
      <c r="I1988" s="42" t="s">
        <v>2175</v>
      </c>
      <c r="J1988" s="42" t="s">
        <v>127</v>
      </c>
    </row>
    <row r="1989" spans="1:10" x14ac:dyDescent="0.3">
      <c r="A1989" s="42" t="s">
        <v>852</v>
      </c>
      <c r="B1989" s="43">
        <v>46021</v>
      </c>
      <c r="C1989" s="42" t="s">
        <v>42</v>
      </c>
      <c r="D1989" s="42" t="s">
        <v>43</v>
      </c>
      <c r="E1989" s="42" t="s">
        <v>16</v>
      </c>
      <c r="F1989" s="42">
        <v>34</v>
      </c>
      <c r="G1989" s="44">
        <v>1200000</v>
      </c>
      <c r="H1989" s="44">
        <v>40800000</v>
      </c>
      <c r="I1989" s="42" t="s">
        <v>2681</v>
      </c>
      <c r="J1989" s="42" t="s">
        <v>47</v>
      </c>
    </row>
    <row r="1990" spans="1:10" x14ac:dyDescent="0.3">
      <c r="A1990" s="42" t="s">
        <v>862</v>
      </c>
      <c r="B1990" s="43">
        <v>46021</v>
      </c>
      <c r="C1990" s="42" t="s">
        <v>42</v>
      </c>
      <c r="D1990" s="42" t="s">
        <v>43</v>
      </c>
      <c r="E1990" s="42" t="s">
        <v>16</v>
      </c>
      <c r="F1990" s="42">
        <v>42</v>
      </c>
      <c r="G1990" s="44">
        <v>1200000</v>
      </c>
      <c r="H1990" s="44">
        <v>50400000</v>
      </c>
      <c r="I1990" s="42" t="s">
        <v>2378</v>
      </c>
      <c r="J1990" s="42" t="s">
        <v>60</v>
      </c>
    </row>
    <row r="1991" spans="1:10" x14ac:dyDescent="0.3">
      <c r="A1991" s="42" t="s">
        <v>876</v>
      </c>
      <c r="B1991" s="43">
        <v>46021</v>
      </c>
      <c r="C1991" s="42" t="s">
        <v>40</v>
      </c>
      <c r="D1991" s="42" t="s">
        <v>41</v>
      </c>
      <c r="E1991" s="42" t="s">
        <v>16</v>
      </c>
      <c r="F1991" s="42">
        <v>42</v>
      </c>
      <c r="G1991" s="44">
        <v>950000</v>
      </c>
      <c r="H1991" s="44">
        <v>39900000</v>
      </c>
      <c r="I1991" s="42" t="s">
        <v>2157</v>
      </c>
      <c r="J1991" s="42" t="s">
        <v>60</v>
      </c>
    </row>
    <row r="1992" spans="1:10" x14ac:dyDescent="0.3">
      <c r="A1992" s="42" t="s">
        <v>877</v>
      </c>
      <c r="B1992" s="43">
        <v>46021</v>
      </c>
      <c r="C1992" s="42" t="s">
        <v>31</v>
      </c>
      <c r="D1992" s="42" t="s">
        <v>32</v>
      </c>
      <c r="E1992" s="42" t="s">
        <v>20</v>
      </c>
      <c r="F1992" s="42">
        <v>25</v>
      </c>
      <c r="G1992" s="44">
        <v>180000</v>
      </c>
      <c r="H1992" s="44">
        <v>4500000</v>
      </c>
      <c r="I1992" s="42" t="s">
        <v>359</v>
      </c>
      <c r="J1992" s="42" t="s">
        <v>60</v>
      </c>
    </row>
    <row r="1993" spans="1:10" x14ac:dyDescent="0.3">
      <c r="A1993" s="42" t="s">
        <v>895</v>
      </c>
      <c r="B1993" s="43">
        <v>46021</v>
      </c>
      <c r="C1993" s="42" t="s">
        <v>10</v>
      </c>
      <c r="D1993" s="42" t="s">
        <v>11</v>
      </c>
      <c r="E1993" s="42" t="s">
        <v>12</v>
      </c>
      <c r="F1993" s="42">
        <v>420</v>
      </c>
      <c r="G1993" s="44">
        <v>120000</v>
      </c>
      <c r="H1993" s="44">
        <v>50400000</v>
      </c>
      <c r="I1993" s="42" t="s">
        <v>2266</v>
      </c>
      <c r="J1993" s="42" t="s">
        <v>8</v>
      </c>
    </row>
    <row r="1994" spans="1:10" x14ac:dyDescent="0.3">
      <c r="A1994" s="42" t="s">
        <v>896</v>
      </c>
      <c r="B1994" s="43">
        <v>46021</v>
      </c>
      <c r="C1994" s="42" t="s">
        <v>44</v>
      </c>
      <c r="D1994" s="42" t="s">
        <v>45</v>
      </c>
      <c r="E1994" s="42" t="s">
        <v>16</v>
      </c>
      <c r="F1994" s="42">
        <v>49</v>
      </c>
      <c r="G1994" s="44">
        <v>250000</v>
      </c>
      <c r="H1994" s="44">
        <v>12250000</v>
      </c>
      <c r="I1994" s="42" t="s">
        <v>2222</v>
      </c>
      <c r="J1994" s="42" t="s">
        <v>60</v>
      </c>
    </row>
    <row r="1995" spans="1:10" x14ac:dyDescent="0.3">
      <c r="A1995" s="42" t="s">
        <v>921</v>
      </c>
      <c r="B1995" s="43">
        <v>46021</v>
      </c>
      <c r="C1995" s="42" t="s">
        <v>22</v>
      </c>
      <c r="D1995" s="42" t="s">
        <v>23</v>
      </c>
      <c r="E1995" s="42" t="s">
        <v>12</v>
      </c>
      <c r="F1995" s="42">
        <v>17</v>
      </c>
      <c r="G1995" s="44">
        <v>25000</v>
      </c>
      <c r="H1995" s="44">
        <v>425000</v>
      </c>
      <c r="I1995" s="42" t="s">
        <v>840</v>
      </c>
      <c r="J1995" s="42" t="s">
        <v>127</v>
      </c>
    </row>
    <row r="1996" spans="1:10" x14ac:dyDescent="0.3">
      <c r="A1996" s="42" t="s">
        <v>922</v>
      </c>
      <c r="B1996" s="43">
        <v>46022</v>
      </c>
      <c r="C1996" s="42" t="s">
        <v>31</v>
      </c>
      <c r="D1996" s="42" t="s">
        <v>32</v>
      </c>
      <c r="E1996" s="42" t="s">
        <v>20</v>
      </c>
      <c r="F1996" s="42">
        <v>20</v>
      </c>
      <c r="G1996" s="44">
        <v>180000</v>
      </c>
      <c r="H1996" s="44">
        <v>3600000</v>
      </c>
      <c r="I1996" s="42" t="s">
        <v>2329</v>
      </c>
      <c r="J1996" s="42" t="s">
        <v>69</v>
      </c>
    </row>
    <row r="1997" spans="1:10" x14ac:dyDescent="0.3">
      <c r="A1997" s="42" t="s">
        <v>923</v>
      </c>
      <c r="B1997" s="43">
        <v>46022</v>
      </c>
      <c r="C1997" s="42" t="s">
        <v>38</v>
      </c>
      <c r="D1997" s="42" t="s">
        <v>39</v>
      </c>
      <c r="E1997" s="42" t="s">
        <v>16</v>
      </c>
      <c r="F1997" s="42">
        <v>14</v>
      </c>
      <c r="G1997" s="44">
        <v>200000</v>
      </c>
      <c r="H1997" s="44">
        <v>2800000</v>
      </c>
      <c r="I1997" s="42" t="s">
        <v>2669</v>
      </c>
      <c r="J1997" s="42" t="s">
        <v>8</v>
      </c>
    </row>
    <row r="1998" spans="1:10" x14ac:dyDescent="0.3">
      <c r="A1998" s="42" t="s">
        <v>957</v>
      </c>
      <c r="B1998" s="43">
        <v>46022</v>
      </c>
      <c r="C1998" s="42" t="s">
        <v>14</v>
      </c>
      <c r="D1998" s="42" t="s">
        <v>15</v>
      </c>
      <c r="E1998" s="42" t="s">
        <v>16</v>
      </c>
      <c r="F1998" s="42">
        <v>6</v>
      </c>
      <c r="G1998" s="44">
        <v>350000</v>
      </c>
      <c r="H1998" s="44">
        <v>2100000</v>
      </c>
      <c r="I1998" s="42" t="s">
        <v>2696</v>
      </c>
      <c r="J1998" s="42" t="s">
        <v>60</v>
      </c>
    </row>
    <row r="1999" spans="1:10" x14ac:dyDescent="0.3">
      <c r="A1999" s="42" t="s">
        <v>958</v>
      </c>
      <c r="B1999" s="43">
        <v>46022</v>
      </c>
      <c r="C1999" s="42" t="s">
        <v>44</v>
      </c>
      <c r="D1999" s="42" t="s">
        <v>45</v>
      </c>
      <c r="E1999" s="42" t="s">
        <v>16</v>
      </c>
      <c r="F1999" s="42">
        <v>45</v>
      </c>
      <c r="G1999" s="44">
        <v>250000</v>
      </c>
      <c r="H1999" s="44">
        <v>11250000</v>
      </c>
      <c r="I1999" s="42" t="s">
        <v>2772</v>
      </c>
      <c r="J1999" s="42" t="s">
        <v>47</v>
      </c>
    </row>
    <row r="2000" spans="1:10" x14ac:dyDescent="0.3">
      <c r="A2000" s="42" t="s">
        <v>959</v>
      </c>
      <c r="B2000" s="43">
        <v>46022</v>
      </c>
      <c r="C2000" s="42" t="s">
        <v>10</v>
      </c>
      <c r="D2000" s="42" t="s">
        <v>11</v>
      </c>
      <c r="E2000" s="42" t="s">
        <v>12</v>
      </c>
      <c r="F2000" s="42">
        <v>40</v>
      </c>
      <c r="G2000" s="44">
        <v>120000</v>
      </c>
      <c r="H2000" s="44">
        <v>4800000</v>
      </c>
      <c r="I2000" s="42" t="s">
        <v>2750</v>
      </c>
      <c r="J2000" s="42" t="s">
        <v>127</v>
      </c>
    </row>
    <row r="2001" spans="1:10" x14ac:dyDescent="0.3">
      <c r="A2001" s="42" t="s">
        <v>960</v>
      </c>
      <c r="B2001" s="43">
        <v>46022</v>
      </c>
      <c r="C2001" s="42" t="s">
        <v>40</v>
      </c>
      <c r="D2001" s="42" t="s">
        <v>41</v>
      </c>
      <c r="E2001" s="42" t="s">
        <v>16</v>
      </c>
      <c r="F2001" s="42">
        <v>44</v>
      </c>
      <c r="G2001" s="44">
        <v>950000</v>
      </c>
      <c r="H2001" s="44">
        <v>41800000</v>
      </c>
      <c r="I2001" s="42" t="s">
        <v>2485</v>
      </c>
      <c r="J2001" s="42" t="s">
        <v>127</v>
      </c>
    </row>
    <row r="2002" spans="1:10" x14ac:dyDescent="0.3">
      <c r="A2002" s="42" t="s">
        <v>961</v>
      </c>
      <c r="B2002" s="43">
        <v>46022</v>
      </c>
      <c r="C2002" s="42" t="s">
        <v>28</v>
      </c>
      <c r="D2002" s="42" t="s">
        <v>29</v>
      </c>
      <c r="E2002" s="42" t="s">
        <v>20</v>
      </c>
      <c r="F2002" s="42">
        <v>43</v>
      </c>
      <c r="G2002" s="44">
        <v>450000</v>
      </c>
      <c r="H2002" s="44">
        <v>19350000</v>
      </c>
      <c r="I2002" s="42" t="s">
        <v>2354</v>
      </c>
      <c r="J2002" s="42" t="s">
        <v>47</v>
      </c>
    </row>
    <row r="2003" spans="1:10" x14ac:dyDescent="0.3">
      <c r="A2003" s="42" t="s">
        <v>962</v>
      </c>
      <c r="B2003" s="43">
        <v>46022</v>
      </c>
      <c r="C2003" s="42" t="s">
        <v>31</v>
      </c>
      <c r="D2003" s="42" t="s">
        <v>32</v>
      </c>
      <c r="E2003" s="42" t="s">
        <v>20</v>
      </c>
      <c r="F2003" s="42">
        <v>25</v>
      </c>
      <c r="G2003" s="44">
        <v>180000</v>
      </c>
      <c r="H2003" s="44">
        <v>4500000</v>
      </c>
      <c r="I2003" s="42" t="s">
        <v>2823</v>
      </c>
      <c r="J2003" s="42" t="s">
        <v>69</v>
      </c>
    </row>
    <row r="2004" spans="1:10" x14ac:dyDescent="0.3">
      <c r="A2004" s="42" t="s">
        <v>963</v>
      </c>
      <c r="B2004" s="43">
        <v>46022</v>
      </c>
      <c r="C2004" s="42" t="s">
        <v>10</v>
      </c>
      <c r="D2004" s="42" t="s">
        <v>11</v>
      </c>
      <c r="E2004" s="42" t="s">
        <v>12</v>
      </c>
      <c r="F2004" s="42">
        <v>39</v>
      </c>
      <c r="G2004" s="44">
        <v>120000</v>
      </c>
      <c r="H2004" s="44">
        <v>4680000</v>
      </c>
      <c r="I2004" s="42" t="s">
        <v>2285</v>
      </c>
      <c r="J2004" s="42" t="s">
        <v>69</v>
      </c>
    </row>
    <row r="2005" spans="1:10" x14ac:dyDescent="0.3">
      <c r="A2005" s="42" t="s">
        <v>964</v>
      </c>
      <c r="B2005" s="43">
        <v>46022</v>
      </c>
      <c r="C2005" s="42" t="s">
        <v>18</v>
      </c>
      <c r="D2005" s="42" t="s">
        <v>19</v>
      </c>
      <c r="E2005" s="42" t="s">
        <v>20</v>
      </c>
      <c r="F2005" s="42">
        <v>19</v>
      </c>
      <c r="G2005" s="44">
        <v>500000</v>
      </c>
      <c r="H2005" s="44">
        <v>9500000</v>
      </c>
      <c r="I2005" s="42" t="s">
        <v>2532</v>
      </c>
      <c r="J2005" s="42" t="s">
        <v>47</v>
      </c>
    </row>
    <row r="2006" spans="1:10" x14ac:dyDescent="0.3">
      <c r="A2006" s="42" t="s">
        <v>965</v>
      </c>
      <c r="B2006" s="43">
        <v>46022</v>
      </c>
      <c r="C2006" s="42" t="s">
        <v>44</v>
      </c>
      <c r="D2006" s="42" t="s">
        <v>45</v>
      </c>
      <c r="E2006" s="42" t="s">
        <v>16</v>
      </c>
      <c r="F2006" s="42">
        <v>21</v>
      </c>
      <c r="G2006" s="44">
        <v>250000</v>
      </c>
      <c r="H2006" s="44">
        <v>5250000</v>
      </c>
      <c r="I2006" s="42" t="s">
        <v>2319</v>
      </c>
      <c r="J2006" s="42" t="s">
        <v>60</v>
      </c>
    </row>
    <row r="2007" spans="1:10" x14ac:dyDescent="0.3">
      <c r="A2007" s="42" t="s">
        <v>966</v>
      </c>
      <c r="B2007" s="43">
        <v>46022</v>
      </c>
      <c r="C2007" s="42" t="s">
        <v>22</v>
      </c>
      <c r="D2007" s="42" t="s">
        <v>23</v>
      </c>
      <c r="E2007" s="42" t="s">
        <v>12</v>
      </c>
      <c r="F2007" s="42">
        <v>6</v>
      </c>
      <c r="G2007" s="44">
        <v>25000</v>
      </c>
      <c r="H2007" s="44">
        <v>150000</v>
      </c>
      <c r="I2007" s="42" t="s">
        <v>2326</v>
      </c>
      <c r="J2007" s="42" t="s">
        <v>69</v>
      </c>
    </row>
    <row r="2008" spans="1:10" x14ac:dyDescent="0.3">
      <c r="A2008" s="42" t="s">
        <v>967</v>
      </c>
      <c r="B2008" s="43">
        <v>46022</v>
      </c>
      <c r="C2008" s="42" t="s">
        <v>44</v>
      </c>
      <c r="D2008" s="42" t="s">
        <v>45</v>
      </c>
      <c r="E2008" s="42" t="s">
        <v>16</v>
      </c>
      <c r="F2008" s="42">
        <v>11</v>
      </c>
      <c r="G2008" s="44">
        <v>250000</v>
      </c>
      <c r="H2008" s="44">
        <v>2750000</v>
      </c>
      <c r="I2008" s="42" t="s">
        <v>2141</v>
      </c>
      <c r="J2008" s="42" t="s">
        <v>8</v>
      </c>
    </row>
  </sheetData>
  <autoFilter ref="A8:J2008" xr:uid="{CBE85411-5D37-4F39-9A6F-B785BE910B93}"/>
  <phoneticPr fontId="20" type="noConversion"/>
  <hyperlinks>
    <hyperlink ref="A6" r:id="rId1" xr:uid="{3F8A43B3-BFD1-48EE-BE6F-2A5AFBF08E23}"/>
  </hyperlink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227E-9767-4625-ACFC-9546A6BB46F2}">
  <sheetPr>
    <tabColor theme="1" tint="4.9989318521683403E-2"/>
  </sheetPr>
  <dimension ref="A1:AS2005"/>
  <sheetViews>
    <sheetView showGridLines="0" topLeftCell="T4" zoomScale="70" zoomScaleNormal="70" workbookViewId="0">
      <selection activeCell="AJ5" sqref="AJ5"/>
    </sheetView>
  </sheetViews>
  <sheetFormatPr defaultColWidth="8.77734375" defaultRowHeight="15.6" x14ac:dyDescent="0.3"/>
  <cols>
    <col min="1" max="1" width="0.88671875" style="92" customWidth="1"/>
    <col min="2" max="2" width="14" style="92" bestFit="1" customWidth="1"/>
    <col min="3" max="3" width="11.5546875" style="92" bestFit="1" customWidth="1"/>
    <col min="4" max="4" width="10.44140625" style="92" bestFit="1" customWidth="1"/>
    <col min="5" max="5" width="28.77734375" style="92" bestFit="1" customWidth="1"/>
    <col min="6" max="6" width="15" style="92" customWidth="1"/>
    <col min="7" max="7" width="7.88671875" style="92" bestFit="1" customWidth="1"/>
    <col min="8" max="8" width="10.109375" style="92" bestFit="1" customWidth="1"/>
    <col min="9" max="9" width="12.33203125" style="92" bestFit="1" customWidth="1"/>
    <col min="10" max="10" width="14.109375" style="92" bestFit="1" customWidth="1"/>
    <col min="11" max="11" width="10.21875" style="92" bestFit="1" customWidth="1"/>
    <col min="12" max="13" width="5.21875" style="92" customWidth="1"/>
    <col min="14" max="14" width="14.109375" style="92" bestFit="1" customWidth="1"/>
    <col min="15" max="15" width="10.21875" style="92" bestFit="1" customWidth="1"/>
    <col min="16" max="16" width="17" style="92" bestFit="1" customWidth="1"/>
    <col min="17" max="17" width="11" style="92" bestFit="1" customWidth="1"/>
    <col min="18" max="18" width="17.77734375" style="92" bestFit="1" customWidth="1"/>
    <col min="19" max="19" width="17" style="92" bestFit="1" customWidth="1"/>
    <col min="20" max="22" width="8.77734375" style="92"/>
    <col min="23" max="23" width="9.77734375" style="92" bestFit="1" customWidth="1"/>
    <col min="24" max="24" width="28.21875" style="92" bestFit="1" customWidth="1"/>
    <col min="25" max="25" width="37.109375" style="92" bestFit="1" customWidth="1"/>
    <col min="26" max="26" width="5.21875" style="92" bestFit="1" customWidth="1"/>
    <col min="27" max="27" width="14.109375" style="92" bestFit="1" customWidth="1"/>
    <col min="28" max="28" width="10.33203125" style="92" bestFit="1" customWidth="1"/>
    <col min="29" max="29" width="18.21875" style="92" bestFit="1" customWidth="1"/>
    <col min="30" max="30" width="8.44140625" style="92" bestFit="1" customWidth="1"/>
    <col min="31" max="31" width="17.44140625" style="92" bestFit="1" customWidth="1"/>
    <col min="32" max="32" width="16.5546875" style="92" bestFit="1" customWidth="1"/>
    <col min="33" max="33" width="7.21875" style="92" bestFit="1" customWidth="1"/>
    <col min="34" max="34" width="7.5546875" style="92" bestFit="1" customWidth="1"/>
    <col min="35" max="35" width="8.5546875" style="92" bestFit="1" customWidth="1"/>
    <col min="36" max="36" width="9.77734375" style="92" bestFit="1" customWidth="1"/>
    <col min="37" max="37" width="27.77734375" style="92" bestFit="1" customWidth="1"/>
    <col min="38" max="39" width="3.33203125" style="92" customWidth="1"/>
    <col min="40" max="40" width="11.5546875" style="92" bestFit="1" customWidth="1"/>
    <col min="41" max="41" width="2.33203125" style="92" customWidth="1"/>
    <col min="42" max="42" width="8.88671875" style="92" bestFit="1" customWidth="1"/>
    <col min="43" max="43" width="6.21875" style="92" customWidth="1"/>
    <col min="44" max="16384" width="8.77734375" style="92"/>
  </cols>
  <sheetData>
    <row r="1" spans="1:45" s="87" customFormat="1" x14ac:dyDescent="0.3">
      <c r="A1" s="108" t="s">
        <v>2920</v>
      </c>
    </row>
    <row r="2" spans="1:45" s="89" customFormat="1" x14ac:dyDescent="0.3">
      <c r="A2" s="89" t="s">
        <v>2921</v>
      </c>
    </row>
    <row r="3" spans="1:45" s="89" customFormat="1" x14ac:dyDescent="0.3">
      <c r="A3" s="87" t="s">
        <v>3103</v>
      </c>
    </row>
    <row r="4" spans="1:45" s="109" customFormat="1" x14ac:dyDescent="0.3">
      <c r="P4" s="109" t="s">
        <v>3089</v>
      </c>
      <c r="Q4" s="131">
        <f>MEDIAN(Q6:Q817)</f>
        <v>94</v>
      </c>
      <c r="R4" s="109">
        <f>MEDIAN(R6:R817)</f>
        <v>2</v>
      </c>
      <c r="S4" s="131">
        <f>MEDIAN($S$6:$S$817)</f>
        <v>18350000</v>
      </c>
      <c r="T4" s="109" t="s">
        <v>3014</v>
      </c>
      <c r="AG4" s="109" t="s">
        <v>3015</v>
      </c>
    </row>
    <row r="5" spans="1:45" s="91" customFormat="1" x14ac:dyDescent="0.3">
      <c r="B5" s="94" t="s">
        <v>0</v>
      </c>
      <c r="C5" s="94" t="s">
        <v>1</v>
      </c>
      <c r="D5" s="94" t="s">
        <v>2</v>
      </c>
      <c r="E5" s="94" t="s">
        <v>3</v>
      </c>
      <c r="F5" s="94" t="s">
        <v>4</v>
      </c>
      <c r="G5" s="94" t="s">
        <v>5</v>
      </c>
      <c r="H5" s="94" t="s">
        <v>6</v>
      </c>
      <c r="I5" s="94" t="s">
        <v>7</v>
      </c>
      <c r="J5" s="94" t="s">
        <v>2116</v>
      </c>
      <c r="K5" s="94" t="s">
        <v>2117</v>
      </c>
      <c r="N5" s="130" t="s">
        <v>2116</v>
      </c>
      <c r="O5" s="130" t="s">
        <v>2117</v>
      </c>
      <c r="P5" s="130" t="s">
        <v>2861</v>
      </c>
      <c r="Q5" s="130" t="s">
        <v>3010</v>
      </c>
      <c r="R5" s="130" t="s">
        <v>3011</v>
      </c>
      <c r="S5" s="130" t="s">
        <v>3012</v>
      </c>
      <c r="T5" s="110" t="s">
        <v>2871</v>
      </c>
      <c r="U5" s="110" t="s">
        <v>2872</v>
      </c>
      <c r="V5" s="110" t="s">
        <v>3013</v>
      </c>
      <c r="W5" s="110" t="s">
        <v>2875</v>
      </c>
      <c r="X5" s="110" t="s">
        <v>2877</v>
      </c>
      <c r="AA5" s="94" t="s">
        <v>2116</v>
      </c>
      <c r="AB5" s="94" t="s">
        <v>2117</v>
      </c>
      <c r="AC5" s="94" t="s">
        <v>2861</v>
      </c>
      <c r="AD5" s="94" t="s">
        <v>3010</v>
      </c>
      <c r="AE5" s="94" t="s">
        <v>3011</v>
      </c>
      <c r="AF5" s="94" t="s">
        <v>3012</v>
      </c>
      <c r="AG5" s="94" t="s">
        <v>2871</v>
      </c>
      <c r="AH5" s="94" t="s">
        <v>2872</v>
      </c>
      <c r="AI5" s="94" t="s">
        <v>3013</v>
      </c>
      <c r="AJ5" s="94" t="s">
        <v>2875</v>
      </c>
      <c r="AK5" s="94" t="s">
        <v>2877</v>
      </c>
      <c r="AN5" s="105" t="s">
        <v>3055</v>
      </c>
      <c r="AP5" s="111" t="s">
        <v>3056</v>
      </c>
      <c r="AQ5" s="111" t="s">
        <v>3058</v>
      </c>
    </row>
    <row r="6" spans="1:45" x14ac:dyDescent="0.3">
      <c r="B6" s="99" t="s">
        <v>9</v>
      </c>
      <c r="C6" s="100">
        <v>45658</v>
      </c>
      <c r="D6" s="99" t="s">
        <v>22</v>
      </c>
      <c r="E6" s="99" t="s">
        <v>23</v>
      </c>
      <c r="F6" s="99" t="s">
        <v>12</v>
      </c>
      <c r="G6" s="99">
        <v>13</v>
      </c>
      <c r="H6" s="112">
        <v>25000</v>
      </c>
      <c r="I6" s="112">
        <v>325000</v>
      </c>
      <c r="J6" s="99" t="s">
        <v>2194</v>
      </c>
      <c r="K6" s="99" t="s">
        <v>8</v>
      </c>
      <c r="N6" s="99" t="s">
        <v>46</v>
      </c>
      <c r="O6" s="99" t="s">
        <v>127</v>
      </c>
      <c r="P6" s="100">
        <f>_xlfn.MAXIFS($C$6:$C$2005,$J$6:$J$2005,N6)</f>
        <v>46016</v>
      </c>
      <c r="Q6" s="101">
        <f>analysis_date-P6</f>
        <v>7</v>
      </c>
      <c r="R6" s="99">
        <f>COUNTIFS($J$6:$J$2005,N6)</f>
        <v>3</v>
      </c>
      <c r="S6" s="101">
        <f>SUMIFS($I$6:$I$2005,$J$6:$J$2005,N6)</f>
        <v>17425000</v>
      </c>
      <c r="T6" s="99" t="str">
        <f>IF(Q6&lt;MEDIAN($Q$6:$Q$817),"High","Low")</f>
        <v>High</v>
      </c>
      <c r="U6" s="99" t="str">
        <f>IF(R6&gt;MEDIAN($R$6:$R$817),"High","Low")</f>
        <v>High</v>
      </c>
      <c r="V6" s="99" t="str">
        <f>IF(S6&gt;MEDIAN($S$6:$S$817),"High","Low")</f>
        <v>Low</v>
      </c>
      <c r="W6" s="99" t="str">
        <f>_xlfn.CONCAT(LEFT(T6,1),LEFT(U6,1),LEFT(V6,1))</f>
        <v>HHL</v>
      </c>
      <c r="X6" s="99" t="str">
        <f>VLOOKUP(W6,rfm[],2,FALSE)</f>
        <v>💎 Loyal High Value</v>
      </c>
      <c r="Y6" s="93" t="s">
        <v>3090</v>
      </c>
      <c r="AA6" s="99" t="s">
        <v>46</v>
      </c>
      <c r="AB6" s="99" t="s">
        <v>127</v>
      </c>
      <c r="AC6" s="100">
        <v>46016</v>
      </c>
      <c r="AD6" s="101">
        <v>7</v>
      </c>
      <c r="AE6" s="101">
        <v>3</v>
      </c>
      <c r="AF6" s="101">
        <v>17425000</v>
      </c>
      <c r="AG6" s="99" t="str">
        <f>VLOOKUP(AA6,recency!$K$6:$P$818,6,0)</f>
        <v>High</v>
      </c>
      <c r="AH6" s="132" t="str">
        <f>VLOOKUP(AA6,frequency!$F$6:$H$818,3,FALSE)</f>
        <v>High</v>
      </c>
      <c r="AI6" s="129" t="str">
        <f>VLOOKUP(AA6,monetary!$B$5:$F$817,5,0)</f>
        <v>Low</v>
      </c>
      <c r="AJ6" s="99" t="str">
        <f>_xlfn.CONCAT(LEFT(AG6,1),LEFT(AH6,1),LEFT(AI6,1))</f>
        <v>HHL</v>
      </c>
      <c r="AK6" s="99" t="str">
        <f>VLOOKUP(AJ6,rfm[],2,0)</f>
        <v>💎 Loyal High Value</v>
      </c>
      <c r="AN6" s="99" t="b">
        <f>AJ6=W6</f>
        <v>1</v>
      </c>
      <c r="AP6" s="113" t="b">
        <v>1</v>
      </c>
      <c r="AQ6" s="114">
        <f>COUNTIFS($AN$6:$AN$817,AP6)</f>
        <v>454</v>
      </c>
      <c r="AS6" s="92" t="b">
        <f>T6=AG6</f>
        <v>1</v>
      </c>
    </row>
    <row r="7" spans="1:45" x14ac:dyDescent="0.3">
      <c r="B7" s="99" t="s">
        <v>13</v>
      </c>
      <c r="C7" s="100">
        <v>45658</v>
      </c>
      <c r="D7" s="99" t="s">
        <v>22</v>
      </c>
      <c r="E7" s="99" t="s">
        <v>23</v>
      </c>
      <c r="F7" s="99" t="s">
        <v>12</v>
      </c>
      <c r="G7" s="99">
        <v>500</v>
      </c>
      <c r="H7" s="112">
        <v>25000</v>
      </c>
      <c r="I7" s="112">
        <v>12500000</v>
      </c>
      <c r="J7" s="99" t="s">
        <v>2837</v>
      </c>
      <c r="K7" s="99" t="s">
        <v>47</v>
      </c>
      <c r="N7" s="99" t="s">
        <v>68</v>
      </c>
      <c r="O7" s="99" t="s">
        <v>8</v>
      </c>
      <c r="P7" s="100">
        <f t="shared" ref="P7:P70" si="0">_xlfn.MAXIFS($C$6:$C$2005,$J$6:$J$2005,N7)</f>
        <v>45965</v>
      </c>
      <c r="Q7" s="101">
        <f t="shared" ref="Q7:Q69" si="1">analysis_date-P7</f>
        <v>58</v>
      </c>
      <c r="R7" s="99">
        <f t="shared" ref="R7:R70" si="2">COUNTIFS($J$6:$J$2005,N7)</f>
        <v>5</v>
      </c>
      <c r="S7" s="101">
        <f t="shared" ref="S7:S70" si="3">SUMIFS($I$6:$I$2005,$J$6:$J$2005,N7)</f>
        <v>69590000</v>
      </c>
      <c r="T7" s="99" t="str">
        <f t="shared" ref="T7:T70" si="4">IF(Q7&lt;MEDIAN($Q$6:$Q$817),"High","Low")</f>
        <v>High</v>
      </c>
      <c r="U7" s="99" t="str">
        <f t="shared" ref="U7:U70" si="5">IF(R7&gt;MEDIAN($R$6:$R$817),"High","Low")</f>
        <v>High</v>
      </c>
      <c r="V7" s="99" t="str">
        <f t="shared" ref="V7:V70" si="6">IF(S7&gt;MEDIAN($S$6:$S$817),"High","Low")</f>
        <v>High</v>
      </c>
      <c r="W7" s="99" t="str">
        <f t="shared" ref="W7:W70" si="7">_xlfn.CONCAT(LEFT(T7,1),LEFT(U7,1),LEFT(V7,1))</f>
        <v>HHH</v>
      </c>
      <c r="X7" s="99" t="str">
        <f>VLOOKUP(W7,rfm[],2,FALSE)</f>
        <v>🥇 Champions</v>
      </c>
      <c r="Y7" s="93" t="s">
        <v>3091</v>
      </c>
      <c r="AA7" s="99" t="s">
        <v>68</v>
      </c>
      <c r="AB7" s="99" t="s">
        <v>8</v>
      </c>
      <c r="AC7" s="100">
        <v>45965</v>
      </c>
      <c r="AD7" s="101">
        <v>58</v>
      </c>
      <c r="AE7" s="101">
        <v>5</v>
      </c>
      <c r="AF7" s="101">
        <v>69590000</v>
      </c>
      <c r="AG7" s="99" t="str">
        <f>VLOOKUP(AA7,recency!$K$6:$P$818,6,0)</f>
        <v>High</v>
      </c>
      <c r="AH7" s="132" t="str">
        <f>VLOOKUP(AA7,frequency!$F$6:$H$818,3,FALSE)</f>
        <v>High</v>
      </c>
      <c r="AI7" s="129" t="str">
        <f>VLOOKUP(AA7,monetary!$B$5:$F$817,5,0)</f>
        <v>High</v>
      </c>
      <c r="AJ7" s="99" t="str">
        <f t="shared" ref="AJ7:AJ70" si="8">_xlfn.CONCAT(LEFT(AG7,1),LEFT(AH7,1),LEFT(AI7,1))</f>
        <v>HHH</v>
      </c>
      <c r="AK7" s="99" t="str">
        <f>VLOOKUP(AJ7,rfm[],2,0)</f>
        <v>🥇 Champions</v>
      </c>
      <c r="AN7" s="99" t="b">
        <f t="shared" ref="AN7:AN70" si="9">AJ7=W7</f>
        <v>1</v>
      </c>
      <c r="AP7" s="113" t="b">
        <v>0</v>
      </c>
      <c r="AQ7" s="114">
        <f>COUNTIFS($AN$6:$AN$817,AP7)</f>
        <v>358</v>
      </c>
    </row>
    <row r="8" spans="1:45" x14ac:dyDescent="0.3">
      <c r="B8" s="99" t="s">
        <v>17</v>
      </c>
      <c r="C8" s="100">
        <v>45658</v>
      </c>
      <c r="D8" s="99" t="s">
        <v>31</v>
      </c>
      <c r="E8" s="99" t="s">
        <v>32</v>
      </c>
      <c r="F8" s="99" t="s">
        <v>20</v>
      </c>
      <c r="G8" s="99">
        <v>25</v>
      </c>
      <c r="H8" s="112">
        <v>180000</v>
      </c>
      <c r="I8" s="112">
        <v>4500000</v>
      </c>
      <c r="J8" s="99" t="s">
        <v>2536</v>
      </c>
      <c r="K8" s="99" t="s">
        <v>127</v>
      </c>
      <c r="N8" s="99" t="s">
        <v>78</v>
      </c>
      <c r="O8" s="99" t="s">
        <v>127</v>
      </c>
      <c r="P8" s="100">
        <f t="shared" si="0"/>
        <v>45922</v>
      </c>
      <c r="Q8" s="101">
        <f t="shared" si="1"/>
        <v>101</v>
      </c>
      <c r="R8" s="99">
        <f t="shared" si="2"/>
        <v>2</v>
      </c>
      <c r="S8" s="101">
        <f t="shared" si="3"/>
        <v>22950000</v>
      </c>
      <c r="T8" s="99" t="str">
        <f>IF(Q8&lt;MEDIAN($Q$6:$Q$817),"High","Low")</f>
        <v>Low</v>
      </c>
      <c r="U8" s="99" t="str">
        <f t="shared" si="5"/>
        <v>Low</v>
      </c>
      <c r="V8" s="99" t="str">
        <f t="shared" si="6"/>
        <v>High</v>
      </c>
      <c r="W8" s="99" t="str">
        <f t="shared" si="7"/>
        <v>LLH</v>
      </c>
      <c r="X8" s="99" t="str">
        <f>VLOOKUP(W8,rfm[],2,FALSE)</f>
        <v>💸 Lost High Spenders</v>
      </c>
      <c r="Y8" s="93" t="s">
        <v>3092</v>
      </c>
      <c r="AA8" s="99" t="s">
        <v>78</v>
      </c>
      <c r="AB8" s="99" t="s">
        <v>127</v>
      </c>
      <c r="AC8" s="100">
        <v>45922</v>
      </c>
      <c r="AD8" s="101">
        <v>101</v>
      </c>
      <c r="AE8" s="101">
        <v>2</v>
      </c>
      <c r="AF8" s="101">
        <v>22950000</v>
      </c>
      <c r="AG8" s="99" t="str">
        <f>VLOOKUP(AA8,recency!$K$6:$P$818,6,0)</f>
        <v>Low</v>
      </c>
      <c r="AH8" s="132" t="str">
        <f>VLOOKUP(AA8,frequency!$F$6:$H$818,3,FALSE)</f>
        <v>Low</v>
      </c>
      <c r="AI8" s="129" t="str">
        <f>VLOOKUP(AA8,monetary!$B$5:$F$817,5,0)</f>
        <v>Low</v>
      </c>
      <c r="AJ8" s="99" t="str">
        <f t="shared" si="8"/>
        <v>LLL</v>
      </c>
      <c r="AK8" s="99" t="str">
        <f>VLOOKUP(AJ8,rfm[],2,0)</f>
        <v>💤 Lost / Low Value</v>
      </c>
      <c r="AN8" s="99" t="b">
        <f t="shared" si="9"/>
        <v>0</v>
      </c>
    </row>
    <row r="9" spans="1:45" x14ac:dyDescent="0.3">
      <c r="B9" s="99" t="s">
        <v>21</v>
      </c>
      <c r="C9" s="100">
        <v>45658</v>
      </c>
      <c r="D9" s="99" t="s">
        <v>14</v>
      </c>
      <c r="E9" s="99" t="s">
        <v>15</v>
      </c>
      <c r="F9" s="99" t="s">
        <v>16</v>
      </c>
      <c r="G9" s="99">
        <v>41</v>
      </c>
      <c r="H9" s="112">
        <v>350000</v>
      </c>
      <c r="I9" s="112">
        <v>14350000</v>
      </c>
      <c r="J9" s="99" t="s">
        <v>2747</v>
      </c>
      <c r="K9" s="99" t="s">
        <v>8</v>
      </c>
      <c r="N9" s="99" t="s">
        <v>89</v>
      </c>
      <c r="O9" s="99" t="s">
        <v>47</v>
      </c>
      <c r="P9" s="100">
        <f t="shared" si="0"/>
        <v>45722</v>
      </c>
      <c r="Q9" s="101">
        <f t="shared" si="1"/>
        <v>301</v>
      </c>
      <c r="R9" s="99">
        <f t="shared" si="2"/>
        <v>1</v>
      </c>
      <c r="S9" s="101">
        <f t="shared" si="3"/>
        <v>39900000</v>
      </c>
      <c r="T9" s="99" t="str">
        <f t="shared" si="4"/>
        <v>Low</v>
      </c>
      <c r="U9" s="99" t="str">
        <f t="shared" si="5"/>
        <v>Low</v>
      </c>
      <c r="V9" s="99" t="str">
        <f t="shared" si="6"/>
        <v>High</v>
      </c>
      <c r="W9" s="99" t="str">
        <f t="shared" si="7"/>
        <v>LLH</v>
      </c>
      <c r="X9" s="99" t="str">
        <f>VLOOKUP(W9,rfm[],2,FALSE)</f>
        <v>💸 Lost High Spenders</v>
      </c>
      <c r="Y9" s="93" t="s">
        <v>3093</v>
      </c>
      <c r="AA9" s="99" t="s">
        <v>89</v>
      </c>
      <c r="AB9" s="99" t="s">
        <v>47</v>
      </c>
      <c r="AC9" s="100">
        <v>45722</v>
      </c>
      <c r="AD9" s="101">
        <v>301</v>
      </c>
      <c r="AE9" s="101">
        <v>1</v>
      </c>
      <c r="AF9" s="101">
        <v>39900000</v>
      </c>
      <c r="AG9" s="99" t="str">
        <f>VLOOKUP(AA9,recency!$K$6:$P$818,6,0)</f>
        <v>Low</v>
      </c>
      <c r="AH9" s="132" t="str">
        <f>VLOOKUP(AA9,frequency!$F$6:$H$818,3,FALSE)</f>
        <v>Low</v>
      </c>
      <c r="AI9" s="129" t="str">
        <f>VLOOKUP(AA9,monetary!$B$5:$F$817,5,0)</f>
        <v>Low</v>
      </c>
      <c r="AJ9" s="99" t="str">
        <f t="shared" si="8"/>
        <v>LLL</v>
      </c>
      <c r="AK9" s="99" t="str">
        <f>VLOOKUP(AJ9,rfm[],2,0)</f>
        <v>💤 Lost / Low Value</v>
      </c>
      <c r="AN9" s="99" t="b">
        <f t="shared" si="9"/>
        <v>0</v>
      </c>
    </row>
    <row r="10" spans="1:45" x14ac:dyDescent="0.3">
      <c r="B10" s="99" t="s">
        <v>48</v>
      </c>
      <c r="C10" s="100">
        <v>45658</v>
      </c>
      <c r="D10" s="99" t="s">
        <v>31</v>
      </c>
      <c r="E10" s="99" t="s">
        <v>32</v>
      </c>
      <c r="F10" s="99" t="s">
        <v>20</v>
      </c>
      <c r="G10" s="99">
        <v>28</v>
      </c>
      <c r="H10" s="112">
        <v>180000</v>
      </c>
      <c r="I10" s="112">
        <v>5040000</v>
      </c>
      <c r="J10" s="99" t="s">
        <v>2683</v>
      </c>
      <c r="K10" s="99" t="s">
        <v>47</v>
      </c>
      <c r="N10" s="99" t="s">
        <v>100</v>
      </c>
      <c r="O10" s="99" t="s">
        <v>47</v>
      </c>
      <c r="P10" s="100">
        <f t="shared" si="0"/>
        <v>45834</v>
      </c>
      <c r="Q10" s="101">
        <f t="shared" si="1"/>
        <v>189</v>
      </c>
      <c r="R10" s="99">
        <f t="shared" si="2"/>
        <v>1</v>
      </c>
      <c r="S10" s="101">
        <f t="shared" si="3"/>
        <v>250000</v>
      </c>
      <c r="T10" s="99" t="str">
        <f t="shared" si="4"/>
        <v>Low</v>
      </c>
      <c r="U10" s="99" t="str">
        <f t="shared" si="5"/>
        <v>Low</v>
      </c>
      <c r="V10" s="99" t="str">
        <f t="shared" si="6"/>
        <v>Low</v>
      </c>
      <c r="W10" s="99" t="str">
        <f t="shared" si="7"/>
        <v>LLL</v>
      </c>
      <c r="X10" s="99" t="str">
        <f>VLOOKUP(W10,rfm[],2,FALSE)</f>
        <v>💤 Lost / Low Value</v>
      </c>
      <c r="AA10" s="99" t="s">
        <v>100</v>
      </c>
      <c r="AB10" s="99" t="s">
        <v>47</v>
      </c>
      <c r="AC10" s="100">
        <v>45834</v>
      </c>
      <c r="AD10" s="101">
        <v>189</v>
      </c>
      <c r="AE10" s="101">
        <v>1</v>
      </c>
      <c r="AF10" s="101">
        <v>250000</v>
      </c>
      <c r="AG10" s="99" t="str">
        <f>VLOOKUP(AA10,recency!$K$6:$P$818,6,0)</f>
        <v>Low</v>
      </c>
      <c r="AH10" s="132" t="str">
        <f>VLOOKUP(AA10,frequency!$F$6:$H$818,3,FALSE)</f>
        <v>Low</v>
      </c>
      <c r="AI10" s="129" t="str">
        <f>VLOOKUP(AA10,monetary!$B$5:$F$817,5,0)</f>
        <v>Low</v>
      </c>
      <c r="AJ10" s="99" t="str">
        <f t="shared" si="8"/>
        <v>LLL</v>
      </c>
      <c r="AK10" s="99" t="str">
        <f>VLOOKUP(AJ10,rfm[],2,0)</f>
        <v>💤 Lost / Low Value</v>
      </c>
      <c r="AN10" s="99" t="b">
        <f t="shared" si="9"/>
        <v>1</v>
      </c>
    </row>
    <row r="11" spans="1:45" x14ac:dyDescent="0.3">
      <c r="B11" s="99" t="s">
        <v>49</v>
      </c>
      <c r="C11" s="100">
        <v>45658</v>
      </c>
      <c r="D11" s="99" t="s">
        <v>44</v>
      </c>
      <c r="E11" s="99" t="s">
        <v>45</v>
      </c>
      <c r="F11" s="99" t="s">
        <v>16</v>
      </c>
      <c r="G11" s="99">
        <v>7</v>
      </c>
      <c r="H11" s="112">
        <v>250000</v>
      </c>
      <c r="I11" s="112">
        <v>1750000</v>
      </c>
      <c r="J11" s="99" t="s">
        <v>2566</v>
      </c>
      <c r="K11" s="99" t="s">
        <v>8</v>
      </c>
      <c r="N11" s="99" t="s">
        <v>117</v>
      </c>
      <c r="O11" s="99" t="s">
        <v>47</v>
      </c>
      <c r="P11" s="100">
        <f t="shared" si="0"/>
        <v>45727</v>
      </c>
      <c r="Q11" s="101">
        <f t="shared" si="1"/>
        <v>296</v>
      </c>
      <c r="R11" s="99">
        <f t="shared" si="2"/>
        <v>1</v>
      </c>
      <c r="S11" s="101">
        <f t="shared" si="3"/>
        <v>19000000</v>
      </c>
      <c r="T11" s="99" t="str">
        <f t="shared" si="4"/>
        <v>Low</v>
      </c>
      <c r="U11" s="99" t="str">
        <f t="shared" si="5"/>
        <v>Low</v>
      </c>
      <c r="V11" s="99" t="str">
        <f t="shared" si="6"/>
        <v>High</v>
      </c>
      <c r="W11" s="99" t="str">
        <f t="shared" si="7"/>
        <v>LLH</v>
      </c>
      <c r="X11" s="99" t="str">
        <f>VLOOKUP(W11,rfm[],2,FALSE)</f>
        <v>💸 Lost High Spenders</v>
      </c>
      <c r="AA11" s="99" t="s">
        <v>117</v>
      </c>
      <c r="AB11" s="99" t="s">
        <v>47</v>
      </c>
      <c r="AC11" s="100">
        <v>45727</v>
      </c>
      <c r="AD11" s="101">
        <v>296</v>
      </c>
      <c r="AE11" s="101">
        <v>1</v>
      </c>
      <c r="AF11" s="101">
        <v>19000000</v>
      </c>
      <c r="AG11" s="99" t="str">
        <f>VLOOKUP(AA11,recency!$K$6:$P$818,6,0)</f>
        <v>Low</v>
      </c>
      <c r="AH11" s="132" t="str">
        <f>VLOOKUP(AA11,frequency!$F$6:$H$818,3,FALSE)</f>
        <v>Low</v>
      </c>
      <c r="AI11" s="129" t="str">
        <f>VLOOKUP(AA11,monetary!$B$5:$F$817,5,0)</f>
        <v>Low</v>
      </c>
      <c r="AJ11" s="99" t="str">
        <f t="shared" si="8"/>
        <v>LLL</v>
      </c>
      <c r="AK11" s="99" t="str">
        <f>VLOOKUP(AJ11,rfm[],2,0)</f>
        <v>💤 Lost / Low Value</v>
      </c>
      <c r="AN11" s="99" t="b">
        <f t="shared" si="9"/>
        <v>0</v>
      </c>
    </row>
    <row r="12" spans="1:45" x14ac:dyDescent="0.3">
      <c r="B12" s="99" t="s">
        <v>61</v>
      </c>
      <c r="C12" s="100">
        <v>45658</v>
      </c>
      <c r="D12" s="99" t="s">
        <v>31</v>
      </c>
      <c r="E12" s="99" t="s">
        <v>32</v>
      </c>
      <c r="F12" s="99" t="s">
        <v>20</v>
      </c>
      <c r="G12" s="99">
        <v>35</v>
      </c>
      <c r="H12" s="112">
        <v>180000</v>
      </c>
      <c r="I12" s="112">
        <v>6300000</v>
      </c>
      <c r="J12" s="99" t="s">
        <v>2848</v>
      </c>
      <c r="K12" s="99" t="s">
        <v>60</v>
      </c>
      <c r="N12" s="99" t="s">
        <v>126</v>
      </c>
      <c r="O12" s="99" t="s">
        <v>127</v>
      </c>
      <c r="P12" s="100">
        <f t="shared" si="0"/>
        <v>45768</v>
      </c>
      <c r="Q12" s="101">
        <f t="shared" si="1"/>
        <v>255</v>
      </c>
      <c r="R12" s="99">
        <f t="shared" si="2"/>
        <v>2</v>
      </c>
      <c r="S12" s="101">
        <f t="shared" si="3"/>
        <v>11700000</v>
      </c>
      <c r="T12" s="99" t="str">
        <f t="shared" si="4"/>
        <v>Low</v>
      </c>
      <c r="U12" s="99" t="str">
        <f t="shared" si="5"/>
        <v>Low</v>
      </c>
      <c r="V12" s="99" t="str">
        <f t="shared" si="6"/>
        <v>Low</v>
      </c>
      <c r="W12" s="99" t="str">
        <f t="shared" si="7"/>
        <v>LLL</v>
      </c>
      <c r="X12" s="99" t="str">
        <f>VLOOKUP(W12,rfm[],2,FALSE)</f>
        <v>💤 Lost / Low Value</v>
      </c>
      <c r="AA12" s="99" t="s">
        <v>126</v>
      </c>
      <c r="AB12" s="99" t="s">
        <v>127</v>
      </c>
      <c r="AC12" s="100">
        <v>45768</v>
      </c>
      <c r="AD12" s="101">
        <v>255</v>
      </c>
      <c r="AE12" s="101">
        <v>2</v>
      </c>
      <c r="AF12" s="101">
        <v>11700000</v>
      </c>
      <c r="AG12" s="99" t="str">
        <f>VLOOKUP(AA12,recency!$K$6:$P$818,6,0)</f>
        <v>Low</v>
      </c>
      <c r="AH12" s="132" t="str">
        <f>VLOOKUP(AA12,frequency!$F$6:$H$818,3,FALSE)</f>
        <v>Low</v>
      </c>
      <c r="AI12" s="129" t="str">
        <f>VLOOKUP(AA12,monetary!$B$5:$F$817,5,0)</f>
        <v>Low</v>
      </c>
      <c r="AJ12" s="99" t="str">
        <f t="shared" si="8"/>
        <v>LLL</v>
      </c>
      <c r="AK12" s="99" t="str">
        <f>VLOOKUP(AJ12,rfm[],2,0)</f>
        <v>💤 Lost / Low Value</v>
      </c>
      <c r="AN12" s="99" t="b">
        <f t="shared" si="9"/>
        <v>1</v>
      </c>
    </row>
    <row r="13" spans="1:45" x14ac:dyDescent="0.3">
      <c r="B13" s="99" t="s">
        <v>70</v>
      </c>
      <c r="C13" s="100">
        <v>45658</v>
      </c>
      <c r="D13" s="99" t="s">
        <v>10</v>
      </c>
      <c r="E13" s="99" t="s">
        <v>11</v>
      </c>
      <c r="F13" s="99" t="s">
        <v>12</v>
      </c>
      <c r="G13" s="99">
        <v>21</v>
      </c>
      <c r="H13" s="112">
        <v>120000</v>
      </c>
      <c r="I13" s="112">
        <v>2520000</v>
      </c>
      <c r="J13" s="99" t="s">
        <v>2330</v>
      </c>
      <c r="K13" s="99" t="s">
        <v>69</v>
      </c>
      <c r="N13" s="99" t="s">
        <v>152</v>
      </c>
      <c r="O13" s="99" t="s">
        <v>127</v>
      </c>
      <c r="P13" s="100">
        <f t="shared" si="0"/>
        <v>45950</v>
      </c>
      <c r="Q13" s="101">
        <f t="shared" si="1"/>
        <v>73</v>
      </c>
      <c r="R13" s="99">
        <f t="shared" si="2"/>
        <v>3</v>
      </c>
      <c r="S13" s="101">
        <f t="shared" si="3"/>
        <v>10230000</v>
      </c>
      <c r="T13" s="99" t="str">
        <f t="shared" si="4"/>
        <v>High</v>
      </c>
      <c r="U13" s="99" t="str">
        <f t="shared" si="5"/>
        <v>High</v>
      </c>
      <c r="V13" s="99" t="str">
        <f t="shared" si="6"/>
        <v>Low</v>
      </c>
      <c r="W13" s="99" t="str">
        <f t="shared" si="7"/>
        <v>HHL</v>
      </c>
      <c r="X13" s="99" t="str">
        <f>VLOOKUP(W13,rfm[],2,FALSE)</f>
        <v>💎 Loyal High Value</v>
      </c>
      <c r="AA13" s="99" t="s">
        <v>152</v>
      </c>
      <c r="AB13" s="99" t="s">
        <v>127</v>
      </c>
      <c r="AC13" s="100">
        <v>45950</v>
      </c>
      <c r="AD13" s="101">
        <v>73</v>
      </c>
      <c r="AE13" s="101">
        <v>3</v>
      </c>
      <c r="AF13" s="101">
        <v>10230000</v>
      </c>
      <c r="AG13" s="99" t="str">
        <f>VLOOKUP(AA13,recency!$K$6:$P$818,6,0)</f>
        <v>Low</v>
      </c>
      <c r="AH13" s="132" t="str">
        <f>VLOOKUP(AA13,frequency!$F$6:$H$818,3,FALSE)</f>
        <v>High</v>
      </c>
      <c r="AI13" s="129" t="str">
        <f>VLOOKUP(AA13,monetary!$B$5:$F$817,5,0)</f>
        <v>Low</v>
      </c>
      <c r="AJ13" s="99" t="str">
        <f t="shared" si="8"/>
        <v>LHL</v>
      </c>
      <c r="AK13" s="99" t="str">
        <f>VLOOKUP(AJ13,rfm[],2,0)</f>
        <v>🔁 Former Loyal Low Spend</v>
      </c>
      <c r="AN13" s="99" t="b">
        <f t="shared" si="9"/>
        <v>0</v>
      </c>
    </row>
    <row r="14" spans="1:45" x14ac:dyDescent="0.3">
      <c r="B14" s="99" t="s">
        <v>71</v>
      </c>
      <c r="C14" s="100">
        <v>45658</v>
      </c>
      <c r="D14" s="99" t="s">
        <v>44</v>
      </c>
      <c r="E14" s="99" t="s">
        <v>45</v>
      </c>
      <c r="F14" s="99" t="s">
        <v>16</v>
      </c>
      <c r="G14" s="99">
        <v>32</v>
      </c>
      <c r="H14" s="112">
        <v>250000</v>
      </c>
      <c r="I14" s="112">
        <v>8000000</v>
      </c>
      <c r="J14" s="99" t="s">
        <v>2685</v>
      </c>
      <c r="K14" s="99" t="s">
        <v>69</v>
      </c>
      <c r="N14" s="99" t="s">
        <v>164</v>
      </c>
      <c r="O14" s="99" t="s">
        <v>8</v>
      </c>
      <c r="P14" s="100">
        <f t="shared" si="0"/>
        <v>45978</v>
      </c>
      <c r="Q14" s="101">
        <f t="shared" si="1"/>
        <v>45</v>
      </c>
      <c r="R14" s="99">
        <f t="shared" si="2"/>
        <v>3</v>
      </c>
      <c r="S14" s="101">
        <f t="shared" si="3"/>
        <v>60960000</v>
      </c>
      <c r="T14" s="99" t="str">
        <f t="shared" si="4"/>
        <v>High</v>
      </c>
      <c r="U14" s="99" t="str">
        <f t="shared" si="5"/>
        <v>High</v>
      </c>
      <c r="V14" s="99" t="str">
        <f t="shared" si="6"/>
        <v>High</v>
      </c>
      <c r="W14" s="99" t="str">
        <f t="shared" si="7"/>
        <v>HHH</v>
      </c>
      <c r="X14" s="99" t="str">
        <f>VLOOKUP(W14,rfm[],2,FALSE)</f>
        <v>🥇 Champions</v>
      </c>
      <c r="AA14" s="99" t="s">
        <v>164</v>
      </c>
      <c r="AB14" s="99" t="s">
        <v>8</v>
      </c>
      <c r="AC14" s="100">
        <v>45978</v>
      </c>
      <c r="AD14" s="101">
        <v>45</v>
      </c>
      <c r="AE14" s="101">
        <v>3</v>
      </c>
      <c r="AF14" s="101">
        <v>60960000</v>
      </c>
      <c r="AG14" s="99" t="str">
        <f>VLOOKUP(AA14,recency!$K$6:$P$818,6,0)</f>
        <v>High</v>
      </c>
      <c r="AH14" s="132" t="str">
        <f>VLOOKUP(AA14,frequency!$F$6:$H$818,3,FALSE)</f>
        <v>High</v>
      </c>
      <c r="AI14" s="129" t="str">
        <f>VLOOKUP(AA14,monetary!$B$5:$F$817,5,0)</f>
        <v>High</v>
      </c>
      <c r="AJ14" s="99" t="str">
        <f t="shared" si="8"/>
        <v>HHH</v>
      </c>
      <c r="AK14" s="99" t="str">
        <f>VLOOKUP(AJ14,rfm[],2,0)</f>
        <v>🥇 Champions</v>
      </c>
      <c r="AN14" s="99" t="b">
        <f t="shared" si="9"/>
        <v>1</v>
      </c>
    </row>
    <row r="15" spans="1:45" x14ac:dyDescent="0.3">
      <c r="B15" s="99" t="s">
        <v>90</v>
      </c>
      <c r="C15" s="100">
        <v>45659</v>
      </c>
      <c r="D15" s="99" t="s">
        <v>14</v>
      </c>
      <c r="E15" s="99" t="s">
        <v>15</v>
      </c>
      <c r="F15" s="99" t="s">
        <v>16</v>
      </c>
      <c r="G15" s="99">
        <v>21</v>
      </c>
      <c r="H15" s="112">
        <v>350000</v>
      </c>
      <c r="I15" s="112">
        <v>7350000</v>
      </c>
      <c r="J15" s="99" t="s">
        <v>2791</v>
      </c>
      <c r="K15" s="99" t="s">
        <v>8</v>
      </c>
      <c r="N15" s="99" t="s">
        <v>184</v>
      </c>
      <c r="O15" s="99" t="s">
        <v>127</v>
      </c>
      <c r="P15" s="100">
        <f t="shared" si="0"/>
        <v>45924</v>
      </c>
      <c r="Q15" s="101">
        <f t="shared" si="1"/>
        <v>99</v>
      </c>
      <c r="R15" s="99">
        <f t="shared" si="2"/>
        <v>1</v>
      </c>
      <c r="S15" s="101">
        <f t="shared" si="3"/>
        <v>18450000</v>
      </c>
      <c r="T15" s="99" t="str">
        <f t="shared" si="4"/>
        <v>Low</v>
      </c>
      <c r="U15" s="99" t="str">
        <f t="shared" si="5"/>
        <v>Low</v>
      </c>
      <c r="V15" s="99" t="str">
        <f t="shared" si="6"/>
        <v>High</v>
      </c>
      <c r="W15" s="99" t="str">
        <f t="shared" si="7"/>
        <v>LLH</v>
      </c>
      <c r="X15" s="99" t="str">
        <f>VLOOKUP(W15,rfm[],2,FALSE)</f>
        <v>💸 Lost High Spenders</v>
      </c>
      <c r="AA15" s="99" t="s">
        <v>184</v>
      </c>
      <c r="AB15" s="99" t="s">
        <v>127</v>
      </c>
      <c r="AC15" s="100">
        <v>45924</v>
      </c>
      <c r="AD15" s="101">
        <v>99</v>
      </c>
      <c r="AE15" s="101">
        <v>1</v>
      </c>
      <c r="AF15" s="101">
        <v>18450000</v>
      </c>
      <c r="AG15" s="99" t="str">
        <f>VLOOKUP(AA15,recency!$K$6:$P$818,6,0)</f>
        <v>Low</v>
      </c>
      <c r="AH15" s="132" t="str">
        <f>VLOOKUP(AA15,frequency!$F$6:$H$818,3,FALSE)</f>
        <v>Low</v>
      </c>
      <c r="AI15" s="129" t="str">
        <f>VLOOKUP(AA15,monetary!$B$5:$F$817,5,0)</f>
        <v>Low</v>
      </c>
      <c r="AJ15" s="99" t="str">
        <f t="shared" si="8"/>
        <v>LLL</v>
      </c>
      <c r="AK15" s="99" t="str">
        <f>VLOOKUP(AJ15,rfm[],2,0)</f>
        <v>💤 Lost / Low Value</v>
      </c>
      <c r="AN15" s="99" t="b">
        <f t="shared" si="9"/>
        <v>0</v>
      </c>
    </row>
    <row r="16" spans="1:45" x14ac:dyDescent="0.3">
      <c r="B16" s="99" t="s">
        <v>91</v>
      </c>
      <c r="C16" s="100">
        <v>45659</v>
      </c>
      <c r="D16" s="99" t="s">
        <v>42</v>
      </c>
      <c r="E16" s="99" t="s">
        <v>43</v>
      </c>
      <c r="F16" s="99" t="s">
        <v>16</v>
      </c>
      <c r="G16" s="99">
        <v>30</v>
      </c>
      <c r="H16" s="112">
        <v>1200000</v>
      </c>
      <c r="I16" s="112">
        <v>36000000</v>
      </c>
      <c r="J16" s="99" t="s">
        <v>2409</v>
      </c>
      <c r="K16" s="99" t="s">
        <v>69</v>
      </c>
      <c r="N16" s="99" t="s">
        <v>204</v>
      </c>
      <c r="O16" s="99" t="s">
        <v>60</v>
      </c>
      <c r="P16" s="100">
        <f t="shared" si="0"/>
        <v>45854</v>
      </c>
      <c r="Q16" s="101">
        <f t="shared" si="1"/>
        <v>169</v>
      </c>
      <c r="R16" s="99">
        <f t="shared" si="2"/>
        <v>1</v>
      </c>
      <c r="S16" s="101">
        <f t="shared" si="3"/>
        <v>18500000</v>
      </c>
      <c r="T16" s="99" t="str">
        <f t="shared" si="4"/>
        <v>Low</v>
      </c>
      <c r="U16" s="99" t="str">
        <f t="shared" si="5"/>
        <v>Low</v>
      </c>
      <c r="V16" s="99" t="str">
        <f t="shared" si="6"/>
        <v>High</v>
      </c>
      <c r="W16" s="99" t="str">
        <f t="shared" si="7"/>
        <v>LLH</v>
      </c>
      <c r="X16" s="99" t="str">
        <f>VLOOKUP(W16,rfm[],2,FALSE)</f>
        <v>💸 Lost High Spenders</v>
      </c>
      <c r="AA16" s="99" t="s">
        <v>204</v>
      </c>
      <c r="AB16" s="99" t="s">
        <v>60</v>
      </c>
      <c r="AC16" s="100">
        <v>45854</v>
      </c>
      <c r="AD16" s="101">
        <v>169</v>
      </c>
      <c r="AE16" s="101">
        <v>1</v>
      </c>
      <c r="AF16" s="101">
        <v>18500000</v>
      </c>
      <c r="AG16" s="99" t="str">
        <f>VLOOKUP(AA16,recency!$K$6:$P$818,6,0)</f>
        <v>Low</v>
      </c>
      <c r="AH16" s="132" t="str">
        <f>VLOOKUP(AA16,frequency!$F$6:$H$818,3,FALSE)</f>
        <v>Low</v>
      </c>
      <c r="AI16" s="129" t="str">
        <f>VLOOKUP(AA16,monetary!$B$5:$F$817,5,0)</f>
        <v>Low</v>
      </c>
      <c r="AJ16" s="99" t="str">
        <f t="shared" si="8"/>
        <v>LLL</v>
      </c>
      <c r="AK16" s="99" t="str">
        <f>VLOOKUP(AJ16,rfm[],2,0)</f>
        <v>💤 Lost / Low Value</v>
      </c>
      <c r="AN16" s="99" t="b">
        <f t="shared" si="9"/>
        <v>0</v>
      </c>
    </row>
    <row r="17" spans="2:40" x14ac:dyDescent="0.3">
      <c r="B17" s="99" t="s">
        <v>101</v>
      </c>
      <c r="C17" s="100">
        <v>45659</v>
      </c>
      <c r="D17" s="99" t="s">
        <v>18</v>
      </c>
      <c r="E17" s="99" t="s">
        <v>19</v>
      </c>
      <c r="F17" s="99" t="s">
        <v>20</v>
      </c>
      <c r="G17" s="99">
        <v>12</v>
      </c>
      <c r="H17" s="112">
        <v>500000</v>
      </c>
      <c r="I17" s="112">
        <v>6000000</v>
      </c>
      <c r="J17" s="99" t="s">
        <v>2701</v>
      </c>
      <c r="K17" s="99" t="s">
        <v>60</v>
      </c>
      <c r="N17" s="99" t="s">
        <v>216</v>
      </c>
      <c r="O17" s="99" t="s">
        <v>69</v>
      </c>
      <c r="P17" s="100">
        <f t="shared" si="0"/>
        <v>45904</v>
      </c>
      <c r="Q17" s="101">
        <f t="shared" si="1"/>
        <v>119</v>
      </c>
      <c r="R17" s="99">
        <f t="shared" si="2"/>
        <v>3</v>
      </c>
      <c r="S17" s="101">
        <f t="shared" si="3"/>
        <v>43550000</v>
      </c>
      <c r="T17" s="99" t="str">
        <f t="shared" si="4"/>
        <v>Low</v>
      </c>
      <c r="U17" s="99" t="str">
        <f t="shared" si="5"/>
        <v>High</v>
      </c>
      <c r="V17" s="99" t="str">
        <f t="shared" si="6"/>
        <v>High</v>
      </c>
      <c r="W17" s="99" t="str">
        <f t="shared" si="7"/>
        <v>LHH</v>
      </c>
      <c r="X17" s="99" t="str">
        <f>VLOOKUP(W17,rfm[],2,FALSE)</f>
        <v>⚠️ At Risk High Value</v>
      </c>
      <c r="AA17" s="99" t="s">
        <v>216</v>
      </c>
      <c r="AB17" s="99" t="s">
        <v>69</v>
      </c>
      <c r="AC17" s="100">
        <v>45904</v>
      </c>
      <c r="AD17" s="101">
        <v>119</v>
      </c>
      <c r="AE17" s="101">
        <v>3</v>
      </c>
      <c r="AF17" s="101">
        <v>43550000</v>
      </c>
      <c r="AG17" s="99" t="str">
        <f>VLOOKUP(AA17,recency!$K$6:$P$818,6,0)</f>
        <v>Low</v>
      </c>
      <c r="AH17" s="132" t="str">
        <f>VLOOKUP(AA17,frequency!$F$6:$H$818,3,FALSE)</f>
        <v>High</v>
      </c>
      <c r="AI17" s="129" t="str">
        <f>VLOOKUP(AA17,monetary!$B$5:$F$817,5,0)</f>
        <v>Low</v>
      </c>
      <c r="AJ17" s="99" t="str">
        <f t="shared" si="8"/>
        <v>LHL</v>
      </c>
      <c r="AK17" s="99" t="str">
        <f>VLOOKUP(AJ17,rfm[],2,0)</f>
        <v>🔁 Former Loyal Low Spend</v>
      </c>
      <c r="AN17" s="99" t="b">
        <f t="shared" si="9"/>
        <v>0</v>
      </c>
    </row>
    <row r="18" spans="2:40" x14ac:dyDescent="0.3">
      <c r="B18" s="99" t="s">
        <v>102</v>
      </c>
      <c r="C18" s="100">
        <v>45659</v>
      </c>
      <c r="D18" s="99" t="s">
        <v>31</v>
      </c>
      <c r="E18" s="99" t="s">
        <v>32</v>
      </c>
      <c r="F18" s="99" t="s">
        <v>20</v>
      </c>
      <c r="G18" s="99">
        <v>17</v>
      </c>
      <c r="H18" s="112">
        <v>180000</v>
      </c>
      <c r="I18" s="112">
        <v>3060000</v>
      </c>
      <c r="J18" s="99" t="s">
        <v>2163</v>
      </c>
      <c r="K18" s="99" t="s">
        <v>127</v>
      </c>
      <c r="N18" s="99" t="s">
        <v>229</v>
      </c>
      <c r="O18" s="99" t="s">
        <v>8</v>
      </c>
      <c r="P18" s="100">
        <f t="shared" si="0"/>
        <v>45790</v>
      </c>
      <c r="Q18" s="101">
        <f t="shared" si="1"/>
        <v>233</v>
      </c>
      <c r="R18" s="99">
        <f t="shared" si="2"/>
        <v>3</v>
      </c>
      <c r="S18" s="101">
        <f t="shared" si="3"/>
        <v>22350000</v>
      </c>
      <c r="T18" s="99" t="str">
        <f t="shared" si="4"/>
        <v>Low</v>
      </c>
      <c r="U18" s="99" t="str">
        <f t="shared" si="5"/>
        <v>High</v>
      </c>
      <c r="V18" s="99" t="str">
        <f t="shared" si="6"/>
        <v>High</v>
      </c>
      <c r="W18" s="99" t="str">
        <f t="shared" si="7"/>
        <v>LHH</v>
      </c>
      <c r="X18" s="99" t="str">
        <f>VLOOKUP(W18,rfm[],2,FALSE)</f>
        <v>⚠️ At Risk High Value</v>
      </c>
      <c r="AA18" s="99" t="s">
        <v>229</v>
      </c>
      <c r="AB18" s="99" t="s">
        <v>8</v>
      </c>
      <c r="AC18" s="100">
        <v>45790</v>
      </c>
      <c r="AD18" s="101">
        <v>233</v>
      </c>
      <c r="AE18" s="101">
        <v>3</v>
      </c>
      <c r="AF18" s="101">
        <v>22350000</v>
      </c>
      <c r="AG18" s="99" t="str">
        <f>VLOOKUP(AA18,recency!$K$6:$P$818,6,0)</f>
        <v>Low</v>
      </c>
      <c r="AH18" s="132" t="str">
        <f>VLOOKUP(AA18,frequency!$F$6:$H$818,3,FALSE)</f>
        <v>High</v>
      </c>
      <c r="AI18" s="129" t="str">
        <f>VLOOKUP(AA18,monetary!$B$5:$F$817,5,0)</f>
        <v>Low</v>
      </c>
      <c r="AJ18" s="99" t="str">
        <f t="shared" si="8"/>
        <v>LHL</v>
      </c>
      <c r="AK18" s="99" t="str">
        <f>VLOOKUP(AJ18,rfm[],2,0)</f>
        <v>🔁 Former Loyal Low Spend</v>
      </c>
      <c r="AN18" s="99" t="b">
        <f t="shared" si="9"/>
        <v>0</v>
      </c>
    </row>
    <row r="19" spans="2:40" x14ac:dyDescent="0.3">
      <c r="B19" s="99" t="s">
        <v>103</v>
      </c>
      <c r="C19" s="100">
        <v>45659</v>
      </c>
      <c r="D19" s="99" t="s">
        <v>38</v>
      </c>
      <c r="E19" s="99" t="s">
        <v>39</v>
      </c>
      <c r="F19" s="99" t="s">
        <v>16</v>
      </c>
      <c r="G19" s="99">
        <v>35</v>
      </c>
      <c r="H19" s="112">
        <v>200000</v>
      </c>
      <c r="I19" s="112">
        <v>7000000</v>
      </c>
      <c r="J19" s="99" t="s">
        <v>2766</v>
      </c>
      <c r="K19" s="99" t="s">
        <v>127</v>
      </c>
      <c r="N19" s="99" t="s">
        <v>258</v>
      </c>
      <c r="O19" s="99" t="s">
        <v>47</v>
      </c>
      <c r="P19" s="100">
        <f t="shared" si="0"/>
        <v>45940</v>
      </c>
      <c r="Q19" s="101">
        <f t="shared" si="1"/>
        <v>83</v>
      </c>
      <c r="R19" s="99">
        <f t="shared" si="2"/>
        <v>3</v>
      </c>
      <c r="S19" s="101">
        <f t="shared" si="3"/>
        <v>5825000</v>
      </c>
      <c r="T19" s="99" t="str">
        <f t="shared" si="4"/>
        <v>High</v>
      </c>
      <c r="U19" s="99" t="str">
        <f t="shared" si="5"/>
        <v>High</v>
      </c>
      <c r="V19" s="99" t="str">
        <f t="shared" si="6"/>
        <v>Low</v>
      </c>
      <c r="W19" s="99" t="str">
        <f t="shared" si="7"/>
        <v>HHL</v>
      </c>
      <c r="X19" s="99" t="str">
        <f>VLOOKUP(W19,rfm[],2,FALSE)</f>
        <v>💎 Loyal High Value</v>
      </c>
      <c r="AA19" s="99" t="s">
        <v>258</v>
      </c>
      <c r="AB19" s="99" t="s">
        <v>47</v>
      </c>
      <c r="AC19" s="100">
        <v>45940</v>
      </c>
      <c r="AD19" s="101">
        <v>83</v>
      </c>
      <c r="AE19" s="101">
        <v>3</v>
      </c>
      <c r="AF19" s="101">
        <v>5825000</v>
      </c>
      <c r="AG19" s="99" t="str">
        <f>VLOOKUP(AA19,recency!$K$6:$P$818,6,0)</f>
        <v>Low</v>
      </c>
      <c r="AH19" s="132" t="str">
        <f>VLOOKUP(AA19,frequency!$F$6:$H$818,3,FALSE)</f>
        <v>High</v>
      </c>
      <c r="AI19" s="129" t="str">
        <f>VLOOKUP(AA19,monetary!$B$5:$F$817,5,0)</f>
        <v>Low</v>
      </c>
      <c r="AJ19" s="99" t="str">
        <f t="shared" si="8"/>
        <v>LHL</v>
      </c>
      <c r="AK19" s="99" t="str">
        <f>VLOOKUP(AJ19,rfm[],2,0)</f>
        <v>🔁 Former Loyal Low Spend</v>
      </c>
      <c r="AN19" s="99" t="b">
        <f t="shared" si="9"/>
        <v>0</v>
      </c>
    </row>
    <row r="20" spans="2:40" x14ac:dyDescent="0.3">
      <c r="B20" s="99" t="s">
        <v>104</v>
      </c>
      <c r="C20" s="100">
        <v>45659</v>
      </c>
      <c r="D20" s="99" t="s">
        <v>40</v>
      </c>
      <c r="E20" s="99" t="s">
        <v>41</v>
      </c>
      <c r="F20" s="99" t="s">
        <v>16</v>
      </c>
      <c r="G20" s="99">
        <v>400</v>
      </c>
      <c r="H20" s="112">
        <v>950000</v>
      </c>
      <c r="I20" s="112">
        <v>380000000</v>
      </c>
      <c r="J20" s="99" t="s">
        <v>2624</v>
      </c>
      <c r="K20" s="99" t="s">
        <v>60</v>
      </c>
      <c r="N20" s="99" t="s">
        <v>274</v>
      </c>
      <c r="O20" s="99" t="s">
        <v>8</v>
      </c>
      <c r="P20" s="100">
        <f t="shared" si="0"/>
        <v>45986</v>
      </c>
      <c r="Q20" s="101">
        <f t="shared" si="1"/>
        <v>37</v>
      </c>
      <c r="R20" s="99">
        <f t="shared" si="2"/>
        <v>5</v>
      </c>
      <c r="S20" s="101">
        <f t="shared" si="3"/>
        <v>38710000</v>
      </c>
      <c r="T20" s="99" t="str">
        <f t="shared" si="4"/>
        <v>High</v>
      </c>
      <c r="U20" s="99" t="str">
        <f t="shared" si="5"/>
        <v>High</v>
      </c>
      <c r="V20" s="99" t="str">
        <f t="shared" si="6"/>
        <v>High</v>
      </c>
      <c r="W20" s="99" t="str">
        <f t="shared" si="7"/>
        <v>HHH</v>
      </c>
      <c r="X20" s="99" t="str">
        <f>VLOOKUP(W20,rfm[],2,FALSE)</f>
        <v>🥇 Champions</v>
      </c>
      <c r="AA20" s="99" t="s">
        <v>274</v>
      </c>
      <c r="AB20" s="99" t="s">
        <v>8</v>
      </c>
      <c r="AC20" s="100">
        <v>45986</v>
      </c>
      <c r="AD20" s="101">
        <v>37</v>
      </c>
      <c r="AE20" s="101">
        <v>5</v>
      </c>
      <c r="AF20" s="101">
        <v>38710000</v>
      </c>
      <c r="AG20" s="99" t="str">
        <f>VLOOKUP(AA20,recency!$K$6:$P$818,6,0)</f>
        <v>High</v>
      </c>
      <c r="AH20" s="132" t="str">
        <f>VLOOKUP(AA20,frequency!$F$6:$H$818,3,FALSE)</f>
        <v>High</v>
      </c>
      <c r="AI20" s="129" t="str">
        <f>VLOOKUP(AA20,monetary!$B$5:$F$817,5,0)</f>
        <v>Low</v>
      </c>
      <c r="AJ20" s="99" t="str">
        <f t="shared" si="8"/>
        <v>HHL</v>
      </c>
      <c r="AK20" s="99" t="str">
        <f>VLOOKUP(AJ20,rfm[],2,0)</f>
        <v>💎 Loyal High Value</v>
      </c>
      <c r="AN20" s="99" t="b">
        <f t="shared" si="9"/>
        <v>0</v>
      </c>
    </row>
    <row r="21" spans="2:40" x14ac:dyDescent="0.3">
      <c r="B21" s="99" t="s">
        <v>118</v>
      </c>
      <c r="C21" s="100">
        <v>45659</v>
      </c>
      <c r="D21" s="99" t="s">
        <v>42</v>
      </c>
      <c r="E21" s="99" t="s">
        <v>43</v>
      </c>
      <c r="F21" s="99" t="s">
        <v>16</v>
      </c>
      <c r="G21" s="99">
        <v>24</v>
      </c>
      <c r="H21" s="112">
        <v>1200000</v>
      </c>
      <c r="I21" s="112">
        <v>28800000</v>
      </c>
      <c r="J21" s="99" t="s">
        <v>2202</v>
      </c>
      <c r="K21" s="99" t="s">
        <v>8</v>
      </c>
      <c r="N21" s="99" t="s">
        <v>287</v>
      </c>
      <c r="O21" s="99" t="s">
        <v>69</v>
      </c>
      <c r="P21" s="100">
        <f t="shared" si="0"/>
        <v>46015</v>
      </c>
      <c r="Q21" s="101">
        <f t="shared" si="1"/>
        <v>8</v>
      </c>
      <c r="R21" s="99">
        <f t="shared" si="2"/>
        <v>2</v>
      </c>
      <c r="S21" s="101">
        <f t="shared" si="3"/>
        <v>57550000</v>
      </c>
      <c r="T21" s="99" t="str">
        <f t="shared" si="4"/>
        <v>High</v>
      </c>
      <c r="U21" s="99" t="str">
        <f t="shared" si="5"/>
        <v>Low</v>
      </c>
      <c r="V21" s="99" t="str">
        <f t="shared" si="6"/>
        <v>High</v>
      </c>
      <c r="W21" s="99" t="str">
        <f t="shared" si="7"/>
        <v>HLH</v>
      </c>
      <c r="X21" s="99" t="str">
        <f>VLOOKUP(W21,rfm[],2,FALSE)</f>
        <v>🛒 Big Spenders (Occasional)</v>
      </c>
      <c r="AA21" s="99" t="s">
        <v>287</v>
      </c>
      <c r="AB21" s="99" t="s">
        <v>69</v>
      </c>
      <c r="AC21" s="100">
        <v>46015</v>
      </c>
      <c r="AD21" s="101">
        <v>8</v>
      </c>
      <c r="AE21" s="101">
        <v>2</v>
      </c>
      <c r="AF21" s="101">
        <v>57550000</v>
      </c>
      <c r="AG21" s="99" t="str">
        <f>VLOOKUP(AA21,recency!$K$6:$P$818,6,0)</f>
        <v>High</v>
      </c>
      <c r="AH21" s="132" t="str">
        <f>VLOOKUP(AA21,frequency!$F$6:$H$818,3,FALSE)</f>
        <v>Low</v>
      </c>
      <c r="AI21" s="129" t="str">
        <f>VLOOKUP(AA21,monetary!$B$5:$F$817,5,0)</f>
        <v>High</v>
      </c>
      <c r="AJ21" s="99" t="str">
        <f t="shared" si="8"/>
        <v>HLH</v>
      </c>
      <c r="AK21" s="99" t="str">
        <f>VLOOKUP(AJ21,rfm[],2,0)</f>
        <v>🛒 Big Spenders (Occasional)</v>
      </c>
      <c r="AN21" s="99" t="b">
        <f t="shared" si="9"/>
        <v>1</v>
      </c>
    </row>
    <row r="22" spans="2:40" x14ac:dyDescent="0.3">
      <c r="B22" s="99" t="s">
        <v>119</v>
      </c>
      <c r="C22" s="100">
        <v>45659</v>
      </c>
      <c r="D22" s="99" t="s">
        <v>42</v>
      </c>
      <c r="E22" s="99" t="s">
        <v>43</v>
      </c>
      <c r="F22" s="99" t="s">
        <v>16</v>
      </c>
      <c r="G22" s="99">
        <v>26</v>
      </c>
      <c r="H22" s="112">
        <v>1200000</v>
      </c>
      <c r="I22" s="112">
        <v>31200000</v>
      </c>
      <c r="J22" s="99" t="s">
        <v>2636</v>
      </c>
      <c r="K22" s="99" t="s">
        <v>60</v>
      </c>
      <c r="N22" s="99" t="s">
        <v>307</v>
      </c>
      <c r="O22" s="99" t="s">
        <v>127</v>
      </c>
      <c r="P22" s="100">
        <f t="shared" si="0"/>
        <v>45937</v>
      </c>
      <c r="Q22" s="101">
        <f t="shared" si="1"/>
        <v>86</v>
      </c>
      <c r="R22" s="99">
        <f t="shared" si="2"/>
        <v>3</v>
      </c>
      <c r="S22" s="101">
        <f t="shared" si="3"/>
        <v>11100000</v>
      </c>
      <c r="T22" s="99" t="str">
        <f t="shared" si="4"/>
        <v>High</v>
      </c>
      <c r="U22" s="99" t="str">
        <f t="shared" si="5"/>
        <v>High</v>
      </c>
      <c r="V22" s="99" t="str">
        <f t="shared" si="6"/>
        <v>Low</v>
      </c>
      <c r="W22" s="99" t="str">
        <f t="shared" si="7"/>
        <v>HHL</v>
      </c>
      <c r="X22" s="99" t="str">
        <f>VLOOKUP(W22,rfm[],2,FALSE)</f>
        <v>💎 Loyal High Value</v>
      </c>
      <c r="AA22" s="99" t="s">
        <v>307</v>
      </c>
      <c r="AB22" s="99" t="s">
        <v>127</v>
      </c>
      <c r="AC22" s="100">
        <v>45937</v>
      </c>
      <c r="AD22" s="101">
        <v>86</v>
      </c>
      <c r="AE22" s="101">
        <v>3</v>
      </c>
      <c r="AF22" s="101">
        <v>11100000</v>
      </c>
      <c r="AG22" s="99" t="str">
        <f>VLOOKUP(AA22,recency!$K$6:$P$818,6,0)</f>
        <v>Low</v>
      </c>
      <c r="AH22" s="132" t="str">
        <f>VLOOKUP(AA22,frequency!$F$6:$H$818,3,FALSE)</f>
        <v>High</v>
      </c>
      <c r="AI22" s="129" t="str">
        <f>VLOOKUP(AA22,monetary!$B$5:$F$817,5,0)</f>
        <v>Low</v>
      </c>
      <c r="AJ22" s="99" t="str">
        <f t="shared" si="8"/>
        <v>LHL</v>
      </c>
      <c r="AK22" s="99" t="str">
        <f>VLOOKUP(AJ22,rfm[],2,0)</f>
        <v>🔁 Former Loyal Low Spend</v>
      </c>
      <c r="AN22" s="99" t="b">
        <f t="shared" si="9"/>
        <v>0</v>
      </c>
    </row>
    <row r="23" spans="2:40" x14ac:dyDescent="0.3">
      <c r="B23" s="99" t="s">
        <v>128</v>
      </c>
      <c r="C23" s="100">
        <v>45659</v>
      </c>
      <c r="D23" s="99" t="s">
        <v>42</v>
      </c>
      <c r="E23" s="99" t="s">
        <v>43</v>
      </c>
      <c r="F23" s="99" t="s">
        <v>16</v>
      </c>
      <c r="G23" s="99">
        <v>340</v>
      </c>
      <c r="H23" s="112">
        <v>1200000</v>
      </c>
      <c r="I23" s="112">
        <v>408000000</v>
      </c>
      <c r="J23" s="99" t="s">
        <v>2362</v>
      </c>
      <c r="K23" s="99" t="s">
        <v>8</v>
      </c>
      <c r="N23" s="99" t="s">
        <v>325</v>
      </c>
      <c r="O23" s="99" t="s">
        <v>8</v>
      </c>
      <c r="P23" s="100">
        <f t="shared" si="0"/>
        <v>45943</v>
      </c>
      <c r="Q23" s="101">
        <f t="shared" si="1"/>
        <v>80</v>
      </c>
      <c r="R23" s="99">
        <f t="shared" si="2"/>
        <v>2</v>
      </c>
      <c r="S23" s="101">
        <f t="shared" si="3"/>
        <v>16200000</v>
      </c>
      <c r="T23" s="99" t="str">
        <f t="shared" si="4"/>
        <v>High</v>
      </c>
      <c r="U23" s="99" t="str">
        <f t="shared" si="5"/>
        <v>Low</v>
      </c>
      <c r="V23" s="99" t="str">
        <f t="shared" si="6"/>
        <v>Low</v>
      </c>
      <c r="W23" s="99" t="str">
        <f t="shared" si="7"/>
        <v>HLL</v>
      </c>
      <c r="X23" s="99" t="str">
        <f>VLOOKUP(W23,rfm[],2,FALSE)</f>
        <v>🌱 Potential Loyalists</v>
      </c>
      <c r="AA23" s="99" t="s">
        <v>325</v>
      </c>
      <c r="AB23" s="99" t="s">
        <v>8</v>
      </c>
      <c r="AC23" s="100">
        <v>45943</v>
      </c>
      <c r="AD23" s="101">
        <v>80</v>
      </c>
      <c r="AE23" s="101">
        <v>2</v>
      </c>
      <c r="AF23" s="101">
        <v>16200000</v>
      </c>
      <c r="AG23" s="99" t="str">
        <f>VLOOKUP(AA23,recency!$K$6:$P$818,6,0)</f>
        <v>Low</v>
      </c>
      <c r="AH23" s="132" t="str">
        <f>VLOOKUP(AA23,frequency!$F$6:$H$818,3,FALSE)</f>
        <v>Low</v>
      </c>
      <c r="AI23" s="129" t="str">
        <f>VLOOKUP(AA23,monetary!$B$5:$F$817,5,0)</f>
        <v>Low</v>
      </c>
      <c r="AJ23" s="99" t="str">
        <f t="shared" si="8"/>
        <v>LLL</v>
      </c>
      <c r="AK23" s="99" t="str">
        <f>VLOOKUP(AJ23,rfm[],2,0)</f>
        <v>💤 Lost / Low Value</v>
      </c>
      <c r="AN23" s="99" t="b">
        <f t="shared" si="9"/>
        <v>0</v>
      </c>
    </row>
    <row r="24" spans="2:40" x14ac:dyDescent="0.3">
      <c r="B24" s="99" t="s">
        <v>137</v>
      </c>
      <c r="C24" s="100">
        <v>45660</v>
      </c>
      <c r="D24" s="99" t="s">
        <v>38</v>
      </c>
      <c r="E24" s="99" t="s">
        <v>39</v>
      </c>
      <c r="F24" s="99" t="s">
        <v>16</v>
      </c>
      <c r="G24" s="99">
        <v>26</v>
      </c>
      <c r="H24" s="112">
        <v>200000</v>
      </c>
      <c r="I24" s="112">
        <v>5200000</v>
      </c>
      <c r="J24" s="99" t="s">
        <v>897</v>
      </c>
      <c r="K24" s="99" t="s">
        <v>127</v>
      </c>
      <c r="N24" s="99" t="s">
        <v>339</v>
      </c>
      <c r="O24" s="99" t="s">
        <v>47</v>
      </c>
      <c r="P24" s="100">
        <f t="shared" si="0"/>
        <v>45673</v>
      </c>
      <c r="Q24" s="101">
        <f t="shared" si="1"/>
        <v>350</v>
      </c>
      <c r="R24" s="99">
        <f t="shared" si="2"/>
        <v>1</v>
      </c>
      <c r="S24" s="101">
        <f t="shared" si="3"/>
        <v>17500000</v>
      </c>
      <c r="T24" s="99" t="str">
        <f t="shared" si="4"/>
        <v>Low</v>
      </c>
      <c r="U24" s="99" t="str">
        <f t="shared" si="5"/>
        <v>Low</v>
      </c>
      <c r="V24" s="99" t="str">
        <f t="shared" si="6"/>
        <v>Low</v>
      </c>
      <c r="W24" s="99" t="str">
        <f t="shared" si="7"/>
        <v>LLL</v>
      </c>
      <c r="X24" s="99" t="str">
        <f>VLOOKUP(W24,rfm[],2,FALSE)</f>
        <v>💤 Lost / Low Value</v>
      </c>
      <c r="AA24" s="99" t="s">
        <v>339</v>
      </c>
      <c r="AB24" s="99" t="s">
        <v>47</v>
      </c>
      <c r="AC24" s="100">
        <v>45673</v>
      </c>
      <c r="AD24" s="101">
        <v>350</v>
      </c>
      <c r="AE24" s="101">
        <v>1</v>
      </c>
      <c r="AF24" s="101">
        <v>17500000</v>
      </c>
      <c r="AG24" s="99" t="str">
        <f>VLOOKUP(AA24,recency!$K$6:$P$818,6,0)</f>
        <v>Low</v>
      </c>
      <c r="AH24" s="132" t="str">
        <f>VLOOKUP(AA24,frequency!$F$6:$H$818,3,FALSE)</f>
        <v>Low</v>
      </c>
      <c r="AI24" s="129" t="str">
        <f>VLOOKUP(AA24,monetary!$B$5:$F$817,5,0)</f>
        <v>Low</v>
      </c>
      <c r="AJ24" s="99" t="str">
        <f t="shared" si="8"/>
        <v>LLL</v>
      </c>
      <c r="AK24" s="99" t="str">
        <f>VLOOKUP(AJ24,rfm[],2,0)</f>
        <v>💤 Lost / Low Value</v>
      </c>
      <c r="AN24" s="99" t="b">
        <f t="shared" si="9"/>
        <v>1</v>
      </c>
    </row>
    <row r="25" spans="2:40" x14ac:dyDescent="0.3">
      <c r="B25" s="99" t="s">
        <v>146</v>
      </c>
      <c r="C25" s="100">
        <v>45660</v>
      </c>
      <c r="D25" s="99" t="s">
        <v>18</v>
      </c>
      <c r="E25" s="99" t="s">
        <v>19</v>
      </c>
      <c r="F25" s="99" t="s">
        <v>20</v>
      </c>
      <c r="G25" s="99">
        <v>13</v>
      </c>
      <c r="H25" s="112">
        <v>500000</v>
      </c>
      <c r="I25" s="112">
        <v>6500000</v>
      </c>
      <c r="J25" s="99" t="s">
        <v>2312</v>
      </c>
      <c r="K25" s="99" t="s">
        <v>127</v>
      </c>
      <c r="N25" s="99" t="s">
        <v>359</v>
      </c>
      <c r="O25" s="99" t="s">
        <v>60</v>
      </c>
      <c r="P25" s="100">
        <f t="shared" si="0"/>
        <v>46021</v>
      </c>
      <c r="Q25" s="101">
        <f t="shared" si="1"/>
        <v>2</v>
      </c>
      <c r="R25" s="99">
        <f t="shared" si="2"/>
        <v>3</v>
      </c>
      <c r="S25" s="101">
        <f t="shared" si="3"/>
        <v>15880000</v>
      </c>
      <c r="T25" s="99" t="str">
        <f t="shared" si="4"/>
        <v>High</v>
      </c>
      <c r="U25" s="99" t="str">
        <f t="shared" si="5"/>
        <v>High</v>
      </c>
      <c r="V25" s="99" t="str">
        <f t="shared" si="6"/>
        <v>Low</v>
      </c>
      <c r="W25" s="99" t="str">
        <f t="shared" si="7"/>
        <v>HHL</v>
      </c>
      <c r="X25" s="99" t="str">
        <f>VLOOKUP(W25,rfm[],2,FALSE)</f>
        <v>💎 Loyal High Value</v>
      </c>
      <c r="AA25" s="99" t="s">
        <v>359</v>
      </c>
      <c r="AB25" s="99" t="s">
        <v>60</v>
      </c>
      <c r="AC25" s="100">
        <v>46021</v>
      </c>
      <c r="AD25" s="101">
        <v>2</v>
      </c>
      <c r="AE25" s="101">
        <v>3</v>
      </c>
      <c r="AF25" s="101">
        <v>15880000</v>
      </c>
      <c r="AG25" s="99" t="str">
        <f>VLOOKUP(AA25,recency!$K$6:$P$818,6,0)</f>
        <v>High</v>
      </c>
      <c r="AH25" s="132" t="str">
        <f>VLOOKUP(AA25,frequency!$F$6:$H$818,3,FALSE)</f>
        <v>High</v>
      </c>
      <c r="AI25" s="129" t="str">
        <f>VLOOKUP(AA25,monetary!$B$5:$F$817,5,0)</f>
        <v>Low</v>
      </c>
      <c r="AJ25" s="99" t="str">
        <f t="shared" si="8"/>
        <v>HHL</v>
      </c>
      <c r="AK25" s="99" t="str">
        <f>VLOOKUP(AJ25,rfm[],2,0)</f>
        <v>💎 Loyal High Value</v>
      </c>
      <c r="AN25" s="99" t="b">
        <f t="shared" si="9"/>
        <v>1</v>
      </c>
    </row>
    <row r="26" spans="2:40" x14ac:dyDescent="0.3">
      <c r="B26" s="99" t="s">
        <v>153</v>
      </c>
      <c r="C26" s="100">
        <v>45660</v>
      </c>
      <c r="D26" s="99" t="s">
        <v>31</v>
      </c>
      <c r="E26" s="99" t="s">
        <v>32</v>
      </c>
      <c r="F26" s="99" t="s">
        <v>20</v>
      </c>
      <c r="G26" s="99">
        <v>30</v>
      </c>
      <c r="H26" s="112">
        <v>180000</v>
      </c>
      <c r="I26" s="112">
        <v>5400000</v>
      </c>
      <c r="J26" s="99" t="s">
        <v>2650</v>
      </c>
      <c r="K26" s="99" t="s">
        <v>127</v>
      </c>
      <c r="N26" s="99" t="s">
        <v>379</v>
      </c>
      <c r="O26" s="99" t="s">
        <v>127</v>
      </c>
      <c r="P26" s="100">
        <f t="shared" si="0"/>
        <v>45744</v>
      </c>
      <c r="Q26" s="101">
        <f t="shared" si="1"/>
        <v>279</v>
      </c>
      <c r="R26" s="99">
        <f t="shared" si="2"/>
        <v>1</v>
      </c>
      <c r="S26" s="101">
        <f t="shared" si="3"/>
        <v>8550000</v>
      </c>
      <c r="T26" s="99" t="str">
        <f t="shared" si="4"/>
        <v>Low</v>
      </c>
      <c r="U26" s="99" t="str">
        <f t="shared" si="5"/>
        <v>Low</v>
      </c>
      <c r="V26" s="99" t="str">
        <f t="shared" si="6"/>
        <v>Low</v>
      </c>
      <c r="W26" s="99" t="str">
        <f t="shared" si="7"/>
        <v>LLL</v>
      </c>
      <c r="X26" s="99" t="str">
        <f>VLOOKUP(W26,rfm[],2,FALSE)</f>
        <v>💤 Lost / Low Value</v>
      </c>
      <c r="AA26" s="99" t="s">
        <v>379</v>
      </c>
      <c r="AB26" s="99" t="s">
        <v>127</v>
      </c>
      <c r="AC26" s="100">
        <v>45744</v>
      </c>
      <c r="AD26" s="101">
        <v>279</v>
      </c>
      <c r="AE26" s="101">
        <v>1</v>
      </c>
      <c r="AF26" s="101">
        <v>8550000</v>
      </c>
      <c r="AG26" s="99" t="str">
        <f>VLOOKUP(AA26,recency!$K$6:$P$818,6,0)</f>
        <v>Low</v>
      </c>
      <c r="AH26" s="132" t="str">
        <f>VLOOKUP(AA26,frequency!$F$6:$H$818,3,FALSE)</f>
        <v>Low</v>
      </c>
      <c r="AI26" s="129" t="str">
        <f>VLOOKUP(AA26,monetary!$B$5:$F$817,5,0)</f>
        <v>Low</v>
      </c>
      <c r="AJ26" s="99" t="str">
        <f t="shared" si="8"/>
        <v>LLL</v>
      </c>
      <c r="AK26" s="99" t="str">
        <f>VLOOKUP(AJ26,rfm[],2,0)</f>
        <v>💤 Lost / Low Value</v>
      </c>
      <c r="AN26" s="99" t="b">
        <f t="shared" si="9"/>
        <v>1</v>
      </c>
    </row>
    <row r="27" spans="2:40" x14ac:dyDescent="0.3">
      <c r="B27" s="99" t="s">
        <v>165</v>
      </c>
      <c r="C27" s="100">
        <v>45660</v>
      </c>
      <c r="D27" s="99" t="s">
        <v>14</v>
      </c>
      <c r="E27" s="99" t="s">
        <v>15</v>
      </c>
      <c r="F27" s="99" t="s">
        <v>16</v>
      </c>
      <c r="G27" s="99">
        <v>45</v>
      </c>
      <c r="H27" s="112">
        <v>350000</v>
      </c>
      <c r="I27" s="112">
        <v>15750000</v>
      </c>
      <c r="J27" s="99" t="s">
        <v>2573</v>
      </c>
      <c r="K27" s="99" t="s">
        <v>8</v>
      </c>
      <c r="N27" s="99" t="s">
        <v>402</v>
      </c>
      <c r="O27" s="99" t="s">
        <v>47</v>
      </c>
      <c r="P27" s="100">
        <f t="shared" si="0"/>
        <v>45733</v>
      </c>
      <c r="Q27" s="101">
        <f t="shared" si="1"/>
        <v>290</v>
      </c>
      <c r="R27" s="99">
        <f t="shared" si="2"/>
        <v>2</v>
      </c>
      <c r="S27" s="101">
        <f t="shared" si="3"/>
        <v>10525000</v>
      </c>
      <c r="T27" s="99" t="str">
        <f t="shared" si="4"/>
        <v>Low</v>
      </c>
      <c r="U27" s="99" t="str">
        <f t="shared" si="5"/>
        <v>Low</v>
      </c>
      <c r="V27" s="99" t="str">
        <f t="shared" si="6"/>
        <v>Low</v>
      </c>
      <c r="W27" s="99" t="str">
        <f t="shared" si="7"/>
        <v>LLL</v>
      </c>
      <c r="X27" s="99" t="str">
        <f>VLOOKUP(W27,rfm[],2,FALSE)</f>
        <v>💤 Lost / Low Value</v>
      </c>
      <c r="AA27" s="99" t="s">
        <v>402</v>
      </c>
      <c r="AB27" s="99" t="s">
        <v>47</v>
      </c>
      <c r="AC27" s="100">
        <v>45733</v>
      </c>
      <c r="AD27" s="101">
        <v>290</v>
      </c>
      <c r="AE27" s="101">
        <v>2</v>
      </c>
      <c r="AF27" s="101">
        <v>10525000</v>
      </c>
      <c r="AG27" s="99" t="str">
        <f>VLOOKUP(AA27,recency!$K$6:$P$818,6,0)</f>
        <v>Low</v>
      </c>
      <c r="AH27" s="132" t="str">
        <f>VLOOKUP(AA27,frequency!$F$6:$H$818,3,FALSE)</f>
        <v>Low</v>
      </c>
      <c r="AI27" s="129" t="str">
        <f>VLOOKUP(AA27,monetary!$B$5:$F$817,5,0)</f>
        <v>Low</v>
      </c>
      <c r="AJ27" s="99" t="str">
        <f t="shared" si="8"/>
        <v>LLL</v>
      </c>
      <c r="AK27" s="99" t="str">
        <f>VLOOKUP(AJ27,rfm[],2,0)</f>
        <v>💤 Lost / Low Value</v>
      </c>
      <c r="AN27" s="99" t="b">
        <f t="shared" si="9"/>
        <v>1</v>
      </c>
    </row>
    <row r="28" spans="2:40" x14ac:dyDescent="0.3">
      <c r="B28" s="99" t="s">
        <v>166</v>
      </c>
      <c r="C28" s="100">
        <v>45660</v>
      </c>
      <c r="D28" s="99" t="s">
        <v>44</v>
      </c>
      <c r="E28" s="99" t="s">
        <v>45</v>
      </c>
      <c r="F28" s="99" t="s">
        <v>16</v>
      </c>
      <c r="G28" s="99">
        <v>36</v>
      </c>
      <c r="H28" s="112">
        <v>250000</v>
      </c>
      <c r="I28" s="112">
        <v>9000000</v>
      </c>
      <c r="J28" s="99" t="s">
        <v>2543</v>
      </c>
      <c r="K28" s="99" t="s">
        <v>8</v>
      </c>
      <c r="N28" s="99" t="s">
        <v>418</v>
      </c>
      <c r="O28" s="99" t="s">
        <v>47</v>
      </c>
      <c r="P28" s="100">
        <f t="shared" si="0"/>
        <v>45954</v>
      </c>
      <c r="Q28" s="101">
        <f t="shared" si="1"/>
        <v>69</v>
      </c>
      <c r="R28" s="99">
        <f t="shared" si="2"/>
        <v>1</v>
      </c>
      <c r="S28" s="101">
        <f t="shared" si="3"/>
        <v>17100000</v>
      </c>
      <c r="T28" s="99" t="str">
        <f t="shared" si="4"/>
        <v>High</v>
      </c>
      <c r="U28" s="99" t="str">
        <f t="shared" si="5"/>
        <v>Low</v>
      </c>
      <c r="V28" s="99" t="str">
        <f t="shared" si="6"/>
        <v>Low</v>
      </c>
      <c r="W28" s="99" t="str">
        <f t="shared" si="7"/>
        <v>HLL</v>
      </c>
      <c r="X28" s="99" t="str">
        <f>VLOOKUP(W28,rfm[],2,FALSE)</f>
        <v>🌱 Potential Loyalists</v>
      </c>
      <c r="AA28" s="99" t="s">
        <v>418</v>
      </c>
      <c r="AB28" s="99" t="s">
        <v>47</v>
      </c>
      <c r="AC28" s="100">
        <v>45954</v>
      </c>
      <c r="AD28" s="101">
        <v>69</v>
      </c>
      <c r="AE28" s="101">
        <v>1</v>
      </c>
      <c r="AF28" s="101">
        <v>17100000</v>
      </c>
      <c r="AG28" s="99" t="str">
        <f>VLOOKUP(AA28,recency!$K$6:$P$818,6,0)</f>
        <v>Low</v>
      </c>
      <c r="AH28" s="132" t="str">
        <f>VLOOKUP(AA28,frequency!$F$6:$H$818,3,FALSE)</f>
        <v>Low</v>
      </c>
      <c r="AI28" s="129" t="str">
        <f>VLOOKUP(AA28,monetary!$B$5:$F$817,5,0)</f>
        <v>Low</v>
      </c>
      <c r="AJ28" s="99" t="str">
        <f t="shared" si="8"/>
        <v>LLL</v>
      </c>
      <c r="AK28" s="99" t="str">
        <f>VLOOKUP(AJ28,rfm[],2,0)</f>
        <v>💤 Lost / Low Value</v>
      </c>
      <c r="AN28" s="99" t="b">
        <f t="shared" si="9"/>
        <v>0</v>
      </c>
    </row>
    <row r="29" spans="2:40" x14ac:dyDescent="0.3">
      <c r="B29" s="99" t="s">
        <v>185</v>
      </c>
      <c r="C29" s="100">
        <v>45660</v>
      </c>
      <c r="D29" s="99" t="s">
        <v>10</v>
      </c>
      <c r="E29" s="99" t="s">
        <v>11</v>
      </c>
      <c r="F29" s="99" t="s">
        <v>12</v>
      </c>
      <c r="G29" s="99">
        <v>36</v>
      </c>
      <c r="H29" s="112">
        <v>120000</v>
      </c>
      <c r="I29" s="112">
        <v>4320000</v>
      </c>
      <c r="J29" s="99" t="s">
        <v>2714</v>
      </c>
      <c r="K29" s="99" t="s">
        <v>8</v>
      </c>
      <c r="N29" s="99" t="s">
        <v>442</v>
      </c>
      <c r="O29" s="99" t="s">
        <v>69</v>
      </c>
      <c r="P29" s="100">
        <f t="shared" si="0"/>
        <v>45896</v>
      </c>
      <c r="Q29" s="101">
        <f t="shared" si="1"/>
        <v>127</v>
      </c>
      <c r="R29" s="99">
        <f t="shared" si="2"/>
        <v>2</v>
      </c>
      <c r="S29" s="101">
        <f t="shared" si="3"/>
        <v>9200000</v>
      </c>
      <c r="T29" s="99" t="str">
        <f t="shared" si="4"/>
        <v>Low</v>
      </c>
      <c r="U29" s="99" t="str">
        <f t="shared" si="5"/>
        <v>Low</v>
      </c>
      <c r="V29" s="99" t="str">
        <f t="shared" si="6"/>
        <v>Low</v>
      </c>
      <c r="W29" s="99" t="str">
        <f t="shared" si="7"/>
        <v>LLL</v>
      </c>
      <c r="X29" s="99" t="str">
        <f>VLOOKUP(W29,rfm[],2,FALSE)</f>
        <v>💤 Lost / Low Value</v>
      </c>
      <c r="AA29" s="99" t="s">
        <v>442</v>
      </c>
      <c r="AB29" s="99" t="s">
        <v>69</v>
      </c>
      <c r="AC29" s="100">
        <v>45896</v>
      </c>
      <c r="AD29" s="101">
        <v>127</v>
      </c>
      <c r="AE29" s="101">
        <v>2</v>
      </c>
      <c r="AF29" s="101">
        <v>9200000</v>
      </c>
      <c r="AG29" s="99" t="str">
        <f>VLOOKUP(AA29,recency!$K$6:$P$818,6,0)</f>
        <v>Low</v>
      </c>
      <c r="AH29" s="132" t="str">
        <f>VLOOKUP(AA29,frequency!$F$6:$H$818,3,FALSE)</f>
        <v>Low</v>
      </c>
      <c r="AI29" s="129" t="str">
        <f>VLOOKUP(AA29,monetary!$B$5:$F$817,5,0)</f>
        <v>Low</v>
      </c>
      <c r="AJ29" s="99" t="str">
        <f t="shared" si="8"/>
        <v>LLL</v>
      </c>
      <c r="AK29" s="99" t="str">
        <f>VLOOKUP(AJ29,rfm[],2,0)</f>
        <v>💤 Lost / Low Value</v>
      </c>
      <c r="AN29" s="99" t="b">
        <f t="shared" si="9"/>
        <v>1</v>
      </c>
    </row>
    <row r="30" spans="2:40" x14ac:dyDescent="0.3">
      <c r="B30" s="99" t="s">
        <v>186</v>
      </c>
      <c r="C30" s="100">
        <v>45660</v>
      </c>
      <c r="D30" s="99" t="s">
        <v>40</v>
      </c>
      <c r="E30" s="99" t="s">
        <v>41</v>
      </c>
      <c r="F30" s="99" t="s">
        <v>16</v>
      </c>
      <c r="G30" s="99">
        <v>22</v>
      </c>
      <c r="H30" s="112">
        <v>950000</v>
      </c>
      <c r="I30" s="112">
        <v>20900000</v>
      </c>
      <c r="J30" s="99" t="s">
        <v>2267</v>
      </c>
      <c r="K30" s="99" t="s">
        <v>8</v>
      </c>
      <c r="N30" s="99" t="s">
        <v>461</v>
      </c>
      <c r="O30" s="99" t="s">
        <v>127</v>
      </c>
      <c r="P30" s="100">
        <f t="shared" si="0"/>
        <v>45961</v>
      </c>
      <c r="Q30" s="101">
        <f t="shared" si="1"/>
        <v>62</v>
      </c>
      <c r="R30" s="99">
        <f t="shared" si="2"/>
        <v>4</v>
      </c>
      <c r="S30" s="101">
        <f t="shared" si="3"/>
        <v>31125000</v>
      </c>
      <c r="T30" s="99" t="str">
        <f t="shared" si="4"/>
        <v>High</v>
      </c>
      <c r="U30" s="99" t="str">
        <f t="shared" si="5"/>
        <v>High</v>
      </c>
      <c r="V30" s="99" t="str">
        <f t="shared" si="6"/>
        <v>High</v>
      </c>
      <c r="W30" s="99" t="str">
        <f t="shared" si="7"/>
        <v>HHH</v>
      </c>
      <c r="X30" s="99" t="str">
        <f>VLOOKUP(W30,rfm[],2,FALSE)</f>
        <v>🥇 Champions</v>
      </c>
      <c r="AA30" s="99" t="s">
        <v>461</v>
      </c>
      <c r="AB30" s="99" t="s">
        <v>127</v>
      </c>
      <c r="AC30" s="100">
        <v>45961</v>
      </c>
      <c r="AD30" s="101">
        <v>62</v>
      </c>
      <c r="AE30" s="101">
        <v>4</v>
      </c>
      <c r="AF30" s="101">
        <v>31125000</v>
      </c>
      <c r="AG30" s="99" t="str">
        <f>VLOOKUP(AA30,recency!$K$6:$P$818,6,0)</f>
        <v>Low</v>
      </c>
      <c r="AH30" s="132" t="str">
        <f>VLOOKUP(AA30,frequency!$F$6:$H$818,3,FALSE)</f>
        <v>High</v>
      </c>
      <c r="AI30" s="129" t="str">
        <f>VLOOKUP(AA30,monetary!$B$5:$F$817,5,0)</f>
        <v>Low</v>
      </c>
      <c r="AJ30" s="99" t="str">
        <f t="shared" si="8"/>
        <v>LHL</v>
      </c>
      <c r="AK30" s="99" t="str">
        <f>VLOOKUP(AJ30,rfm[],2,0)</f>
        <v>🔁 Former Loyal Low Spend</v>
      </c>
      <c r="AN30" s="99" t="b">
        <f t="shared" si="9"/>
        <v>0</v>
      </c>
    </row>
    <row r="31" spans="2:40" x14ac:dyDescent="0.3">
      <c r="B31" s="99" t="s">
        <v>217</v>
      </c>
      <c r="C31" s="100">
        <v>45660</v>
      </c>
      <c r="D31" s="99" t="s">
        <v>22</v>
      </c>
      <c r="E31" s="99" t="s">
        <v>23</v>
      </c>
      <c r="F31" s="99" t="s">
        <v>12</v>
      </c>
      <c r="G31" s="99">
        <v>36</v>
      </c>
      <c r="H31" s="112">
        <v>25000</v>
      </c>
      <c r="I31" s="112">
        <v>900000</v>
      </c>
      <c r="J31" s="99" t="s">
        <v>2800</v>
      </c>
      <c r="K31" s="99" t="s">
        <v>69</v>
      </c>
      <c r="N31" s="99" t="s">
        <v>485</v>
      </c>
      <c r="O31" s="99" t="s">
        <v>127</v>
      </c>
      <c r="P31" s="100">
        <f t="shared" si="0"/>
        <v>45863</v>
      </c>
      <c r="Q31" s="101">
        <f t="shared" si="1"/>
        <v>160</v>
      </c>
      <c r="R31" s="99">
        <f t="shared" si="2"/>
        <v>2</v>
      </c>
      <c r="S31" s="101">
        <f t="shared" si="3"/>
        <v>11625000</v>
      </c>
      <c r="T31" s="99" t="str">
        <f t="shared" si="4"/>
        <v>Low</v>
      </c>
      <c r="U31" s="99" t="str">
        <f t="shared" si="5"/>
        <v>Low</v>
      </c>
      <c r="V31" s="99" t="str">
        <f t="shared" si="6"/>
        <v>Low</v>
      </c>
      <c r="W31" s="99" t="str">
        <f t="shared" si="7"/>
        <v>LLL</v>
      </c>
      <c r="X31" s="99" t="str">
        <f>VLOOKUP(W31,rfm[],2,FALSE)</f>
        <v>💤 Lost / Low Value</v>
      </c>
      <c r="AA31" s="99" t="s">
        <v>485</v>
      </c>
      <c r="AB31" s="99" t="s">
        <v>127</v>
      </c>
      <c r="AC31" s="100">
        <v>45863</v>
      </c>
      <c r="AD31" s="101">
        <v>160</v>
      </c>
      <c r="AE31" s="101">
        <v>2</v>
      </c>
      <c r="AF31" s="101">
        <v>11625000</v>
      </c>
      <c r="AG31" s="99" t="str">
        <f>VLOOKUP(AA31,recency!$K$6:$P$818,6,0)</f>
        <v>Low</v>
      </c>
      <c r="AH31" s="132" t="str">
        <f>VLOOKUP(AA31,frequency!$F$6:$H$818,3,FALSE)</f>
        <v>Low</v>
      </c>
      <c r="AI31" s="129" t="str">
        <f>VLOOKUP(AA31,monetary!$B$5:$F$817,5,0)</f>
        <v>Low</v>
      </c>
      <c r="AJ31" s="99" t="str">
        <f t="shared" si="8"/>
        <v>LLL</v>
      </c>
      <c r="AK31" s="99" t="str">
        <f>VLOOKUP(AJ31,rfm[],2,0)</f>
        <v>💤 Lost / Low Value</v>
      </c>
      <c r="AN31" s="99" t="b">
        <f t="shared" si="9"/>
        <v>1</v>
      </c>
    </row>
    <row r="32" spans="2:40" x14ac:dyDescent="0.3">
      <c r="B32" s="99" t="s">
        <v>218</v>
      </c>
      <c r="C32" s="100">
        <v>45660</v>
      </c>
      <c r="D32" s="99" t="s">
        <v>31</v>
      </c>
      <c r="E32" s="99" t="s">
        <v>32</v>
      </c>
      <c r="F32" s="99" t="s">
        <v>20</v>
      </c>
      <c r="G32" s="99">
        <v>15</v>
      </c>
      <c r="H32" s="112">
        <v>180000</v>
      </c>
      <c r="I32" s="112">
        <v>2700000</v>
      </c>
      <c r="J32" s="99" t="s">
        <v>2463</v>
      </c>
      <c r="K32" s="99" t="s">
        <v>8</v>
      </c>
      <c r="N32" s="99" t="s">
        <v>533</v>
      </c>
      <c r="O32" s="99" t="s">
        <v>47</v>
      </c>
      <c r="P32" s="100">
        <f t="shared" si="0"/>
        <v>45929</v>
      </c>
      <c r="Q32" s="101">
        <f t="shared" si="1"/>
        <v>94</v>
      </c>
      <c r="R32" s="99">
        <f t="shared" si="2"/>
        <v>3</v>
      </c>
      <c r="S32" s="101">
        <f t="shared" si="3"/>
        <v>46210000</v>
      </c>
      <c r="T32" s="99" t="str">
        <f t="shared" si="4"/>
        <v>Low</v>
      </c>
      <c r="U32" s="99" t="str">
        <f t="shared" si="5"/>
        <v>High</v>
      </c>
      <c r="V32" s="99" t="str">
        <f t="shared" si="6"/>
        <v>High</v>
      </c>
      <c r="W32" s="99" t="str">
        <f t="shared" si="7"/>
        <v>LHH</v>
      </c>
      <c r="X32" s="99" t="str">
        <f>VLOOKUP(W32,rfm[],2,FALSE)</f>
        <v>⚠️ At Risk High Value</v>
      </c>
      <c r="AA32" s="99" t="s">
        <v>533</v>
      </c>
      <c r="AB32" s="99" t="s">
        <v>47</v>
      </c>
      <c r="AC32" s="100">
        <v>45929</v>
      </c>
      <c r="AD32" s="101">
        <v>94</v>
      </c>
      <c r="AE32" s="101">
        <v>3</v>
      </c>
      <c r="AF32" s="101">
        <v>46210000</v>
      </c>
      <c r="AG32" s="99" t="str">
        <f>VLOOKUP(AA32,recency!$K$6:$P$818,6,0)</f>
        <v>Low</v>
      </c>
      <c r="AH32" s="132" t="str">
        <f>VLOOKUP(AA32,frequency!$F$6:$H$818,3,FALSE)</f>
        <v>High</v>
      </c>
      <c r="AI32" s="129" t="str">
        <f>VLOOKUP(AA32,monetary!$B$5:$F$817,5,0)</f>
        <v>Low</v>
      </c>
      <c r="AJ32" s="99" t="str">
        <f t="shared" si="8"/>
        <v>LHL</v>
      </c>
      <c r="AK32" s="99" t="str">
        <f>VLOOKUP(AJ32,rfm[],2,0)</f>
        <v>🔁 Former Loyal Low Spend</v>
      </c>
      <c r="AN32" s="99" t="b">
        <f t="shared" si="9"/>
        <v>0</v>
      </c>
    </row>
    <row r="33" spans="2:40" x14ac:dyDescent="0.3">
      <c r="B33" s="99" t="s">
        <v>219</v>
      </c>
      <c r="C33" s="100">
        <v>45660</v>
      </c>
      <c r="D33" s="99" t="s">
        <v>14</v>
      </c>
      <c r="E33" s="99" t="s">
        <v>15</v>
      </c>
      <c r="F33" s="99" t="s">
        <v>16</v>
      </c>
      <c r="G33" s="99">
        <v>25</v>
      </c>
      <c r="H33" s="112">
        <v>350000</v>
      </c>
      <c r="I33" s="112">
        <v>8750000</v>
      </c>
      <c r="J33" s="99" t="s">
        <v>2621</v>
      </c>
      <c r="K33" s="99" t="s">
        <v>47</v>
      </c>
      <c r="N33" s="99" t="s">
        <v>573</v>
      </c>
      <c r="O33" s="99" t="s">
        <v>47</v>
      </c>
      <c r="P33" s="100">
        <f t="shared" si="0"/>
        <v>45884</v>
      </c>
      <c r="Q33" s="101">
        <f t="shared" si="1"/>
        <v>139</v>
      </c>
      <c r="R33" s="99">
        <f t="shared" si="2"/>
        <v>3</v>
      </c>
      <c r="S33" s="101">
        <f t="shared" si="3"/>
        <v>73950000</v>
      </c>
      <c r="T33" s="99" t="str">
        <f t="shared" si="4"/>
        <v>Low</v>
      </c>
      <c r="U33" s="99" t="str">
        <f t="shared" si="5"/>
        <v>High</v>
      </c>
      <c r="V33" s="99" t="str">
        <f t="shared" si="6"/>
        <v>High</v>
      </c>
      <c r="W33" s="99" t="str">
        <f t="shared" si="7"/>
        <v>LHH</v>
      </c>
      <c r="X33" s="99" t="str">
        <f>VLOOKUP(W33,rfm[],2,FALSE)</f>
        <v>⚠️ At Risk High Value</v>
      </c>
      <c r="AA33" s="99" t="s">
        <v>573</v>
      </c>
      <c r="AB33" s="99" t="s">
        <v>47</v>
      </c>
      <c r="AC33" s="100">
        <v>45884</v>
      </c>
      <c r="AD33" s="101">
        <v>139</v>
      </c>
      <c r="AE33" s="101">
        <v>3</v>
      </c>
      <c r="AF33" s="101">
        <v>73950000</v>
      </c>
      <c r="AG33" s="99" t="str">
        <f>VLOOKUP(AA33,recency!$K$6:$P$818,6,0)</f>
        <v>Low</v>
      </c>
      <c r="AH33" s="132" t="str">
        <f>VLOOKUP(AA33,frequency!$F$6:$H$818,3,FALSE)</f>
        <v>High</v>
      </c>
      <c r="AI33" s="129" t="str">
        <f>VLOOKUP(AA33,monetary!$B$5:$F$817,5,0)</f>
        <v>High</v>
      </c>
      <c r="AJ33" s="99" t="str">
        <f t="shared" si="8"/>
        <v>LHH</v>
      </c>
      <c r="AK33" s="99" t="str">
        <f>VLOOKUP(AJ33,rfm[],2,0)</f>
        <v>⚠️ At Risk High Value</v>
      </c>
      <c r="AN33" s="99" t="b">
        <f t="shared" si="9"/>
        <v>1</v>
      </c>
    </row>
    <row r="34" spans="2:40" x14ac:dyDescent="0.3">
      <c r="B34" s="99" t="s">
        <v>238</v>
      </c>
      <c r="C34" s="100">
        <v>45660</v>
      </c>
      <c r="D34" s="99" t="s">
        <v>38</v>
      </c>
      <c r="E34" s="99" t="s">
        <v>39</v>
      </c>
      <c r="F34" s="99" t="s">
        <v>16</v>
      </c>
      <c r="G34" s="99">
        <v>360</v>
      </c>
      <c r="H34" s="112">
        <v>200000</v>
      </c>
      <c r="I34" s="112">
        <v>72000000</v>
      </c>
      <c r="J34" s="99" t="s">
        <v>2239</v>
      </c>
      <c r="K34" s="99" t="s">
        <v>8</v>
      </c>
      <c r="N34" s="99" t="s">
        <v>596</v>
      </c>
      <c r="O34" s="99" t="s">
        <v>60</v>
      </c>
      <c r="P34" s="100">
        <f t="shared" si="0"/>
        <v>45793</v>
      </c>
      <c r="Q34" s="101">
        <f t="shared" si="1"/>
        <v>230</v>
      </c>
      <c r="R34" s="99">
        <f t="shared" si="2"/>
        <v>2</v>
      </c>
      <c r="S34" s="101">
        <f t="shared" si="3"/>
        <v>15300000</v>
      </c>
      <c r="T34" s="99" t="str">
        <f t="shared" si="4"/>
        <v>Low</v>
      </c>
      <c r="U34" s="99" t="str">
        <f t="shared" si="5"/>
        <v>Low</v>
      </c>
      <c r="V34" s="99" t="str">
        <f t="shared" si="6"/>
        <v>Low</v>
      </c>
      <c r="W34" s="99" t="str">
        <f t="shared" si="7"/>
        <v>LLL</v>
      </c>
      <c r="X34" s="99" t="str">
        <f>VLOOKUP(W34,rfm[],2,FALSE)</f>
        <v>💤 Lost / Low Value</v>
      </c>
      <c r="AA34" s="99" t="s">
        <v>596</v>
      </c>
      <c r="AB34" s="99" t="s">
        <v>60</v>
      </c>
      <c r="AC34" s="100">
        <v>45793</v>
      </c>
      <c r="AD34" s="101">
        <v>230</v>
      </c>
      <c r="AE34" s="101">
        <v>2</v>
      </c>
      <c r="AF34" s="101">
        <v>15300000</v>
      </c>
      <c r="AG34" s="99" t="str">
        <f>VLOOKUP(AA34,recency!$K$6:$P$818,6,0)</f>
        <v>Low</v>
      </c>
      <c r="AH34" s="132" t="str">
        <f>VLOOKUP(AA34,frequency!$F$6:$H$818,3,FALSE)</f>
        <v>Low</v>
      </c>
      <c r="AI34" s="129" t="str">
        <f>VLOOKUP(AA34,monetary!$B$5:$F$817,5,0)</f>
        <v>Low</v>
      </c>
      <c r="AJ34" s="99" t="str">
        <f t="shared" si="8"/>
        <v>LLL</v>
      </c>
      <c r="AK34" s="99" t="str">
        <f>VLOOKUP(AJ34,rfm[],2,0)</f>
        <v>💤 Lost / Low Value</v>
      </c>
      <c r="AN34" s="99" t="b">
        <f t="shared" si="9"/>
        <v>1</v>
      </c>
    </row>
    <row r="35" spans="2:40" x14ac:dyDescent="0.3">
      <c r="B35" s="99" t="s">
        <v>239</v>
      </c>
      <c r="C35" s="100">
        <v>45660</v>
      </c>
      <c r="D35" s="99" t="s">
        <v>44</v>
      </c>
      <c r="E35" s="99" t="s">
        <v>45</v>
      </c>
      <c r="F35" s="99" t="s">
        <v>16</v>
      </c>
      <c r="G35" s="99">
        <v>130</v>
      </c>
      <c r="H35" s="112">
        <v>250000</v>
      </c>
      <c r="I35" s="112">
        <v>32500000</v>
      </c>
      <c r="J35" s="99" t="s">
        <v>2577</v>
      </c>
      <c r="K35" s="99" t="s">
        <v>47</v>
      </c>
      <c r="N35" s="99" t="s">
        <v>642</v>
      </c>
      <c r="O35" s="99" t="s">
        <v>8</v>
      </c>
      <c r="P35" s="100">
        <f t="shared" si="0"/>
        <v>45988</v>
      </c>
      <c r="Q35" s="101">
        <f t="shared" si="1"/>
        <v>35</v>
      </c>
      <c r="R35" s="99">
        <f t="shared" si="2"/>
        <v>5</v>
      </c>
      <c r="S35" s="101">
        <f t="shared" si="3"/>
        <v>59350000</v>
      </c>
      <c r="T35" s="99" t="str">
        <f t="shared" si="4"/>
        <v>High</v>
      </c>
      <c r="U35" s="99" t="str">
        <f t="shared" si="5"/>
        <v>High</v>
      </c>
      <c r="V35" s="99" t="str">
        <f t="shared" si="6"/>
        <v>High</v>
      </c>
      <c r="W35" s="99" t="str">
        <f t="shared" si="7"/>
        <v>HHH</v>
      </c>
      <c r="X35" s="99" t="str">
        <f>VLOOKUP(W35,rfm[],2,FALSE)</f>
        <v>🥇 Champions</v>
      </c>
      <c r="AA35" s="99" t="s">
        <v>642</v>
      </c>
      <c r="AB35" s="99" t="s">
        <v>8</v>
      </c>
      <c r="AC35" s="100">
        <v>45988</v>
      </c>
      <c r="AD35" s="101">
        <v>35</v>
      </c>
      <c r="AE35" s="101">
        <v>5</v>
      </c>
      <c r="AF35" s="101">
        <v>59350000</v>
      </c>
      <c r="AG35" s="99" t="str">
        <f>VLOOKUP(AA35,recency!$K$6:$P$818,6,0)</f>
        <v>High</v>
      </c>
      <c r="AH35" s="132" t="str">
        <f>VLOOKUP(AA35,frequency!$F$6:$H$818,3,FALSE)</f>
        <v>High</v>
      </c>
      <c r="AI35" s="129" t="str">
        <f>VLOOKUP(AA35,monetary!$B$5:$F$817,5,0)</f>
        <v>High</v>
      </c>
      <c r="AJ35" s="99" t="str">
        <f t="shared" si="8"/>
        <v>HHH</v>
      </c>
      <c r="AK35" s="99" t="str">
        <f>VLOOKUP(AJ35,rfm[],2,0)</f>
        <v>🥇 Champions</v>
      </c>
      <c r="AN35" s="99" t="b">
        <f t="shared" si="9"/>
        <v>1</v>
      </c>
    </row>
    <row r="36" spans="2:40" x14ac:dyDescent="0.3">
      <c r="B36" s="99" t="s">
        <v>240</v>
      </c>
      <c r="C36" s="100">
        <v>45663</v>
      </c>
      <c r="D36" s="99" t="s">
        <v>22</v>
      </c>
      <c r="E36" s="99" t="s">
        <v>23</v>
      </c>
      <c r="F36" s="99" t="s">
        <v>12</v>
      </c>
      <c r="G36" s="99">
        <v>26</v>
      </c>
      <c r="H36" s="112">
        <v>25000</v>
      </c>
      <c r="I36" s="112">
        <v>650000</v>
      </c>
      <c r="J36" s="99" t="s">
        <v>2774</v>
      </c>
      <c r="K36" s="99" t="s">
        <v>8</v>
      </c>
      <c r="N36" s="99" t="s">
        <v>670</v>
      </c>
      <c r="O36" s="99" t="s">
        <v>127</v>
      </c>
      <c r="P36" s="100">
        <f t="shared" si="0"/>
        <v>45685</v>
      </c>
      <c r="Q36" s="101">
        <f t="shared" si="1"/>
        <v>338</v>
      </c>
      <c r="R36" s="99">
        <f t="shared" si="2"/>
        <v>1</v>
      </c>
      <c r="S36" s="101">
        <f t="shared" si="3"/>
        <v>19950000</v>
      </c>
      <c r="T36" s="99" t="str">
        <f t="shared" si="4"/>
        <v>Low</v>
      </c>
      <c r="U36" s="99" t="str">
        <f t="shared" si="5"/>
        <v>Low</v>
      </c>
      <c r="V36" s="99" t="str">
        <f t="shared" si="6"/>
        <v>High</v>
      </c>
      <c r="W36" s="99" t="str">
        <f t="shared" si="7"/>
        <v>LLH</v>
      </c>
      <c r="X36" s="99" t="str">
        <f>VLOOKUP(W36,rfm[],2,FALSE)</f>
        <v>💸 Lost High Spenders</v>
      </c>
      <c r="AA36" s="99" t="s">
        <v>670</v>
      </c>
      <c r="AB36" s="99" t="s">
        <v>127</v>
      </c>
      <c r="AC36" s="100">
        <v>45685</v>
      </c>
      <c r="AD36" s="101">
        <v>338</v>
      </c>
      <c r="AE36" s="101">
        <v>1</v>
      </c>
      <c r="AF36" s="101">
        <v>19950000</v>
      </c>
      <c r="AG36" s="99" t="str">
        <f>VLOOKUP(AA36,recency!$K$6:$P$818,6,0)</f>
        <v>Low</v>
      </c>
      <c r="AH36" s="132" t="str">
        <f>VLOOKUP(AA36,frequency!$F$6:$H$818,3,FALSE)</f>
        <v>Low</v>
      </c>
      <c r="AI36" s="129" t="str">
        <f>VLOOKUP(AA36,monetary!$B$5:$F$817,5,0)</f>
        <v>Low</v>
      </c>
      <c r="AJ36" s="99" t="str">
        <f t="shared" si="8"/>
        <v>LLL</v>
      </c>
      <c r="AK36" s="99" t="str">
        <f>VLOOKUP(AJ36,rfm[],2,0)</f>
        <v>💤 Lost / Low Value</v>
      </c>
      <c r="AN36" s="99" t="b">
        <f t="shared" si="9"/>
        <v>0</v>
      </c>
    </row>
    <row r="37" spans="2:40" x14ac:dyDescent="0.3">
      <c r="B37" s="99" t="s">
        <v>241</v>
      </c>
      <c r="C37" s="100">
        <v>45663</v>
      </c>
      <c r="D37" s="99" t="s">
        <v>10</v>
      </c>
      <c r="E37" s="99" t="s">
        <v>11</v>
      </c>
      <c r="F37" s="99" t="s">
        <v>12</v>
      </c>
      <c r="G37" s="99">
        <v>37</v>
      </c>
      <c r="H37" s="112">
        <v>120000</v>
      </c>
      <c r="I37" s="112">
        <v>4440000</v>
      </c>
      <c r="J37" s="99" t="s">
        <v>2596</v>
      </c>
      <c r="K37" s="99" t="s">
        <v>127</v>
      </c>
      <c r="N37" s="99" t="s">
        <v>692</v>
      </c>
      <c r="O37" s="99" t="s">
        <v>8</v>
      </c>
      <c r="P37" s="100">
        <f t="shared" si="0"/>
        <v>45673</v>
      </c>
      <c r="Q37" s="101">
        <f t="shared" si="1"/>
        <v>350</v>
      </c>
      <c r="R37" s="99">
        <f t="shared" si="2"/>
        <v>2</v>
      </c>
      <c r="S37" s="101">
        <f t="shared" si="3"/>
        <v>14670000</v>
      </c>
      <c r="T37" s="99" t="str">
        <f t="shared" si="4"/>
        <v>Low</v>
      </c>
      <c r="U37" s="99" t="str">
        <f t="shared" si="5"/>
        <v>Low</v>
      </c>
      <c r="V37" s="99" t="str">
        <f t="shared" si="6"/>
        <v>Low</v>
      </c>
      <c r="W37" s="99" t="str">
        <f t="shared" si="7"/>
        <v>LLL</v>
      </c>
      <c r="X37" s="99" t="str">
        <f>VLOOKUP(W37,rfm[],2,FALSE)</f>
        <v>💤 Lost / Low Value</v>
      </c>
      <c r="AA37" s="99" t="s">
        <v>692</v>
      </c>
      <c r="AB37" s="99" t="s">
        <v>8</v>
      </c>
      <c r="AC37" s="100">
        <v>45673</v>
      </c>
      <c r="AD37" s="101">
        <v>350</v>
      </c>
      <c r="AE37" s="101">
        <v>2</v>
      </c>
      <c r="AF37" s="101">
        <v>14670000</v>
      </c>
      <c r="AG37" s="99" t="str">
        <f>VLOOKUP(AA37,recency!$K$6:$P$818,6,0)</f>
        <v>Low</v>
      </c>
      <c r="AH37" s="132" t="str">
        <f>VLOOKUP(AA37,frequency!$F$6:$H$818,3,FALSE)</f>
        <v>Low</v>
      </c>
      <c r="AI37" s="129" t="str">
        <f>VLOOKUP(AA37,monetary!$B$5:$F$817,5,0)</f>
        <v>Low</v>
      </c>
      <c r="AJ37" s="99" t="str">
        <f t="shared" si="8"/>
        <v>LLL</v>
      </c>
      <c r="AK37" s="99" t="str">
        <f>VLOOKUP(AJ37,rfm[],2,0)</f>
        <v>💤 Lost / Low Value</v>
      </c>
      <c r="AN37" s="99" t="b">
        <f t="shared" si="9"/>
        <v>1</v>
      </c>
    </row>
    <row r="38" spans="2:40" x14ac:dyDescent="0.3">
      <c r="B38" s="99" t="s">
        <v>259</v>
      </c>
      <c r="C38" s="100">
        <v>45663</v>
      </c>
      <c r="D38" s="99" t="s">
        <v>14</v>
      </c>
      <c r="E38" s="99" t="s">
        <v>15</v>
      </c>
      <c r="F38" s="99" t="s">
        <v>16</v>
      </c>
      <c r="G38" s="99">
        <v>16</v>
      </c>
      <c r="H38" s="112">
        <v>350000</v>
      </c>
      <c r="I38" s="112">
        <v>5600000</v>
      </c>
      <c r="J38" s="99" t="s">
        <v>2012</v>
      </c>
      <c r="K38" s="99" t="s">
        <v>60</v>
      </c>
      <c r="N38" s="99" t="s">
        <v>709</v>
      </c>
      <c r="O38" s="99" t="s">
        <v>8</v>
      </c>
      <c r="P38" s="100">
        <f t="shared" si="0"/>
        <v>45967</v>
      </c>
      <c r="Q38" s="101">
        <f t="shared" si="1"/>
        <v>56</v>
      </c>
      <c r="R38" s="99">
        <f t="shared" si="2"/>
        <v>2</v>
      </c>
      <c r="S38" s="101">
        <f t="shared" si="3"/>
        <v>32150000</v>
      </c>
      <c r="T38" s="99" t="str">
        <f t="shared" si="4"/>
        <v>High</v>
      </c>
      <c r="U38" s="99" t="str">
        <f t="shared" si="5"/>
        <v>Low</v>
      </c>
      <c r="V38" s="99" t="str">
        <f t="shared" si="6"/>
        <v>High</v>
      </c>
      <c r="W38" s="99" t="str">
        <f t="shared" si="7"/>
        <v>HLH</v>
      </c>
      <c r="X38" s="99" t="str">
        <f>VLOOKUP(W38,rfm[],2,FALSE)</f>
        <v>🛒 Big Spenders (Occasional)</v>
      </c>
      <c r="AA38" s="99" t="s">
        <v>709</v>
      </c>
      <c r="AB38" s="99" t="s">
        <v>8</v>
      </c>
      <c r="AC38" s="100">
        <v>45967</v>
      </c>
      <c r="AD38" s="101">
        <v>56</v>
      </c>
      <c r="AE38" s="101">
        <v>2</v>
      </c>
      <c r="AF38" s="101">
        <v>32150000</v>
      </c>
      <c r="AG38" s="99" t="str">
        <f>VLOOKUP(AA38,recency!$K$6:$P$818,6,0)</f>
        <v>High</v>
      </c>
      <c r="AH38" s="132" t="str">
        <f>VLOOKUP(AA38,frequency!$F$6:$H$818,3,FALSE)</f>
        <v>Low</v>
      </c>
      <c r="AI38" s="129" t="str">
        <f>VLOOKUP(AA38,monetary!$B$5:$F$817,5,0)</f>
        <v>Low</v>
      </c>
      <c r="AJ38" s="99" t="str">
        <f t="shared" si="8"/>
        <v>HLL</v>
      </c>
      <c r="AK38" s="99" t="str">
        <f>VLOOKUP(AJ38,rfm[],2,0)</f>
        <v>🌱 Potential Loyalists</v>
      </c>
      <c r="AN38" s="99" t="b">
        <f t="shared" si="9"/>
        <v>0</v>
      </c>
    </row>
    <row r="39" spans="2:40" x14ac:dyDescent="0.3">
      <c r="B39" s="99" t="s">
        <v>288</v>
      </c>
      <c r="C39" s="100">
        <v>45663</v>
      </c>
      <c r="D39" s="99" t="s">
        <v>22</v>
      </c>
      <c r="E39" s="99" t="s">
        <v>23</v>
      </c>
      <c r="F39" s="99" t="s">
        <v>12</v>
      </c>
      <c r="G39" s="99">
        <v>70</v>
      </c>
      <c r="H39" s="112">
        <v>25000</v>
      </c>
      <c r="I39" s="112">
        <v>1750000</v>
      </c>
      <c r="J39" s="99" t="s">
        <v>2239</v>
      </c>
      <c r="K39" s="99" t="s">
        <v>8</v>
      </c>
      <c r="N39" s="99" t="s">
        <v>728</v>
      </c>
      <c r="O39" s="99" t="s">
        <v>47</v>
      </c>
      <c r="P39" s="100">
        <f t="shared" si="0"/>
        <v>45951</v>
      </c>
      <c r="Q39" s="101">
        <f t="shared" si="1"/>
        <v>72</v>
      </c>
      <c r="R39" s="99">
        <f t="shared" si="2"/>
        <v>4</v>
      </c>
      <c r="S39" s="101">
        <f t="shared" si="3"/>
        <v>1165500000</v>
      </c>
      <c r="T39" s="99" t="str">
        <f t="shared" si="4"/>
        <v>High</v>
      </c>
      <c r="U39" s="99" t="str">
        <f t="shared" si="5"/>
        <v>High</v>
      </c>
      <c r="V39" s="99" t="str">
        <f t="shared" si="6"/>
        <v>High</v>
      </c>
      <c r="W39" s="99" t="str">
        <f t="shared" si="7"/>
        <v>HHH</v>
      </c>
      <c r="X39" s="99" t="str">
        <f>VLOOKUP(W39,rfm[],2,FALSE)</f>
        <v>🥇 Champions</v>
      </c>
      <c r="AA39" s="99" t="s">
        <v>728</v>
      </c>
      <c r="AB39" s="99" t="s">
        <v>47</v>
      </c>
      <c r="AC39" s="100">
        <v>45951</v>
      </c>
      <c r="AD39" s="101">
        <v>72</v>
      </c>
      <c r="AE39" s="101">
        <v>4</v>
      </c>
      <c r="AF39" s="101">
        <v>1165500000</v>
      </c>
      <c r="AG39" s="99" t="str">
        <f>VLOOKUP(AA39,recency!$K$6:$P$818,6,0)</f>
        <v>Low</v>
      </c>
      <c r="AH39" s="132" t="str">
        <f>VLOOKUP(AA39,frequency!$F$6:$H$818,3,FALSE)</f>
        <v>High</v>
      </c>
      <c r="AI39" s="129" t="str">
        <f>VLOOKUP(AA39,monetary!$B$5:$F$817,5,0)</f>
        <v>High</v>
      </c>
      <c r="AJ39" s="99" t="str">
        <f t="shared" si="8"/>
        <v>LHH</v>
      </c>
      <c r="AK39" s="99" t="str">
        <f>VLOOKUP(AJ39,rfm[],2,0)</f>
        <v>⚠️ At Risk High Value</v>
      </c>
      <c r="AN39" s="99" t="b">
        <f t="shared" si="9"/>
        <v>0</v>
      </c>
    </row>
    <row r="40" spans="2:40" x14ac:dyDescent="0.3">
      <c r="B40" s="99" t="s">
        <v>289</v>
      </c>
      <c r="C40" s="100">
        <v>45663</v>
      </c>
      <c r="D40" s="99" t="s">
        <v>38</v>
      </c>
      <c r="E40" s="99" t="s">
        <v>39</v>
      </c>
      <c r="F40" s="99" t="s">
        <v>16</v>
      </c>
      <c r="G40" s="99">
        <v>48</v>
      </c>
      <c r="H40" s="112">
        <v>200000</v>
      </c>
      <c r="I40" s="112">
        <v>9600000</v>
      </c>
      <c r="J40" s="99" t="s">
        <v>2053</v>
      </c>
      <c r="K40" s="99" t="s">
        <v>8</v>
      </c>
      <c r="N40" s="99" t="s">
        <v>771</v>
      </c>
      <c r="O40" s="99" t="s">
        <v>69</v>
      </c>
      <c r="P40" s="100">
        <f t="shared" si="0"/>
        <v>45820</v>
      </c>
      <c r="Q40" s="101">
        <f t="shared" si="1"/>
        <v>203</v>
      </c>
      <c r="R40" s="99">
        <f t="shared" si="2"/>
        <v>1</v>
      </c>
      <c r="S40" s="101">
        <f t="shared" si="3"/>
        <v>14850000</v>
      </c>
      <c r="T40" s="99" t="str">
        <f t="shared" si="4"/>
        <v>Low</v>
      </c>
      <c r="U40" s="99" t="str">
        <f t="shared" si="5"/>
        <v>Low</v>
      </c>
      <c r="V40" s="99" t="str">
        <f t="shared" si="6"/>
        <v>Low</v>
      </c>
      <c r="W40" s="99" t="str">
        <f t="shared" si="7"/>
        <v>LLL</v>
      </c>
      <c r="X40" s="99" t="str">
        <f>VLOOKUP(W40,rfm[],2,FALSE)</f>
        <v>💤 Lost / Low Value</v>
      </c>
      <c r="AA40" s="99" t="s">
        <v>771</v>
      </c>
      <c r="AB40" s="99" t="s">
        <v>69</v>
      </c>
      <c r="AC40" s="100">
        <v>45820</v>
      </c>
      <c r="AD40" s="101">
        <v>203</v>
      </c>
      <c r="AE40" s="101">
        <v>1</v>
      </c>
      <c r="AF40" s="101">
        <v>14850000</v>
      </c>
      <c r="AG40" s="99" t="str">
        <f>VLOOKUP(AA40,recency!$K$6:$P$818,6,0)</f>
        <v>Low</v>
      </c>
      <c r="AH40" s="132" t="str">
        <f>VLOOKUP(AA40,frequency!$F$6:$H$818,3,FALSE)</f>
        <v>Low</v>
      </c>
      <c r="AI40" s="129" t="str">
        <f>VLOOKUP(AA40,monetary!$B$5:$F$817,5,0)</f>
        <v>Low</v>
      </c>
      <c r="AJ40" s="99" t="str">
        <f t="shared" si="8"/>
        <v>LLL</v>
      </c>
      <c r="AK40" s="99" t="str">
        <f>VLOOKUP(AJ40,rfm[],2,0)</f>
        <v>💤 Lost / Low Value</v>
      </c>
      <c r="AN40" s="99" t="b">
        <f t="shared" si="9"/>
        <v>1</v>
      </c>
    </row>
    <row r="41" spans="2:40" x14ac:dyDescent="0.3">
      <c r="B41" s="99" t="s">
        <v>296</v>
      </c>
      <c r="C41" s="100">
        <v>45663</v>
      </c>
      <c r="D41" s="99" t="s">
        <v>22</v>
      </c>
      <c r="E41" s="99" t="s">
        <v>23</v>
      </c>
      <c r="F41" s="99" t="s">
        <v>12</v>
      </c>
      <c r="G41" s="99">
        <v>19</v>
      </c>
      <c r="H41" s="112">
        <v>25000</v>
      </c>
      <c r="I41" s="112">
        <v>475000</v>
      </c>
      <c r="J41" s="99" t="s">
        <v>2393</v>
      </c>
      <c r="K41" s="99" t="s">
        <v>60</v>
      </c>
      <c r="N41" s="99" t="s">
        <v>792</v>
      </c>
      <c r="O41" s="99" t="s">
        <v>47</v>
      </c>
      <c r="P41" s="100">
        <f t="shared" si="0"/>
        <v>45812</v>
      </c>
      <c r="Q41" s="101">
        <f t="shared" si="1"/>
        <v>211</v>
      </c>
      <c r="R41" s="99">
        <f t="shared" si="2"/>
        <v>1</v>
      </c>
      <c r="S41" s="101">
        <f t="shared" si="3"/>
        <v>5520000</v>
      </c>
      <c r="T41" s="99" t="str">
        <f t="shared" si="4"/>
        <v>Low</v>
      </c>
      <c r="U41" s="99" t="str">
        <f t="shared" si="5"/>
        <v>Low</v>
      </c>
      <c r="V41" s="99" t="str">
        <f t="shared" si="6"/>
        <v>Low</v>
      </c>
      <c r="W41" s="99" t="str">
        <f t="shared" si="7"/>
        <v>LLL</v>
      </c>
      <c r="X41" s="99" t="str">
        <f>VLOOKUP(W41,rfm[],2,FALSE)</f>
        <v>💤 Lost / Low Value</v>
      </c>
      <c r="AA41" s="99" t="s">
        <v>792</v>
      </c>
      <c r="AB41" s="99" t="s">
        <v>47</v>
      </c>
      <c r="AC41" s="100">
        <v>45812</v>
      </c>
      <c r="AD41" s="101">
        <v>211</v>
      </c>
      <c r="AE41" s="101">
        <v>1</v>
      </c>
      <c r="AF41" s="101">
        <v>5520000</v>
      </c>
      <c r="AG41" s="99" t="str">
        <f>VLOOKUP(AA41,recency!$K$6:$P$818,6,0)</f>
        <v>Low</v>
      </c>
      <c r="AH41" s="132" t="str">
        <f>VLOOKUP(AA41,frequency!$F$6:$H$818,3,FALSE)</f>
        <v>Low</v>
      </c>
      <c r="AI41" s="129" t="str">
        <f>VLOOKUP(AA41,monetary!$B$5:$F$817,5,0)</f>
        <v>Low</v>
      </c>
      <c r="AJ41" s="99" t="str">
        <f t="shared" si="8"/>
        <v>LLL</v>
      </c>
      <c r="AK41" s="99" t="str">
        <f>VLOOKUP(AJ41,rfm[],2,0)</f>
        <v>💤 Lost / Low Value</v>
      </c>
      <c r="AN41" s="99" t="b">
        <f t="shared" si="9"/>
        <v>1</v>
      </c>
    </row>
    <row r="42" spans="2:40" x14ac:dyDescent="0.3">
      <c r="B42" s="99" t="s">
        <v>297</v>
      </c>
      <c r="C42" s="100">
        <v>45663</v>
      </c>
      <c r="D42" s="99" t="s">
        <v>31</v>
      </c>
      <c r="E42" s="99" t="s">
        <v>32</v>
      </c>
      <c r="F42" s="99" t="s">
        <v>20</v>
      </c>
      <c r="G42" s="99">
        <v>33</v>
      </c>
      <c r="H42" s="112">
        <v>180000</v>
      </c>
      <c r="I42" s="112">
        <v>5940000</v>
      </c>
      <c r="J42" s="99" t="s">
        <v>2717</v>
      </c>
      <c r="K42" s="99" t="s">
        <v>127</v>
      </c>
      <c r="N42" s="99" t="s">
        <v>824</v>
      </c>
      <c r="O42" s="99" t="s">
        <v>60</v>
      </c>
      <c r="P42" s="100">
        <f t="shared" si="0"/>
        <v>45965</v>
      </c>
      <c r="Q42" s="101">
        <f t="shared" si="1"/>
        <v>58</v>
      </c>
      <c r="R42" s="99">
        <f t="shared" si="2"/>
        <v>2</v>
      </c>
      <c r="S42" s="101">
        <f t="shared" si="3"/>
        <v>10400000</v>
      </c>
      <c r="T42" s="99" t="str">
        <f t="shared" si="4"/>
        <v>High</v>
      </c>
      <c r="U42" s="99" t="str">
        <f t="shared" si="5"/>
        <v>Low</v>
      </c>
      <c r="V42" s="99" t="str">
        <f t="shared" si="6"/>
        <v>Low</v>
      </c>
      <c r="W42" s="99" t="str">
        <f t="shared" si="7"/>
        <v>HLL</v>
      </c>
      <c r="X42" s="99" t="str">
        <f>VLOOKUP(W42,rfm[],2,FALSE)</f>
        <v>🌱 Potential Loyalists</v>
      </c>
      <c r="AA42" s="99" t="s">
        <v>824</v>
      </c>
      <c r="AB42" s="99" t="s">
        <v>60</v>
      </c>
      <c r="AC42" s="100">
        <v>45965</v>
      </c>
      <c r="AD42" s="101">
        <v>58</v>
      </c>
      <c r="AE42" s="101">
        <v>2</v>
      </c>
      <c r="AF42" s="101">
        <v>10400000</v>
      </c>
      <c r="AG42" s="99" t="str">
        <f>VLOOKUP(AA42,recency!$K$6:$P$818,6,0)</f>
        <v>High</v>
      </c>
      <c r="AH42" s="132" t="str">
        <f>VLOOKUP(AA42,frequency!$F$6:$H$818,3,FALSE)</f>
        <v>Low</v>
      </c>
      <c r="AI42" s="129" t="str">
        <f>VLOOKUP(AA42,monetary!$B$5:$F$817,5,0)</f>
        <v>Low</v>
      </c>
      <c r="AJ42" s="99" t="str">
        <f t="shared" si="8"/>
        <v>HLL</v>
      </c>
      <c r="AK42" s="99" t="str">
        <f>VLOOKUP(AJ42,rfm[],2,0)</f>
        <v>🌱 Potential Loyalists</v>
      </c>
      <c r="AN42" s="99" t="b">
        <f t="shared" si="9"/>
        <v>1</v>
      </c>
    </row>
    <row r="43" spans="2:40" x14ac:dyDescent="0.3">
      <c r="B43" s="99" t="s">
        <v>308</v>
      </c>
      <c r="C43" s="100">
        <v>45663</v>
      </c>
      <c r="D43" s="99" t="s">
        <v>18</v>
      </c>
      <c r="E43" s="99" t="s">
        <v>19</v>
      </c>
      <c r="F43" s="99" t="s">
        <v>20</v>
      </c>
      <c r="G43" s="99">
        <v>32</v>
      </c>
      <c r="H43" s="112">
        <v>500000</v>
      </c>
      <c r="I43" s="112">
        <v>16000000</v>
      </c>
      <c r="J43" s="99" t="s">
        <v>2459</v>
      </c>
      <c r="K43" s="99" t="s">
        <v>69</v>
      </c>
      <c r="N43" s="99" t="s">
        <v>840</v>
      </c>
      <c r="O43" s="99" t="s">
        <v>127</v>
      </c>
      <c r="P43" s="100">
        <f t="shared" si="0"/>
        <v>46021</v>
      </c>
      <c r="Q43" s="101">
        <f t="shared" si="1"/>
        <v>2</v>
      </c>
      <c r="R43" s="99">
        <f t="shared" si="2"/>
        <v>2</v>
      </c>
      <c r="S43" s="101">
        <f t="shared" si="3"/>
        <v>18875000</v>
      </c>
      <c r="T43" s="99" t="str">
        <f t="shared" si="4"/>
        <v>High</v>
      </c>
      <c r="U43" s="99" t="str">
        <f t="shared" si="5"/>
        <v>Low</v>
      </c>
      <c r="V43" s="99" t="str">
        <f t="shared" si="6"/>
        <v>High</v>
      </c>
      <c r="W43" s="99" t="str">
        <f t="shared" si="7"/>
        <v>HLH</v>
      </c>
      <c r="X43" s="99" t="str">
        <f>VLOOKUP(W43,rfm[],2,FALSE)</f>
        <v>🛒 Big Spenders (Occasional)</v>
      </c>
      <c r="AA43" s="99" t="s">
        <v>840</v>
      </c>
      <c r="AB43" s="99" t="s">
        <v>127</v>
      </c>
      <c r="AC43" s="100">
        <v>46021</v>
      </c>
      <c r="AD43" s="101">
        <v>2</v>
      </c>
      <c r="AE43" s="101">
        <v>2</v>
      </c>
      <c r="AF43" s="101">
        <v>18875000</v>
      </c>
      <c r="AG43" s="99" t="str">
        <f>VLOOKUP(AA43,recency!$K$6:$P$818,6,0)</f>
        <v>High</v>
      </c>
      <c r="AH43" s="132" t="str">
        <f>VLOOKUP(AA43,frequency!$F$6:$H$818,3,FALSE)</f>
        <v>Low</v>
      </c>
      <c r="AI43" s="129" t="str">
        <f>VLOOKUP(AA43,monetary!$B$5:$F$817,5,0)</f>
        <v>Low</v>
      </c>
      <c r="AJ43" s="99" t="str">
        <f t="shared" si="8"/>
        <v>HLL</v>
      </c>
      <c r="AK43" s="99" t="str">
        <f>VLOOKUP(AJ43,rfm[],2,0)</f>
        <v>🌱 Potential Loyalists</v>
      </c>
      <c r="AN43" s="99" t="b">
        <f t="shared" si="9"/>
        <v>0</v>
      </c>
    </row>
    <row r="44" spans="2:40" x14ac:dyDescent="0.3">
      <c r="B44" s="99" t="s">
        <v>309</v>
      </c>
      <c r="C44" s="100">
        <v>45663</v>
      </c>
      <c r="D44" s="99" t="s">
        <v>38</v>
      </c>
      <c r="E44" s="99" t="s">
        <v>39</v>
      </c>
      <c r="F44" s="99" t="s">
        <v>16</v>
      </c>
      <c r="G44" s="99">
        <v>30</v>
      </c>
      <c r="H44" s="112">
        <v>200000</v>
      </c>
      <c r="I44" s="112">
        <v>6000000</v>
      </c>
      <c r="J44" s="99" t="s">
        <v>2238</v>
      </c>
      <c r="K44" s="99" t="s">
        <v>60</v>
      </c>
      <c r="N44" s="99" t="s">
        <v>853</v>
      </c>
      <c r="O44" s="99" t="s">
        <v>47</v>
      </c>
      <c r="P44" s="100">
        <f t="shared" si="0"/>
        <v>45979</v>
      </c>
      <c r="Q44" s="101">
        <f t="shared" si="1"/>
        <v>44</v>
      </c>
      <c r="R44" s="99">
        <f t="shared" si="2"/>
        <v>5</v>
      </c>
      <c r="S44" s="101">
        <f t="shared" si="3"/>
        <v>949500000</v>
      </c>
      <c r="T44" s="99" t="str">
        <f t="shared" si="4"/>
        <v>High</v>
      </c>
      <c r="U44" s="99" t="str">
        <f t="shared" si="5"/>
        <v>High</v>
      </c>
      <c r="V44" s="99" t="str">
        <f t="shared" si="6"/>
        <v>High</v>
      </c>
      <c r="W44" s="99" t="str">
        <f t="shared" si="7"/>
        <v>HHH</v>
      </c>
      <c r="X44" s="99" t="str">
        <f>VLOOKUP(W44,rfm[],2,FALSE)</f>
        <v>🥇 Champions</v>
      </c>
      <c r="AA44" s="99" t="s">
        <v>853</v>
      </c>
      <c r="AB44" s="99" t="s">
        <v>47</v>
      </c>
      <c r="AC44" s="100">
        <v>45979</v>
      </c>
      <c r="AD44" s="101">
        <v>44</v>
      </c>
      <c r="AE44" s="101">
        <v>5</v>
      </c>
      <c r="AF44" s="101">
        <v>949500000</v>
      </c>
      <c r="AG44" s="99" t="str">
        <f>VLOOKUP(AA44,recency!$K$6:$P$818,6,0)</f>
        <v>High</v>
      </c>
      <c r="AH44" s="132" t="str">
        <f>VLOOKUP(AA44,frequency!$F$6:$H$818,3,FALSE)</f>
        <v>High</v>
      </c>
      <c r="AI44" s="129" t="str">
        <f>VLOOKUP(AA44,monetary!$B$5:$F$817,5,0)</f>
        <v>High</v>
      </c>
      <c r="AJ44" s="99" t="str">
        <f t="shared" si="8"/>
        <v>HHH</v>
      </c>
      <c r="AK44" s="99" t="str">
        <f>VLOOKUP(AJ44,rfm[],2,0)</f>
        <v>🥇 Champions</v>
      </c>
      <c r="AN44" s="99" t="b">
        <f t="shared" si="9"/>
        <v>1</v>
      </c>
    </row>
    <row r="45" spans="2:40" x14ac:dyDescent="0.3">
      <c r="B45" s="99" t="s">
        <v>310</v>
      </c>
      <c r="C45" s="100">
        <v>45663</v>
      </c>
      <c r="D45" s="99" t="s">
        <v>44</v>
      </c>
      <c r="E45" s="99" t="s">
        <v>45</v>
      </c>
      <c r="F45" s="99" t="s">
        <v>16</v>
      </c>
      <c r="G45" s="99">
        <v>37</v>
      </c>
      <c r="H45" s="112">
        <v>250000</v>
      </c>
      <c r="I45" s="112">
        <v>9250000</v>
      </c>
      <c r="J45" s="99" t="s">
        <v>2613</v>
      </c>
      <c r="K45" s="99" t="s">
        <v>69</v>
      </c>
      <c r="N45" s="99" t="s">
        <v>863</v>
      </c>
      <c r="O45" s="99" t="s">
        <v>69</v>
      </c>
      <c r="P45" s="100">
        <f t="shared" si="0"/>
        <v>45729</v>
      </c>
      <c r="Q45" s="101">
        <f t="shared" si="1"/>
        <v>294</v>
      </c>
      <c r="R45" s="99">
        <f t="shared" si="2"/>
        <v>2</v>
      </c>
      <c r="S45" s="101">
        <f t="shared" si="3"/>
        <v>29950000</v>
      </c>
      <c r="T45" s="99" t="str">
        <f t="shared" si="4"/>
        <v>Low</v>
      </c>
      <c r="U45" s="99" t="str">
        <f t="shared" si="5"/>
        <v>Low</v>
      </c>
      <c r="V45" s="99" t="str">
        <f t="shared" si="6"/>
        <v>High</v>
      </c>
      <c r="W45" s="99" t="str">
        <f t="shared" si="7"/>
        <v>LLH</v>
      </c>
      <c r="X45" s="99" t="str">
        <f>VLOOKUP(W45,rfm[],2,FALSE)</f>
        <v>💸 Lost High Spenders</v>
      </c>
      <c r="AA45" s="99" t="s">
        <v>863</v>
      </c>
      <c r="AB45" s="99" t="s">
        <v>69</v>
      </c>
      <c r="AC45" s="100">
        <v>45729</v>
      </c>
      <c r="AD45" s="101">
        <v>294</v>
      </c>
      <c r="AE45" s="101">
        <v>2</v>
      </c>
      <c r="AF45" s="101">
        <v>29950000</v>
      </c>
      <c r="AG45" s="99" t="str">
        <f>VLOOKUP(AA45,recency!$K$6:$P$818,6,0)</f>
        <v>Low</v>
      </c>
      <c r="AH45" s="132" t="str">
        <f>VLOOKUP(AA45,frequency!$F$6:$H$818,3,FALSE)</f>
        <v>Low</v>
      </c>
      <c r="AI45" s="129" t="str">
        <f>VLOOKUP(AA45,monetary!$B$5:$F$817,5,0)</f>
        <v>Low</v>
      </c>
      <c r="AJ45" s="99" t="str">
        <f t="shared" si="8"/>
        <v>LLL</v>
      </c>
      <c r="AK45" s="99" t="str">
        <f>VLOOKUP(AJ45,rfm[],2,0)</f>
        <v>💤 Lost / Low Value</v>
      </c>
      <c r="AN45" s="99" t="b">
        <f t="shared" si="9"/>
        <v>0</v>
      </c>
    </row>
    <row r="46" spans="2:40" x14ac:dyDescent="0.3">
      <c r="B46" s="99" t="s">
        <v>326</v>
      </c>
      <c r="C46" s="100">
        <v>45663</v>
      </c>
      <c r="D46" s="99" t="s">
        <v>10</v>
      </c>
      <c r="E46" s="99" t="s">
        <v>11</v>
      </c>
      <c r="F46" s="99" t="s">
        <v>12</v>
      </c>
      <c r="G46" s="99">
        <v>37</v>
      </c>
      <c r="H46" s="112">
        <v>120000</v>
      </c>
      <c r="I46" s="112">
        <v>4440000</v>
      </c>
      <c r="J46" s="99" t="s">
        <v>2514</v>
      </c>
      <c r="K46" s="99" t="s">
        <v>127</v>
      </c>
      <c r="N46" s="99" t="s">
        <v>878</v>
      </c>
      <c r="O46" s="99" t="s">
        <v>8</v>
      </c>
      <c r="P46" s="100">
        <f t="shared" si="0"/>
        <v>45908</v>
      </c>
      <c r="Q46" s="101">
        <f t="shared" si="1"/>
        <v>115</v>
      </c>
      <c r="R46" s="99">
        <f t="shared" si="2"/>
        <v>3</v>
      </c>
      <c r="S46" s="101">
        <f t="shared" si="3"/>
        <v>13200000</v>
      </c>
      <c r="T46" s="99" t="str">
        <f t="shared" si="4"/>
        <v>Low</v>
      </c>
      <c r="U46" s="99" t="str">
        <f t="shared" si="5"/>
        <v>High</v>
      </c>
      <c r="V46" s="99" t="str">
        <f t="shared" si="6"/>
        <v>Low</v>
      </c>
      <c r="W46" s="99" t="str">
        <f t="shared" si="7"/>
        <v>LHL</v>
      </c>
      <c r="X46" s="99" t="str">
        <f>VLOOKUP(W46,rfm[],2,FALSE)</f>
        <v>🔁 Former Loyal Low Spend</v>
      </c>
      <c r="AA46" s="99" t="s">
        <v>878</v>
      </c>
      <c r="AB46" s="99" t="s">
        <v>8</v>
      </c>
      <c r="AC46" s="100">
        <v>45908</v>
      </c>
      <c r="AD46" s="101">
        <v>115</v>
      </c>
      <c r="AE46" s="101">
        <v>3</v>
      </c>
      <c r="AF46" s="101">
        <v>13200000</v>
      </c>
      <c r="AG46" s="99" t="str">
        <f>VLOOKUP(AA46,recency!$K$6:$P$818,6,0)</f>
        <v>Low</v>
      </c>
      <c r="AH46" s="132" t="str">
        <f>VLOOKUP(AA46,frequency!$F$6:$H$818,3,FALSE)</f>
        <v>High</v>
      </c>
      <c r="AI46" s="129" t="str">
        <f>VLOOKUP(AA46,monetary!$B$5:$F$817,5,0)</f>
        <v>Low</v>
      </c>
      <c r="AJ46" s="99" t="str">
        <f t="shared" si="8"/>
        <v>LHL</v>
      </c>
      <c r="AK46" s="99" t="str">
        <f>VLOOKUP(AJ46,rfm[],2,0)</f>
        <v>🔁 Former Loyal Low Spend</v>
      </c>
      <c r="AN46" s="99" t="b">
        <f t="shared" si="9"/>
        <v>1</v>
      </c>
    </row>
    <row r="47" spans="2:40" x14ac:dyDescent="0.3">
      <c r="B47" s="99" t="s">
        <v>327</v>
      </c>
      <c r="C47" s="100">
        <v>45663</v>
      </c>
      <c r="D47" s="99" t="s">
        <v>44</v>
      </c>
      <c r="E47" s="99" t="s">
        <v>45</v>
      </c>
      <c r="F47" s="99" t="s">
        <v>16</v>
      </c>
      <c r="G47" s="99">
        <v>490</v>
      </c>
      <c r="H47" s="112">
        <v>250000</v>
      </c>
      <c r="I47" s="112">
        <v>122500000</v>
      </c>
      <c r="J47" s="99" t="s">
        <v>2533</v>
      </c>
      <c r="K47" s="99" t="s">
        <v>8</v>
      </c>
      <c r="N47" s="99" t="s">
        <v>897</v>
      </c>
      <c r="O47" s="99" t="s">
        <v>127</v>
      </c>
      <c r="P47" s="100">
        <f t="shared" si="0"/>
        <v>45660</v>
      </c>
      <c r="Q47" s="101">
        <f t="shared" si="1"/>
        <v>363</v>
      </c>
      <c r="R47" s="99">
        <f t="shared" si="2"/>
        <v>1</v>
      </c>
      <c r="S47" s="101">
        <f t="shared" si="3"/>
        <v>5200000</v>
      </c>
      <c r="T47" s="99" t="str">
        <f t="shared" si="4"/>
        <v>Low</v>
      </c>
      <c r="U47" s="99" t="str">
        <f t="shared" si="5"/>
        <v>Low</v>
      </c>
      <c r="V47" s="99" t="str">
        <f t="shared" si="6"/>
        <v>Low</v>
      </c>
      <c r="W47" s="99" t="str">
        <f t="shared" si="7"/>
        <v>LLL</v>
      </c>
      <c r="X47" s="99" t="str">
        <f>VLOOKUP(W47,rfm[],2,FALSE)</f>
        <v>💤 Lost / Low Value</v>
      </c>
      <c r="AA47" s="99" t="s">
        <v>897</v>
      </c>
      <c r="AB47" s="99" t="s">
        <v>127</v>
      </c>
      <c r="AC47" s="100">
        <v>45660</v>
      </c>
      <c r="AD47" s="101">
        <v>363</v>
      </c>
      <c r="AE47" s="101">
        <v>1</v>
      </c>
      <c r="AF47" s="101">
        <v>5200000</v>
      </c>
      <c r="AG47" s="99" t="str">
        <f>VLOOKUP(AA47,recency!$K$6:$P$818,6,0)</f>
        <v>Low</v>
      </c>
      <c r="AH47" s="132" t="str">
        <f>VLOOKUP(AA47,frequency!$F$6:$H$818,3,FALSE)</f>
        <v>Low</v>
      </c>
      <c r="AI47" s="129" t="str">
        <f>VLOOKUP(AA47,monetary!$B$5:$F$817,5,0)</f>
        <v>Low</v>
      </c>
      <c r="AJ47" s="99" t="str">
        <f t="shared" si="8"/>
        <v>LLL</v>
      </c>
      <c r="AK47" s="99" t="str">
        <f>VLOOKUP(AJ47,rfm[],2,0)</f>
        <v>💤 Lost / Low Value</v>
      </c>
      <c r="AN47" s="99" t="b">
        <f t="shared" si="9"/>
        <v>1</v>
      </c>
    </row>
    <row r="48" spans="2:40" x14ac:dyDescent="0.3">
      <c r="B48" s="99" t="s">
        <v>340</v>
      </c>
      <c r="C48" s="100">
        <v>45663</v>
      </c>
      <c r="D48" s="99" t="s">
        <v>40</v>
      </c>
      <c r="E48" s="99" t="s">
        <v>41</v>
      </c>
      <c r="F48" s="99" t="s">
        <v>16</v>
      </c>
      <c r="G48" s="99">
        <v>47</v>
      </c>
      <c r="H48" s="112">
        <v>950000</v>
      </c>
      <c r="I48" s="112">
        <v>44650000</v>
      </c>
      <c r="J48" s="99" t="s">
        <v>2527</v>
      </c>
      <c r="K48" s="99" t="s">
        <v>69</v>
      </c>
      <c r="N48" s="99" t="s">
        <v>924</v>
      </c>
      <c r="O48" s="99" t="s">
        <v>47</v>
      </c>
      <c r="P48" s="100">
        <f t="shared" si="0"/>
        <v>45905</v>
      </c>
      <c r="Q48" s="101">
        <f t="shared" si="1"/>
        <v>118</v>
      </c>
      <c r="R48" s="99">
        <f t="shared" si="2"/>
        <v>1</v>
      </c>
      <c r="S48" s="101">
        <f t="shared" si="3"/>
        <v>18000000</v>
      </c>
      <c r="T48" s="99" t="str">
        <f t="shared" si="4"/>
        <v>Low</v>
      </c>
      <c r="U48" s="99" t="str">
        <f t="shared" si="5"/>
        <v>Low</v>
      </c>
      <c r="V48" s="99" t="str">
        <f t="shared" si="6"/>
        <v>Low</v>
      </c>
      <c r="W48" s="99" t="str">
        <f t="shared" si="7"/>
        <v>LLL</v>
      </c>
      <c r="X48" s="99" t="str">
        <f>VLOOKUP(W48,rfm[],2,FALSE)</f>
        <v>💤 Lost / Low Value</v>
      </c>
      <c r="AA48" s="99" t="s">
        <v>924</v>
      </c>
      <c r="AB48" s="99" t="s">
        <v>47</v>
      </c>
      <c r="AC48" s="100">
        <v>45905</v>
      </c>
      <c r="AD48" s="101">
        <v>118</v>
      </c>
      <c r="AE48" s="101">
        <v>1</v>
      </c>
      <c r="AF48" s="101">
        <v>18000000</v>
      </c>
      <c r="AG48" s="99" t="str">
        <f>VLOOKUP(AA48,recency!$K$6:$P$818,6,0)</f>
        <v>Low</v>
      </c>
      <c r="AH48" s="132" t="str">
        <f>VLOOKUP(AA48,frequency!$F$6:$H$818,3,FALSE)</f>
        <v>Low</v>
      </c>
      <c r="AI48" s="129" t="str">
        <f>VLOOKUP(AA48,monetary!$B$5:$F$817,5,0)</f>
        <v>Low</v>
      </c>
      <c r="AJ48" s="99" t="str">
        <f t="shared" si="8"/>
        <v>LLL</v>
      </c>
      <c r="AK48" s="99" t="str">
        <f>VLOOKUP(AJ48,rfm[],2,0)</f>
        <v>💤 Lost / Low Value</v>
      </c>
      <c r="AN48" s="99" t="b">
        <f t="shared" si="9"/>
        <v>1</v>
      </c>
    </row>
    <row r="49" spans="2:40" x14ac:dyDescent="0.3">
      <c r="B49" s="99" t="s">
        <v>341</v>
      </c>
      <c r="C49" s="100">
        <v>45664</v>
      </c>
      <c r="D49" s="99" t="s">
        <v>22</v>
      </c>
      <c r="E49" s="99" t="s">
        <v>23</v>
      </c>
      <c r="F49" s="99" t="s">
        <v>12</v>
      </c>
      <c r="G49" s="99">
        <v>210</v>
      </c>
      <c r="H49" s="112">
        <v>25000</v>
      </c>
      <c r="I49" s="112">
        <v>5250000</v>
      </c>
      <c r="J49" s="99" t="s">
        <v>2235</v>
      </c>
      <c r="K49" s="99" t="s">
        <v>127</v>
      </c>
      <c r="N49" s="99" t="s">
        <v>968</v>
      </c>
      <c r="O49" s="99" t="s">
        <v>8</v>
      </c>
      <c r="P49" s="100">
        <f t="shared" si="0"/>
        <v>45931</v>
      </c>
      <c r="Q49" s="101">
        <f t="shared" si="1"/>
        <v>92</v>
      </c>
      <c r="R49" s="99">
        <f t="shared" si="2"/>
        <v>1</v>
      </c>
      <c r="S49" s="101">
        <f t="shared" si="3"/>
        <v>8640000</v>
      </c>
      <c r="T49" s="99" t="str">
        <f t="shared" si="4"/>
        <v>High</v>
      </c>
      <c r="U49" s="99" t="str">
        <f t="shared" si="5"/>
        <v>Low</v>
      </c>
      <c r="V49" s="99" t="str">
        <f t="shared" si="6"/>
        <v>Low</v>
      </c>
      <c r="W49" s="99" t="str">
        <f t="shared" si="7"/>
        <v>HLL</v>
      </c>
      <c r="X49" s="99" t="str">
        <f>VLOOKUP(W49,rfm[],2,FALSE)</f>
        <v>🌱 Potential Loyalists</v>
      </c>
      <c r="AA49" s="99" t="s">
        <v>968</v>
      </c>
      <c r="AB49" s="99" t="s">
        <v>8</v>
      </c>
      <c r="AC49" s="100">
        <v>45931</v>
      </c>
      <c r="AD49" s="101">
        <v>92</v>
      </c>
      <c r="AE49" s="101">
        <v>1</v>
      </c>
      <c r="AF49" s="101">
        <v>8640000</v>
      </c>
      <c r="AG49" s="99" t="str">
        <f>VLOOKUP(AA49,recency!$K$6:$P$818,6,0)</f>
        <v>Low</v>
      </c>
      <c r="AH49" s="132" t="str">
        <f>VLOOKUP(AA49,frequency!$F$6:$H$818,3,FALSE)</f>
        <v>Low</v>
      </c>
      <c r="AI49" s="129" t="str">
        <f>VLOOKUP(AA49,monetary!$B$5:$F$817,5,0)</f>
        <v>Low</v>
      </c>
      <c r="AJ49" s="99" t="str">
        <f t="shared" si="8"/>
        <v>LLL</v>
      </c>
      <c r="AK49" s="99" t="str">
        <f>VLOOKUP(AJ49,rfm[],2,0)</f>
        <v>💤 Lost / Low Value</v>
      </c>
      <c r="AN49" s="99" t="b">
        <f t="shared" si="9"/>
        <v>0</v>
      </c>
    </row>
    <row r="50" spans="2:40" x14ac:dyDescent="0.3">
      <c r="B50" s="99" t="s">
        <v>360</v>
      </c>
      <c r="C50" s="100">
        <v>45664</v>
      </c>
      <c r="D50" s="99" t="s">
        <v>14</v>
      </c>
      <c r="E50" s="99" t="s">
        <v>15</v>
      </c>
      <c r="F50" s="99" t="s">
        <v>16</v>
      </c>
      <c r="G50" s="99">
        <v>40</v>
      </c>
      <c r="H50" s="112">
        <v>350000</v>
      </c>
      <c r="I50" s="112">
        <v>14000000</v>
      </c>
      <c r="J50" s="99" t="s">
        <v>2754</v>
      </c>
      <c r="K50" s="99" t="s">
        <v>127</v>
      </c>
      <c r="N50" s="99" t="s">
        <v>1037</v>
      </c>
      <c r="O50" s="99" t="s">
        <v>60</v>
      </c>
      <c r="P50" s="100">
        <f t="shared" si="0"/>
        <v>45930</v>
      </c>
      <c r="Q50" s="101">
        <f t="shared" si="1"/>
        <v>93</v>
      </c>
      <c r="R50" s="99">
        <f t="shared" si="2"/>
        <v>1</v>
      </c>
      <c r="S50" s="101">
        <f t="shared" si="3"/>
        <v>1920000</v>
      </c>
      <c r="T50" s="99" t="str">
        <f t="shared" si="4"/>
        <v>High</v>
      </c>
      <c r="U50" s="99" t="str">
        <f t="shared" si="5"/>
        <v>Low</v>
      </c>
      <c r="V50" s="99" t="str">
        <f t="shared" si="6"/>
        <v>Low</v>
      </c>
      <c r="W50" s="99" t="str">
        <f t="shared" si="7"/>
        <v>HLL</v>
      </c>
      <c r="X50" s="99" t="str">
        <f>VLOOKUP(W50,rfm[],2,FALSE)</f>
        <v>🌱 Potential Loyalists</v>
      </c>
      <c r="AA50" s="99" t="s">
        <v>1037</v>
      </c>
      <c r="AB50" s="99" t="s">
        <v>60</v>
      </c>
      <c r="AC50" s="100">
        <v>45930</v>
      </c>
      <c r="AD50" s="101">
        <v>93</v>
      </c>
      <c r="AE50" s="101">
        <v>1</v>
      </c>
      <c r="AF50" s="101">
        <v>1920000</v>
      </c>
      <c r="AG50" s="99" t="str">
        <f>VLOOKUP(AA50,recency!$K$6:$P$818,6,0)</f>
        <v>Low</v>
      </c>
      <c r="AH50" s="132" t="str">
        <f>VLOOKUP(AA50,frequency!$F$6:$H$818,3,FALSE)</f>
        <v>Low</v>
      </c>
      <c r="AI50" s="129" t="str">
        <f>VLOOKUP(AA50,monetary!$B$5:$F$817,5,0)</f>
        <v>Low</v>
      </c>
      <c r="AJ50" s="99" t="str">
        <f t="shared" si="8"/>
        <v>LLL</v>
      </c>
      <c r="AK50" s="99" t="str">
        <f>VLOOKUP(AJ50,rfm[],2,0)</f>
        <v>💤 Lost / Low Value</v>
      </c>
      <c r="AN50" s="99" t="b">
        <f t="shared" si="9"/>
        <v>0</v>
      </c>
    </row>
    <row r="51" spans="2:40" x14ac:dyDescent="0.3">
      <c r="B51" s="99" t="s">
        <v>361</v>
      </c>
      <c r="C51" s="100">
        <v>45664</v>
      </c>
      <c r="D51" s="99" t="s">
        <v>10</v>
      </c>
      <c r="E51" s="99" t="s">
        <v>11</v>
      </c>
      <c r="F51" s="99" t="s">
        <v>12</v>
      </c>
      <c r="G51" s="99">
        <v>49</v>
      </c>
      <c r="H51" s="112">
        <v>120000</v>
      </c>
      <c r="I51" s="112">
        <v>5880000</v>
      </c>
      <c r="J51" s="99" t="s">
        <v>2319</v>
      </c>
      <c r="K51" s="99" t="s">
        <v>60</v>
      </c>
      <c r="N51" s="99" t="s">
        <v>1164</v>
      </c>
      <c r="O51" s="99" t="s">
        <v>60</v>
      </c>
      <c r="P51" s="100">
        <f t="shared" si="0"/>
        <v>45895</v>
      </c>
      <c r="Q51" s="101">
        <f t="shared" si="1"/>
        <v>128</v>
      </c>
      <c r="R51" s="99">
        <f t="shared" si="2"/>
        <v>1</v>
      </c>
      <c r="S51" s="101">
        <f t="shared" si="3"/>
        <v>22500000</v>
      </c>
      <c r="T51" s="99" t="str">
        <f t="shared" si="4"/>
        <v>Low</v>
      </c>
      <c r="U51" s="99" t="str">
        <f t="shared" si="5"/>
        <v>Low</v>
      </c>
      <c r="V51" s="99" t="str">
        <f t="shared" si="6"/>
        <v>High</v>
      </c>
      <c r="W51" s="99" t="str">
        <f t="shared" si="7"/>
        <v>LLH</v>
      </c>
      <c r="X51" s="99" t="str">
        <f>VLOOKUP(W51,rfm[],2,FALSE)</f>
        <v>💸 Lost High Spenders</v>
      </c>
      <c r="AA51" s="99" t="s">
        <v>1164</v>
      </c>
      <c r="AB51" s="99" t="s">
        <v>60</v>
      </c>
      <c r="AC51" s="100">
        <v>45895</v>
      </c>
      <c r="AD51" s="101">
        <v>128</v>
      </c>
      <c r="AE51" s="101">
        <v>1</v>
      </c>
      <c r="AF51" s="101">
        <v>22500000</v>
      </c>
      <c r="AG51" s="99" t="str">
        <f>VLOOKUP(AA51,recency!$K$6:$P$818,6,0)</f>
        <v>Low</v>
      </c>
      <c r="AH51" s="132" t="str">
        <f>VLOOKUP(AA51,frequency!$F$6:$H$818,3,FALSE)</f>
        <v>Low</v>
      </c>
      <c r="AI51" s="129" t="str">
        <f>VLOOKUP(AA51,monetary!$B$5:$F$817,5,0)</f>
        <v>Low</v>
      </c>
      <c r="AJ51" s="99" t="str">
        <f t="shared" si="8"/>
        <v>LLL</v>
      </c>
      <c r="AK51" s="99" t="str">
        <f>VLOOKUP(AJ51,rfm[],2,0)</f>
        <v>💤 Lost / Low Value</v>
      </c>
      <c r="AN51" s="99" t="b">
        <f t="shared" si="9"/>
        <v>0</v>
      </c>
    </row>
    <row r="52" spans="2:40" x14ac:dyDescent="0.3">
      <c r="B52" s="99" t="s">
        <v>362</v>
      </c>
      <c r="C52" s="100">
        <v>45664</v>
      </c>
      <c r="D52" s="99" t="s">
        <v>40</v>
      </c>
      <c r="E52" s="99" t="s">
        <v>41</v>
      </c>
      <c r="F52" s="99" t="s">
        <v>16</v>
      </c>
      <c r="G52" s="99">
        <v>13</v>
      </c>
      <c r="H52" s="112">
        <v>950000</v>
      </c>
      <c r="I52" s="112">
        <v>12350000</v>
      </c>
      <c r="J52" s="99" t="s">
        <v>2292</v>
      </c>
      <c r="K52" s="99" t="s">
        <v>127</v>
      </c>
      <c r="N52" s="99" t="s">
        <v>1195</v>
      </c>
      <c r="O52" s="99" t="s">
        <v>69</v>
      </c>
      <c r="P52" s="100">
        <f t="shared" si="0"/>
        <v>45874</v>
      </c>
      <c r="Q52" s="101">
        <f t="shared" si="1"/>
        <v>149</v>
      </c>
      <c r="R52" s="99">
        <f t="shared" si="2"/>
        <v>1</v>
      </c>
      <c r="S52" s="101">
        <f t="shared" si="3"/>
        <v>12500000</v>
      </c>
      <c r="T52" s="99" t="str">
        <f t="shared" si="4"/>
        <v>Low</v>
      </c>
      <c r="U52" s="99" t="str">
        <f t="shared" si="5"/>
        <v>Low</v>
      </c>
      <c r="V52" s="99" t="str">
        <f t="shared" si="6"/>
        <v>Low</v>
      </c>
      <c r="W52" s="99" t="str">
        <f t="shared" si="7"/>
        <v>LLL</v>
      </c>
      <c r="X52" s="99" t="str">
        <f>VLOOKUP(W52,rfm[],2,FALSE)</f>
        <v>💤 Lost / Low Value</v>
      </c>
      <c r="AA52" s="99" t="s">
        <v>1195</v>
      </c>
      <c r="AB52" s="99" t="s">
        <v>69</v>
      </c>
      <c r="AC52" s="100">
        <v>45874</v>
      </c>
      <c r="AD52" s="101">
        <v>149</v>
      </c>
      <c r="AE52" s="101">
        <v>1</v>
      </c>
      <c r="AF52" s="101">
        <v>12500000</v>
      </c>
      <c r="AG52" s="99" t="str">
        <f>VLOOKUP(AA52,recency!$K$6:$P$818,6,0)</f>
        <v>Low</v>
      </c>
      <c r="AH52" s="132" t="str">
        <f>VLOOKUP(AA52,frequency!$F$6:$H$818,3,FALSE)</f>
        <v>Low</v>
      </c>
      <c r="AI52" s="129" t="str">
        <f>VLOOKUP(AA52,monetary!$B$5:$F$817,5,0)</f>
        <v>Low</v>
      </c>
      <c r="AJ52" s="99" t="str">
        <f t="shared" si="8"/>
        <v>LLL</v>
      </c>
      <c r="AK52" s="99" t="str">
        <f>VLOOKUP(AJ52,rfm[],2,0)</f>
        <v>💤 Lost / Low Value</v>
      </c>
      <c r="AN52" s="99" t="b">
        <f t="shared" si="9"/>
        <v>1</v>
      </c>
    </row>
    <row r="53" spans="2:40" x14ac:dyDescent="0.3">
      <c r="B53" s="99" t="s">
        <v>380</v>
      </c>
      <c r="C53" s="100">
        <v>45664</v>
      </c>
      <c r="D53" s="99" t="s">
        <v>10</v>
      </c>
      <c r="E53" s="99" t="s">
        <v>11</v>
      </c>
      <c r="F53" s="99" t="s">
        <v>12</v>
      </c>
      <c r="G53" s="99">
        <v>49</v>
      </c>
      <c r="H53" s="112">
        <v>120000</v>
      </c>
      <c r="I53" s="112">
        <v>5880000</v>
      </c>
      <c r="J53" s="99" t="s">
        <v>2522</v>
      </c>
      <c r="K53" s="99" t="s">
        <v>8</v>
      </c>
      <c r="N53" s="99" t="s">
        <v>1242</v>
      </c>
      <c r="O53" s="99" t="s">
        <v>60</v>
      </c>
      <c r="P53" s="100">
        <f t="shared" si="0"/>
        <v>45863</v>
      </c>
      <c r="Q53" s="101">
        <f t="shared" si="1"/>
        <v>160</v>
      </c>
      <c r="R53" s="99">
        <f t="shared" si="2"/>
        <v>6</v>
      </c>
      <c r="S53" s="101">
        <f t="shared" si="3"/>
        <v>40555000</v>
      </c>
      <c r="T53" s="99" t="str">
        <f t="shared" si="4"/>
        <v>Low</v>
      </c>
      <c r="U53" s="99" t="str">
        <f t="shared" si="5"/>
        <v>High</v>
      </c>
      <c r="V53" s="99" t="str">
        <f t="shared" si="6"/>
        <v>High</v>
      </c>
      <c r="W53" s="99" t="str">
        <f t="shared" si="7"/>
        <v>LHH</v>
      </c>
      <c r="X53" s="99" t="str">
        <f>VLOOKUP(W53,rfm[],2,FALSE)</f>
        <v>⚠️ At Risk High Value</v>
      </c>
      <c r="AA53" s="99" t="s">
        <v>1242</v>
      </c>
      <c r="AB53" s="99" t="s">
        <v>60</v>
      </c>
      <c r="AC53" s="100">
        <v>45863</v>
      </c>
      <c r="AD53" s="101">
        <v>160</v>
      </c>
      <c r="AE53" s="101">
        <v>6</v>
      </c>
      <c r="AF53" s="101">
        <v>40555000</v>
      </c>
      <c r="AG53" s="99" t="str">
        <f>VLOOKUP(AA53,recency!$K$6:$P$818,6,0)</f>
        <v>Low</v>
      </c>
      <c r="AH53" s="132" t="str">
        <f>VLOOKUP(AA53,frequency!$F$6:$H$818,3,FALSE)</f>
        <v>High</v>
      </c>
      <c r="AI53" s="129" t="str">
        <f>VLOOKUP(AA53,monetary!$B$5:$F$817,5,0)</f>
        <v>Low</v>
      </c>
      <c r="AJ53" s="99" t="str">
        <f t="shared" si="8"/>
        <v>LHL</v>
      </c>
      <c r="AK53" s="99" t="str">
        <f>VLOOKUP(AJ53,rfm[],2,0)</f>
        <v>🔁 Former Loyal Low Spend</v>
      </c>
      <c r="AN53" s="99" t="b">
        <f t="shared" si="9"/>
        <v>0</v>
      </c>
    </row>
    <row r="54" spans="2:40" x14ac:dyDescent="0.3">
      <c r="B54" s="99" t="s">
        <v>381</v>
      </c>
      <c r="C54" s="100">
        <v>45664</v>
      </c>
      <c r="D54" s="99" t="s">
        <v>38</v>
      </c>
      <c r="E54" s="99" t="s">
        <v>39</v>
      </c>
      <c r="F54" s="99" t="s">
        <v>16</v>
      </c>
      <c r="G54" s="99">
        <v>35</v>
      </c>
      <c r="H54" s="112">
        <v>200000</v>
      </c>
      <c r="I54" s="112">
        <v>7000000</v>
      </c>
      <c r="J54" s="99" t="s">
        <v>2345</v>
      </c>
      <c r="K54" s="99" t="s">
        <v>8</v>
      </c>
      <c r="N54" s="99" t="s">
        <v>1280</v>
      </c>
      <c r="O54" s="99" t="s">
        <v>69</v>
      </c>
      <c r="P54" s="100">
        <f t="shared" si="0"/>
        <v>45863</v>
      </c>
      <c r="Q54" s="101">
        <f t="shared" si="1"/>
        <v>160</v>
      </c>
      <c r="R54" s="99">
        <f t="shared" si="2"/>
        <v>3</v>
      </c>
      <c r="S54" s="101">
        <f t="shared" si="3"/>
        <v>34360000</v>
      </c>
      <c r="T54" s="99" t="str">
        <f t="shared" si="4"/>
        <v>Low</v>
      </c>
      <c r="U54" s="99" t="str">
        <f t="shared" si="5"/>
        <v>High</v>
      </c>
      <c r="V54" s="99" t="str">
        <f t="shared" si="6"/>
        <v>High</v>
      </c>
      <c r="W54" s="99" t="str">
        <f t="shared" si="7"/>
        <v>LHH</v>
      </c>
      <c r="X54" s="99" t="str">
        <f>VLOOKUP(W54,rfm[],2,FALSE)</f>
        <v>⚠️ At Risk High Value</v>
      </c>
      <c r="AA54" s="99" t="s">
        <v>1280</v>
      </c>
      <c r="AB54" s="99" t="s">
        <v>69</v>
      </c>
      <c r="AC54" s="100">
        <v>45863</v>
      </c>
      <c r="AD54" s="101">
        <v>160</v>
      </c>
      <c r="AE54" s="101">
        <v>3</v>
      </c>
      <c r="AF54" s="101">
        <v>34360000</v>
      </c>
      <c r="AG54" s="99" t="str">
        <f>VLOOKUP(AA54,recency!$K$6:$P$818,6,0)</f>
        <v>Low</v>
      </c>
      <c r="AH54" s="132" t="str">
        <f>VLOOKUP(AA54,frequency!$F$6:$H$818,3,FALSE)</f>
        <v>High</v>
      </c>
      <c r="AI54" s="129" t="str">
        <f>VLOOKUP(AA54,monetary!$B$5:$F$817,5,0)</f>
        <v>Low</v>
      </c>
      <c r="AJ54" s="99" t="str">
        <f t="shared" si="8"/>
        <v>LHL</v>
      </c>
      <c r="AK54" s="99" t="str">
        <f>VLOOKUP(AJ54,rfm[],2,0)</f>
        <v>🔁 Former Loyal Low Spend</v>
      </c>
      <c r="AN54" s="99" t="b">
        <f t="shared" si="9"/>
        <v>0</v>
      </c>
    </row>
    <row r="55" spans="2:40" x14ac:dyDescent="0.3">
      <c r="B55" s="99" t="s">
        <v>382</v>
      </c>
      <c r="C55" s="100">
        <v>45664</v>
      </c>
      <c r="D55" s="99" t="s">
        <v>10</v>
      </c>
      <c r="E55" s="99" t="s">
        <v>11</v>
      </c>
      <c r="F55" s="99" t="s">
        <v>12</v>
      </c>
      <c r="G55" s="99">
        <v>210</v>
      </c>
      <c r="H55" s="112">
        <v>120000</v>
      </c>
      <c r="I55" s="112">
        <v>25200000</v>
      </c>
      <c r="J55" s="99" t="s">
        <v>2618</v>
      </c>
      <c r="K55" s="99" t="s">
        <v>8</v>
      </c>
      <c r="N55" s="99" t="s">
        <v>1320</v>
      </c>
      <c r="O55" s="99" t="s">
        <v>47</v>
      </c>
      <c r="P55" s="100">
        <f t="shared" si="0"/>
        <v>45889</v>
      </c>
      <c r="Q55" s="101">
        <f t="shared" si="1"/>
        <v>134</v>
      </c>
      <c r="R55" s="99">
        <f t="shared" si="2"/>
        <v>3</v>
      </c>
      <c r="S55" s="101">
        <f t="shared" si="3"/>
        <v>59460000</v>
      </c>
      <c r="T55" s="99" t="str">
        <f t="shared" si="4"/>
        <v>Low</v>
      </c>
      <c r="U55" s="99" t="str">
        <f t="shared" si="5"/>
        <v>High</v>
      </c>
      <c r="V55" s="99" t="str">
        <f t="shared" si="6"/>
        <v>High</v>
      </c>
      <c r="W55" s="99" t="str">
        <f t="shared" si="7"/>
        <v>LHH</v>
      </c>
      <c r="X55" s="99" t="str">
        <f>VLOOKUP(W55,rfm[],2,FALSE)</f>
        <v>⚠️ At Risk High Value</v>
      </c>
      <c r="AA55" s="99" t="s">
        <v>1320</v>
      </c>
      <c r="AB55" s="99" t="s">
        <v>47</v>
      </c>
      <c r="AC55" s="100">
        <v>45889</v>
      </c>
      <c r="AD55" s="101">
        <v>134</v>
      </c>
      <c r="AE55" s="101">
        <v>3</v>
      </c>
      <c r="AF55" s="101">
        <v>59460000</v>
      </c>
      <c r="AG55" s="99" t="str">
        <f>VLOOKUP(AA55,recency!$K$6:$P$818,6,0)</f>
        <v>Low</v>
      </c>
      <c r="AH55" s="132" t="str">
        <f>VLOOKUP(AA55,frequency!$F$6:$H$818,3,FALSE)</f>
        <v>High</v>
      </c>
      <c r="AI55" s="129" t="str">
        <f>VLOOKUP(AA55,monetary!$B$5:$F$817,5,0)</f>
        <v>High</v>
      </c>
      <c r="AJ55" s="99" t="str">
        <f t="shared" si="8"/>
        <v>LHH</v>
      </c>
      <c r="AK55" s="99" t="str">
        <f>VLOOKUP(AJ55,rfm[],2,0)</f>
        <v>⚠️ At Risk High Value</v>
      </c>
      <c r="AN55" s="99" t="b">
        <f t="shared" si="9"/>
        <v>1</v>
      </c>
    </row>
    <row r="56" spans="2:40" x14ac:dyDescent="0.3">
      <c r="B56" s="99" t="s">
        <v>403</v>
      </c>
      <c r="C56" s="100">
        <v>45664</v>
      </c>
      <c r="D56" s="99" t="s">
        <v>44</v>
      </c>
      <c r="E56" s="99" t="s">
        <v>45</v>
      </c>
      <c r="F56" s="99" t="s">
        <v>16</v>
      </c>
      <c r="G56" s="99">
        <v>39</v>
      </c>
      <c r="H56" s="112">
        <v>250000</v>
      </c>
      <c r="I56" s="112">
        <v>9750000</v>
      </c>
      <c r="J56" s="99" t="s">
        <v>2773</v>
      </c>
      <c r="K56" s="99" t="s">
        <v>8</v>
      </c>
      <c r="N56" s="99" t="s">
        <v>1358</v>
      </c>
      <c r="O56" s="99" t="s">
        <v>47</v>
      </c>
      <c r="P56" s="100">
        <f t="shared" si="0"/>
        <v>45985</v>
      </c>
      <c r="Q56" s="101">
        <f t="shared" si="1"/>
        <v>38</v>
      </c>
      <c r="R56" s="99">
        <f t="shared" si="2"/>
        <v>2</v>
      </c>
      <c r="S56" s="101">
        <f t="shared" si="3"/>
        <v>45850000</v>
      </c>
      <c r="T56" s="99" t="str">
        <f t="shared" si="4"/>
        <v>High</v>
      </c>
      <c r="U56" s="99" t="str">
        <f t="shared" si="5"/>
        <v>Low</v>
      </c>
      <c r="V56" s="99" t="str">
        <f t="shared" si="6"/>
        <v>High</v>
      </c>
      <c r="W56" s="99" t="str">
        <f t="shared" si="7"/>
        <v>HLH</v>
      </c>
      <c r="X56" s="99" t="str">
        <f>VLOOKUP(W56,rfm[],2,FALSE)</f>
        <v>🛒 Big Spenders (Occasional)</v>
      </c>
      <c r="AA56" s="99" t="s">
        <v>1358</v>
      </c>
      <c r="AB56" s="99" t="s">
        <v>47</v>
      </c>
      <c r="AC56" s="100">
        <v>45985</v>
      </c>
      <c r="AD56" s="101">
        <v>38</v>
      </c>
      <c r="AE56" s="101">
        <v>2</v>
      </c>
      <c r="AF56" s="101">
        <v>45850000</v>
      </c>
      <c r="AG56" s="99" t="str">
        <f>VLOOKUP(AA56,recency!$K$6:$P$818,6,0)</f>
        <v>High</v>
      </c>
      <c r="AH56" s="132" t="str">
        <f>VLOOKUP(AA56,frequency!$F$6:$H$818,3,FALSE)</f>
        <v>Low</v>
      </c>
      <c r="AI56" s="129" t="str">
        <f>VLOOKUP(AA56,monetary!$B$5:$F$817,5,0)</f>
        <v>Low</v>
      </c>
      <c r="AJ56" s="99" t="str">
        <f t="shared" si="8"/>
        <v>HLL</v>
      </c>
      <c r="AK56" s="99" t="str">
        <f>VLOOKUP(AJ56,rfm[],2,0)</f>
        <v>🌱 Potential Loyalists</v>
      </c>
      <c r="AN56" s="99" t="b">
        <f t="shared" si="9"/>
        <v>0</v>
      </c>
    </row>
    <row r="57" spans="2:40" x14ac:dyDescent="0.3">
      <c r="B57" s="99" t="s">
        <v>404</v>
      </c>
      <c r="C57" s="100">
        <v>45664</v>
      </c>
      <c r="D57" s="99" t="s">
        <v>22</v>
      </c>
      <c r="E57" s="99" t="s">
        <v>23</v>
      </c>
      <c r="F57" s="99" t="s">
        <v>12</v>
      </c>
      <c r="G57" s="99">
        <v>14</v>
      </c>
      <c r="H57" s="112">
        <v>25000</v>
      </c>
      <c r="I57" s="112">
        <v>350000</v>
      </c>
      <c r="J57" s="99" t="s">
        <v>642</v>
      </c>
      <c r="K57" s="99" t="s">
        <v>8</v>
      </c>
      <c r="N57" s="99" t="s">
        <v>1398</v>
      </c>
      <c r="O57" s="99" t="s">
        <v>127</v>
      </c>
      <c r="P57" s="100">
        <f t="shared" si="0"/>
        <v>45918</v>
      </c>
      <c r="Q57" s="101">
        <f t="shared" si="1"/>
        <v>105</v>
      </c>
      <c r="R57" s="99">
        <f t="shared" si="2"/>
        <v>1</v>
      </c>
      <c r="S57" s="101">
        <f t="shared" si="3"/>
        <v>300000</v>
      </c>
      <c r="T57" s="99" t="str">
        <f t="shared" si="4"/>
        <v>Low</v>
      </c>
      <c r="U57" s="99" t="str">
        <f t="shared" si="5"/>
        <v>Low</v>
      </c>
      <c r="V57" s="99" t="str">
        <f t="shared" si="6"/>
        <v>Low</v>
      </c>
      <c r="W57" s="99" t="str">
        <f t="shared" si="7"/>
        <v>LLL</v>
      </c>
      <c r="X57" s="99" t="str">
        <f>VLOOKUP(W57,rfm[],2,FALSE)</f>
        <v>💤 Lost / Low Value</v>
      </c>
      <c r="AA57" s="99" t="s">
        <v>1398</v>
      </c>
      <c r="AB57" s="99" t="s">
        <v>127</v>
      </c>
      <c r="AC57" s="100">
        <v>45918</v>
      </c>
      <c r="AD57" s="101">
        <v>105</v>
      </c>
      <c r="AE57" s="101">
        <v>1</v>
      </c>
      <c r="AF57" s="101">
        <v>300000</v>
      </c>
      <c r="AG57" s="99" t="str">
        <f>VLOOKUP(AA57,recency!$K$6:$P$818,6,0)</f>
        <v>Low</v>
      </c>
      <c r="AH57" s="132" t="str">
        <f>VLOOKUP(AA57,frequency!$F$6:$H$818,3,FALSE)</f>
        <v>Low</v>
      </c>
      <c r="AI57" s="129" t="str">
        <f>VLOOKUP(AA57,monetary!$B$5:$F$817,5,0)</f>
        <v>Low</v>
      </c>
      <c r="AJ57" s="99" t="str">
        <f t="shared" si="8"/>
        <v>LLL</v>
      </c>
      <c r="AK57" s="99" t="str">
        <f>VLOOKUP(AJ57,rfm[],2,0)</f>
        <v>💤 Lost / Low Value</v>
      </c>
      <c r="AN57" s="99" t="b">
        <f t="shared" si="9"/>
        <v>1</v>
      </c>
    </row>
    <row r="58" spans="2:40" x14ac:dyDescent="0.3">
      <c r="B58" s="99" t="s">
        <v>419</v>
      </c>
      <c r="C58" s="100">
        <v>45664</v>
      </c>
      <c r="D58" s="99" t="s">
        <v>18</v>
      </c>
      <c r="E58" s="99" t="s">
        <v>19</v>
      </c>
      <c r="F58" s="99" t="s">
        <v>20</v>
      </c>
      <c r="G58" s="99">
        <v>400</v>
      </c>
      <c r="H58" s="112">
        <v>500000</v>
      </c>
      <c r="I58" s="112">
        <v>200000000</v>
      </c>
      <c r="J58" s="99" t="s">
        <v>853</v>
      </c>
      <c r="K58" s="99" t="s">
        <v>47</v>
      </c>
      <c r="N58" s="99" t="s">
        <v>1431</v>
      </c>
      <c r="O58" s="99" t="s">
        <v>69</v>
      </c>
      <c r="P58" s="100">
        <f t="shared" si="0"/>
        <v>45807</v>
      </c>
      <c r="Q58" s="101">
        <f t="shared" si="1"/>
        <v>216</v>
      </c>
      <c r="R58" s="99">
        <f t="shared" si="2"/>
        <v>2</v>
      </c>
      <c r="S58" s="101">
        <f t="shared" si="3"/>
        <v>6060000</v>
      </c>
      <c r="T58" s="99" t="str">
        <f t="shared" si="4"/>
        <v>Low</v>
      </c>
      <c r="U58" s="99" t="str">
        <f t="shared" si="5"/>
        <v>Low</v>
      </c>
      <c r="V58" s="99" t="str">
        <f t="shared" si="6"/>
        <v>Low</v>
      </c>
      <c r="W58" s="99" t="str">
        <f t="shared" si="7"/>
        <v>LLL</v>
      </c>
      <c r="X58" s="99" t="str">
        <f>VLOOKUP(W58,rfm[],2,FALSE)</f>
        <v>💤 Lost / Low Value</v>
      </c>
      <c r="AA58" s="99" t="s">
        <v>1431</v>
      </c>
      <c r="AB58" s="99" t="s">
        <v>69</v>
      </c>
      <c r="AC58" s="100">
        <v>45807</v>
      </c>
      <c r="AD58" s="101">
        <v>216</v>
      </c>
      <c r="AE58" s="101">
        <v>2</v>
      </c>
      <c r="AF58" s="101">
        <v>6060000</v>
      </c>
      <c r="AG58" s="99" t="str">
        <f>VLOOKUP(AA58,recency!$K$6:$P$818,6,0)</f>
        <v>Low</v>
      </c>
      <c r="AH58" s="132" t="str">
        <f>VLOOKUP(AA58,frequency!$F$6:$H$818,3,FALSE)</f>
        <v>Low</v>
      </c>
      <c r="AI58" s="129" t="str">
        <f>VLOOKUP(AA58,monetary!$B$5:$F$817,5,0)</f>
        <v>Low</v>
      </c>
      <c r="AJ58" s="99" t="str">
        <f t="shared" si="8"/>
        <v>LLL</v>
      </c>
      <c r="AK58" s="99" t="str">
        <f>VLOOKUP(AJ58,rfm[],2,0)</f>
        <v>💤 Lost / Low Value</v>
      </c>
      <c r="AN58" s="99" t="b">
        <f t="shared" si="9"/>
        <v>1</v>
      </c>
    </row>
    <row r="59" spans="2:40" x14ac:dyDescent="0.3">
      <c r="B59" s="99" t="s">
        <v>420</v>
      </c>
      <c r="C59" s="100">
        <v>45665</v>
      </c>
      <c r="D59" s="99" t="s">
        <v>31</v>
      </c>
      <c r="E59" s="99" t="s">
        <v>32</v>
      </c>
      <c r="F59" s="99" t="s">
        <v>20</v>
      </c>
      <c r="G59" s="99">
        <v>250</v>
      </c>
      <c r="H59" s="112">
        <v>180000</v>
      </c>
      <c r="I59" s="112">
        <v>45000000</v>
      </c>
      <c r="J59" s="99" t="s">
        <v>2563</v>
      </c>
      <c r="K59" s="99" t="s">
        <v>47</v>
      </c>
      <c r="N59" s="99" t="s">
        <v>1470</v>
      </c>
      <c r="O59" s="99" t="s">
        <v>69</v>
      </c>
      <c r="P59" s="100">
        <f t="shared" si="0"/>
        <v>45764</v>
      </c>
      <c r="Q59" s="101">
        <f t="shared" si="1"/>
        <v>259</v>
      </c>
      <c r="R59" s="99">
        <f t="shared" si="2"/>
        <v>2</v>
      </c>
      <c r="S59" s="101">
        <f t="shared" si="3"/>
        <v>15600000</v>
      </c>
      <c r="T59" s="99" t="str">
        <f t="shared" si="4"/>
        <v>Low</v>
      </c>
      <c r="U59" s="99" t="str">
        <f t="shared" si="5"/>
        <v>Low</v>
      </c>
      <c r="V59" s="99" t="str">
        <f t="shared" si="6"/>
        <v>Low</v>
      </c>
      <c r="W59" s="99" t="str">
        <f t="shared" si="7"/>
        <v>LLL</v>
      </c>
      <c r="X59" s="99" t="str">
        <f>VLOOKUP(W59,rfm[],2,FALSE)</f>
        <v>💤 Lost / Low Value</v>
      </c>
      <c r="AA59" s="99" t="s">
        <v>1470</v>
      </c>
      <c r="AB59" s="99" t="s">
        <v>69</v>
      </c>
      <c r="AC59" s="100">
        <v>45764</v>
      </c>
      <c r="AD59" s="101">
        <v>259</v>
      </c>
      <c r="AE59" s="101">
        <v>2</v>
      </c>
      <c r="AF59" s="101">
        <v>15600000</v>
      </c>
      <c r="AG59" s="99" t="str">
        <f>VLOOKUP(AA59,recency!$K$6:$P$818,6,0)</f>
        <v>Low</v>
      </c>
      <c r="AH59" s="132" t="str">
        <f>VLOOKUP(AA59,frequency!$F$6:$H$818,3,FALSE)</f>
        <v>Low</v>
      </c>
      <c r="AI59" s="129" t="str">
        <f>VLOOKUP(AA59,monetary!$B$5:$F$817,5,0)</f>
        <v>Low</v>
      </c>
      <c r="AJ59" s="99" t="str">
        <f t="shared" si="8"/>
        <v>LLL</v>
      </c>
      <c r="AK59" s="99" t="str">
        <f>VLOOKUP(AJ59,rfm[],2,0)</f>
        <v>💤 Lost / Low Value</v>
      </c>
      <c r="AN59" s="99" t="b">
        <f t="shared" si="9"/>
        <v>1</v>
      </c>
    </row>
    <row r="60" spans="2:40" x14ac:dyDescent="0.3">
      <c r="B60" s="99" t="s">
        <v>421</v>
      </c>
      <c r="C60" s="100">
        <v>45665</v>
      </c>
      <c r="D60" s="99" t="s">
        <v>18</v>
      </c>
      <c r="E60" s="99" t="s">
        <v>19</v>
      </c>
      <c r="F60" s="99" t="s">
        <v>20</v>
      </c>
      <c r="G60" s="99">
        <v>400</v>
      </c>
      <c r="H60" s="112">
        <v>500000</v>
      </c>
      <c r="I60" s="112">
        <v>200000000</v>
      </c>
      <c r="J60" s="99" t="s">
        <v>2432</v>
      </c>
      <c r="K60" s="99" t="s">
        <v>8</v>
      </c>
      <c r="N60" s="99" t="s">
        <v>1554</v>
      </c>
      <c r="O60" s="99" t="s">
        <v>69</v>
      </c>
      <c r="P60" s="100">
        <f t="shared" si="0"/>
        <v>45939</v>
      </c>
      <c r="Q60" s="101">
        <f t="shared" si="1"/>
        <v>84</v>
      </c>
      <c r="R60" s="99">
        <f t="shared" si="2"/>
        <v>1</v>
      </c>
      <c r="S60" s="101">
        <f t="shared" si="3"/>
        <v>1200000</v>
      </c>
      <c r="T60" s="99" t="str">
        <f t="shared" si="4"/>
        <v>High</v>
      </c>
      <c r="U60" s="99" t="str">
        <f t="shared" si="5"/>
        <v>Low</v>
      </c>
      <c r="V60" s="99" t="str">
        <f t="shared" si="6"/>
        <v>Low</v>
      </c>
      <c r="W60" s="99" t="str">
        <f t="shared" si="7"/>
        <v>HLL</v>
      </c>
      <c r="X60" s="99" t="str">
        <f>VLOOKUP(W60,rfm[],2,FALSE)</f>
        <v>🌱 Potential Loyalists</v>
      </c>
      <c r="AA60" s="99" t="s">
        <v>1554</v>
      </c>
      <c r="AB60" s="99" t="s">
        <v>69</v>
      </c>
      <c r="AC60" s="100">
        <v>45939</v>
      </c>
      <c r="AD60" s="101">
        <v>84</v>
      </c>
      <c r="AE60" s="101">
        <v>1</v>
      </c>
      <c r="AF60" s="101">
        <v>1200000</v>
      </c>
      <c r="AG60" s="99" t="str">
        <f>VLOOKUP(AA60,recency!$K$6:$P$818,6,0)</f>
        <v>Low</v>
      </c>
      <c r="AH60" s="132" t="str">
        <f>VLOOKUP(AA60,frequency!$F$6:$H$818,3,FALSE)</f>
        <v>Low</v>
      </c>
      <c r="AI60" s="129" t="str">
        <f>VLOOKUP(AA60,monetary!$B$5:$F$817,5,0)</f>
        <v>Low</v>
      </c>
      <c r="AJ60" s="99" t="str">
        <f t="shared" si="8"/>
        <v>LLL</v>
      </c>
      <c r="AK60" s="99" t="str">
        <f>VLOOKUP(AJ60,rfm[],2,0)</f>
        <v>💤 Lost / Low Value</v>
      </c>
      <c r="AN60" s="99" t="b">
        <f t="shared" si="9"/>
        <v>0</v>
      </c>
    </row>
    <row r="61" spans="2:40" x14ac:dyDescent="0.3">
      <c r="B61" s="99" t="s">
        <v>435</v>
      </c>
      <c r="C61" s="100">
        <v>45665</v>
      </c>
      <c r="D61" s="99" t="s">
        <v>31</v>
      </c>
      <c r="E61" s="99" t="s">
        <v>32</v>
      </c>
      <c r="F61" s="99" t="s">
        <v>20</v>
      </c>
      <c r="G61" s="99">
        <v>34</v>
      </c>
      <c r="H61" s="112">
        <v>180000</v>
      </c>
      <c r="I61" s="112">
        <v>6120000</v>
      </c>
      <c r="J61" s="99" t="s">
        <v>2125</v>
      </c>
      <c r="K61" s="99" t="s">
        <v>47</v>
      </c>
      <c r="N61" s="99" t="s">
        <v>1584</v>
      </c>
      <c r="O61" s="99" t="s">
        <v>127</v>
      </c>
      <c r="P61" s="100">
        <f t="shared" si="0"/>
        <v>45994</v>
      </c>
      <c r="Q61" s="101">
        <f t="shared" si="1"/>
        <v>29</v>
      </c>
      <c r="R61" s="99">
        <f t="shared" si="2"/>
        <v>7</v>
      </c>
      <c r="S61" s="101">
        <f t="shared" si="3"/>
        <v>22205000</v>
      </c>
      <c r="T61" s="99" t="str">
        <f t="shared" si="4"/>
        <v>High</v>
      </c>
      <c r="U61" s="99" t="str">
        <f t="shared" si="5"/>
        <v>High</v>
      </c>
      <c r="V61" s="99" t="str">
        <f t="shared" si="6"/>
        <v>High</v>
      </c>
      <c r="W61" s="99" t="str">
        <f t="shared" si="7"/>
        <v>HHH</v>
      </c>
      <c r="X61" s="99" t="str">
        <f>VLOOKUP(W61,rfm[],2,FALSE)</f>
        <v>🥇 Champions</v>
      </c>
      <c r="AA61" s="99" t="s">
        <v>1584</v>
      </c>
      <c r="AB61" s="99" t="s">
        <v>127</v>
      </c>
      <c r="AC61" s="100">
        <v>45994</v>
      </c>
      <c r="AD61" s="101">
        <v>29</v>
      </c>
      <c r="AE61" s="101">
        <v>7</v>
      </c>
      <c r="AF61" s="101">
        <v>22205000</v>
      </c>
      <c r="AG61" s="99" t="str">
        <f>VLOOKUP(AA61,recency!$K$6:$P$818,6,0)</f>
        <v>High</v>
      </c>
      <c r="AH61" s="132" t="str">
        <f>VLOOKUP(AA61,frequency!$F$6:$H$818,3,FALSE)</f>
        <v>High</v>
      </c>
      <c r="AI61" s="129" t="str">
        <f>VLOOKUP(AA61,monetary!$B$5:$F$817,5,0)</f>
        <v>Low</v>
      </c>
      <c r="AJ61" s="99" t="str">
        <f t="shared" si="8"/>
        <v>HHL</v>
      </c>
      <c r="AK61" s="99" t="str">
        <f>VLOOKUP(AJ61,rfm[],2,0)</f>
        <v>💎 Loyal High Value</v>
      </c>
      <c r="AN61" s="99" t="b">
        <f t="shared" si="9"/>
        <v>0</v>
      </c>
    </row>
    <row r="62" spans="2:40" x14ac:dyDescent="0.3">
      <c r="B62" s="99" t="s">
        <v>443</v>
      </c>
      <c r="C62" s="100">
        <v>45665</v>
      </c>
      <c r="D62" s="99" t="s">
        <v>31</v>
      </c>
      <c r="E62" s="99" t="s">
        <v>32</v>
      </c>
      <c r="F62" s="99" t="s">
        <v>20</v>
      </c>
      <c r="G62" s="99">
        <v>31</v>
      </c>
      <c r="H62" s="112">
        <v>180000</v>
      </c>
      <c r="I62" s="112">
        <v>5580000</v>
      </c>
      <c r="J62" s="99" t="s">
        <v>2685</v>
      </c>
      <c r="K62" s="99" t="s">
        <v>69</v>
      </c>
      <c r="N62" s="99" t="s">
        <v>1640</v>
      </c>
      <c r="O62" s="99" t="s">
        <v>47</v>
      </c>
      <c r="P62" s="100">
        <f t="shared" si="0"/>
        <v>45881</v>
      </c>
      <c r="Q62" s="101">
        <f t="shared" si="1"/>
        <v>142</v>
      </c>
      <c r="R62" s="99">
        <f t="shared" si="2"/>
        <v>3</v>
      </c>
      <c r="S62" s="101">
        <f t="shared" si="3"/>
        <v>1027500000</v>
      </c>
      <c r="T62" s="99" t="str">
        <f t="shared" si="4"/>
        <v>Low</v>
      </c>
      <c r="U62" s="99" t="str">
        <f t="shared" si="5"/>
        <v>High</v>
      </c>
      <c r="V62" s="99" t="str">
        <f t="shared" si="6"/>
        <v>High</v>
      </c>
      <c r="W62" s="99" t="str">
        <f t="shared" si="7"/>
        <v>LHH</v>
      </c>
      <c r="X62" s="99" t="str">
        <f>VLOOKUP(W62,rfm[],2,FALSE)</f>
        <v>⚠️ At Risk High Value</v>
      </c>
      <c r="AA62" s="99" t="s">
        <v>1640</v>
      </c>
      <c r="AB62" s="99" t="s">
        <v>47</v>
      </c>
      <c r="AC62" s="100">
        <v>45881</v>
      </c>
      <c r="AD62" s="101">
        <v>142</v>
      </c>
      <c r="AE62" s="101">
        <v>3</v>
      </c>
      <c r="AF62" s="101">
        <v>1027500000</v>
      </c>
      <c r="AG62" s="99" t="str">
        <f>VLOOKUP(AA62,recency!$K$6:$P$818,6,0)</f>
        <v>Low</v>
      </c>
      <c r="AH62" s="132" t="str">
        <f>VLOOKUP(AA62,frequency!$F$6:$H$818,3,FALSE)</f>
        <v>High</v>
      </c>
      <c r="AI62" s="129" t="str">
        <f>VLOOKUP(AA62,monetary!$B$5:$F$817,5,0)</f>
        <v>High</v>
      </c>
      <c r="AJ62" s="99" t="str">
        <f t="shared" si="8"/>
        <v>LHH</v>
      </c>
      <c r="AK62" s="99" t="str">
        <f>VLOOKUP(AJ62,rfm[],2,0)</f>
        <v>⚠️ At Risk High Value</v>
      </c>
      <c r="AN62" s="99" t="b">
        <f t="shared" si="9"/>
        <v>1</v>
      </c>
    </row>
    <row r="63" spans="2:40" x14ac:dyDescent="0.3">
      <c r="B63" s="99" t="s">
        <v>444</v>
      </c>
      <c r="C63" s="100">
        <v>45665</v>
      </c>
      <c r="D63" s="99" t="s">
        <v>14</v>
      </c>
      <c r="E63" s="99" t="s">
        <v>15</v>
      </c>
      <c r="F63" s="99" t="s">
        <v>16</v>
      </c>
      <c r="G63" s="99">
        <v>42</v>
      </c>
      <c r="H63" s="112">
        <v>350000</v>
      </c>
      <c r="I63" s="112">
        <v>14700000</v>
      </c>
      <c r="J63" s="99" t="s">
        <v>2494</v>
      </c>
      <c r="K63" s="99" t="s">
        <v>8</v>
      </c>
      <c r="N63" s="99" t="s">
        <v>1683</v>
      </c>
      <c r="O63" s="99" t="s">
        <v>47</v>
      </c>
      <c r="P63" s="100">
        <f t="shared" si="0"/>
        <v>45716</v>
      </c>
      <c r="Q63" s="101">
        <f t="shared" si="1"/>
        <v>307</v>
      </c>
      <c r="R63" s="99">
        <f t="shared" si="2"/>
        <v>1</v>
      </c>
      <c r="S63" s="101">
        <f t="shared" si="3"/>
        <v>3400000</v>
      </c>
      <c r="T63" s="99" t="str">
        <f t="shared" si="4"/>
        <v>Low</v>
      </c>
      <c r="U63" s="99" t="str">
        <f t="shared" si="5"/>
        <v>Low</v>
      </c>
      <c r="V63" s="99" t="str">
        <f t="shared" si="6"/>
        <v>Low</v>
      </c>
      <c r="W63" s="99" t="str">
        <f t="shared" si="7"/>
        <v>LLL</v>
      </c>
      <c r="X63" s="99" t="str">
        <f>VLOOKUP(W63,rfm[],2,FALSE)</f>
        <v>💤 Lost / Low Value</v>
      </c>
      <c r="AA63" s="99" t="s">
        <v>1683</v>
      </c>
      <c r="AB63" s="99" t="s">
        <v>47</v>
      </c>
      <c r="AC63" s="100">
        <v>45716</v>
      </c>
      <c r="AD63" s="101">
        <v>307</v>
      </c>
      <c r="AE63" s="101">
        <v>1</v>
      </c>
      <c r="AF63" s="101">
        <v>3400000</v>
      </c>
      <c r="AG63" s="99" t="str">
        <f>VLOOKUP(AA63,recency!$K$6:$P$818,6,0)</f>
        <v>Low</v>
      </c>
      <c r="AH63" s="132" t="str">
        <f>VLOOKUP(AA63,frequency!$F$6:$H$818,3,FALSE)</f>
        <v>Low</v>
      </c>
      <c r="AI63" s="129" t="str">
        <f>VLOOKUP(AA63,monetary!$B$5:$F$817,5,0)</f>
        <v>Low</v>
      </c>
      <c r="AJ63" s="99" t="str">
        <f t="shared" si="8"/>
        <v>LLL</v>
      </c>
      <c r="AK63" s="99" t="str">
        <f>VLOOKUP(AJ63,rfm[],2,0)</f>
        <v>💤 Lost / Low Value</v>
      </c>
      <c r="AN63" s="99" t="b">
        <f t="shared" si="9"/>
        <v>1</v>
      </c>
    </row>
    <row r="64" spans="2:40" x14ac:dyDescent="0.3">
      <c r="B64" s="99" t="s">
        <v>462</v>
      </c>
      <c r="C64" s="100">
        <v>45665</v>
      </c>
      <c r="D64" s="99" t="s">
        <v>42</v>
      </c>
      <c r="E64" s="99" t="s">
        <v>43</v>
      </c>
      <c r="F64" s="99" t="s">
        <v>16</v>
      </c>
      <c r="G64" s="99">
        <v>50</v>
      </c>
      <c r="H64" s="112">
        <v>1200000</v>
      </c>
      <c r="I64" s="112">
        <v>60000000</v>
      </c>
      <c r="J64" s="99" t="s">
        <v>2496</v>
      </c>
      <c r="K64" s="99" t="s">
        <v>60</v>
      </c>
      <c r="N64" s="99" t="s">
        <v>1716</v>
      </c>
      <c r="O64" s="99" t="s">
        <v>127</v>
      </c>
      <c r="P64" s="100">
        <f t="shared" si="0"/>
        <v>45912</v>
      </c>
      <c r="Q64" s="101">
        <f t="shared" si="1"/>
        <v>111</v>
      </c>
      <c r="R64" s="99">
        <f t="shared" si="2"/>
        <v>2</v>
      </c>
      <c r="S64" s="101">
        <f t="shared" si="3"/>
        <v>8720000</v>
      </c>
      <c r="T64" s="99" t="str">
        <f t="shared" si="4"/>
        <v>Low</v>
      </c>
      <c r="U64" s="99" t="str">
        <f t="shared" si="5"/>
        <v>Low</v>
      </c>
      <c r="V64" s="99" t="str">
        <f t="shared" si="6"/>
        <v>Low</v>
      </c>
      <c r="W64" s="99" t="str">
        <f t="shared" si="7"/>
        <v>LLL</v>
      </c>
      <c r="X64" s="99" t="str">
        <f>VLOOKUP(W64,rfm[],2,FALSE)</f>
        <v>💤 Lost / Low Value</v>
      </c>
      <c r="AA64" s="99" t="s">
        <v>1716</v>
      </c>
      <c r="AB64" s="99" t="s">
        <v>127</v>
      </c>
      <c r="AC64" s="100">
        <v>45912</v>
      </c>
      <c r="AD64" s="101">
        <v>111</v>
      </c>
      <c r="AE64" s="101">
        <v>2</v>
      </c>
      <c r="AF64" s="101">
        <v>8720000</v>
      </c>
      <c r="AG64" s="99" t="str">
        <f>VLOOKUP(AA64,recency!$K$6:$P$818,6,0)</f>
        <v>Low</v>
      </c>
      <c r="AH64" s="132" t="str">
        <f>VLOOKUP(AA64,frequency!$F$6:$H$818,3,FALSE)</f>
        <v>Low</v>
      </c>
      <c r="AI64" s="129" t="str">
        <f>VLOOKUP(AA64,monetary!$B$5:$F$817,5,0)</f>
        <v>Low</v>
      </c>
      <c r="AJ64" s="99" t="str">
        <f t="shared" si="8"/>
        <v>LLL</v>
      </c>
      <c r="AK64" s="99" t="str">
        <f>VLOOKUP(AJ64,rfm[],2,0)</f>
        <v>💤 Lost / Low Value</v>
      </c>
      <c r="AN64" s="99" t="b">
        <f t="shared" si="9"/>
        <v>1</v>
      </c>
    </row>
    <row r="65" spans="2:40" x14ac:dyDescent="0.3">
      <c r="B65" s="99" t="s">
        <v>463</v>
      </c>
      <c r="C65" s="100">
        <v>45665</v>
      </c>
      <c r="D65" s="99" t="s">
        <v>14</v>
      </c>
      <c r="E65" s="99" t="s">
        <v>15</v>
      </c>
      <c r="F65" s="99" t="s">
        <v>16</v>
      </c>
      <c r="G65" s="99">
        <v>39</v>
      </c>
      <c r="H65" s="112">
        <v>350000</v>
      </c>
      <c r="I65" s="112">
        <v>13650000</v>
      </c>
      <c r="J65" s="99" t="s">
        <v>2392</v>
      </c>
      <c r="K65" s="99" t="s">
        <v>8</v>
      </c>
      <c r="N65" s="99" t="s">
        <v>1756</v>
      </c>
      <c r="O65" s="99" t="s">
        <v>8</v>
      </c>
      <c r="P65" s="100">
        <f t="shared" si="0"/>
        <v>46014</v>
      </c>
      <c r="Q65" s="101">
        <f t="shared" si="1"/>
        <v>9</v>
      </c>
      <c r="R65" s="99">
        <f t="shared" si="2"/>
        <v>1</v>
      </c>
      <c r="S65" s="101">
        <f t="shared" si="3"/>
        <v>35150000</v>
      </c>
      <c r="T65" s="99" t="str">
        <f t="shared" si="4"/>
        <v>High</v>
      </c>
      <c r="U65" s="99" t="str">
        <f t="shared" si="5"/>
        <v>Low</v>
      </c>
      <c r="V65" s="99" t="str">
        <f t="shared" si="6"/>
        <v>High</v>
      </c>
      <c r="W65" s="99" t="str">
        <f t="shared" si="7"/>
        <v>HLH</v>
      </c>
      <c r="X65" s="99" t="str">
        <f>VLOOKUP(W65,rfm[],2,FALSE)</f>
        <v>🛒 Big Spenders (Occasional)</v>
      </c>
      <c r="AA65" s="99" t="s">
        <v>1756</v>
      </c>
      <c r="AB65" s="99" t="s">
        <v>8</v>
      </c>
      <c r="AC65" s="100">
        <v>46014</v>
      </c>
      <c r="AD65" s="101">
        <v>9</v>
      </c>
      <c r="AE65" s="101">
        <v>1</v>
      </c>
      <c r="AF65" s="101">
        <v>35150000</v>
      </c>
      <c r="AG65" s="99" t="str">
        <f>VLOOKUP(AA65,recency!$K$6:$P$818,6,0)</f>
        <v>High</v>
      </c>
      <c r="AH65" s="132" t="str">
        <f>VLOOKUP(AA65,frequency!$F$6:$H$818,3,FALSE)</f>
        <v>Low</v>
      </c>
      <c r="AI65" s="129" t="str">
        <f>VLOOKUP(AA65,monetary!$B$5:$F$817,5,0)</f>
        <v>Low</v>
      </c>
      <c r="AJ65" s="99" t="str">
        <f t="shared" si="8"/>
        <v>HLL</v>
      </c>
      <c r="AK65" s="99" t="str">
        <f>VLOOKUP(AJ65,rfm[],2,0)</f>
        <v>🌱 Potential Loyalists</v>
      </c>
      <c r="AN65" s="99" t="b">
        <f t="shared" si="9"/>
        <v>0</v>
      </c>
    </row>
    <row r="66" spans="2:40" x14ac:dyDescent="0.3">
      <c r="B66" s="99" t="s">
        <v>464</v>
      </c>
      <c r="C66" s="100">
        <v>45665</v>
      </c>
      <c r="D66" s="99" t="s">
        <v>40</v>
      </c>
      <c r="E66" s="99" t="s">
        <v>41</v>
      </c>
      <c r="F66" s="99" t="s">
        <v>16</v>
      </c>
      <c r="G66" s="99">
        <v>34</v>
      </c>
      <c r="H66" s="112">
        <v>950000</v>
      </c>
      <c r="I66" s="112">
        <v>32300000</v>
      </c>
      <c r="J66" s="99" t="s">
        <v>1913</v>
      </c>
      <c r="K66" s="99" t="s">
        <v>60</v>
      </c>
      <c r="N66" s="99" t="s">
        <v>1789</v>
      </c>
      <c r="O66" s="99" t="s">
        <v>8</v>
      </c>
      <c r="P66" s="100">
        <f t="shared" si="0"/>
        <v>45986</v>
      </c>
      <c r="Q66" s="101">
        <f t="shared" si="1"/>
        <v>37</v>
      </c>
      <c r="R66" s="99">
        <f t="shared" si="2"/>
        <v>5</v>
      </c>
      <c r="S66" s="101">
        <f t="shared" si="3"/>
        <v>993000000</v>
      </c>
      <c r="T66" s="99" t="str">
        <f t="shared" si="4"/>
        <v>High</v>
      </c>
      <c r="U66" s="99" t="str">
        <f t="shared" si="5"/>
        <v>High</v>
      </c>
      <c r="V66" s="99" t="str">
        <f t="shared" si="6"/>
        <v>High</v>
      </c>
      <c r="W66" s="99" t="str">
        <f t="shared" si="7"/>
        <v>HHH</v>
      </c>
      <c r="X66" s="99" t="str">
        <f>VLOOKUP(W66,rfm[],2,FALSE)</f>
        <v>🥇 Champions</v>
      </c>
      <c r="AA66" s="99" t="s">
        <v>1789</v>
      </c>
      <c r="AB66" s="99" t="s">
        <v>8</v>
      </c>
      <c r="AC66" s="100">
        <v>45986</v>
      </c>
      <c r="AD66" s="101">
        <v>37</v>
      </c>
      <c r="AE66" s="101">
        <v>5</v>
      </c>
      <c r="AF66" s="101">
        <v>993000000</v>
      </c>
      <c r="AG66" s="99" t="str">
        <f>VLOOKUP(AA66,recency!$K$6:$P$818,6,0)</f>
        <v>High</v>
      </c>
      <c r="AH66" s="132" t="str">
        <f>VLOOKUP(AA66,frequency!$F$6:$H$818,3,FALSE)</f>
        <v>High</v>
      </c>
      <c r="AI66" s="129" t="str">
        <f>VLOOKUP(AA66,monetary!$B$5:$F$817,5,0)</f>
        <v>High</v>
      </c>
      <c r="AJ66" s="99" t="str">
        <f t="shared" si="8"/>
        <v>HHH</v>
      </c>
      <c r="AK66" s="99" t="str">
        <f>VLOOKUP(AJ66,rfm[],2,0)</f>
        <v>🥇 Champions</v>
      </c>
      <c r="AN66" s="99" t="b">
        <f t="shared" si="9"/>
        <v>1</v>
      </c>
    </row>
    <row r="67" spans="2:40" x14ac:dyDescent="0.3">
      <c r="B67" s="99" t="s">
        <v>486</v>
      </c>
      <c r="C67" s="100">
        <v>45665</v>
      </c>
      <c r="D67" s="99" t="s">
        <v>40</v>
      </c>
      <c r="E67" s="99" t="s">
        <v>41</v>
      </c>
      <c r="F67" s="99" t="s">
        <v>16</v>
      </c>
      <c r="G67" s="99">
        <v>34</v>
      </c>
      <c r="H67" s="112">
        <v>950000</v>
      </c>
      <c r="I67" s="112">
        <v>32300000</v>
      </c>
      <c r="J67" s="99" t="s">
        <v>2470</v>
      </c>
      <c r="K67" s="99" t="s">
        <v>60</v>
      </c>
      <c r="N67" s="99" t="s">
        <v>1855</v>
      </c>
      <c r="O67" s="99" t="s">
        <v>69</v>
      </c>
      <c r="P67" s="100">
        <f t="shared" si="0"/>
        <v>45883</v>
      </c>
      <c r="Q67" s="101">
        <f t="shared" si="1"/>
        <v>140</v>
      </c>
      <c r="R67" s="99">
        <f t="shared" si="2"/>
        <v>2</v>
      </c>
      <c r="S67" s="101">
        <f t="shared" si="3"/>
        <v>6965000</v>
      </c>
      <c r="T67" s="99" t="str">
        <f t="shared" si="4"/>
        <v>Low</v>
      </c>
      <c r="U67" s="99" t="str">
        <f t="shared" si="5"/>
        <v>Low</v>
      </c>
      <c r="V67" s="99" t="str">
        <f t="shared" si="6"/>
        <v>Low</v>
      </c>
      <c r="W67" s="99" t="str">
        <f t="shared" si="7"/>
        <v>LLL</v>
      </c>
      <c r="X67" s="99" t="str">
        <f>VLOOKUP(W67,rfm[],2,FALSE)</f>
        <v>💤 Lost / Low Value</v>
      </c>
      <c r="AA67" s="99" t="s">
        <v>1855</v>
      </c>
      <c r="AB67" s="99" t="s">
        <v>69</v>
      </c>
      <c r="AC67" s="100">
        <v>45883</v>
      </c>
      <c r="AD67" s="101">
        <v>140</v>
      </c>
      <c r="AE67" s="101">
        <v>2</v>
      </c>
      <c r="AF67" s="101">
        <v>6965000</v>
      </c>
      <c r="AG67" s="99" t="str">
        <f>VLOOKUP(AA67,recency!$K$6:$P$818,6,0)</f>
        <v>Low</v>
      </c>
      <c r="AH67" s="132" t="str">
        <f>VLOOKUP(AA67,frequency!$F$6:$H$818,3,FALSE)</f>
        <v>Low</v>
      </c>
      <c r="AI67" s="129" t="str">
        <f>VLOOKUP(AA67,monetary!$B$5:$F$817,5,0)</f>
        <v>Low</v>
      </c>
      <c r="AJ67" s="99" t="str">
        <f t="shared" si="8"/>
        <v>LLL</v>
      </c>
      <c r="AK67" s="99" t="str">
        <f>VLOOKUP(AJ67,rfm[],2,0)</f>
        <v>💤 Lost / Low Value</v>
      </c>
      <c r="AN67" s="99" t="b">
        <f t="shared" si="9"/>
        <v>1</v>
      </c>
    </row>
    <row r="68" spans="2:40" x14ac:dyDescent="0.3">
      <c r="B68" s="99" t="s">
        <v>487</v>
      </c>
      <c r="C68" s="100">
        <v>45665</v>
      </c>
      <c r="D68" s="99" t="s">
        <v>44</v>
      </c>
      <c r="E68" s="99" t="s">
        <v>45</v>
      </c>
      <c r="F68" s="99" t="s">
        <v>16</v>
      </c>
      <c r="G68" s="99">
        <v>19</v>
      </c>
      <c r="H68" s="112">
        <v>250000</v>
      </c>
      <c r="I68" s="112">
        <v>4750000</v>
      </c>
      <c r="J68" s="99" t="s">
        <v>863</v>
      </c>
      <c r="K68" s="99" t="s">
        <v>69</v>
      </c>
      <c r="N68" s="99" t="s">
        <v>1885</v>
      </c>
      <c r="O68" s="99" t="s">
        <v>127</v>
      </c>
      <c r="P68" s="100">
        <f t="shared" si="0"/>
        <v>45768</v>
      </c>
      <c r="Q68" s="101">
        <f t="shared" si="1"/>
        <v>255</v>
      </c>
      <c r="R68" s="99">
        <f t="shared" si="2"/>
        <v>1</v>
      </c>
      <c r="S68" s="101">
        <f t="shared" si="3"/>
        <v>475000</v>
      </c>
      <c r="T68" s="99" t="str">
        <f t="shared" si="4"/>
        <v>Low</v>
      </c>
      <c r="U68" s="99" t="str">
        <f t="shared" si="5"/>
        <v>Low</v>
      </c>
      <c r="V68" s="99" t="str">
        <f t="shared" si="6"/>
        <v>Low</v>
      </c>
      <c r="W68" s="99" t="str">
        <f t="shared" si="7"/>
        <v>LLL</v>
      </c>
      <c r="X68" s="99" t="str">
        <f>VLOOKUP(W68,rfm[],2,FALSE)</f>
        <v>💤 Lost / Low Value</v>
      </c>
      <c r="AA68" s="99" t="s">
        <v>1885</v>
      </c>
      <c r="AB68" s="99" t="s">
        <v>127</v>
      </c>
      <c r="AC68" s="100">
        <v>45768</v>
      </c>
      <c r="AD68" s="101">
        <v>255</v>
      </c>
      <c r="AE68" s="101">
        <v>1</v>
      </c>
      <c r="AF68" s="101">
        <v>475000</v>
      </c>
      <c r="AG68" s="99" t="str">
        <f>VLOOKUP(AA68,recency!$K$6:$P$818,6,0)</f>
        <v>Low</v>
      </c>
      <c r="AH68" s="132" t="str">
        <f>VLOOKUP(AA68,frequency!$F$6:$H$818,3,FALSE)</f>
        <v>Low</v>
      </c>
      <c r="AI68" s="129" t="str">
        <f>VLOOKUP(AA68,monetary!$B$5:$F$817,5,0)</f>
        <v>Low</v>
      </c>
      <c r="AJ68" s="99" t="str">
        <f t="shared" si="8"/>
        <v>LLL</v>
      </c>
      <c r="AK68" s="99" t="str">
        <f>VLOOKUP(AJ68,rfm[],2,0)</f>
        <v>💤 Lost / Low Value</v>
      </c>
      <c r="AN68" s="99" t="b">
        <f t="shared" si="9"/>
        <v>1</v>
      </c>
    </row>
    <row r="69" spans="2:40" x14ac:dyDescent="0.3">
      <c r="B69" s="99" t="s">
        <v>512</v>
      </c>
      <c r="C69" s="100">
        <v>45665</v>
      </c>
      <c r="D69" s="99" t="s">
        <v>44</v>
      </c>
      <c r="E69" s="99" t="s">
        <v>45</v>
      </c>
      <c r="F69" s="99" t="s">
        <v>16</v>
      </c>
      <c r="G69" s="99">
        <v>380</v>
      </c>
      <c r="H69" s="112">
        <v>250000</v>
      </c>
      <c r="I69" s="112">
        <v>95000000</v>
      </c>
      <c r="J69" s="99" t="s">
        <v>2233</v>
      </c>
      <c r="K69" s="99" t="s">
        <v>8</v>
      </c>
      <c r="N69" s="99" t="s">
        <v>1899</v>
      </c>
      <c r="O69" s="99" t="s">
        <v>127</v>
      </c>
      <c r="P69" s="100">
        <f t="shared" si="0"/>
        <v>46013</v>
      </c>
      <c r="Q69" s="101">
        <f t="shared" si="1"/>
        <v>10</v>
      </c>
      <c r="R69" s="99">
        <f t="shared" si="2"/>
        <v>1</v>
      </c>
      <c r="S69" s="101">
        <f t="shared" si="3"/>
        <v>8600000</v>
      </c>
      <c r="T69" s="99" t="str">
        <f t="shared" si="4"/>
        <v>High</v>
      </c>
      <c r="U69" s="99" t="str">
        <f t="shared" si="5"/>
        <v>Low</v>
      </c>
      <c r="V69" s="99" t="str">
        <f t="shared" si="6"/>
        <v>Low</v>
      </c>
      <c r="W69" s="99" t="str">
        <f t="shared" si="7"/>
        <v>HLL</v>
      </c>
      <c r="X69" s="99" t="str">
        <f>VLOOKUP(W69,rfm[],2,FALSE)</f>
        <v>🌱 Potential Loyalists</v>
      </c>
      <c r="AA69" s="99" t="s">
        <v>1899</v>
      </c>
      <c r="AB69" s="99" t="s">
        <v>127</v>
      </c>
      <c r="AC69" s="100">
        <v>46013</v>
      </c>
      <c r="AD69" s="101">
        <v>10</v>
      </c>
      <c r="AE69" s="101">
        <v>1</v>
      </c>
      <c r="AF69" s="101">
        <v>8600000</v>
      </c>
      <c r="AG69" s="99" t="str">
        <f>VLOOKUP(AA69,recency!$K$6:$P$818,6,0)</f>
        <v>High</v>
      </c>
      <c r="AH69" s="132" t="str">
        <f>VLOOKUP(AA69,frequency!$F$6:$H$818,3,FALSE)</f>
        <v>Low</v>
      </c>
      <c r="AI69" s="129" t="str">
        <f>VLOOKUP(AA69,monetary!$B$5:$F$817,5,0)</f>
        <v>Low</v>
      </c>
      <c r="AJ69" s="99" t="str">
        <f t="shared" si="8"/>
        <v>HLL</v>
      </c>
      <c r="AK69" s="99" t="str">
        <f>VLOOKUP(AJ69,rfm[],2,0)</f>
        <v>🌱 Potential Loyalists</v>
      </c>
      <c r="AN69" s="99" t="b">
        <f t="shared" si="9"/>
        <v>1</v>
      </c>
    </row>
    <row r="70" spans="2:40" x14ac:dyDescent="0.3">
      <c r="B70" s="99" t="s">
        <v>534</v>
      </c>
      <c r="C70" s="100">
        <v>45665</v>
      </c>
      <c r="D70" s="99" t="s">
        <v>10</v>
      </c>
      <c r="E70" s="99" t="s">
        <v>11</v>
      </c>
      <c r="F70" s="99" t="s">
        <v>12</v>
      </c>
      <c r="G70" s="99">
        <v>5</v>
      </c>
      <c r="H70" s="112">
        <v>120000</v>
      </c>
      <c r="I70" s="112">
        <v>600000</v>
      </c>
      <c r="J70" s="99" t="s">
        <v>2569</v>
      </c>
      <c r="K70" s="99" t="s">
        <v>127</v>
      </c>
      <c r="N70" s="99" t="s">
        <v>1913</v>
      </c>
      <c r="O70" s="99" t="s">
        <v>60</v>
      </c>
      <c r="P70" s="100">
        <f t="shared" si="0"/>
        <v>45665</v>
      </c>
      <c r="Q70" s="101">
        <f t="shared" ref="Q70:Q133" si="10">analysis_date-P70</f>
        <v>358</v>
      </c>
      <c r="R70" s="99">
        <f t="shared" si="2"/>
        <v>1</v>
      </c>
      <c r="S70" s="101">
        <f t="shared" si="3"/>
        <v>32300000</v>
      </c>
      <c r="T70" s="99" t="str">
        <f t="shared" si="4"/>
        <v>Low</v>
      </c>
      <c r="U70" s="99" t="str">
        <f t="shared" si="5"/>
        <v>Low</v>
      </c>
      <c r="V70" s="99" t="str">
        <f t="shared" si="6"/>
        <v>High</v>
      </c>
      <c r="W70" s="99" t="str">
        <f t="shared" si="7"/>
        <v>LLH</v>
      </c>
      <c r="X70" s="99" t="str">
        <f>VLOOKUP(W70,rfm[],2,FALSE)</f>
        <v>💸 Lost High Spenders</v>
      </c>
      <c r="AA70" s="99" t="s">
        <v>1913</v>
      </c>
      <c r="AB70" s="99" t="s">
        <v>60</v>
      </c>
      <c r="AC70" s="100">
        <v>45665</v>
      </c>
      <c r="AD70" s="101">
        <v>358</v>
      </c>
      <c r="AE70" s="101">
        <v>1</v>
      </c>
      <c r="AF70" s="101">
        <v>32300000</v>
      </c>
      <c r="AG70" s="99" t="str">
        <f>VLOOKUP(AA70,recency!$K$6:$P$818,6,0)</f>
        <v>Low</v>
      </c>
      <c r="AH70" s="132" t="str">
        <f>VLOOKUP(AA70,frequency!$F$6:$H$818,3,FALSE)</f>
        <v>Low</v>
      </c>
      <c r="AI70" s="129" t="str">
        <f>VLOOKUP(AA70,monetary!$B$5:$F$817,5,0)</f>
        <v>Low</v>
      </c>
      <c r="AJ70" s="99" t="str">
        <f t="shared" si="8"/>
        <v>LLL</v>
      </c>
      <c r="AK70" s="99" t="str">
        <f>VLOOKUP(AJ70,rfm[],2,0)</f>
        <v>💤 Lost / Low Value</v>
      </c>
      <c r="AN70" s="99" t="b">
        <f t="shared" si="9"/>
        <v>0</v>
      </c>
    </row>
    <row r="71" spans="2:40" x14ac:dyDescent="0.3">
      <c r="B71" s="99" t="s">
        <v>535</v>
      </c>
      <c r="C71" s="100">
        <v>45665</v>
      </c>
      <c r="D71" s="99" t="s">
        <v>14</v>
      </c>
      <c r="E71" s="99" t="s">
        <v>15</v>
      </c>
      <c r="F71" s="99" t="s">
        <v>16</v>
      </c>
      <c r="G71" s="99">
        <v>270</v>
      </c>
      <c r="H71" s="112">
        <v>350000</v>
      </c>
      <c r="I71" s="112">
        <v>94500000</v>
      </c>
      <c r="J71" s="99" t="s">
        <v>2753</v>
      </c>
      <c r="K71" s="99" t="s">
        <v>47</v>
      </c>
      <c r="N71" s="99" t="s">
        <v>1926</v>
      </c>
      <c r="O71" s="99" t="s">
        <v>8</v>
      </c>
      <c r="P71" s="100">
        <f t="shared" ref="P71:P134" si="11">_xlfn.MAXIFS($C$6:$C$2005,$J$6:$J$2005,N71)</f>
        <v>45874</v>
      </c>
      <c r="Q71" s="101">
        <f t="shared" si="10"/>
        <v>149</v>
      </c>
      <c r="R71" s="99">
        <f t="shared" ref="R71:R134" si="12">COUNTIFS($J$6:$J$2005,N71)</f>
        <v>1</v>
      </c>
      <c r="S71" s="101">
        <f t="shared" ref="S71:S134" si="13">SUMIFS($I$6:$I$2005,$J$6:$J$2005,N71)</f>
        <v>4200000</v>
      </c>
      <c r="T71" s="99" t="str">
        <f t="shared" ref="T71:T134" si="14">IF(Q71&lt;MEDIAN($Q$6:$Q$817),"High","Low")</f>
        <v>Low</v>
      </c>
      <c r="U71" s="99" t="str">
        <f t="shared" ref="U71:U134" si="15">IF(R71&gt;MEDIAN($R$6:$R$817),"High","Low")</f>
        <v>Low</v>
      </c>
      <c r="V71" s="99" t="str">
        <f t="shared" ref="V71:V134" si="16">IF(S71&gt;MEDIAN($S$6:$S$817),"High","Low")</f>
        <v>Low</v>
      </c>
      <c r="W71" s="99" t="str">
        <f t="shared" ref="W71:W134" si="17">_xlfn.CONCAT(LEFT(T71,1),LEFT(U71,1),LEFT(V71,1))</f>
        <v>LLL</v>
      </c>
      <c r="X71" s="99" t="str">
        <f>VLOOKUP(W71,rfm[],2,FALSE)</f>
        <v>💤 Lost / Low Value</v>
      </c>
      <c r="AA71" s="99" t="s">
        <v>1926</v>
      </c>
      <c r="AB71" s="99" t="s">
        <v>8</v>
      </c>
      <c r="AC71" s="100">
        <v>45874</v>
      </c>
      <c r="AD71" s="101">
        <v>149</v>
      </c>
      <c r="AE71" s="101">
        <v>1</v>
      </c>
      <c r="AF71" s="101">
        <v>4200000</v>
      </c>
      <c r="AG71" s="99" t="str">
        <f>VLOOKUP(AA71,recency!$K$6:$P$818,6,0)</f>
        <v>Low</v>
      </c>
      <c r="AH71" s="132" t="str">
        <f>VLOOKUP(AA71,frequency!$F$6:$H$818,3,FALSE)</f>
        <v>Low</v>
      </c>
      <c r="AI71" s="129" t="str">
        <f>VLOOKUP(AA71,monetary!$B$5:$F$817,5,0)</f>
        <v>Low</v>
      </c>
      <c r="AJ71" s="99" t="str">
        <f t="shared" ref="AJ71:AJ134" si="18">_xlfn.CONCAT(LEFT(AG71,1),LEFT(AH71,1),LEFT(AI71,1))</f>
        <v>LLL</v>
      </c>
      <c r="AK71" s="99" t="str">
        <f>VLOOKUP(AJ71,rfm[],2,0)</f>
        <v>💤 Lost / Low Value</v>
      </c>
      <c r="AN71" s="99" t="b">
        <f t="shared" ref="AN71:AN134" si="19">AJ71=W71</f>
        <v>1</v>
      </c>
    </row>
    <row r="72" spans="2:40" x14ac:dyDescent="0.3">
      <c r="B72" s="99" t="s">
        <v>536</v>
      </c>
      <c r="C72" s="100">
        <v>45666</v>
      </c>
      <c r="D72" s="99" t="s">
        <v>40</v>
      </c>
      <c r="E72" s="99" t="s">
        <v>41</v>
      </c>
      <c r="F72" s="99" t="s">
        <v>16</v>
      </c>
      <c r="G72" s="99">
        <v>21</v>
      </c>
      <c r="H72" s="112">
        <v>950000</v>
      </c>
      <c r="I72" s="112">
        <v>19950000</v>
      </c>
      <c r="J72" s="99" t="s">
        <v>2689</v>
      </c>
      <c r="K72" s="99" t="s">
        <v>60</v>
      </c>
      <c r="N72" s="99" t="s">
        <v>1939</v>
      </c>
      <c r="O72" s="99" t="s">
        <v>8</v>
      </c>
      <c r="P72" s="100">
        <f t="shared" si="11"/>
        <v>45840</v>
      </c>
      <c r="Q72" s="101">
        <f t="shared" si="10"/>
        <v>183</v>
      </c>
      <c r="R72" s="99">
        <f t="shared" si="12"/>
        <v>3</v>
      </c>
      <c r="S72" s="101">
        <f t="shared" si="13"/>
        <v>7990000</v>
      </c>
      <c r="T72" s="99" t="str">
        <f t="shared" si="14"/>
        <v>Low</v>
      </c>
      <c r="U72" s="99" t="str">
        <f t="shared" si="15"/>
        <v>High</v>
      </c>
      <c r="V72" s="99" t="str">
        <f t="shared" si="16"/>
        <v>Low</v>
      </c>
      <c r="W72" s="99" t="str">
        <f t="shared" si="17"/>
        <v>LHL</v>
      </c>
      <c r="X72" s="99" t="str">
        <f>VLOOKUP(W72,rfm[],2,FALSE)</f>
        <v>🔁 Former Loyal Low Spend</v>
      </c>
      <c r="AA72" s="99" t="s">
        <v>1939</v>
      </c>
      <c r="AB72" s="99" t="s">
        <v>8</v>
      </c>
      <c r="AC72" s="100">
        <v>45840</v>
      </c>
      <c r="AD72" s="101">
        <v>183</v>
      </c>
      <c r="AE72" s="101">
        <v>3</v>
      </c>
      <c r="AF72" s="101">
        <v>7990000</v>
      </c>
      <c r="AG72" s="99" t="str">
        <f>VLOOKUP(AA72,recency!$K$6:$P$818,6,0)</f>
        <v>Low</v>
      </c>
      <c r="AH72" s="132" t="str">
        <f>VLOOKUP(AA72,frequency!$F$6:$H$818,3,FALSE)</f>
        <v>High</v>
      </c>
      <c r="AI72" s="129" t="str">
        <f>VLOOKUP(AA72,monetary!$B$5:$F$817,5,0)</f>
        <v>Low</v>
      </c>
      <c r="AJ72" s="99" t="str">
        <f t="shared" si="18"/>
        <v>LHL</v>
      </c>
      <c r="AK72" s="99" t="str">
        <f>VLOOKUP(AJ72,rfm[],2,0)</f>
        <v>🔁 Former Loyal Low Spend</v>
      </c>
      <c r="AN72" s="99" t="b">
        <f t="shared" si="19"/>
        <v>1</v>
      </c>
    </row>
    <row r="73" spans="2:40" x14ac:dyDescent="0.3">
      <c r="B73" s="99" t="s">
        <v>557</v>
      </c>
      <c r="C73" s="100">
        <v>45666</v>
      </c>
      <c r="D73" s="99" t="s">
        <v>42</v>
      </c>
      <c r="E73" s="99" t="s">
        <v>43</v>
      </c>
      <c r="F73" s="99" t="s">
        <v>16</v>
      </c>
      <c r="G73" s="99">
        <v>38</v>
      </c>
      <c r="H73" s="112">
        <v>1200000</v>
      </c>
      <c r="I73" s="112">
        <v>45600000</v>
      </c>
      <c r="J73" s="99" t="s">
        <v>2578</v>
      </c>
      <c r="K73" s="99" t="s">
        <v>60</v>
      </c>
      <c r="N73" s="99" t="s">
        <v>1951</v>
      </c>
      <c r="O73" s="99" t="s">
        <v>60</v>
      </c>
      <c r="P73" s="100">
        <f t="shared" si="11"/>
        <v>45863</v>
      </c>
      <c r="Q73" s="101">
        <f t="shared" si="10"/>
        <v>160</v>
      </c>
      <c r="R73" s="99">
        <f t="shared" si="12"/>
        <v>1</v>
      </c>
      <c r="S73" s="101">
        <f t="shared" si="13"/>
        <v>6300000</v>
      </c>
      <c r="T73" s="99" t="str">
        <f t="shared" si="14"/>
        <v>Low</v>
      </c>
      <c r="U73" s="99" t="str">
        <f t="shared" si="15"/>
        <v>Low</v>
      </c>
      <c r="V73" s="99" t="str">
        <f t="shared" si="16"/>
        <v>Low</v>
      </c>
      <c r="W73" s="99" t="str">
        <f t="shared" si="17"/>
        <v>LLL</v>
      </c>
      <c r="X73" s="99" t="str">
        <f>VLOOKUP(W73,rfm[],2,FALSE)</f>
        <v>💤 Lost / Low Value</v>
      </c>
      <c r="AA73" s="99" t="s">
        <v>1951</v>
      </c>
      <c r="AB73" s="99" t="s">
        <v>60</v>
      </c>
      <c r="AC73" s="100">
        <v>45863</v>
      </c>
      <c r="AD73" s="101">
        <v>160</v>
      </c>
      <c r="AE73" s="101">
        <v>1</v>
      </c>
      <c r="AF73" s="101">
        <v>6300000</v>
      </c>
      <c r="AG73" s="99" t="str">
        <f>VLOOKUP(AA73,recency!$K$6:$P$818,6,0)</f>
        <v>Low</v>
      </c>
      <c r="AH73" s="132" t="str">
        <f>VLOOKUP(AA73,frequency!$F$6:$H$818,3,FALSE)</f>
        <v>Low</v>
      </c>
      <c r="AI73" s="129" t="str">
        <f>VLOOKUP(AA73,monetary!$B$5:$F$817,5,0)</f>
        <v>Low</v>
      </c>
      <c r="AJ73" s="99" t="str">
        <f t="shared" si="18"/>
        <v>LLL</v>
      </c>
      <c r="AK73" s="99" t="str">
        <f>VLOOKUP(AJ73,rfm[],2,0)</f>
        <v>💤 Lost / Low Value</v>
      </c>
      <c r="AN73" s="99" t="b">
        <f t="shared" si="19"/>
        <v>1</v>
      </c>
    </row>
    <row r="74" spans="2:40" x14ac:dyDescent="0.3">
      <c r="B74" s="99" t="s">
        <v>558</v>
      </c>
      <c r="C74" s="100">
        <v>45666</v>
      </c>
      <c r="D74" s="99" t="s">
        <v>42</v>
      </c>
      <c r="E74" s="99" t="s">
        <v>43</v>
      </c>
      <c r="F74" s="99" t="s">
        <v>16</v>
      </c>
      <c r="G74" s="99">
        <v>450</v>
      </c>
      <c r="H74" s="112">
        <v>1200000</v>
      </c>
      <c r="I74" s="112">
        <v>540000000</v>
      </c>
      <c r="J74" s="99" t="s">
        <v>2184</v>
      </c>
      <c r="K74" s="99" t="s">
        <v>127</v>
      </c>
      <c r="N74" s="99" t="s">
        <v>1959</v>
      </c>
      <c r="O74" s="99" t="s">
        <v>8</v>
      </c>
      <c r="P74" s="100">
        <f t="shared" si="11"/>
        <v>45763</v>
      </c>
      <c r="Q74" s="101">
        <f t="shared" si="10"/>
        <v>260</v>
      </c>
      <c r="R74" s="99">
        <f t="shared" si="12"/>
        <v>1</v>
      </c>
      <c r="S74" s="101">
        <f t="shared" si="13"/>
        <v>14500000</v>
      </c>
      <c r="T74" s="99" t="str">
        <f t="shared" si="14"/>
        <v>Low</v>
      </c>
      <c r="U74" s="99" t="str">
        <f t="shared" si="15"/>
        <v>Low</v>
      </c>
      <c r="V74" s="99" t="str">
        <f t="shared" si="16"/>
        <v>Low</v>
      </c>
      <c r="W74" s="99" t="str">
        <f t="shared" si="17"/>
        <v>LLL</v>
      </c>
      <c r="X74" s="99" t="str">
        <f>VLOOKUP(W74,rfm[],2,FALSE)</f>
        <v>💤 Lost / Low Value</v>
      </c>
      <c r="AA74" s="99" t="s">
        <v>1959</v>
      </c>
      <c r="AB74" s="99" t="s">
        <v>8</v>
      </c>
      <c r="AC74" s="100">
        <v>45763</v>
      </c>
      <c r="AD74" s="101">
        <v>260</v>
      </c>
      <c r="AE74" s="101">
        <v>1</v>
      </c>
      <c r="AF74" s="101">
        <v>14500000</v>
      </c>
      <c r="AG74" s="99" t="str">
        <f>VLOOKUP(AA74,recency!$K$6:$P$818,6,0)</f>
        <v>Low</v>
      </c>
      <c r="AH74" s="132" t="str">
        <f>VLOOKUP(AA74,frequency!$F$6:$H$818,3,FALSE)</f>
        <v>Low</v>
      </c>
      <c r="AI74" s="129" t="str">
        <f>VLOOKUP(AA74,monetary!$B$5:$F$817,5,0)</f>
        <v>Low</v>
      </c>
      <c r="AJ74" s="99" t="str">
        <f t="shared" si="18"/>
        <v>LLL</v>
      </c>
      <c r="AK74" s="99" t="str">
        <f>VLOOKUP(AJ74,rfm[],2,0)</f>
        <v>💤 Lost / Low Value</v>
      </c>
      <c r="AN74" s="99" t="b">
        <f t="shared" si="19"/>
        <v>1</v>
      </c>
    </row>
    <row r="75" spans="2:40" x14ac:dyDescent="0.3">
      <c r="B75" s="99" t="s">
        <v>559</v>
      </c>
      <c r="C75" s="100">
        <v>45666</v>
      </c>
      <c r="D75" s="99" t="s">
        <v>14</v>
      </c>
      <c r="E75" s="99" t="s">
        <v>15</v>
      </c>
      <c r="F75" s="99" t="s">
        <v>16</v>
      </c>
      <c r="G75" s="99">
        <v>21</v>
      </c>
      <c r="H75" s="112">
        <v>350000</v>
      </c>
      <c r="I75" s="112">
        <v>7350000</v>
      </c>
      <c r="J75" s="99" t="s">
        <v>2751</v>
      </c>
      <c r="K75" s="99" t="s">
        <v>127</v>
      </c>
      <c r="N75" s="99" t="s">
        <v>1970</v>
      </c>
      <c r="O75" s="99" t="s">
        <v>127</v>
      </c>
      <c r="P75" s="100">
        <f t="shared" si="11"/>
        <v>45943</v>
      </c>
      <c r="Q75" s="101">
        <f t="shared" si="10"/>
        <v>80</v>
      </c>
      <c r="R75" s="99">
        <f t="shared" si="12"/>
        <v>3</v>
      </c>
      <c r="S75" s="101">
        <f t="shared" si="13"/>
        <v>11625000</v>
      </c>
      <c r="T75" s="99" t="str">
        <f t="shared" si="14"/>
        <v>High</v>
      </c>
      <c r="U75" s="99" t="str">
        <f t="shared" si="15"/>
        <v>High</v>
      </c>
      <c r="V75" s="99" t="str">
        <f t="shared" si="16"/>
        <v>Low</v>
      </c>
      <c r="W75" s="99" t="str">
        <f t="shared" si="17"/>
        <v>HHL</v>
      </c>
      <c r="X75" s="99" t="str">
        <f>VLOOKUP(W75,rfm[],2,FALSE)</f>
        <v>💎 Loyal High Value</v>
      </c>
      <c r="AA75" s="99" t="s">
        <v>1970</v>
      </c>
      <c r="AB75" s="99" t="s">
        <v>127</v>
      </c>
      <c r="AC75" s="100">
        <v>45943</v>
      </c>
      <c r="AD75" s="101">
        <v>80</v>
      </c>
      <c r="AE75" s="101">
        <v>3</v>
      </c>
      <c r="AF75" s="101">
        <v>11625000</v>
      </c>
      <c r="AG75" s="99" t="str">
        <f>VLOOKUP(AA75,recency!$K$6:$P$818,6,0)</f>
        <v>Low</v>
      </c>
      <c r="AH75" s="132" t="str">
        <f>VLOOKUP(AA75,frequency!$F$6:$H$818,3,FALSE)</f>
        <v>High</v>
      </c>
      <c r="AI75" s="129" t="str">
        <f>VLOOKUP(AA75,monetary!$B$5:$F$817,5,0)</f>
        <v>Low</v>
      </c>
      <c r="AJ75" s="99" t="str">
        <f t="shared" si="18"/>
        <v>LHL</v>
      </c>
      <c r="AK75" s="99" t="str">
        <f>VLOOKUP(AJ75,rfm[],2,0)</f>
        <v>🔁 Former Loyal Low Spend</v>
      </c>
      <c r="AN75" s="99" t="b">
        <f t="shared" si="19"/>
        <v>0</v>
      </c>
    </row>
    <row r="76" spans="2:40" x14ac:dyDescent="0.3">
      <c r="B76" s="99" t="s">
        <v>560</v>
      </c>
      <c r="C76" s="100">
        <v>45666</v>
      </c>
      <c r="D76" s="99" t="s">
        <v>31</v>
      </c>
      <c r="E76" s="99" t="s">
        <v>32</v>
      </c>
      <c r="F76" s="99" t="s">
        <v>20</v>
      </c>
      <c r="G76" s="99">
        <v>44</v>
      </c>
      <c r="H76" s="112">
        <v>180000</v>
      </c>
      <c r="I76" s="112">
        <v>7920000</v>
      </c>
      <c r="J76" s="99" t="s">
        <v>692</v>
      </c>
      <c r="K76" s="99" t="s">
        <v>8</v>
      </c>
      <c r="N76" s="99" t="s">
        <v>1977</v>
      </c>
      <c r="O76" s="99" t="s">
        <v>8</v>
      </c>
      <c r="P76" s="100">
        <f t="shared" si="11"/>
        <v>45912</v>
      </c>
      <c r="Q76" s="101">
        <f t="shared" si="10"/>
        <v>111</v>
      </c>
      <c r="R76" s="99">
        <f t="shared" si="12"/>
        <v>1</v>
      </c>
      <c r="S76" s="101">
        <f t="shared" si="13"/>
        <v>11250000</v>
      </c>
      <c r="T76" s="99" t="str">
        <f t="shared" si="14"/>
        <v>Low</v>
      </c>
      <c r="U76" s="99" t="str">
        <f t="shared" si="15"/>
        <v>Low</v>
      </c>
      <c r="V76" s="99" t="str">
        <f t="shared" si="16"/>
        <v>Low</v>
      </c>
      <c r="W76" s="99" t="str">
        <f t="shared" si="17"/>
        <v>LLL</v>
      </c>
      <c r="X76" s="99" t="str">
        <f>VLOOKUP(W76,rfm[],2,FALSE)</f>
        <v>💤 Lost / Low Value</v>
      </c>
      <c r="AA76" s="99" t="s">
        <v>1977</v>
      </c>
      <c r="AB76" s="99" t="s">
        <v>8</v>
      </c>
      <c r="AC76" s="100">
        <v>45912</v>
      </c>
      <c r="AD76" s="101">
        <v>111</v>
      </c>
      <c r="AE76" s="101">
        <v>1</v>
      </c>
      <c r="AF76" s="101">
        <v>11250000</v>
      </c>
      <c r="AG76" s="99" t="str">
        <f>VLOOKUP(AA76,recency!$K$6:$P$818,6,0)</f>
        <v>Low</v>
      </c>
      <c r="AH76" s="132" t="str">
        <f>VLOOKUP(AA76,frequency!$F$6:$H$818,3,FALSE)</f>
        <v>Low</v>
      </c>
      <c r="AI76" s="129" t="str">
        <f>VLOOKUP(AA76,monetary!$B$5:$F$817,5,0)</f>
        <v>Low</v>
      </c>
      <c r="AJ76" s="99" t="str">
        <f t="shared" si="18"/>
        <v>LLL</v>
      </c>
      <c r="AK76" s="99" t="str">
        <f>VLOOKUP(AJ76,rfm[],2,0)</f>
        <v>💤 Lost / Low Value</v>
      </c>
      <c r="AN76" s="99" t="b">
        <f t="shared" si="19"/>
        <v>1</v>
      </c>
    </row>
    <row r="77" spans="2:40" x14ac:dyDescent="0.3">
      <c r="B77" s="99" t="s">
        <v>574</v>
      </c>
      <c r="C77" s="100">
        <v>45666</v>
      </c>
      <c r="D77" s="99" t="s">
        <v>42</v>
      </c>
      <c r="E77" s="99" t="s">
        <v>43</v>
      </c>
      <c r="F77" s="99" t="s">
        <v>16</v>
      </c>
      <c r="G77" s="99">
        <v>9</v>
      </c>
      <c r="H77" s="112">
        <v>1200000</v>
      </c>
      <c r="I77" s="112">
        <v>10800000</v>
      </c>
      <c r="J77" s="99" t="s">
        <v>2321</v>
      </c>
      <c r="K77" s="99" t="s">
        <v>127</v>
      </c>
      <c r="N77" s="99" t="s">
        <v>1986</v>
      </c>
      <c r="O77" s="99" t="s">
        <v>127</v>
      </c>
      <c r="P77" s="100">
        <f t="shared" si="11"/>
        <v>45834</v>
      </c>
      <c r="Q77" s="101">
        <f t="shared" si="10"/>
        <v>189</v>
      </c>
      <c r="R77" s="99">
        <f t="shared" si="12"/>
        <v>1</v>
      </c>
      <c r="S77" s="101">
        <f t="shared" si="13"/>
        <v>2200000</v>
      </c>
      <c r="T77" s="99" t="str">
        <f t="shared" si="14"/>
        <v>Low</v>
      </c>
      <c r="U77" s="99" t="str">
        <f t="shared" si="15"/>
        <v>Low</v>
      </c>
      <c r="V77" s="99" t="str">
        <f t="shared" si="16"/>
        <v>Low</v>
      </c>
      <c r="W77" s="99" t="str">
        <f t="shared" si="17"/>
        <v>LLL</v>
      </c>
      <c r="X77" s="99" t="str">
        <f>VLOOKUP(W77,rfm[],2,FALSE)</f>
        <v>💤 Lost / Low Value</v>
      </c>
      <c r="AA77" s="99" t="s">
        <v>1986</v>
      </c>
      <c r="AB77" s="99" t="s">
        <v>127</v>
      </c>
      <c r="AC77" s="100">
        <v>45834</v>
      </c>
      <c r="AD77" s="101">
        <v>189</v>
      </c>
      <c r="AE77" s="101">
        <v>1</v>
      </c>
      <c r="AF77" s="101">
        <v>2200000</v>
      </c>
      <c r="AG77" s="99" t="str">
        <f>VLOOKUP(AA77,recency!$K$6:$P$818,6,0)</f>
        <v>Low</v>
      </c>
      <c r="AH77" s="132" t="str">
        <f>VLOOKUP(AA77,frequency!$F$6:$H$818,3,FALSE)</f>
        <v>Low</v>
      </c>
      <c r="AI77" s="129" t="str">
        <f>VLOOKUP(AA77,monetary!$B$5:$F$817,5,0)</f>
        <v>Low</v>
      </c>
      <c r="AJ77" s="99" t="str">
        <f t="shared" si="18"/>
        <v>LLL</v>
      </c>
      <c r="AK77" s="99" t="str">
        <f>VLOOKUP(AJ77,rfm[],2,0)</f>
        <v>💤 Lost / Low Value</v>
      </c>
      <c r="AN77" s="99" t="b">
        <f t="shared" si="19"/>
        <v>1</v>
      </c>
    </row>
    <row r="78" spans="2:40" x14ac:dyDescent="0.3">
      <c r="B78" s="99" t="s">
        <v>575</v>
      </c>
      <c r="C78" s="100">
        <v>45666</v>
      </c>
      <c r="D78" s="99" t="s">
        <v>18</v>
      </c>
      <c r="E78" s="99" t="s">
        <v>19</v>
      </c>
      <c r="F78" s="99" t="s">
        <v>20</v>
      </c>
      <c r="G78" s="99">
        <v>47</v>
      </c>
      <c r="H78" s="112">
        <v>500000</v>
      </c>
      <c r="I78" s="112">
        <v>23500000</v>
      </c>
      <c r="J78" s="99" t="s">
        <v>2541</v>
      </c>
      <c r="K78" s="99" t="s">
        <v>8</v>
      </c>
      <c r="N78" s="99" t="s">
        <v>2003</v>
      </c>
      <c r="O78" s="99" t="s">
        <v>8</v>
      </c>
      <c r="P78" s="100">
        <f t="shared" si="11"/>
        <v>45667</v>
      </c>
      <c r="Q78" s="101">
        <f t="shared" si="10"/>
        <v>356</v>
      </c>
      <c r="R78" s="99">
        <f t="shared" si="12"/>
        <v>1</v>
      </c>
      <c r="S78" s="101">
        <f t="shared" si="13"/>
        <v>3240000</v>
      </c>
      <c r="T78" s="99" t="str">
        <f t="shared" si="14"/>
        <v>Low</v>
      </c>
      <c r="U78" s="99" t="str">
        <f t="shared" si="15"/>
        <v>Low</v>
      </c>
      <c r="V78" s="99" t="str">
        <f t="shared" si="16"/>
        <v>Low</v>
      </c>
      <c r="W78" s="99" t="str">
        <f t="shared" si="17"/>
        <v>LLL</v>
      </c>
      <c r="X78" s="99" t="str">
        <f>VLOOKUP(W78,rfm[],2,FALSE)</f>
        <v>💤 Lost / Low Value</v>
      </c>
      <c r="AA78" s="99" t="s">
        <v>2003</v>
      </c>
      <c r="AB78" s="99" t="s">
        <v>8</v>
      </c>
      <c r="AC78" s="100">
        <v>45667</v>
      </c>
      <c r="AD78" s="101">
        <v>356</v>
      </c>
      <c r="AE78" s="101">
        <v>1</v>
      </c>
      <c r="AF78" s="101">
        <v>3240000</v>
      </c>
      <c r="AG78" s="99" t="str">
        <f>VLOOKUP(AA78,recency!$K$6:$P$818,6,0)</f>
        <v>Low</v>
      </c>
      <c r="AH78" s="132" t="str">
        <f>VLOOKUP(AA78,frequency!$F$6:$H$818,3,FALSE)</f>
        <v>Low</v>
      </c>
      <c r="AI78" s="129" t="str">
        <f>VLOOKUP(AA78,monetary!$B$5:$F$817,5,0)</f>
        <v>Low</v>
      </c>
      <c r="AJ78" s="99" t="str">
        <f t="shared" si="18"/>
        <v>LLL</v>
      </c>
      <c r="AK78" s="99" t="str">
        <f>VLOOKUP(AJ78,rfm[],2,0)</f>
        <v>💤 Lost / Low Value</v>
      </c>
      <c r="AN78" s="99" t="b">
        <f t="shared" si="19"/>
        <v>1</v>
      </c>
    </row>
    <row r="79" spans="2:40" x14ac:dyDescent="0.3">
      <c r="B79" s="99" t="s">
        <v>576</v>
      </c>
      <c r="C79" s="100">
        <v>45666</v>
      </c>
      <c r="D79" s="99" t="s">
        <v>38</v>
      </c>
      <c r="E79" s="99" t="s">
        <v>39</v>
      </c>
      <c r="F79" s="99" t="s">
        <v>16</v>
      </c>
      <c r="G79" s="99">
        <v>6</v>
      </c>
      <c r="H79" s="112">
        <v>200000</v>
      </c>
      <c r="I79" s="112">
        <v>1200000</v>
      </c>
      <c r="J79" s="99" t="s">
        <v>2833</v>
      </c>
      <c r="K79" s="99" t="s">
        <v>60</v>
      </c>
      <c r="N79" s="99" t="s">
        <v>2012</v>
      </c>
      <c r="O79" s="99" t="s">
        <v>60</v>
      </c>
      <c r="P79" s="100">
        <f t="shared" si="11"/>
        <v>45947</v>
      </c>
      <c r="Q79" s="101">
        <f t="shared" si="10"/>
        <v>76</v>
      </c>
      <c r="R79" s="99">
        <f t="shared" si="12"/>
        <v>2</v>
      </c>
      <c r="S79" s="101">
        <f t="shared" si="13"/>
        <v>21800000</v>
      </c>
      <c r="T79" s="99" t="str">
        <f t="shared" si="14"/>
        <v>High</v>
      </c>
      <c r="U79" s="99" t="str">
        <f t="shared" si="15"/>
        <v>Low</v>
      </c>
      <c r="V79" s="99" t="str">
        <f t="shared" si="16"/>
        <v>High</v>
      </c>
      <c r="W79" s="99" t="str">
        <f t="shared" si="17"/>
        <v>HLH</v>
      </c>
      <c r="X79" s="99" t="str">
        <f>VLOOKUP(W79,rfm[],2,FALSE)</f>
        <v>🛒 Big Spenders (Occasional)</v>
      </c>
      <c r="AA79" s="99" t="s">
        <v>2012</v>
      </c>
      <c r="AB79" s="99" t="s">
        <v>60</v>
      </c>
      <c r="AC79" s="100">
        <v>45947</v>
      </c>
      <c r="AD79" s="101">
        <v>76</v>
      </c>
      <c r="AE79" s="101">
        <v>2</v>
      </c>
      <c r="AF79" s="101">
        <v>21800000</v>
      </c>
      <c r="AG79" s="99" t="str">
        <f>VLOOKUP(AA79,recency!$K$6:$P$818,6,0)</f>
        <v>Low</v>
      </c>
      <c r="AH79" s="132" t="str">
        <f>VLOOKUP(AA79,frequency!$F$6:$H$818,3,FALSE)</f>
        <v>Low</v>
      </c>
      <c r="AI79" s="129" t="str">
        <f>VLOOKUP(AA79,monetary!$B$5:$F$817,5,0)</f>
        <v>Low</v>
      </c>
      <c r="AJ79" s="99" t="str">
        <f t="shared" si="18"/>
        <v>LLL</v>
      </c>
      <c r="AK79" s="99" t="str">
        <f>VLOOKUP(AJ79,rfm[],2,0)</f>
        <v>💤 Lost / Low Value</v>
      </c>
      <c r="AN79" s="99" t="b">
        <f t="shared" si="19"/>
        <v>0</v>
      </c>
    </row>
    <row r="80" spans="2:40" x14ac:dyDescent="0.3">
      <c r="B80" s="99" t="s">
        <v>577</v>
      </c>
      <c r="C80" s="100">
        <v>45666</v>
      </c>
      <c r="D80" s="99" t="s">
        <v>31</v>
      </c>
      <c r="E80" s="99" t="s">
        <v>32</v>
      </c>
      <c r="F80" s="99" t="s">
        <v>20</v>
      </c>
      <c r="G80" s="99">
        <v>37</v>
      </c>
      <c r="H80" s="112">
        <v>180000</v>
      </c>
      <c r="I80" s="112">
        <v>6660000</v>
      </c>
      <c r="J80" s="99" t="s">
        <v>2531</v>
      </c>
      <c r="K80" s="99" t="s">
        <v>47</v>
      </c>
      <c r="N80" s="99" t="s">
        <v>2026</v>
      </c>
      <c r="O80" s="99" t="s">
        <v>47</v>
      </c>
      <c r="P80" s="100">
        <f t="shared" si="11"/>
        <v>45817</v>
      </c>
      <c r="Q80" s="101">
        <f t="shared" si="10"/>
        <v>206</v>
      </c>
      <c r="R80" s="99">
        <f t="shared" si="12"/>
        <v>1</v>
      </c>
      <c r="S80" s="101">
        <f t="shared" si="13"/>
        <v>13650000</v>
      </c>
      <c r="T80" s="99" t="str">
        <f t="shared" si="14"/>
        <v>Low</v>
      </c>
      <c r="U80" s="99" t="str">
        <f t="shared" si="15"/>
        <v>Low</v>
      </c>
      <c r="V80" s="99" t="str">
        <f t="shared" si="16"/>
        <v>Low</v>
      </c>
      <c r="W80" s="99" t="str">
        <f t="shared" si="17"/>
        <v>LLL</v>
      </c>
      <c r="X80" s="99" t="str">
        <f>VLOOKUP(W80,rfm[],2,FALSE)</f>
        <v>💤 Lost / Low Value</v>
      </c>
      <c r="AA80" s="99" t="s">
        <v>2026</v>
      </c>
      <c r="AB80" s="99" t="s">
        <v>47</v>
      </c>
      <c r="AC80" s="100">
        <v>45817</v>
      </c>
      <c r="AD80" s="101">
        <v>206</v>
      </c>
      <c r="AE80" s="101">
        <v>1</v>
      </c>
      <c r="AF80" s="101">
        <v>13650000</v>
      </c>
      <c r="AG80" s="99" t="str">
        <f>VLOOKUP(AA80,recency!$K$6:$P$818,6,0)</f>
        <v>Low</v>
      </c>
      <c r="AH80" s="132" t="str">
        <f>VLOOKUP(AA80,frequency!$F$6:$H$818,3,FALSE)</f>
        <v>Low</v>
      </c>
      <c r="AI80" s="129" t="str">
        <f>VLOOKUP(AA80,monetary!$B$5:$F$817,5,0)</f>
        <v>Low</v>
      </c>
      <c r="AJ80" s="99" t="str">
        <f t="shared" si="18"/>
        <v>LLL</v>
      </c>
      <c r="AK80" s="99" t="str">
        <f>VLOOKUP(AJ80,rfm[],2,0)</f>
        <v>💤 Lost / Low Value</v>
      </c>
      <c r="AN80" s="99" t="b">
        <f t="shared" si="19"/>
        <v>1</v>
      </c>
    </row>
    <row r="81" spans="2:40" x14ac:dyDescent="0.3">
      <c r="B81" s="99" t="s">
        <v>597</v>
      </c>
      <c r="C81" s="100">
        <v>45666</v>
      </c>
      <c r="D81" s="99" t="s">
        <v>40</v>
      </c>
      <c r="E81" s="99" t="s">
        <v>41</v>
      </c>
      <c r="F81" s="99" t="s">
        <v>16</v>
      </c>
      <c r="G81" s="99">
        <v>8</v>
      </c>
      <c r="H81" s="112">
        <v>950000</v>
      </c>
      <c r="I81" s="112">
        <v>7600000</v>
      </c>
      <c r="J81" s="99" t="s">
        <v>274</v>
      </c>
      <c r="K81" s="99" t="s">
        <v>8</v>
      </c>
      <c r="N81" s="99" t="s">
        <v>2040</v>
      </c>
      <c r="O81" s="99" t="s">
        <v>60</v>
      </c>
      <c r="P81" s="100">
        <f t="shared" si="11"/>
        <v>45939</v>
      </c>
      <c r="Q81" s="101">
        <f t="shared" si="10"/>
        <v>84</v>
      </c>
      <c r="R81" s="99">
        <f t="shared" si="12"/>
        <v>1</v>
      </c>
      <c r="S81" s="101">
        <f t="shared" si="13"/>
        <v>12250000</v>
      </c>
      <c r="T81" s="99" t="str">
        <f t="shared" si="14"/>
        <v>High</v>
      </c>
      <c r="U81" s="99" t="str">
        <f t="shared" si="15"/>
        <v>Low</v>
      </c>
      <c r="V81" s="99" t="str">
        <f t="shared" si="16"/>
        <v>Low</v>
      </c>
      <c r="W81" s="99" t="str">
        <f t="shared" si="17"/>
        <v>HLL</v>
      </c>
      <c r="X81" s="99" t="str">
        <f>VLOOKUP(W81,rfm[],2,FALSE)</f>
        <v>🌱 Potential Loyalists</v>
      </c>
      <c r="AA81" s="99" t="s">
        <v>2040</v>
      </c>
      <c r="AB81" s="99" t="s">
        <v>60</v>
      </c>
      <c r="AC81" s="100">
        <v>45939</v>
      </c>
      <c r="AD81" s="101">
        <v>84</v>
      </c>
      <c r="AE81" s="101">
        <v>1</v>
      </c>
      <c r="AF81" s="101">
        <v>12250000</v>
      </c>
      <c r="AG81" s="99" t="str">
        <f>VLOOKUP(AA81,recency!$K$6:$P$818,6,0)</f>
        <v>Low</v>
      </c>
      <c r="AH81" s="132" t="str">
        <f>VLOOKUP(AA81,frequency!$F$6:$H$818,3,FALSE)</f>
        <v>Low</v>
      </c>
      <c r="AI81" s="129" t="str">
        <f>VLOOKUP(AA81,monetary!$B$5:$F$817,5,0)</f>
        <v>Low</v>
      </c>
      <c r="AJ81" s="99" t="str">
        <f t="shared" si="18"/>
        <v>LLL</v>
      </c>
      <c r="AK81" s="99" t="str">
        <f>VLOOKUP(AJ81,rfm[],2,0)</f>
        <v>💤 Lost / Low Value</v>
      </c>
      <c r="AN81" s="99" t="b">
        <f t="shared" si="19"/>
        <v>0</v>
      </c>
    </row>
    <row r="82" spans="2:40" x14ac:dyDescent="0.3">
      <c r="B82" s="99" t="s">
        <v>615</v>
      </c>
      <c r="C82" s="100">
        <v>45666</v>
      </c>
      <c r="D82" s="99" t="s">
        <v>10</v>
      </c>
      <c r="E82" s="99" t="s">
        <v>11</v>
      </c>
      <c r="F82" s="99" t="s">
        <v>12</v>
      </c>
      <c r="G82" s="99">
        <v>280</v>
      </c>
      <c r="H82" s="112">
        <v>120000</v>
      </c>
      <c r="I82" s="112">
        <v>33600000</v>
      </c>
      <c r="J82" s="99" t="s">
        <v>2184</v>
      </c>
      <c r="K82" s="99" t="s">
        <v>127</v>
      </c>
      <c r="N82" s="99" t="s">
        <v>2053</v>
      </c>
      <c r="O82" s="99" t="s">
        <v>8</v>
      </c>
      <c r="P82" s="100">
        <f t="shared" si="11"/>
        <v>45996</v>
      </c>
      <c r="Q82" s="101">
        <f t="shared" si="10"/>
        <v>27</v>
      </c>
      <c r="R82" s="99">
        <f t="shared" si="12"/>
        <v>4</v>
      </c>
      <c r="S82" s="101">
        <f t="shared" si="13"/>
        <v>22350000</v>
      </c>
      <c r="T82" s="99" t="str">
        <f t="shared" si="14"/>
        <v>High</v>
      </c>
      <c r="U82" s="99" t="str">
        <f t="shared" si="15"/>
        <v>High</v>
      </c>
      <c r="V82" s="99" t="str">
        <f t="shared" si="16"/>
        <v>High</v>
      </c>
      <c r="W82" s="99" t="str">
        <f t="shared" si="17"/>
        <v>HHH</v>
      </c>
      <c r="X82" s="99" t="str">
        <f>VLOOKUP(W82,rfm[],2,FALSE)</f>
        <v>🥇 Champions</v>
      </c>
      <c r="AA82" s="99" t="s">
        <v>2053</v>
      </c>
      <c r="AB82" s="99" t="s">
        <v>8</v>
      </c>
      <c r="AC82" s="100">
        <v>45996</v>
      </c>
      <c r="AD82" s="101">
        <v>27</v>
      </c>
      <c r="AE82" s="101">
        <v>4</v>
      </c>
      <c r="AF82" s="101">
        <v>22350000</v>
      </c>
      <c r="AG82" s="99" t="str">
        <f>VLOOKUP(AA82,recency!$K$6:$P$818,6,0)</f>
        <v>High</v>
      </c>
      <c r="AH82" s="132" t="str">
        <f>VLOOKUP(AA82,frequency!$F$6:$H$818,3,FALSE)</f>
        <v>High</v>
      </c>
      <c r="AI82" s="129" t="str">
        <f>VLOOKUP(AA82,monetary!$B$5:$F$817,5,0)</f>
        <v>Low</v>
      </c>
      <c r="AJ82" s="99" t="str">
        <f t="shared" si="18"/>
        <v>HHL</v>
      </c>
      <c r="AK82" s="99" t="str">
        <f>VLOOKUP(AJ82,rfm[],2,0)</f>
        <v>💎 Loyal High Value</v>
      </c>
      <c r="AN82" s="99" t="b">
        <f t="shared" si="19"/>
        <v>0</v>
      </c>
    </row>
    <row r="83" spans="2:40" x14ac:dyDescent="0.3">
      <c r="B83" s="99" t="s">
        <v>616</v>
      </c>
      <c r="C83" s="100">
        <v>45666</v>
      </c>
      <c r="D83" s="99" t="s">
        <v>38</v>
      </c>
      <c r="E83" s="99" t="s">
        <v>39</v>
      </c>
      <c r="F83" s="99" t="s">
        <v>16</v>
      </c>
      <c r="G83" s="99">
        <v>13</v>
      </c>
      <c r="H83" s="112">
        <v>200000</v>
      </c>
      <c r="I83" s="112">
        <v>2600000</v>
      </c>
      <c r="J83" s="99" t="s">
        <v>1584</v>
      </c>
      <c r="K83" s="99" t="s">
        <v>127</v>
      </c>
      <c r="N83" s="99" t="s">
        <v>2061</v>
      </c>
      <c r="O83" s="99" t="s">
        <v>127</v>
      </c>
      <c r="P83" s="100">
        <f t="shared" si="11"/>
        <v>45988</v>
      </c>
      <c r="Q83" s="101">
        <f t="shared" si="10"/>
        <v>35</v>
      </c>
      <c r="R83" s="99">
        <f t="shared" si="12"/>
        <v>1</v>
      </c>
      <c r="S83" s="101">
        <f t="shared" si="13"/>
        <v>1560000</v>
      </c>
      <c r="T83" s="99" t="str">
        <f t="shared" si="14"/>
        <v>High</v>
      </c>
      <c r="U83" s="99" t="str">
        <f t="shared" si="15"/>
        <v>Low</v>
      </c>
      <c r="V83" s="99" t="str">
        <f t="shared" si="16"/>
        <v>Low</v>
      </c>
      <c r="W83" s="99" t="str">
        <f t="shared" si="17"/>
        <v>HLL</v>
      </c>
      <c r="X83" s="99" t="str">
        <f>VLOOKUP(W83,rfm[],2,FALSE)</f>
        <v>🌱 Potential Loyalists</v>
      </c>
      <c r="AA83" s="99" t="s">
        <v>2061</v>
      </c>
      <c r="AB83" s="99" t="s">
        <v>127</v>
      </c>
      <c r="AC83" s="100">
        <v>45988</v>
      </c>
      <c r="AD83" s="101">
        <v>35</v>
      </c>
      <c r="AE83" s="101">
        <v>1</v>
      </c>
      <c r="AF83" s="101">
        <v>1560000</v>
      </c>
      <c r="AG83" s="99" t="str">
        <f>VLOOKUP(AA83,recency!$K$6:$P$818,6,0)</f>
        <v>High</v>
      </c>
      <c r="AH83" s="132" t="str">
        <f>VLOOKUP(AA83,frequency!$F$6:$H$818,3,FALSE)</f>
        <v>Low</v>
      </c>
      <c r="AI83" s="129" t="str">
        <f>VLOOKUP(AA83,monetary!$B$5:$F$817,5,0)</f>
        <v>Low</v>
      </c>
      <c r="AJ83" s="99" t="str">
        <f t="shared" si="18"/>
        <v>HLL</v>
      </c>
      <c r="AK83" s="99" t="str">
        <f>VLOOKUP(AJ83,rfm[],2,0)</f>
        <v>🌱 Potential Loyalists</v>
      </c>
      <c r="AN83" s="99" t="b">
        <f t="shared" si="19"/>
        <v>1</v>
      </c>
    </row>
    <row r="84" spans="2:40" x14ac:dyDescent="0.3">
      <c r="B84" s="99" t="s">
        <v>643</v>
      </c>
      <c r="C84" s="100">
        <v>45667</v>
      </c>
      <c r="D84" s="99" t="s">
        <v>42</v>
      </c>
      <c r="E84" s="99" t="s">
        <v>43</v>
      </c>
      <c r="F84" s="99" t="s">
        <v>16</v>
      </c>
      <c r="G84" s="99">
        <v>5</v>
      </c>
      <c r="H84" s="112">
        <v>1200000</v>
      </c>
      <c r="I84" s="112">
        <v>6000000</v>
      </c>
      <c r="J84" s="99" t="s">
        <v>2301</v>
      </c>
      <c r="K84" s="99" t="s">
        <v>8</v>
      </c>
      <c r="N84" s="99" t="s">
        <v>2073</v>
      </c>
      <c r="O84" s="99" t="s">
        <v>47</v>
      </c>
      <c r="P84" s="100">
        <f t="shared" si="11"/>
        <v>45790</v>
      </c>
      <c r="Q84" s="101">
        <f t="shared" si="10"/>
        <v>233</v>
      </c>
      <c r="R84" s="99">
        <f t="shared" si="12"/>
        <v>1</v>
      </c>
      <c r="S84" s="101">
        <f t="shared" si="13"/>
        <v>11000000</v>
      </c>
      <c r="T84" s="99" t="str">
        <f t="shared" si="14"/>
        <v>Low</v>
      </c>
      <c r="U84" s="99" t="str">
        <f t="shared" si="15"/>
        <v>Low</v>
      </c>
      <c r="V84" s="99" t="str">
        <f t="shared" si="16"/>
        <v>Low</v>
      </c>
      <c r="W84" s="99" t="str">
        <f t="shared" si="17"/>
        <v>LLL</v>
      </c>
      <c r="X84" s="99" t="str">
        <f>VLOOKUP(W84,rfm[],2,FALSE)</f>
        <v>💤 Lost / Low Value</v>
      </c>
      <c r="AA84" s="99" t="s">
        <v>2073</v>
      </c>
      <c r="AB84" s="99" t="s">
        <v>47</v>
      </c>
      <c r="AC84" s="100">
        <v>45790</v>
      </c>
      <c r="AD84" s="101">
        <v>233</v>
      </c>
      <c r="AE84" s="101">
        <v>1</v>
      </c>
      <c r="AF84" s="101">
        <v>11000000</v>
      </c>
      <c r="AG84" s="99" t="str">
        <f>VLOOKUP(AA84,recency!$K$6:$P$818,6,0)</f>
        <v>Low</v>
      </c>
      <c r="AH84" s="132" t="str">
        <f>VLOOKUP(AA84,frequency!$F$6:$H$818,3,FALSE)</f>
        <v>Low</v>
      </c>
      <c r="AI84" s="129" t="str">
        <f>VLOOKUP(AA84,monetary!$B$5:$F$817,5,0)</f>
        <v>Low</v>
      </c>
      <c r="AJ84" s="99" t="str">
        <f t="shared" si="18"/>
        <v>LLL</v>
      </c>
      <c r="AK84" s="99" t="str">
        <f>VLOOKUP(AJ84,rfm[],2,0)</f>
        <v>💤 Lost / Low Value</v>
      </c>
      <c r="AN84" s="99" t="b">
        <f t="shared" si="19"/>
        <v>1</v>
      </c>
    </row>
    <row r="85" spans="2:40" x14ac:dyDescent="0.3">
      <c r="B85" s="99" t="s">
        <v>671</v>
      </c>
      <c r="C85" s="100">
        <v>45667</v>
      </c>
      <c r="D85" s="99" t="s">
        <v>38</v>
      </c>
      <c r="E85" s="99" t="s">
        <v>39</v>
      </c>
      <c r="F85" s="99" t="s">
        <v>16</v>
      </c>
      <c r="G85" s="99">
        <v>47</v>
      </c>
      <c r="H85" s="112">
        <v>200000</v>
      </c>
      <c r="I85" s="112">
        <v>9400000</v>
      </c>
      <c r="J85" s="99" t="s">
        <v>2201</v>
      </c>
      <c r="K85" s="99" t="s">
        <v>60</v>
      </c>
      <c r="N85" s="99" t="s">
        <v>2095</v>
      </c>
      <c r="O85" s="99" t="s">
        <v>69</v>
      </c>
      <c r="P85" s="100">
        <f t="shared" si="11"/>
        <v>45798</v>
      </c>
      <c r="Q85" s="101">
        <f t="shared" si="10"/>
        <v>225</v>
      </c>
      <c r="R85" s="99">
        <f t="shared" si="12"/>
        <v>3</v>
      </c>
      <c r="S85" s="101">
        <f t="shared" si="13"/>
        <v>15010000</v>
      </c>
      <c r="T85" s="99" t="str">
        <f t="shared" si="14"/>
        <v>Low</v>
      </c>
      <c r="U85" s="99" t="str">
        <f t="shared" si="15"/>
        <v>High</v>
      </c>
      <c r="V85" s="99" t="str">
        <f t="shared" si="16"/>
        <v>Low</v>
      </c>
      <c r="W85" s="99" t="str">
        <f t="shared" si="17"/>
        <v>LHL</v>
      </c>
      <c r="X85" s="99" t="str">
        <f>VLOOKUP(W85,rfm[],2,FALSE)</f>
        <v>🔁 Former Loyal Low Spend</v>
      </c>
      <c r="AA85" s="99" t="s">
        <v>2095</v>
      </c>
      <c r="AB85" s="99" t="s">
        <v>69</v>
      </c>
      <c r="AC85" s="100">
        <v>45798</v>
      </c>
      <c r="AD85" s="101">
        <v>225</v>
      </c>
      <c r="AE85" s="101">
        <v>3</v>
      </c>
      <c r="AF85" s="101">
        <v>15010000</v>
      </c>
      <c r="AG85" s="99" t="str">
        <f>VLOOKUP(AA85,recency!$K$6:$P$818,6,0)</f>
        <v>Low</v>
      </c>
      <c r="AH85" s="132" t="str">
        <f>VLOOKUP(AA85,frequency!$F$6:$H$818,3,FALSE)</f>
        <v>High</v>
      </c>
      <c r="AI85" s="129" t="str">
        <f>VLOOKUP(AA85,monetary!$B$5:$F$817,5,0)</f>
        <v>Low</v>
      </c>
      <c r="AJ85" s="99" t="str">
        <f t="shared" si="18"/>
        <v>LHL</v>
      </c>
      <c r="AK85" s="99" t="str">
        <f>VLOOKUP(AJ85,rfm[],2,0)</f>
        <v>🔁 Former Loyal Low Spend</v>
      </c>
      <c r="AN85" s="99" t="b">
        <f t="shared" si="19"/>
        <v>1</v>
      </c>
    </row>
    <row r="86" spans="2:40" x14ac:dyDescent="0.3">
      <c r="B86" s="99" t="s">
        <v>672</v>
      </c>
      <c r="C86" s="100">
        <v>45667</v>
      </c>
      <c r="D86" s="99" t="s">
        <v>44</v>
      </c>
      <c r="E86" s="99" t="s">
        <v>45</v>
      </c>
      <c r="F86" s="99" t="s">
        <v>16</v>
      </c>
      <c r="G86" s="99">
        <v>44</v>
      </c>
      <c r="H86" s="112">
        <v>250000</v>
      </c>
      <c r="I86" s="112">
        <v>11000000</v>
      </c>
      <c r="J86" s="99" t="s">
        <v>2811</v>
      </c>
      <c r="K86" s="99" t="s">
        <v>47</v>
      </c>
      <c r="N86" s="99" t="s">
        <v>2849</v>
      </c>
      <c r="O86" s="99" t="s">
        <v>47</v>
      </c>
      <c r="P86" s="100">
        <f t="shared" si="11"/>
        <v>45992</v>
      </c>
      <c r="Q86" s="101">
        <f t="shared" si="10"/>
        <v>31</v>
      </c>
      <c r="R86" s="99">
        <f t="shared" si="12"/>
        <v>1</v>
      </c>
      <c r="S86" s="101">
        <f t="shared" si="13"/>
        <v>10500000</v>
      </c>
      <c r="T86" s="99" t="str">
        <f t="shared" si="14"/>
        <v>High</v>
      </c>
      <c r="U86" s="99" t="str">
        <f t="shared" si="15"/>
        <v>Low</v>
      </c>
      <c r="V86" s="99" t="str">
        <f t="shared" si="16"/>
        <v>Low</v>
      </c>
      <c r="W86" s="99" t="str">
        <f t="shared" si="17"/>
        <v>HLL</v>
      </c>
      <c r="X86" s="99" t="str">
        <f>VLOOKUP(W86,rfm[],2,FALSE)</f>
        <v>🌱 Potential Loyalists</v>
      </c>
      <c r="AA86" s="99" t="s">
        <v>2849</v>
      </c>
      <c r="AB86" s="99" t="s">
        <v>47</v>
      </c>
      <c r="AC86" s="100">
        <v>45992</v>
      </c>
      <c r="AD86" s="101">
        <v>31</v>
      </c>
      <c r="AE86" s="101">
        <v>1</v>
      </c>
      <c r="AF86" s="101">
        <v>10500000</v>
      </c>
      <c r="AG86" s="99" t="str">
        <f>VLOOKUP(AA86,recency!$K$6:$P$818,6,0)</f>
        <v>High</v>
      </c>
      <c r="AH86" s="132" t="str">
        <f>VLOOKUP(AA86,frequency!$F$6:$H$818,3,FALSE)</f>
        <v>Low</v>
      </c>
      <c r="AI86" s="129" t="str">
        <f>VLOOKUP(AA86,monetary!$B$5:$F$817,5,0)</f>
        <v>Low</v>
      </c>
      <c r="AJ86" s="99" t="str">
        <f t="shared" si="18"/>
        <v>HLL</v>
      </c>
      <c r="AK86" s="99" t="str">
        <f>VLOOKUP(AJ86,rfm[],2,0)</f>
        <v>🌱 Potential Loyalists</v>
      </c>
      <c r="AN86" s="99" t="b">
        <f t="shared" si="19"/>
        <v>1</v>
      </c>
    </row>
    <row r="87" spans="2:40" x14ac:dyDescent="0.3">
      <c r="B87" s="99" t="s">
        <v>673</v>
      </c>
      <c r="C87" s="100">
        <v>45667</v>
      </c>
      <c r="D87" s="99" t="s">
        <v>10</v>
      </c>
      <c r="E87" s="99" t="s">
        <v>11</v>
      </c>
      <c r="F87" s="99" t="s">
        <v>12</v>
      </c>
      <c r="G87" s="99">
        <v>36</v>
      </c>
      <c r="H87" s="112">
        <v>120000</v>
      </c>
      <c r="I87" s="112">
        <v>4320000</v>
      </c>
      <c r="J87" s="99" t="s">
        <v>2399</v>
      </c>
      <c r="K87" s="99" t="s">
        <v>8</v>
      </c>
      <c r="N87" s="99" t="s">
        <v>2118</v>
      </c>
      <c r="O87" s="99" t="s">
        <v>69</v>
      </c>
      <c r="P87" s="100">
        <f t="shared" si="11"/>
        <v>45925</v>
      </c>
      <c r="Q87" s="101">
        <f t="shared" si="10"/>
        <v>98</v>
      </c>
      <c r="R87" s="99">
        <f t="shared" si="12"/>
        <v>3</v>
      </c>
      <c r="S87" s="101">
        <f t="shared" si="13"/>
        <v>45960000</v>
      </c>
      <c r="T87" s="99" t="str">
        <f t="shared" si="14"/>
        <v>Low</v>
      </c>
      <c r="U87" s="99" t="str">
        <f t="shared" si="15"/>
        <v>High</v>
      </c>
      <c r="V87" s="99" t="str">
        <f t="shared" si="16"/>
        <v>High</v>
      </c>
      <c r="W87" s="99" t="str">
        <f t="shared" si="17"/>
        <v>LHH</v>
      </c>
      <c r="X87" s="99" t="str">
        <f>VLOOKUP(W87,rfm[],2,FALSE)</f>
        <v>⚠️ At Risk High Value</v>
      </c>
      <c r="AA87" s="99" t="s">
        <v>2118</v>
      </c>
      <c r="AB87" s="99" t="s">
        <v>69</v>
      </c>
      <c r="AC87" s="100">
        <v>45925</v>
      </c>
      <c r="AD87" s="101">
        <v>98</v>
      </c>
      <c r="AE87" s="101">
        <v>3</v>
      </c>
      <c r="AF87" s="101">
        <v>45960000</v>
      </c>
      <c r="AG87" s="99" t="str">
        <f>VLOOKUP(AA87,recency!$K$6:$P$818,6,0)</f>
        <v>Low</v>
      </c>
      <c r="AH87" s="132" t="str">
        <f>VLOOKUP(AA87,frequency!$F$6:$H$818,3,FALSE)</f>
        <v>High</v>
      </c>
      <c r="AI87" s="129" t="str">
        <f>VLOOKUP(AA87,monetary!$B$5:$F$817,5,0)</f>
        <v>Low</v>
      </c>
      <c r="AJ87" s="99" t="str">
        <f t="shared" si="18"/>
        <v>LHL</v>
      </c>
      <c r="AK87" s="99" t="str">
        <f>VLOOKUP(AJ87,rfm[],2,0)</f>
        <v>🔁 Former Loyal Low Spend</v>
      </c>
      <c r="AN87" s="99" t="b">
        <f t="shared" si="19"/>
        <v>0</v>
      </c>
    </row>
    <row r="88" spans="2:40" x14ac:dyDescent="0.3">
      <c r="B88" s="99" t="s">
        <v>674</v>
      </c>
      <c r="C88" s="100">
        <v>45667</v>
      </c>
      <c r="D88" s="99" t="s">
        <v>14</v>
      </c>
      <c r="E88" s="99" t="s">
        <v>15</v>
      </c>
      <c r="F88" s="99" t="s">
        <v>16</v>
      </c>
      <c r="G88" s="99">
        <v>11</v>
      </c>
      <c r="H88" s="112">
        <v>350000</v>
      </c>
      <c r="I88" s="112">
        <v>3850000</v>
      </c>
      <c r="J88" s="99" t="s">
        <v>2209</v>
      </c>
      <c r="K88" s="99" t="s">
        <v>8</v>
      </c>
      <c r="N88" s="99" t="s">
        <v>2119</v>
      </c>
      <c r="O88" s="99" t="s">
        <v>127</v>
      </c>
      <c r="P88" s="100">
        <f t="shared" si="11"/>
        <v>45980</v>
      </c>
      <c r="Q88" s="101">
        <f t="shared" si="10"/>
        <v>43</v>
      </c>
      <c r="R88" s="99">
        <f t="shared" si="12"/>
        <v>4</v>
      </c>
      <c r="S88" s="101">
        <f t="shared" si="13"/>
        <v>29580000</v>
      </c>
      <c r="T88" s="99" t="str">
        <f t="shared" si="14"/>
        <v>High</v>
      </c>
      <c r="U88" s="99" t="str">
        <f t="shared" si="15"/>
        <v>High</v>
      </c>
      <c r="V88" s="99" t="str">
        <f t="shared" si="16"/>
        <v>High</v>
      </c>
      <c r="W88" s="99" t="str">
        <f t="shared" si="17"/>
        <v>HHH</v>
      </c>
      <c r="X88" s="99" t="str">
        <f>VLOOKUP(W88,rfm[],2,FALSE)</f>
        <v>🥇 Champions</v>
      </c>
      <c r="AA88" s="99" t="s">
        <v>2119</v>
      </c>
      <c r="AB88" s="99" t="s">
        <v>127</v>
      </c>
      <c r="AC88" s="100">
        <v>45980</v>
      </c>
      <c r="AD88" s="101">
        <v>43</v>
      </c>
      <c r="AE88" s="101">
        <v>4</v>
      </c>
      <c r="AF88" s="101">
        <v>29580000</v>
      </c>
      <c r="AG88" s="99" t="str">
        <f>VLOOKUP(AA88,recency!$K$6:$P$818,6,0)</f>
        <v>High</v>
      </c>
      <c r="AH88" s="132" t="str">
        <f>VLOOKUP(AA88,frequency!$F$6:$H$818,3,FALSE)</f>
        <v>High</v>
      </c>
      <c r="AI88" s="129" t="str">
        <f>VLOOKUP(AA88,monetary!$B$5:$F$817,5,0)</f>
        <v>Low</v>
      </c>
      <c r="AJ88" s="99" t="str">
        <f t="shared" si="18"/>
        <v>HHL</v>
      </c>
      <c r="AK88" s="99" t="str">
        <f>VLOOKUP(AJ88,rfm[],2,0)</f>
        <v>💎 Loyal High Value</v>
      </c>
      <c r="AN88" s="99" t="b">
        <f t="shared" si="19"/>
        <v>0</v>
      </c>
    </row>
    <row r="89" spans="2:40" x14ac:dyDescent="0.3">
      <c r="B89" s="99" t="s">
        <v>675</v>
      </c>
      <c r="C89" s="100">
        <v>45667</v>
      </c>
      <c r="D89" s="99" t="s">
        <v>28</v>
      </c>
      <c r="E89" s="99" t="s">
        <v>29</v>
      </c>
      <c r="F89" s="99" t="s">
        <v>20</v>
      </c>
      <c r="G89" s="99">
        <v>24</v>
      </c>
      <c r="H89" s="112">
        <v>450000</v>
      </c>
      <c r="I89" s="112">
        <v>10800000</v>
      </c>
      <c r="J89" s="99" t="s">
        <v>2119</v>
      </c>
      <c r="K89" s="99" t="s">
        <v>127</v>
      </c>
      <c r="N89" s="99" t="s">
        <v>2120</v>
      </c>
      <c r="O89" s="99" t="s">
        <v>8</v>
      </c>
      <c r="P89" s="100">
        <f t="shared" si="11"/>
        <v>46013</v>
      </c>
      <c r="Q89" s="101">
        <f t="shared" si="10"/>
        <v>10</v>
      </c>
      <c r="R89" s="99">
        <f t="shared" si="12"/>
        <v>3</v>
      </c>
      <c r="S89" s="101">
        <f t="shared" si="13"/>
        <v>31280000</v>
      </c>
      <c r="T89" s="99" t="str">
        <f t="shared" si="14"/>
        <v>High</v>
      </c>
      <c r="U89" s="99" t="str">
        <f t="shared" si="15"/>
        <v>High</v>
      </c>
      <c r="V89" s="99" t="str">
        <f t="shared" si="16"/>
        <v>High</v>
      </c>
      <c r="W89" s="99" t="str">
        <f t="shared" si="17"/>
        <v>HHH</v>
      </c>
      <c r="X89" s="99" t="str">
        <f>VLOOKUP(W89,rfm[],2,FALSE)</f>
        <v>🥇 Champions</v>
      </c>
      <c r="AA89" s="99" t="s">
        <v>2120</v>
      </c>
      <c r="AB89" s="99" t="s">
        <v>8</v>
      </c>
      <c r="AC89" s="100">
        <v>46013</v>
      </c>
      <c r="AD89" s="101">
        <v>10</v>
      </c>
      <c r="AE89" s="101">
        <v>3</v>
      </c>
      <c r="AF89" s="101">
        <v>31280000</v>
      </c>
      <c r="AG89" s="99" t="str">
        <f>VLOOKUP(AA89,recency!$K$6:$P$818,6,0)</f>
        <v>High</v>
      </c>
      <c r="AH89" s="132" t="str">
        <f>VLOOKUP(AA89,frequency!$F$6:$H$818,3,FALSE)</f>
        <v>High</v>
      </c>
      <c r="AI89" s="129" t="str">
        <f>VLOOKUP(AA89,monetary!$B$5:$F$817,5,0)</f>
        <v>Low</v>
      </c>
      <c r="AJ89" s="99" t="str">
        <f t="shared" si="18"/>
        <v>HHL</v>
      </c>
      <c r="AK89" s="99" t="str">
        <f>VLOOKUP(AJ89,rfm[],2,0)</f>
        <v>💎 Loyal High Value</v>
      </c>
      <c r="AN89" s="99" t="b">
        <f t="shared" si="19"/>
        <v>0</v>
      </c>
    </row>
    <row r="90" spans="2:40" x14ac:dyDescent="0.3">
      <c r="B90" s="99" t="s">
        <v>676</v>
      </c>
      <c r="C90" s="100">
        <v>45667</v>
      </c>
      <c r="D90" s="99" t="s">
        <v>42</v>
      </c>
      <c r="E90" s="99" t="s">
        <v>43</v>
      </c>
      <c r="F90" s="99" t="s">
        <v>16</v>
      </c>
      <c r="G90" s="99">
        <v>45</v>
      </c>
      <c r="H90" s="112">
        <v>1200000</v>
      </c>
      <c r="I90" s="112">
        <v>54000000</v>
      </c>
      <c r="J90" s="99" t="s">
        <v>2347</v>
      </c>
      <c r="K90" s="99" t="s">
        <v>69</v>
      </c>
      <c r="N90" s="99" t="s">
        <v>2121</v>
      </c>
      <c r="O90" s="99" t="s">
        <v>60</v>
      </c>
      <c r="P90" s="100">
        <f t="shared" si="11"/>
        <v>45861</v>
      </c>
      <c r="Q90" s="101">
        <f t="shared" si="10"/>
        <v>162</v>
      </c>
      <c r="R90" s="99">
        <f t="shared" si="12"/>
        <v>1</v>
      </c>
      <c r="S90" s="101">
        <f t="shared" si="13"/>
        <v>1400000</v>
      </c>
      <c r="T90" s="99" t="str">
        <f t="shared" si="14"/>
        <v>Low</v>
      </c>
      <c r="U90" s="99" t="str">
        <f t="shared" si="15"/>
        <v>Low</v>
      </c>
      <c r="V90" s="99" t="str">
        <f t="shared" si="16"/>
        <v>Low</v>
      </c>
      <c r="W90" s="99" t="str">
        <f t="shared" si="17"/>
        <v>LLL</v>
      </c>
      <c r="X90" s="99" t="str">
        <f>VLOOKUP(W90,rfm[],2,FALSE)</f>
        <v>💤 Lost / Low Value</v>
      </c>
      <c r="AA90" s="99" t="s">
        <v>2121</v>
      </c>
      <c r="AB90" s="99" t="s">
        <v>60</v>
      </c>
      <c r="AC90" s="100">
        <v>45861</v>
      </c>
      <c r="AD90" s="101">
        <v>162</v>
      </c>
      <c r="AE90" s="101">
        <v>1</v>
      </c>
      <c r="AF90" s="101">
        <v>1400000</v>
      </c>
      <c r="AG90" s="99" t="str">
        <f>VLOOKUP(AA90,recency!$K$6:$P$818,6,0)</f>
        <v>Low</v>
      </c>
      <c r="AH90" s="132" t="str">
        <f>VLOOKUP(AA90,frequency!$F$6:$H$818,3,FALSE)</f>
        <v>Low</v>
      </c>
      <c r="AI90" s="129" t="str">
        <f>VLOOKUP(AA90,monetary!$B$5:$F$817,5,0)</f>
        <v>Low</v>
      </c>
      <c r="AJ90" s="99" t="str">
        <f t="shared" si="18"/>
        <v>LLL</v>
      </c>
      <c r="AK90" s="99" t="str">
        <f>VLOOKUP(AJ90,rfm[],2,0)</f>
        <v>💤 Lost / Low Value</v>
      </c>
      <c r="AN90" s="99" t="b">
        <f t="shared" si="19"/>
        <v>1</v>
      </c>
    </row>
    <row r="91" spans="2:40" x14ac:dyDescent="0.3">
      <c r="B91" s="99" t="s">
        <v>693</v>
      </c>
      <c r="C91" s="100">
        <v>45667</v>
      </c>
      <c r="D91" s="99" t="s">
        <v>40</v>
      </c>
      <c r="E91" s="99" t="s">
        <v>41</v>
      </c>
      <c r="F91" s="99" t="s">
        <v>16</v>
      </c>
      <c r="G91" s="99">
        <v>5</v>
      </c>
      <c r="H91" s="112">
        <v>950000</v>
      </c>
      <c r="I91" s="112">
        <v>4750000</v>
      </c>
      <c r="J91" s="99" t="s">
        <v>2541</v>
      </c>
      <c r="K91" s="99" t="s">
        <v>8</v>
      </c>
      <c r="N91" s="99" t="s">
        <v>2122</v>
      </c>
      <c r="O91" s="99" t="s">
        <v>47</v>
      </c>
      <c r="P91" s="100">
        <f t="shared" si="11"/>
        <v>46010</v>
      </c>
      <c r="Q91" s="101">
        <f t="shared" si="10"/>
        <v>13</v>
      </c>
      <c r="R91" s="99">
        <f t="shared" si="12"/>
        <v>4</v>
      </c>
      <c r="S91" s="101">
        <f t="shared" si="13"/>
        <v>24470000</v>
      </c>
      <c r="T91" s="99" t="str">
        <f t="shared" si="14"/>
        <v>High</v>
      </c>
      <c r="U91" s="99" t="str">
        <f t="shared" si="15"/>
        <v>High</v>
      </c>
      <c r="V91" s="99" t="str">
        <f t="shared" si="16"/>
        <v>High</v>
      </c>
      <c r="W91" s="99" t="str">
        <f t="shared" si="17"/>
        <v>HHH</v>
      </c>
      <c r="X91" s="99" t="str">
        <f>VLOOKUP(W91,rfm[],2,FALSE)</f>
        <v>🥇 Champions</v>
      </c>
      <c r="AA91" s="99" t="s">
        <v>2122</v>
      </c>
      <c r="AB91" s="99" t="s">
        <v>47</v>
      </c>
      <c r="AC91" s="100">
        <v>46010</v>
      </c>
      <c r="AD91" s="101">
        <v>13</v>
      </c>
      <c r="AE91" s="101">
        <v>4</v>
      </c>
      <c r="AF91" s="101">
        <v>24470000</v>
      </c>
      <c r="AG91" s="99" t="str">
        <f>VLOOKUP(AA91,recency!$K$6:$P$818,6,0)</f>
        <v>High</v>
      </c>
      <c r="AH91" s="132" t="str">
        <f>VLOOKUP(AA91,frequency!$F$6:$H$818,3,FALSE)</f>
        <v>High</v>
      </c>
      <c r="AI91" s="129" t="str">
        <f>VLOOKUP(AA91,monetary!$B$5:$F$817,5,0)</f>
        <v>Low</v>
      </c>
      <c r="AJ91" s="99" t="str">
        <f t="shared" si="18"/>
        <v>HHL</v>
      </c>
      <c r="AK91" s="99" t="str">
        <f>VLOOKUP(AJ91,rfm[],2,0)</f>
        <v>💎 Loyal High Value</v>
      </c>
      <c r="AN91" s="99" t="b">
        <f t="shared" si="19"/>
        <v>0</v>
      </c>
    </row>
    <row r="92" spans="2:40" x14ac:dyDescent="0.3">
      <c r="B92" s="99" t="s">
        <v>694</v>
      </c>
      <c r="C92" s="100">
        <v>45667</v>
      </c>
      <c r="D92" s="99" t="s">
        <v>28</v>
      </c>
      <c r="E92" s="99" t="s">
        <v>29</v>
      </c>
      <c r="F92" s="99" t="s">
        <v>20</v>
      </c>
      <c r="G92" s="99">
        <v>29</v>
      </c>
      <c r="H92" s="112">
        <v>450000</v>
      </c>
      <c r="I92" s="112">
        <v>13050000</v>
      </c>
      <c r="J92" s="99" t="s">
        <v>2395</v>
      </c>
      <c r="K92" s="99" t="s">
        <v>8</v>
      </c>
      <c r="N92" s="99" t="s">
        <v>2123</v>
      </c>
      <c r="O92" s="99" t="s">
        <v>60</v>
      </c>
      <c r="P92" s="100">
        <f t="shared" si="11"/>
        <v>45884</v>
      </c>
      <c r="Q92" s="101">
        <f t="shared" si="10"/>
        <v>139</v>
      </c>
      <c r="R92" s="99">
        <f t="shared" si="12"/>
        <v>1</v>
      </c>
      <c r="S92" s="101">
        <f t="shared" si="13"/>
        <v>5950000</v>
      </c>
      <c r="T92" s="99" t="str">
        <f t="shared" si="14"/>
        <v>Low</v>
      </c>
      <c r="U92" s="99" t="str">
        <f t="shared" si="15"/>
        <v>Low</v>
      </c>
      <c r="V92" s="99" t="str">
        <f t="shared" si="16"/>
        <v>Low</v>
      </c>
      <c r="W92" s="99" t="str">
        <f t="shared" si="17"/>
        <v>LLL</v>
      </c>
      <c r="X92" s="99" t="str">
        <f>VLOOKUP(W92,rfm[],2,FALSE)</f>
        <v>💤 Lost / Low Value</v>
      </c>
      <c r="AA92" s="99" t="s">
        <v>2123</v>
      </c>
      <c r="AB92" s="99" t="s">
        <v>60</v>
      </c>
      <c r="AC92" s="100">
        <v>45884</v>
      </c>
      <c r="AD92" s="101">
        <v>139</v>
      </c>
      <c r="AE92" s="101">
        <v>1</v>
      </c>
      <c r="AF92" s="101">
        <v>5950000</v>
      </c>
      <c r="AG92" s="99" t="str">
        <f>VLOOKUP(AA92,recency!$K$6:$P$818,6,0)</f>
        <v>Low</v>
      </c>
      <c r="AH92" s="132" t="str">
        <f>VLOOKUP(AA92,frequency!$F$6:$H$818,3,FALSE)</f>
        <v>Low</v>
      </c>
      <c r="AI92" s="129" t="str">
        <f>VLOOKUP(AA92,monetary!$B$5:$F$817,5,0)</f>
        <v>Low</v>
      </c>
      <c r="AJ92" s="99" t="str">
        <f t="shared" si="18"/>
        <v>LLL</v>
      </c>
      <c r="AK92" s="99" t="str">
        <f>VLOOKUP(AJ92,rfm[],2,0)</f>
        <v>💤 Lost / Low Value</v>
      </c>
      <c r="AN92" s="99" t="b">
        <f t="shared" si="19"/>
        <v>1</v>
      </c>
    </row>
    <row r="93" spans="2:40" x14ac:dyDescent="0.3">
      <c r="B93" s="99" t="s">
        <v>695</v>
      </c>
      <c r="C93" s="100">
        <v>45667</v>
      </c>
      <c r="D93" s="99" t="s">
        <v>10</v>
      </c>
      <c r="E93" s="99" t="s">
        <v>11</v>
      </c>
      <c r="F93" s="99" t="s">
        <v>12</v>
      </c>
      <c r="G93" s="99">
        <v>27</v>
      </c>
      <c r="H93" s="112">
        <v>120000</v>
      </c>
      <c r="I93" s="112">
        <v>3240000</v>
      </c>
      <c r="J93" s="99" t="s">
        <v>2003</v>
      </c>
      <c r="K93" s="99" t="s">
        <v>8</v>
      </c>
      <c r="N93" s="99" t="s">
        <v>2124</v>
      </c>
      <c r="O93" s="99" t="s">
        <v>8</v>
      </c>
      <c r="P93" s="100">
        <f t="shared" si="11"/>
        <v>45938</v>
      </c>
      <c r="Q93" s="101">
        <f t="shared" si="10"/>
        <v>85</v>
      </c>
      <c r="R93" s="99">
        <f t="shared" si="12"/>
        <v>2</v>
      </c>
      <c r="S93" s="101">
        <f t="shared" si="13"/>
        <v>12250000</v>
      </c>
      <c r="T93" s="99" t="str">
        <f t="shared" si="14"/>
        <v>High</v>
      </c>
      <c r="U93" s="99" t="str">
        <f t="shared" si="15"/>
        <v>Low</v>
      </c>
      <c r="V93" s="99" t="str">
        <f t="shared" si="16"/>
        <v>Low</v>
      </c>
      <c r="W93" s="99" t="str">
        <f t="shared" si="17"/>
        <v>HLL</v>
      </c>
      <c r="X93" s="99" t="str">
        <f>VLOOKUP(W93,rfm[],2,FALSE)</f>
        <v>🌱 Potential Loyalists</v>
      </c>
      <c r="AA93" s="99" t="s">
        <v>2124</v>
      </c>
      <c r="AB93" s="99" t="s">
        <v>8</v>
      </c>
      <c r="AC93" s="100">
        <v>45938</v>
      </c>
      <c r="AD93" s="101">
        <v>85</v>
      </c>
      <c r="AE93" s="101">
        <v>2</v>
      </c>
      <c r="AF93" s="101">
        <v>12250000</v>
      </c>
      <c r="AG93" s="99" t="str">
        <f>VLOOKUP(AA93,recency!$K$6:$P$818,6,0)</f>
        <v>Low</v>
      </c>
      <c r="AH93" s="132" t="str">
        <f>VLOOKUP(AA93,frequency!$F$6:$H$818,3,FALSE)</f>
        <v>Low</v>
      </c>
      <c r="AI93" s="129" t="str">
        <f>VLOOKUP(AA93,monetary!$B$5:$F$817,5,0)</f>
        <v>Low</v>
      </c>
      <c r="AJ93" s="99" t="str">
        <f t="shared" si="18"/>
        <v>LLL</v>
      </c>
      <c r="AK93" s="99" t="str">
        <f>VLOOKUP(AJ93,rfm[],2,0)</f>
        <v>💤 Lost / Low Value</v>
      </c>
      <c r="AN93" s="99" t="b">
        <f t="shared" si="19"/>
        <v>0</v>
      </c>
    </row>
    <row r="94" spans="2:40" x14ac:dyDescent="0.3">
      <c r="B94" s="99" t="s">
        <v>710</v>
      </c>
      <c r="C94" s="100">
        <v>45667</v>
      </c>
      <c r="D94" s="99" t="s">
        <v>44</v>
      </c>
      <c r="E94" s="99" t="s">
        <v>45</v>
      </c>
      <c r="F94" s="99" t="s">
        <v>16</v>
      </c>
      <c r="G94" s="99">
        <v>26</v>
      </c>
      <c r="H94" s="112">
        <v>250000</v>
      </c>
      <c r="I94" s="112">
        <v>6500000</v>
      </c>
      <c r="J94" s="99" t="s">
        <v>2333</v>
      </c>
      <c r="K94" s="99" t="s">
        <v>60</v>
      </c>
      <c r="N94" s="99" t="s">
        <v>2125</v>
      </c>
      <c r="O94" s="99" t="s">
        <v>47</v>
      </c>
      <c r="P94" s="100">
        <f t="shared" si="11"/>
        <v>45987</v>
      </c>
      <c r="Q94" s="101">
        <f t="shared" si="10"/>
        <v>36</v>
      </c>
      <c r="R94" s="99">
        <f t="shared" si="12"/>
        <v>3</v>
      </c>
      <c r="S94" s="101">
        <f t="shared" si="13"/>
        <v>27020000</v>
      </c>
      <c r="T94" s="99" t="str">
        <f t="shared" si="14"/>
        <v>High</v>
      </c>
      <c r="U94" s="99" t="str">
        <f t="shared" si="15"/>
        <v>High</v>
      </c>
      <c r="V94" s="99" t="str">
        <f t="shared" si="16"/>
        <v>High</v>
      </c>
      <c r="W94" s="99" t="str">
        <f t="shared" si="17"/>
        <v>HHH</v>
      </c>
      <c r="X94" s="99" t="str">
        <f>VLOOKUP(W94,rfm[],2,FALSE)</f>
        <v>🥇 Champions</v>
      </c>
      <c r="AA94" s="99" t="s">
        <v>2125</v>
      </c>
      <c r="AB94" s="99" t="s">
        <v>47</v>
      </c>
      <c r="AC94" s="100">
        <v>45987</v>
      </c>
      <c r="AD94" s="101">
        <v>36</v>
      </c>
      <c r="AE94" s="101">
        <v>3</v>
      </c>
      <c r="AF94" s="101">
        <v>27020000</v>
      </c>
      <c r="AG94" s="99" t="str">
        <f>VLOOKUP(AA94,recency!$K$6:$P$818,6,0)</f>
        <v>High</v>
      </c>
      <c r="AH94" s="132" t="str">
        <f>VLOOKUP(AA94,frequency!$F$6:$H$818,3,FALSE)</f>
        <v>High</v>
      </c>
      <c r="AI94" s="129" t="str">
        <f>VLOOKUP(AA94,monetary!$B$5:$F$817,5,0)</f>
        <v>Low</v>
      </c>
      <c r="AJ94" s="99" t="str">
        <f t="shared" si="18"/>
        <v>HHL</v>
      </c>
      <c r="AK94" s="99" t="str">
        <f>VLOOKUP(AJ94,rfm[],2,0)</f>
        <v>💎 Loyal High Value</v>
      </c>
      <c r="AN94" s="99" t="b">
        <f t="shared" si="19"/>
        <v>0</v>
      </c>
    </row>
    <row r="95" spans="2:40" x14ac:dyDescent="0.3">
      <c r="B95" s="99" t="s">
        <v>711</v>
      </c>
      <c r="C95" s="100">
        <v>45667</v>
      </c>
      <c r="D95" s="99" t="s">
        <v>38</v>
      </c>
      <c r="E95" s="99" t="s">
        <v>39</v>
      </c>
      <c r="F95" s="99" t="s">
        <v>16</v>
      </c>
      <c r="G95" s="99">
        <v>46</v>
      </c>
      <c r="H95" s="112">
        <v>200000</v>
      </c>
      <c r="I95" s="112">
        <v>9200000</v>
      </c>
      <c r="J95" s="99" t="s">
        <v>2356</v>
      </c>
      <c r="K95" s="99" t="s">
        <v>8</v>
      </c>
      <c r="N95" s="99" t="s">
        <v>2126</v>
      </c>
      <c r="O95" s="99" t="s">
        <v>127</v>
      </c>
      <c r="P95" s="100">
        <f t="shared" si="11"/>
        <v>46016</v>
      </c>
      <c r="Q95" s="101">
        <f t="shared" si="10"/>
        <v>7</v>
      </c>
      <c r="R95" s="99">
        <f t="shared" si="12"/>
        <v>2</v>
      </c>
      <c r="S95" s="101">
        <f t="shared" si="13"/>
        <v>37525000</v>
      </c>
      <c r="T95" s="99" t="str">
        <f t="shared" si="14"/>
        <v>High</v>
      </c>
      <c r="U95" s="99" t="str">
        <f t="shared" si="15"/>
        <v>Low</v>
      </c>
      <c r="V95" s="99" t="str">
        <f t="shared" si="16"/>
        <v>High</v>
      </c>
      <c r="W95" s="99" t="str">
        <f t="shared" si="17"/>
        <v>HLH</v>
      </c>
      <c r="X95" s="99" t="str">
        <f>VLOOKUP(W95,rfm[],2,FALSE)</f>
        <v>🛒 Big Spenders (Occasional)</v>
      </c>
      <c r="AA95" s="99" t="s">
        <v>2126</v>
      </c>
      <c r="AB95" s="99" t="s">
        <v>127</v>
      </c>
      <c r="AC95" s="100">
        <v>46016</v>
      </c>
      <c r="AD95" s="101">
        <v>7</v>
      </c>
      <c r="AE95" s="101">
        <v>2</v>
      </c>
      <c r="AF95" s="101">
        <v>37525000</v>
      </c>
      <c r="AG95" s="99" t="str">
        <f>VLOOKUP(AA95,recency!$K$6:$P$818,6,0)</f>
        <v>High</v>
      </c>
      <c r="AH95" s="132" t="str">
        <f>VLOOKUP(AA95,frequency!$F$6:$H$818,3,FALSE)</f>
        <v>Low</v>
      </c>
      <c r="AI95" s="129" t="str">
        <f>VLOOKUP(AA95,monetary!$B$5:$F$817,5,0)</f>
        <v>Low</v>
      </c>
      <c r="AJ95" s="99" t="str">
        <f t="shared" si="18"/>
        <v>HLL</v>
      </c>
      <c r="AK95" s="99" t="str">
        <f>VLOOKUP(AJ95,rfm[],2,0)</f>
        <v>🌱 Potential Loyalists</v>
      </c>
      <c r="AN95" s="99" t="b">
        <f t="shared" si="19"/>
        <v>0</v>
      </c>
    </row>
    <row r="96" spans="2:40" x14ac:dyDescent="0.3">
      <c r="B96" s="99" t="s">
        <v>712</v>
      </c>
      <c r="C96" s="100">
        <v>45667</v>
      </c>
      <c r="D96" s="99" t="s">
        <v>18</v>
      </c>
      <c r="E96" s="99" t="s">
        <v>19</v>
      </c>
      <c r="F96" s="99" t="s">
        <v>20</v>
      </c>
      <c r="G96" s="99">
        <v>29</v>
      </c>
      <c r="H96" s="112">
        <v>500000</v>
      </c>
      <c r="I96" s="112">
        <v>14500000</v>
      </c>
      <c r="J96" s="99" t="s">
        <v>2467</v>
      </c>
      <c r="K96" s="99" t="s">
        <v>47</v>
      </c>
      <c r="N96" s="99" t="s">
        <v>2127</v>
      </c>
      <c r="O96" s="99" t="s">
        <v>127</v>
      </c>
      <c r="P96" s="100">
        <f t="shared" si="11"/>
        <v>45924</v>
      </c>
      <c r="Q96" s="101">
        <f t="shared" si="10"/>
        <v>99</v>
      </c>
      <c r="R96" s="99">
        <f t="shared" si="12"/>
        <v>3</v>
      </c>
      <c r="S96" s="101">
        <f t="shared" si="13"/>
        <v>13880000</v>
      </c>
      <c r="T96" s="99" t="str">
        <f t="shared" si="14"/>
        <v>Low</v>
      </c>
      <c r="U96" s="99" t="str">
        <f t="shared" si="15"/>
        <v>High</v>
      </c>
      <c r="V96" s="99" t="str">
        <f t="shared" si="16"/>
        <v>Low</v>
      </c>
      <c r="W96" s="99" t="str">
        <f t="shared" si="17"/>
        <v>LHL</v>
      </c>
      <c r="X96" s="99" t="str">
        <f>VLOOKUP(W96,rfm[],2,FALSE)</f>
        <v>🔁 Former Loyal Low Spend</v>
      </c>
      <c r="AA96" s="99" t="s">
        <v>2127</v>
      </c>
      <c r="AB96" s="99" t="s">
        <v>127</v>
      </c>
      <c r="AC96" s="100">
        <v>45924</v>
      </c>
      <c r="AD96" s="101">
        <v>99</v>
      </c>
      <c r="AE96" s="101">
        <v>3</v>
      </c>
      <c r="AF96" s="101">
        <v>13880000</v>
      </c>
      <c r="AG96" s="99" t="str">
        <f>VLOOKUP(AA96,recency!$K$6:$P$818,6,0)</f>
        <v>Low</v>
      </c>
      <c r="AH96" s="132" t="str">
        <f>VLOOKUP(AA96,frequency!$F$6:$H$818,3,FALSE)</f>
        <v>High</v>
      </c>
      <c r="AI96" s="129" t="str">
        <f>VLOOKUP(AA96,monetary!$B$5:$F$817,5,0)</f>
        <v>Low</v>
      </c>
      <c r="AJ96" s="99" t="str">
        <f t="shared" si="18"/>
        <v>LHL</v>
      </c>
      <c r="AK96" s="99" t="str">
        <f>VLOOKUP(AJ96,rfm[],2,0)</f>
        <v>🔁 Former Loyal Low Spend</v>
      </c>
      <c r="AN96" s="99" t="b">
        <f t="shared" si="19"/>
        <v>1</v>
      </c>
    </row>
    <row r="97" spans="2:40" x14ac:dyDescent="0.3">
      <c r="B97" s="99" t="s">
        <v>713</v>
      </c>
      <c r="C97" s="100">
        <v>45667</v>
      </c>
      <c r="D97" s="99" t="s">
        <v>10</v>
      </c>
      <c r="E97" s="99" t="s">
        <v>11</v>
      </c>
      <c r="F97" s="99" t="s">
        <v>12</v>
      </c>
      <c r="G97" s="99">
        <v>6</v>
      </c>
      <c r="H97" s="112">
        <v>120000</v>
      </c>
      <c r="I97" s="112">
        <v>720000</v>
      </c>
      <c r="J97" s="99" t="s">
        <v>2651</v>
      </c>
      <c r="K97" s="99" t="s">
        <v>47</v>
      </c>
      <c r="N97" s="99" t="s">
        <v>2128</v>
      </c>
      <c r="O97" s="99" t="s">
        <v>69</v>
      </c>
      <c r="P97" s="100">
        <f t="shared" si="11"/>
        <v>46016</v>
      </c>
      <c r="Q97" s="101">
        <f t="shared" si="10"/>
        <v>7</v>
      </c>
      <c r="R97" s="99">
        <f t="shared" si="12"/>
        <v>5</v>
      </c>
      <c r="S97" s="101">
        <f t="shared" si="13"/>
        <v>46465000</v>
      </c>
      <c r="T97" s="99" t="str">
        <f t="shared" si="14"/>
        <v>High</v>
      </c>
      <c r="U97" s="99" t="str">
        <f t="shared" si="15"/>
        <v>High</v>
      </c>
      <c r="V97" s="99" t="str">
        <f t="shared" si="16"/>
        <v>High</v>
      </c>
      <c r="W97" s="99" t="str">
        <f t="shared" si="17"/>
        <v>HHH</v>
      </c>
      <c r="X97" s="99" t="str">
        <f>VLOOKUP(W97,rfm[],2,FALSE)</f>
        <v>🥇 Champions</v>
      </c>
      <c r="AA97" s="99" t="s">
        <v>2128</v>
      </c>
      <c r="AB97" s="99" t="s">
        <v>69</v>
      </c>
      <c r="AC97" s="100">
        <v>46016</v>
      </c>
      <c r="AD97" s="101">
        <v>7</v>
      </c>
      <c r="AE97" s="101">
        <v>5</v>
      </c>
      <c r="AF97" s="101">
        <v>46465000</v>
      </c>
      <c r="AG97" s="99" t="str">
        <f>VLOOKUP(AA97,recency!$K$6:$P$818,6,0)</f>
        <v>High</v>
      </c>
      <c r="AH97" s="132" t="str">
        <f>VLOOKUP(AA97,frequency!$F$6:$H$818,3,FALSE)</f>
        <v>High</v>
      </c>
      <c r="AI97" s="129" t="str">
        <f>VLOOKUP(AA97,monetary!$B$5:$F$817,5,0)</f>
        <v>Low</v>
      </c>
      <c r="AJ97" s="99" t="str">
        <f t="shared" si="18"/>
        <v>HHL</v>
      </c>
      <c r="AK97" s="99" t="str">
        <f>VLOOKUP(AJ97,rfm[],2,0)</f>
        <v>💎 Loyal High Value</v>
      </c>
      <c r="AN97" s="99" t="b">
        <f t="shared" si="19"/>
        <v>0</v>
      </c>
    </row>
    <row r="98" spans="2:40" x14ac:dyDescent="0.3">
      <c r="B98" s="99" t="s">
        <v>729</v>
      </c>
      <c r="C98" s="100">
        <v>45672</v>
      </c>
      <c r="D98" s="99" t="s">
        <v>18</v>
      </c>
      <c r="E98" s="99" t="s">
        <v>19</v>
      </c>
      <c r="F98" s="99" t="s">
        <v>20</v>
      </c>
      <c r="G98" s="99">
        <v>39</v>
      </c>
      <c r="H98" s="112">
        <v>500000</v>
      </c>
      <c r="I98" s="112">
        <v>19500000</v>
      </c>
      <c r="J98" s="99" t="s">
        <v>2271</v>
      </c>
      <c r="K98" s="99" t="s">
        <v>47</v>
      </c>
      <c r="N98" s="99" t="s">
        <v>2129</v>
      </c>
      <c r="O98" s="99" t="s">
        <v>8</v>
      </c>
      <c r="P98" s="100">
        <f t="shared" si="11"/>
        <v>46003</v>
      </c>
      <c r="Q98" s="101">
        <f t="shared" si="10"/>
        <v>20</v>
      </c>
      <c r="R98" s="99">
        <f t="shared" si="12"/>
        <v>6</v>
      </c>
      <c r="S98" s="101">
        <f t="shared" si="13"/>
        <v>44780000</v>
      </c>
      <c r="T98" s="99" t="str">
        <f t="shared" si="14"/>
        <v>High</v>
      </c>
      <c r="U98" s="99" t="str">
        <f t="shared" si="15"/>
        <v>High</v>
      </c>
      <c r="V98" s="99" t="str">
        <f t="shared" si="16"/>
        <v>High</v>
      </c>
      <c r="W98" s="99" t="str">
        <f t="shared" si="17"/>
        <v>HHH</v>
      </c>
      <c r="X98" s="99" t="str">
        <f>VLOOKUP(W98,rfm[],2,FALSE)</f>
        <v>🥇 Champions</v>
      </c>
      <c r="AA98" s="99" t="s">
        <v>2129</v>
      </c>
      <c r="AB98" s="99" t="s">
        <v>8</v>
      </c>
      <c r="AC98" s="100">
        <v>46003</v>
      </c>
      <c r="AD98" s="101">
        <v>20</v>
      </c>
      <c r="AE98" s="101">
        <v>6</v>
      </c>
      <c r="AF98" s="101">
        <v>44780000</v>
      </c>
      <c r="AG98" s="99" t="str">
        <f>VLOOKUP(AA98,recency!$K$6:$P$818,6,0)</f>
        <v>High</v>
      </c>
      <c r="AH98" s="132" t="str">
        <f>VLOOKUP(AA98,frequency!$F$6:$H$818,3,FALSE)</f>
        <v>High</v>
      </c>
      <c r="AI98" s="129" t="str">
        <f>VLOOKUP(AA98,monetary!$B$5:$F$817,5,0)</f>
        <v>Low</v>
      </c>
      <c r="AJ98" s="99" t="str">
        <f t="shared" si="18"/>
        <v>HHL</v>
      </c>
      <c r="AK98" s="99" t="str">
        <f>VLOOKUP(AJ98,rfm[],2,0)</f>
        <v>💎 Loyal High Value</v>
      </c>
      <c r="AN98" s="99" t="b">
        <f t="shared" si="19"/>
        <v>0</v>
      </c>
    </row>
    <row r="99" spans="2:40" x14ac:dyDescent="0.3">
      <c r="B99" s="99" t="s">
        <v>749</v>
      </c>
      <c r="C99" s="100">
        <v>45672</v>
      </c>
      <c r="D99" s="99" t="s">
        <v>44</v>
      </c>
      <c r="E99" s="99" t="s">
        <v>45</v>
      </c>
      <c r="F99" s="99" t="s">
        <v>16</v>
      </c>
      <c r="G99" s="99">
        <v>28</v>
      </c>
      <c r="H99" s="112">
        <v>250000</v>
      </c>
      <c r="I99" s="112">
        <v>7000000</v>
      </c>
      <c r="J99" s="99" t="s">
        <v>2210</v>
      </c>
      <c r="K99" s="99" t="s">
        <v>127</v>
      </c>
      <c r="N99" s="99" t="s">
        <v>2130</v>
      </c>
      <c r="O99" s="99" t="s">
        <v>69</v>
      </c>
      <c r="P99" s="100">
        <f t="shared" si="11"/>
        <v>45894</v>
      </c>
      <c r="Q99" s="101">
        <f t="shared" si="10"/>
        <v>129</v>
      </c>
      <c r="R99" s="99">
        <f t="shared" si="12"/>
        <v>1</v>
      </c>
      <c r="S99" s="101">
        <f t="shared" si="13"/>
        <v>4860000</v>
      </c>
      <c r="T99" s="99" t="str">
        <f t="shared" si="14"/>
        <v>Low</v>
      </c>
      <c r="U99" s="99" t="str">
        <f t="shared" si="15"/>
        <v>Low</v>
      </c>
      <c r="V99" s="99" t="str">
        <f t="shared" si="16"/>
        <v>Low</v>
      </c>
      <c r="W99" s="99" t="str">
        <f t="shared" si="17"/>
        <v>LLL</v>
      </c>
      <c r="X99" s="99" t="str">
        <f>VLOOKUP(W99,rfm[],2,FALSE)</f>
        <v>💤 Lost / Low Value</v>
      </c>
      <c r="AA99" s="99" t="s">
        <v>2130</v>
      </c>
      <c r="AB99" s="99" t="s">
        <v>69</v>
      </c>
      <c r="AC99" s="100">
        <v>45894</v>
      </c>
      <c r="AD99" s="101">
        <v>129</v>
      </c>
      <c r="AE99" s="101">
        <v>1</v>
      </c>
      <c r="AF99" s="101">
        <v>4860000</v>
      </c>
      <c r="AG99" s="99" t="str">
        <f>VLOOKUP(AA99,recency!$K$6:$P$818,6,0)</f>
        <v>Low</v>
      </c>
      <c r="AH99" s="132" t="str">
        <f>VLOOKUP(AA99,frequency!$F$6:$H$818,3,FALSE)</f>
        <v>Low</v>
      </c>
      <c r="AI99" s="129" t="str">
        <f>VLOOKUP(AA99,monetary!$B$5:$F$817,5,0)</f>
        <v>Low</v>
      </c>
      <c r="AJ99" s="99" t="str">
        <f t="shared" si="18"/>
        <v>LLL</v>
      </c>
      <c r="AK99" s="99" t="str">
        <f>VLOOKUP(AJ99,rfm[],2,0)</f>
        <v>💤 Lost / Low Value</v>
      </c>
      <c r="AN99" s="99" t="b">
        <f t="shared" si="19"/>
        <v>1</v>
      </c>
    </row>
    <row r="100" spans="2:40" x14ac:dyDescent="0.3">
      <c r="B100" s="99" t="s">
        <v>793</v>
      </c>
      <c r="C100" s="100">
        <v>45672</v>
      </c>
      <c r="D100" s="99" t="s">
        <v>31</v>
      </c>
      <c r="E100" s="99" t="s">
        <v>32</v>
      </c>
      <c r="F100" s="99" t="s">
        <v>20</v>
      </c>
      <c r="G100" s="99">
        <v>48</v>
      </c>
      <c r="H100" s="112">
        <v>180000</v>
      </c>
      <c r="I100" s="112">
        <v>8640000</v>
      </c>
      <c r="J100" s="99" t="s">
        <v>2263</v>
      </c>
      <c r="K100" s="99" t="s">
        <v>8</v>
      </c>
      <c r="N100" s="99" t="s">
        <v>2131</v>
      </c>
      <c r="O100" s="99" t="s">
        <v>60</v>
      </c>
      <c r="P100" s="100">
        <f t="shared" si="11"/>
        <v>45968</v>
      </c>
      <c r="Q100" s="101">
        <f t="shared" si="10"/>
        <v>55</v>
      </c>
      <c r="R100" s="99">
        <f t="shared" si="12"/>
        <v>3</v>
      </c>
      <c r="S100" s="101">
        <f t="shared" si="13"/>
        <v>56600000</v>
      </c>
      <c r="T100" s="99" t="str">
        <f t="shared" si="14"/>
        <v>High</v>
      </c>
      <c r="U100" s="99" t="str">
        <f t="shared" si="15"/>
        <v>High</v>
      </c>
      <c r="V100" s="99" t="str">
        <f t="shared" si="16"/>
        <v>High</v>
      </c>
      <c r="W100" s="99" t="str">
        <f t="shared" si="17"/>
        <v>HHH</v>
      </c>
      <c r="X100" s="99" t="str">
        <f>VLOOKUP(W100,rfm[],2,FALSE)</f>
        <v>🥇 Champions</v>
      </c>
      <c r="AA100" s="99" t="s">
        <v>2131</v>
      </c>
      <c r="AB100" s="99" t="s">
        <v>60</v>
      </c>
      <c r="AC100" s="100">
        <v>45968</v>
      </c>
      <c r="AD100" s="101">
        <v>55</v>
      </c>
      <c r="AE100" s="101">
        <v>3</v>
      </c>
      <c r="AF100" s="101">
        <v>56600000</v>
      </c>
      <c r="AG100" s="99" t="str">
        <f>VLOOKUP(AA100,recency!$K$6:$P$818,6,0)</f>
        <v>High</v>
      </c>
      <c r="AH100" s="132" t="str">
        <f>VLOOKUP(AA100,frequency!$F$6:$H$818,3,FALSE)</f>
        <v>High</v>
      </c>
      <c r="AI100" s="129" t="str">
        <f>VLOOKUP(AA100,monetary!$B$5:$F$817,5,0)</f>
        <v>High</v>
      </c>
      <c r="AJ100" s="99" t="str">
        <f t="shared" si="18"/>
        <v>HHH</v>
      </c>
      <c r="AK100" s="99" t="str">
        <f>VLOOKUP(AJ100,rfm[],2,0)</f>
        <v>🥇 Champions</v>
      </c>
      <c r="AN100" s="99" t="b">
        <f t="shared" si="19"/>
        <v>1</v>
      </c>
    </row>
    <row r="101" spans="2:40" x14ac:dyDescent="0.3">
      <c r="B101" s="99" t="s">
        <v>794</v>
      </c>
      <c r="C101" s="100">
        <v>45672</v>
      </c>
      <c r="D101" s="99" t="s">
        <v>14</v>
      </c>
      <c r="E101" s="99" t="s">
        <v>15</v>
      </c>
      <c r="F101" s="99" t="s">
        <v>16</v>
      </c>
      <c r="G101" s="99">
        <v>6</v>
      </c>
      <c r="H101" s="112">
        <v>350000</v>
      </c>
      <c r="I101" s="112">
        <v>2100000</v>
      </c>
      <c r="J101" s="99" t="s">
        <v>2744</v>
      </c>
      <c r="K101" s="99" t="s">
        <v>127</v>
      </c>
      <c r="N101" s="99" t="s">
        <v>2132</v>
      </c>
      <c r="O101" s="99" t="s">
        <v>127</v>
      </c>
      <c r="P101" s="100">
        <f t="shared" si="11"/>
        <v>45960</v>
      </c>
      <c r="Q101" s="101">
        <f t="shared" si="10"/>
        <v>63</v>
      </c>
      <c r="R101" s="99">
        <f t="shared" si="12"/>
        <v>1</v>
      </c>
      <c r="S101" s="101">
        <f t="shared" si="13"/>
        <v>5640000</v>
      </c>
      <c r="T101" s="99" t="str">
        <f t="shared" si="14"/>
        <v>High</v>
      </c>
      <c r="U101" s="99" t="str">
        <f t="shared" si="15"/>
        <v>Low</v>
      </c>
      <c r="V101" s="99" t="str">
        <f t="shared" si="16"/>
        <v>Low</v>
      </c>
      <c r="W101" s="99" t="str">
        <f t="shared" si="17"/>
        <v>HLL</v>
      </c>
      <c r="X101" s="99" t="str">
        <f>VLOOKUP(W101,rfm[],2,FALSE)</f>
        <v>🌱 Potential Loyalists</v>
      </c>
      <c r="AA101" s="99" t="s">
        <v>2132</v>
      </c>
      <c r="AB101" s="99" t="s">
        <v>127</v>
      </c>
      <c r="AC101" s="100">
        <v>45960</v>
      </c>
      <c r="AD101" s="101">
        <v>63</v>
      </c>
      <c r="AE101" s="101">
        <v>1</v>
      </c>
      <c r="AF101" s="101">
        <v>5640000</v>
      </c>
      <c r="AG101" s="99" t="str">
        <f>VLOOKUP(AA101,recency!$K$6:$P$818,6,0)</f>
        <v>Low</v>
      </c>
      <c r="AH101" s="132" t="str">
        <f>VLOOKUP(AA101,frequency!$F$6:$H$818,3,FALSE)</f>
        <v>Low</v>
      </c>
      <c r="AI101" s="129" t="str">
        <f>VLOOKUP(AA101,monetary!$B$5:$F$817,5,0)</f>
        <v>Low</v>
      </c>
      <c r="AJ101" s="99" t="str">
        <f t="shared" si="18"/>
        <v>LLL</v>
      </c>
      <c r="AK101" s="99" t="str">
        <f>VLOOKUP(AJ101,rfm[],2,0)</f>
        <v>💤 Lost / Low Value</v>
      </c>
      <c r="AN101" s="99" t="b">
        <f t="shared" si="19"/>
        <v>0</v>
      </c>
    </row>
    <row r="102" spans="2:40" x14ac:dyDescent="0.3">
      <c r="B102" s="99" t="s">
        <v>795</v>
      </c>
      <c r="C102" s="100">
        <v>45672</v>
      </c>
      <c r="D102" s="99" t="s">
        <v>18</v>
      </c>
      <c r="E102" s="99" t="s">
        <v>19</v>
      </c>
      <c r="F102" s="99" t="s">
        <v>20</v>
      </c>
      <c r="G102" s="99">
        <v>36</v>
      </c>
      <c r="H102" s="112">
        <v>500000</v>
      </c>
      <c r="I102" s="112">
        <v>18000000</v>
      </c>
      <c r="J102" s="99" t="s">
        <v>2218</v>
      </c>
      <c r="K102" s="99" t="s">
        <v>47</v>
      </c>
      <c r="N102" s="99" t="s">
        <v>2133</v>
      </c>
      <c r="O102" s="99" t="s">
        <v>60</v>
      </c>
      <c r="P102" s="100">
        <f t="shared" si="11"/>
        <v>45894</v>
      </c>
      <c r="Q102" s="101">
        <f t="shared" si="10"/>
        <v>129</v>
      </c>
      <c r="R102" s="99">
        <f t="shared" si="12"/>
        <v>3</v>
      </c>
      <c r="S102" s="101">
        <f t="shared" si="13"/>
        <v>22650000</v>
      </c>
      <c r="T102" s="99" t="str">
        <f t="shared" si="14"/>
        <v>Low</v>
      </c>
      <c r="U102" s="99" t="str">
        <f t="shared" si="15"/>
        <v>High</v>
      </c>
      <c r="V102" s="99" t="str">
        <f t="shared" si="16"/>
        <v>High</v>
      </c>
      <c r="W102" s="99" t="str">
        <f t="shared" si="17"/>
        <v>LHH</v>
      </c>
      <c r="X102" s="99" t="str">
        <f>VLOOKUP(W102,rfm[],2,FALSE)</f>
        <v>⚠️ At Risk High Value</v>
      </c>
      <c r="AA102" s="99" t="s">
        <v>2133</v>
      </c>
      <c r="AB102" s="99" t="s">
        <v>60</v>
      </c>
      <c r="AC102" s="100">
        <v>45894</v>
      </c>
      <c r="AD102" s="101">
        <v>129</v>
      </c>
      <c r="AE102" s="101">
        <v>3</v>
      </c>
      <c r="AF102" s="101">
        <v>22650000</v>
      </c>
      <c r="AG102" s="99" t="str">
        <f>VLOOKUP(AA102,recency!$K$6:$P$818,6,0)</f>
        <v>Low</v>
      </c>
      <c r="AH102" s="132" t="str">
        <f>VLOOKUP(AA102,frequency!$F$6:$H$818,3,FALSE)</f>
        <v>High</v>
      </c>
      <c r="AI102" s="129" t="str">
        <f>VLOOKUP(AA102,monetary!$B$5:$F$817,5,0)</f>
        <v>Low</v>
      </c>
      <c r="AJ102" s="99" t="str">
        <f t="shared" si="18"/>
        <v>LHL</v>
      </c>
      <c r="AK102" s="99" t="str">
        <f>VLOOKUP(AJ102,rfm[],2,0)</f>
        <v>🔁 Former Loyal Low Spend</v>
      </c>
      <c r="AN102" s="99" t="b">
        <f t="shared" si="19"/>
        <v>0</v>
      </c>
    </row>
    <row r="103" spans="2:40" x14ac:dyDescent="0.3">
      <c r="B103" s="99" t="s">
        <v>810</v>
      </c>
      <c r="C103" s="100">
        <v>45672</v>
      </c>
      <c r="D103" s="99" t="s">
        <v>14</v>
      </c>
      <c r="E103" s="99" t="s">
        <v>15</v>
      </c>
      <c r="F103" s="99" t="s">
        <v>16</v>
      </c>
      <c r="G103" s="99">
        <v>32</v>
      </c>
      <c r="H103" s="112">
        <v>350000</v>
      </c>
      <c r="I103" s="112">
        <v>11200000</v>
      </c>
      <c r="J103" s="99" t="s">
        <v>2332</v>
      </c>
      <c r="K103" s="99" t="s">
        <v>8</v>
      </c>
      <c r="N103" s="99" t="s">
        <v>2134</v>
      </c>
      <c r="O103" s="99" t="s">
        <v>8</v>
      </c>
      <c r="P103" s="100">
        <f t="shared" si="11"/>
        <v>45943</v>
      </c>
      <c r="Q103" s="101">
        <f t="shared" si="10"/>
        <v>80</v>
      </c>
      <c r="R103" s="99">
        <f t="shared" si="12"/>
        <v>2</v>
      </c>
      <c r="S103" s="101">
        <f t="shared" si="13"/>
        <v>14850000</v>
      </c>
      <c r="T103" s="99" t="str">
        <f t="shared" si="14"/>
        <v>High</v>
      </c>
      <c r="U103" s="99" t="str">
        <f t="shared" si="15"/>
        <v>Low</v>
      </c>
      <c r="V103" s="99" t="str">
        <f t="shared" si="16"/>
        <v>Low</v>
      </c>
      <c r="W103" s="99" t="str">
        <f t="shared" si="17"/>
        <v>HLL</v>
      </c>
      <c r="X103" s="99" t="str">
        <f>VLOOKUP(W103,rfm[],2,FALSE)</f>
        <v>🌱 Potential Loyalists</v>
      </c>
      <c r="AA103" s="99" t="s">
        <v>2134</v>
      </c>
      <c r="AB103" s="99" t="s">
        <v>8</v>
      </c>
      <c r="AC103" s="100">
        <v>45943</v>
      </c>
      <c r="AD103" s="101">
        <v>80</v>
      </c>
      <c r="AE103" s="101">
        <v>2</v>
      </c>
      <c r="AF103" s="101">
        <v>14850000</v>
      </c>
      <c r="AG103" s="99" t="str">
        <f>VLOOKUP(AA103,recency!$K$6:$P$818,6,0)</f>
        <v>Low</v>
      </c>
      <c r="AH103" s="132" t="str">
        <f>VLOOKUP(AA103,frequency!$F$6:$H$818,3,FALSE)</f>
        <v>Low</v>
      </c>
      <c r="AI103" s="129" t="str">
        <f>VLOOKUP(AA103,monetary!$B$5:$F$817,5,0)</f>
        <v>Low</v>
      </c>
      <c r="AJ103" s="99" t="str">
        <f t="shared" si="18"/>
        <v>LLL</v>
      </c>
      <c r="AK103" s="99" t="str">
        <f>VLOOKUP(AJ103,rfm[],2,0)</f>
        <v>💤 Lost / Low Value</v>
      </c>
      <c r="AN103" s="99" t="b">
        <f t="shared" si="19"/>
        <v>0</v>
      </c>
    </row>
    <row r="104" spans="2:40" x14ac:dyDescent="0.3">
      <c r="B104" s="99" t="s">
        <v>811</v>
      </c>
      <c r="C104" s="100">
        <v>45672</v>
      </c>
      <c r="D104" s="99" t="s">
        <v>31</v>
      </c>
      <c r="E104" s="99" t="s">
        <v>32</v>
      </c>
      <c r="F104" s="99" t="s">
        <v>20</v>
      </c>
      <c r="G104" s="99">
        <v>21</v>
      </c>
      <c r="H104" s="112">
        <v>180000</v>
      </c>
      <c r="I104" s="112">
        <v>3780000</v>
      </c>
      <c r="J104" s="99" t="s">
        <v>2521</v>
      </c>
      <c r="K104" s="99" t="s">
        <v>8</v>
      </c>
      <c r="N104" s="99" t="s">
        <v>2135</v>
      </c>
      <c r="O104" s="99" t="s">
        <v>8</v>
      </c>
      <c r="P104" s="100">
        <f t="shared" si="11"/>
        <v>45938</v>
      </c>
      <c r="Q104" s="101">
        <f t="shared" si="10"/>
        <v>85</v>
      </c>
      <c r="R104" s="99">
        <f t="shared" si="12"/>
        <v>3</v>
      </c>
      <c r="S104" s="101">
        <f t="shared" si="13"/>
        <v>18300000</v>
      </c>
      <c r="T104" s="99" t="str">
        <f t="shared" si="14"/>
        <v>High</v>
      </c>
      <c r="U104" s="99" t="str">
        <f t="shared" si="15"/>
        <v>High</v>
      </c>
      <c r="V104" s="99" t="str">
        <f t="shared" si="16"/>
        <v>Low</v>
      </c>
      <c r="W104" s="99" t="str">
        <f t="shared" si="17"/>
        <v>HHL</v>
      </c>
      <c r="X104" s="99" t="str">
        <f>VLOOKUP(W104,rfm[],2,FALSE)</f>
        <v>💎 Loyal High Value</v>
      </c>
      <c r="AA104" s="99" t="s">
        <v>2135</v>
      </c>
      <c r="AB104" s="99" t="s">
        <v>8</v>
      </c>
      <c r="AC104" s="100">
        <v>45938</v>
      </c>
      <c r="AD104" s="101">
        <v>85</v>
      </c>
      <c r="AE104" s="101">
        <v>3</v>
      </c>
      <c r="AF104" s="101">
        <v>18300000</v>
      </c>
      <c r="AG104" s="99" t="str">
        <f>VLOOKUP(AA104,recency!$K$6:$P$818,6,0)</f>
        <v>Low</v>
      </c>
      <c r="AH104" s="132" t="str">
        <f>VLOOKUP(AA104,frequency!$F$6:$H$818,3,FALSE)</f>
        <v>High</v>
      </c>
      <c r="AI104" s="129" t="str">
        <f>VLOOKUP(AA104,monetary!$B$5:$F$817,5,0)</f>
        <v>Low</v>
      </c>
      <c r="AJ104" s="99" t="str">
        <f t="shared" si="18"/>
        <v>LHL</v>
      </c>
      <c r="AK104" s="99" t="str">
        <f>VLOOKUP(AJ104,rfm[],2,0)</f>
        <v>🔁 Former Loyal Low Spend</v>
      </c>
      <c r="AN104" s="99" t="b">
        <f t="shared" si="19"/>
        <v>0</v>
      </c>
    </row>
    <row r="105" spans="2:40" x14ac:dyDescent="0.3">
      <c r="B105" s="99" t="s">
        <v>812</v>
      </c>
      <c r="C105" s="100">
        <v>45672</v>
      </c>
      <c r="D105" s="99" t="s">
        <v>28</v>
      </c>
      <c r="E105" s="99" t="s">
        <v>29</v>
      </c>
      <c r="F105" s="99" t="s">
        <v>20</v>
      </c>
      <c r="G105" s="99">
        <v>37</v>
      </c>
      <c r="H105" s="112">
        <v>450000</v>
      </c>
      <c r="I105" s="112">
        <v>16650000</v>
      </c>
      <c r="J105" s="99" t="s">
        <v>2603</v>
      </c>
      <c r="K105" s="99" t="s">
        <v>8</v>
      </c>
      <c r="N105" s="99" t="s">
        <v>2136</v>
      </c>
      <c r="O105" s="99" t="s">
        <v>69</v>
      </c>
      <c r="P105" s="100">
        <f t="shared" si="11"/>
        <v>45952</v>
      </c>
      <c r="Q105" s="101">
        <f t="shared" si="10"/>
        <v>71</v>
      </c>
      <c r="R105" s="99">
        <f t="shared" si="12"/>
        <v>2</v>
      </c>
      <c r="S105" s="101">
        <f t="shared" si="13"/>
        <v>79200000</v>
      </c>
      <c r="T105" s="99" t="str">
        <f t="shared" si="14"/>
        <v>High</v>
      </c>
      <c r="U105" s="99" t="str">
        <f t="shared" si="15"/>
        <v>Low</v>
      </c>
      <c r="V105" s="99" t="str">
        <f t="shared" si="16"/>
        <v>High</v>
      </c>
      <c r="W105" s="99" t="str">
        <f t="shared" si="17"/>
        <v>HLH</v>
      </c>
      <c r="X105" s="99" t="str">
        <f>VLOOKUP(W105,rfm[],2,FALSE)</f>
        <v>🛒 Big Spenders (Occasional)</v>
      </c>
      <c r="AA105" s="99" t="s">
        <v>2136</v>
      </c>
      <c r="AB105" s="99" t="s">
        <v>69</v>
      </c>
      <c r="AC105" s="100">
        <v>45952</v>
      </c>
      <c r="AD105" s="101">
        <v>71</v>
      </c>
      <c r="AE105" s="101">
        <v>2</v>
      </c>
      <c r="AF105" s="101">
        <v>79200000</v>
      </c>
      <c r="AG105" s="99" t="str">
        <f>VLOOKUP(AA105,recency!$K$6:$P$818,6,0)</f>
        <v>Low</v>
      </c>
      <c r="AH105" s="132" t="str">
        <f>VLOOKUP(AA105,frequency!$F$6:$H$818,3,FALSE)</f>
        <v>Low</v>
      </c>
      <c r="AI105" s="129" t="str">
        <f>VLOOKUP(AA105,monetary!$B$5:$F$817,5,0)</f>
        <v>High</v>
      </c>
      <c r="AJ105" s="99" t="str">
        <f t="shared" si="18"/>
        <v>LLH</v>
      </c>
      <c r="AK105" s="99" t="str">
        <f>VLOOKUP(AJ105,rfm[],2,0)</f>
        <v>💸 Lost High Spenders</v>
      </c>
      <c r="AN105" s="99" t="b">
        <f t="shared" si="19"/>
        <v>0</v>
      </c>
    </row>
    <row r="106" spans="2:40" x14ac:dyDescent="0.3">
      <c r="B106" s="99" t="s">
        <v>825</v>
      </c>
      <c r="C106" s="100">
        <v>45672</v>
      </c>
      <c r="D106" s="99" t="s">
        <v>14</v>
      </c>
      <c r="E106" s="99" t="s">
        <v>15</v>
      </c>
      <c r="F106" s="99" t="s">
        <v>16</v>
      </c>
      <c r="G106" s="99">
        <v>44</v>
      </c>
      <c r="H106" s="112">
        <v>350000</v>
      </c>
      <c r="I106" s="112">
        <v>15400000</v>
      </c>
      <c r="J106" s="99" t="s">
        <v>2825</v>
      </c>
      <c r="K106" s="99" t="s">
        <v>127</v>
      </c>
      <c r="N106" s="99" t="s">
        <v>2137</v>
      </c>
      <c r="O106" s="99" t="s">
        <v>47</v>
      </c>
      <c r="P106" s="100">
        <f t="shared" si="11"/>
        <v>45771</v>
      </c>
      <c r="Q106" s="101">
        <f t="shared" si="10"/>
        <v>252</v>
      </c>
      <c r="R106" s="99">
        <f t="shared" si="12"/>
        <v>1</v>
      </c>
      <c r="S106" s="101">
        <f t="shared" si="13"/>
        <v>4440000</v>
      </c>
      <c r="T106" s="99" t="str">
        <f t="shared" si="14"/>
        <v>Low</v>
      </c>
      <c r="U106" s="99" t="str">
        <f t="shared" si="15"/>
        <v>Low</v>
      </c>
      <c r="V106" s="99" t="str">
        <f t="shared" si="16"/>
        <v>Low</v>
      </c>
      <c r="W106" s="99" t="str">
        <f t="shared" si="17"/>
        <v>LLL</v>
      </c>
      <c r="X106" s="99" t="str">
        <f>VLOOKUP(W106,rfm[],2,FALSE)</f>
        <v>💤 Lost / Low Value</v>
      </c>
      <c r="AA106" s="99" t="s">
        <v>2137</v>
      </c>
      <c r="AB106" s="99" t="s">
        <v>47</v>
      </c>
      <c r="AC106" s="100">
        <v>45771</v>
      </c>
      <c r="AD106" s="101">
        <v>252</v>
      </c>
      <c r="AE106" s="101">
        <v>1</v>
      </c>
      <c r="AF106" s="101">
        <v>4440000</v>
      </c>
      <c r="AG106" s="99" t="str">
        <f>VLOOKUP(AA106,recency!$K$6:$P$818,6,0)</f>
        <v>Low</v>
      </c>
      <c r="AH106" s="132" t="str">
        <f>VLOOKUP(AA106,frequency!$F$6:$H$818,3,FALSE)</f>
        <v>Low</v>
      </c>
      <c r="AI106" s="129" t="str">
        <f>VLOOKUP(AA106,monetary!$B$5:$F$817,5,0)</f>
        <v>Low</v>
      </c>
      <c r="AJ106" s="99" t="str">
        <f t="shared" si="18"/>
        <v>LLL</v>
      </c>
      <c r="AK106" s="99" t="str">
        <f>VLOOKUP(AJ106,rfm[],2,0)</f>
        <v>💤 Lost / Low Value</v>
      </c>
      <c r="AN106" s="99" t="b">
        <f t="shared" si="19"/>
        <v>1</v>
      </c>
    </row>
    <row r="107" spans="2:40" x14ac:dyDescent="0.3">
      <c r="B107" s="99" t="s">
        <v>826</v>
      </c>
      <c r="C107" s="100">
        <v>45672</v>
      </c>
      <c r="D107" s="99" t="s">
        <v>44</v>
      </c>
      <c r="E107" s="99" t="s">
        <v>45</v>
      </c>
      <c r="F107" s="99" t="s">
        <v>16</v>
      </c>
      <c r="G107" s="99">
        <v>47</v>
      </c>
      <c r="H107" s="112">
        <v>250000</v>
      </c>
      <c r="I107" s="112">
        <v>11750000</v>
      </c>
      <c r="J107" s="99" t="s">
        <v>2713</v>
      </c>
      <c r="K107" s="99" t="s">
        <v>127</v>
      </c>
      <c r="N107" s="99" t="s">
        <v>2138</v>
      </c>
      <c r="O107" s="99" t="s">
        <v>127</v>
      </c>
      <c r="P107" s="100">
        <f t="shared" si="11"/>
        <v>45890</v>
      </c>
      <c r="Q107" s="101">
        <f t="shared" si="10"/>
        <v>133</v>
      </c>
      <c r="R107" s="99">
        <f t="shared" si="12"/>
        <v>1</v>
      </c>
      <c r="S107" s="101">
        <f t="shared" si="13"/>
        <v>2400000</v>
      </c>
      <c r="T107" s="99" t="str">
        <f t="shared" si="14"/>
        <v>Low</v>
      </c>
      <c r="U107" s="99" t="str">
        <f t="shared" si="15"/>
        <v>Low</v>
      </c>
      <c r="V107" s="99" t="str">
        <f t="shared" si="16"/>
        <v>Low</v>
      </c>
      <c r="W107" s="99" t="str">
        <f t="shared" si="17"/>
        <v>LLL</v>
      </c>
      <c r="X107" s="99" t="str">
        <f>VLOOKUP(W107,rfm[],2,FALSE)</f>
        <v>💤 Lost / Low Value</v>
      </c>
      <c r="AA107" s="99" t="s">
        <v>2138</v>
      </c>
      <c r="AB107" s="99" t="s">
        <v>127</v>
      </c>
      <c r="AC107" s="100">
        <v>45890</v>
      </c>
      <c r="AD107" s="101">
        <v>133</v>
      </c>
      <c r="AE107" s="101">
        <v>1</v>
      </c>
      <c r="AF107" s="101">
        <v>2400000</v>
      </c>
      <c r="AG107" s="99" t="str">
        <f>VLOOKUP(AA107,recency!$K$6:$P$818,6,0)</f>
        <v>Low</v>
      </c>
      <c r="AH107" s="132" t="str">
        <f>VLOOKUP(AA107,frequency!$F$6:$H$818,3,FALSE)</f>
        <v>Low</v>
      </c>
      <c r="AI107" s="129" t="str">
        <f>VLOOKUP(AA107,monetary!$B$5:$F$817,5,0)</f>
        <v>Low</v>
      </c>
      <c r="AJ107" s="99" t="str">
        <f t="shared" si="18"/>
        <v>LLL</v>
      </c>
      <c r="AK107" s="99" t="str">
        <f>VLOOKUP(AJ107,rfm[],2,0)</f>
        <v>💤 Lost / Low Value</v>
      </c>
      <c r="AN107" s="99" t="b">
        <f t="shared" si="19"/>
        <v>1</v>
      </c>
    </row>
    <row r="108" spans="2:40" x14ac:dyDescent="0.3">
      <c r="B108" s="99" t="s">
        <v>827</v>
      </c>
      <c r="C108" s="100">
        <v>45673</v>
      </c>
      <c r="D108" s="99" t="s">
        <v>42</v>
      </c>
      <c r="E108" s="99" t="s">
        <v>43</v>
      </c>
      <c r="F108" s="99" t="s">
        <v>16</v>
      </c>
      <c r="G108" s="99">
        <v>5</v>
      </c>
      <c r="H108" s="112">
        <v>1200000</v>
      </c>
      <c r="I108" s="112">
        <v>6000000</v>
      </c>
      <c r="J108" s="99" t="s">
        <v>2813</v>
      </c>
      <c r="K108" s="99" t="s">
        <v>60</v>
      </c>
      <c r="N108" s="99" t="s">
        <v>2139</v>
      </c>
      <c r="O108" s="99" t="s">
        <v>8</v>
      </c>
      <c r="P108" s="100">
        <f t="shared" si="11"/>
        <v>45988</v>
      </c>
      <c r="Q108" s="101">
        <f t="shared" si="10"/>
        <v>35</v>
      </c>
      <c r="R108" s="99">
        <f t="shared" si="12"/>
        <v>3</v>
      </c>
      <c r="S108" s="101">
        <f t="shared" si="13"/>
        <v>6000000</v>
      </c>
      <c r="T108" s="99" t="str">
        <f t="shared" si="14"/>
        <v>High</v>
      </c>
      <c r="U108" s="99" t="str">
        <f t="shared" si="15"/>
        <v>High</v>
      </c>
      <c r="V108" s="99" t="str">
        <f t="shared" si="16"/>
        <v>Low</v>
      </c>
      <c r="W108" s="99" t="str">
        <f t="shared" si="17"/>
        <v>HHL</v>
      </c>
      <c r="X108" s="99" t="str">
        <f>VLOOKUP(W108,rfm[],2,FALSE)</f>
        <v>💎 Loyal High Value</v>
      </c>
      <c r="AA108" s="99" t="s">
        <v>2139</v>
      </c>
      <c r="AB108" s="99" t="s">
        <v>8</v>
      </c>
      <c r="AC108" s="100">
        <v>45988</v>
      </c>
      <c r="AD108" s="101">
        <v>35</v>
      </c>
      <c r="AE108" s="101">
        <v>3</v>
      </c>
      <c r="AF108" s="101">
        <v>6000000</v>
      </c>
      <c r="AG108" s="99" t="str">
        <f>VLOOKUP(AA108,recency!$K$6:$P$818,6,0)</f>
        <v>High</v>
      </c>
      <c r="AH108" s="132" t="str">
        <f>VLOOKUP(AA108,frequency!$F$6:$H$818,3,FALSE)</f>
        <v>High</v>
      </c>
      <c r="AI108" s="129" t="str">
        <f>VLOOKUP(AA108,monetary!$B$5:$F$817,5,0)</f>
        <v>Low</v>
      </c>
      <c r="AJ108" s="99" t="str">
        <f t="shared" si="18"/>
        <v>HHL</v>
      </c>
      <c r="AK108" s="99" t="str">
        <f>VLOOKUP(AJ108,rfm[],2,0)</f>
        <v>💎 Loyal High Value</v>
      </c>
      <c r="AN108" s="99" t="b">
        <f t="shared" si="19"/>
        <v>1</v>
      </c>
    </row>
    <row r="109" spans="2:40" x14ac:dyDescent="0.3">
      <c r="B109" s="99" t="s">
        <v>854</v>
      </c>
      <c r="C109" s="100">
        <v>45673</v>
      </c>
      <c r="D109" s="99" t="s">
        <v>18</v>
      </c>
      <c r="E109" s="99" t="s">
        <v>19</v>
      </c>
      <c r="F109" s="99" t="s">
        <v>20</v>
      </c>
      <c r="G109" s="99">
        <v>26</v>
      </c>
      <c r="H109" s="112">
        <v>500000</v>
      </c>
      <c r="I109" s="112">
        <v>13000000</v>
      </c>
      <c r="J109" s="99" t="s">
        <v>2588</v>
      </c>
      <c r="K109" s="99" t="s">
        <v>47</v>
      </c>
      <c r="N109" s="99" t="s">
        <v>2140</v>
      </c>
      <c r="O109" s="99" t="s">
        <v>127</v>
      </c>
      <c r="P109" s="100">
        <f t="shared" si="11"/>
        <v>46014</v>
      </c>
      <c r="Q109" s="101">
        <f t="shared" si="10"/>
        <v>9</v>
      </c>
      <c r="R109" s="99">
        <f t="shared" si="12"/>
        <v>3</v>
      </c>
      <c r="S109" s="101">
        <f t="shared" si="13"/>
        <v>20825000</v>
      </c>
      <c r="T109" s="99" t="str">
        <f t="shared" si="14"/>
        <v>High</v>
      </c>
      <c r="U109" s="99" t="str">
        <f t="shared" si="15"/>
        <v>High</v>
      </c>
      <c r="V109" s="99" t="str">
        <f t="shared" si="16"/>
        <v>High</v>
      </c>
      <c r="W109" s="99" t="str">
        <f t="shared" si="17"/>
        <v>HHH</v>
      </c>
      <c r="X109" s="99" t="str">
        <f>VLOOKUP(W109,rfm[],2,FALSE)</f>
        <v>🥇 Champions</v>
      </c>
      <c r="AA109" s="99" t="s">
        <v>2140</v>
      </c>
      <c r="AB109" s="99" t="s">
        <v>127</v>
      </c>
      <c r="AC109" s="100">
        <v>46014</v>
      </c>
      <c r="AD109" s="101">
        <v>9</v>
      </c>
      <c r="AE109" s="101">
        <v>3</v>
      </c>
      <c r="AF109" s="101">
        <v>20825000</v>
      </c>
      <c r="AG109" s="99" t="str">
        <f>VLOOKUP(AA109,recency!$K$6:$P$818,6,0)</f>
        <v>High</v>
      </c>
      <c r="AH109" s="132" t="str">
        <f>VLOOKUP(AA109,frequency!$F$6:$H$818,3,FALSE)</f>
        <v>High</v>
      </c>
      <c r="AI109" s="129" t="str">
        <f>VLOOKUP(AA109,monetary!$B$5:$F$817,5,0)</f>
        <v>Low</v>
      </c>
      <c r="AJ109" s="99" t="str">
        <f t="shared" si="18"/>
        <v>HHL</v>
      </c>
      <c r="AK109" s="99" t="str">
        <f>VLOOKUP(AJ109,rfm[],2,0)</f>
        <v>💎 Loyal High Value</v>
      </c>
      <c r="AN109" s="99" t="b">
        <f t="shared" si="19"/>
        <v>0</v>
      </c>
    </row>
    <row r="110" spans="2:40" x14ac:dyDescent="0.3">
      <c r="B110" s="99" t="s">
        <v>855</v>
      </c>
      <c r="C110" s="100">
        <v>45673</v>
      </c>
      <c r="D110" s="99" t="s">
        <v>18</v>
      </c>
      <c r="E110" s="99" t="s">
        <v>19</v>
      </c>
      <c r="F110" s="99" t="s">
        <v>20</v>
      </c>
      <c r="G110" s="99">
        <v>29</v>
      </c>
      <c r="H110" s="112">
        <v>500000</v>
      </c>
      <c r="I110" s="112">
        <v>14500000</v>
      </c>
      <c r="J110" s="99" t="s">
        <v>2263</v>
      </c>
      <c r="K110" s="99" t="s">
        <v>8</v>
      </c>
      <c r="N110" s="99" t="s">
        <v>2141</v>
      </c>
      <c r="O110" s="99" t="s">
        <v>8</v>
      </c>
      <c r="P110" s="100">
        <f t="shared" si="11"/>
        <v>46022</v>
      </c>
      <c r="Q110" s="101">
        <f t="shared" si="10"/>
        <v>1</v>
      </c>
      <c r="R110" s="99">
        <f t="shared" si="12"/>
        <v>2</v>
      </c>
      <c r="S110" s="101">
        <f t="shared" si="13"/>
        <v>7550000</v>
      </c>
      <c r="T110" s="99" t="str">
        <f t="shared" si="14"/>
        <v>High</v>
      </c>
      <c r="U110" s="99" t="str">
        <f t="shared" si="15"/>
        <v>Low</v>
      </c>
      <c r="V110" s="99" t="str">
        <f t="shared" si="16"/>
        <v>Low</v>
      </c>
      <c r="W110" s="99" t="str">
        <f t="shared" si="17"/>
        <v>HLL</v>
      </c>
      <c r="X110" s="99" t="str">
        <f>VLOOKUP(W110,rfm[],2,FALSE)</f>
        <v>🌱 Potential Loyalists</v>
      </c>
      <c r="AA110" s="99" t="s">
        <v>2141</v>
      </c>
      <c r="AB110" s="99" t="s">
        <v>8</v>
      </c>
      <c r="AC110" s="100">
        <v>46022</v>
      </c>
      <c r="AD110" s="101">
        <v>1</v>
      </c>
      <c r="AE110" s="101">
        <v>2</v>
      </c>
      <c r="AF110" s="101">
        <v>7550000</v>
      </c>
      <c r="AG110" s="99" t="str">
        <f>VLOOKUP(AA110,recency!$K$6:$P$818,6,0)</f>
        <v>High</v>
      </c>
      <c r="AH110" s="132" t="str">
        <f>VLOOKUP(AA110,frequency!$F$6:$H$818,3,FALSE)</f>
        <v>Low</v>
      </c>
      <c r="AI110" s="129" t="str">
        <f>VLOOKUP(AA110,monetary!$B$5:$F$817,5,0)</f>
        <v>Low</v>
      </c>
      <c r="AJ110" s="99" t="str">
        <f t="shared" si="18"/>
        <v>HLL</v>
      </c>
      <c r="AK110" s="99" t="str">
        <f>VLOOKUP(AJ110,rfm[],2,0)</f>
        <v>🌱 Potential Loyalists</v>
      </c>
      <c r="AN110" s="99" t="b">
        <f t="shared" si="19"/>
        <v>1</v>
      </c>
    </row>
    <row r="111" spans="2:40" x14ac:dyDescent="0.3">
      <c r="B111" s="99" t="s">
        <v>864</v>
      </c>
      <c r="C111" s="100">
        <v>45673</v>
      </c>
      <c r="D111" s="99" t="s">
        <v>38</v>
      </c>
      <c r="E111" s="99" t="s">
        <v>39</v>
      </c>
      <c r="F111" s="99" t="s">
        <v>16</v>
      </c>
      <c r="G111" s="99">
        <v>42</v>
      </c>
      <c r="H111" s="112">
        <v>200000</v>
      </c>
      <c r="I111" s="112">
        <v>8400000</v>
      </c>
      <c r="J111" s="99" t="s">
        <v>2192</v>
      </c>
      <c r="K111" s="99" t="s">
        <v>8</v>
      </c>
      <c r="N111" s="99" t="s">
        <v>2142</v>
      </c>
      <c r="O111" s="99" t="s">
        <v>8</v>
      </c>
      <c r="P111" s="100">
        <f t="shared" si="11"/>
        <v>45943</v>
      </c>
      <c r="Q111" s="101">
        <f t="shared" si="10"/>
        <v>80</v>
      </c>
      <c r="R111" s="99">
        <f t="shared" si="12"/>
        <v>3</v>
      </c>
      <c r="S111" s="101">
        <f t="shared" si="13"/>
        <v>24040000</v>
      </c>
      <c r="T111" s="99" t="str">
        <f t="shared" si="14"/>
        <v>High</v>
      </c>
      <c r="U111" s="99" t="str">
        <f t="shared" si="15"/>
        <v>High</v>
      </c>
      <c r="V111" s="99" t="str">
        <f t="shared" si="16"/>
        <v>High</v>
      </c>
      <c r="W111" s="99" t="str">
        <f t="shared" si="17"/>
        <v>HHH</v>
      </c>
      <c r="X111" s="99" t="str">
        <f>VLOOKUP(W111,rfm[],2,FALSE)</f>
        <v>🥇 Champions</v>
      </c>
      <c r="AA111" s="99" t="s">
        <v>2142</v>
      </c>
      <c r="AB111" s="99" t="s">
        <v>8</v>
      </c>
      <c r="AC111" s="100">
        <v>45943</v>
      </c>
      <c r="AD111" s="101">
        <v>80</v>
      </c>
      <c r="AE111" s="101">
        <v>3</v>
      </c>
      <c r="AF111" s="101">
        <v>24040000</v>
      </c>
      <c r="AG111" s="99" t="str">
        <f>VLOOKUP(AA111,recency!$K$6:$P$818,6,0)</f>
        <v>Low</v>
      </c>
      <c r="AH111" s="132" t="str">
        <f>VLOOKUP(AA111,frequency!$F$6:$H$818,3,FALSE)</f>
        <v>High</v>
      </c>
      <c r="AI111" s="129" t="str">
        <f>VLOOKUP(AA111,monetary!$B$5:$F$817,5,0)</f>
        <v>Low</v>
      </c>
      <c r="AJ111" s="99" t="str">
        <f t="shared" si="18"/>
        <v>LHL</v>
      </c>
      <c r="AK111" s="99" t="str">
        <f>VLOOKUP(AJ111,rfm[],2,0)</f>
        <v>🔁 Former Loyal Low Spend</v>
      </c>
      <c r="AN111" s="99" t="b">
        <f t="shared" si="19"/>
        <v>0</v>
      </c>
    </row>
    <row r="112" spans="2:40" x14ac:dyDescent="0.3">
      <c r="B112" s="99" t="s">
        <v>879</v>
      </c>
      <c r="C112" s="100">
        <v>45673</v>
      </c>
      <c r="D112" s="99" t="s">
        <v>14</v>
      </c>
      <c r="E112" s="99" t="s">
        <v>15</v>
      </c>
      <c r="F112" s="99" t="s">
        <v>16</v>
      </c>
      <c r="G112" s="99">
        <v>32</v>
      </c>
      <c r="H112" s="112">
        <v>350000</v>
      </c>
      <c r="I112" s="112">
        <v>11200000</v>
      </c>
      <c r="J112" s="99" t="s">
        <v>2308</v>
      </c>
      <c r="K112" s="99" t="s">
        <v>60</v>
      </c>
      <c r="N112" s="99" t="s">
        <v>2143</v>
      </c>
      <c r="O112" s="99" t="s">
        <v>8</v>
      </c>
      <c r="P112" s="100">
        <f t="shared" si="11"/>
        <v>45972</v>
      </c>
      <c r="Q112" s="101">
        <f t="shared" si="10"/>
        <v>51</v>
      </c>
      <c r="R112" s="99">
        <f t="shared" si="12"/>
        <v>2</v>
      </c>
      <c r="S112" s="101">
        <f t="shared" si="13"/>
        <v>12725000</v>
      </c>
      <c r="T112" s="99" t="str">
        <f t="shared" si="14"/>
        <v>High</v>
      </c>
      <c r="U112" s="99" t="str">
        <f t="shared" si="15"/>
        <v>Low</v>
      </c>
      <c r="V112" s="99" t="str">
        <f t="shared" si="16"/>
        <v>Low</v>
      </c>
      <c r="W112" s="99" t="str">
        <f t="shared" si="17"/>
        <v>HLL</v>
      </c>
      <c r="X112" s="99" t="str">
        <f>VLOOKUP(W112,rfm[],2,FALSE)</f>
        <v>🌱 Potential Loyalists</v>
      </c>
      <c r="AA112" s="99" t="s">
        <v>2143</v>
      </c>
      <c r="AB112" s="99" t="s">
        <v>8</v>
      </c>
      <c r="AC112" s="100">
        <v>45972</v>
      </c>
      <c r="AD112" s="101">
        <v>51</v>
      </c>
      <c r="AE112" s="101">
        <v>2</v>
      </c>
      <c r="AF112" s="101">
        <v>12725000</v>
      </c>
      <c r="AG112" s="99" t="str">
        <f>VLOOKUP(AA112,recency!$K$6:$P$818,6,0)</f>
        <v>High</v>
      </c>
      <c r="AH112" s="132" t="str">
        <f>VLOOKUP(AA112,frequency!$F$6:$H$818,3,FALSE)</f>
        <v>Low</v>
      </c>
      <c r="AI112" s="129" t="str">
        <f>VLOOKUP(AA112,monetary!$B$5:$F$817,5,0)</f>
        <v>Low</v>
      </c>
      <c r="AJ112" s="99" t="str">
        <f t="shared" si="18"/>
        <v>HLL</v>
      </c>
      <c r="AK112" s="99" t="str">
        <f>VLOOKUP(AJ112,rfm[],2,0)</f>
        <v>🌱 Potential Loyalists</v>
      </c>
      <c r="AN112" s="99" t="b">
        <f t="shared" si="19"/>
        <v>1</v>
      </c>
    </row>
    <row r="113" spans="2:40" x14ac:dyDescent="0.3">
      <c r="B113" s="99" t="s">
        <v>880</v>
      </c>
      <c r="C113" s="100">
        <v>45673</v>
      </c>
      <c r="D113" s="99" t="s">
        <v>44</v>
      </c>
      <c r="E113" s="99" t="s">
        <v>45</v>
      </c>
      <c r="F113" s="99" t="s">
        <v>16</v>
      </c>
      <c r="G113" s="99">
        <v>27</v>
      </c>
      <c r="H113" s="112">
        <v>250000</v>
      </c>
      <c r="I113" s="112">
        <v>6750000</v>
      </c>
      <c r="J113" s="99" t="s">
        <v>692</v>
      </c>
      <c r="K113" s="99" t="s">
        <v>8</v>
      </c>
      <c r="N113" s="99" t="s">
        <v>2144</v>
      </c>
      <c r="O113" s="99" t="s">
        <v>69</v>
      </c>
      <c r="P113" s="100">
        <f t="shared" si="11"/>
        <v>45835</v>
      </c>
      <c r="Q113" s="101">
        <f t="shared" si="10"/>
        <v>188</v>
      </c>
      <c r="R113" s="99">
        <f t="shared" si="12"/>
        <v>3</v>
      </c>
      <c r="S113" s="101">
        <f t="shared" si="13"/>
        <v>65470000</v>
      </c>
      <c r="T113" s="99" t="str">
        <f t="shared" si="14"/>
        <v>Low</v>
      </c>
      <c r="U113" s="99" t="str">
        <f t="shared" si="15"/>
        <v>High</v>
      </c>
      <c r="V113" s="99" t="str">
        <f t="shared" si="16"/>
        <v>High</v>
      </c>
      <c r="W113" s="99" t="str">
        <f t="shared" si="17"/>
        <v>LHH</v>
      </c>
      <c r="X113" s="99" t="str">
        <f>VLOOKUP(W113,rfm[],2,FALSE)</f>
        <v>⚠️ At Risk High Value</v>
      </c>
      <c r="AA113" s="99" t="s">
        <v>2144</v>
      </c>
      <c r="AB113" s="99" t="s">
        <v>69</v>
      </c>
      <c r="AC113" s="100">
        <v>45835</v>
      </c>
      <c r="AD113" s="101">
        <v>188</v>
      </c>
      <c r="AE113" s="101">
        <v>3</v>
      </c>
      <c r="AF113" s="101">
        <v>65470000</v>
      </c>
      <c r="AG113" s="99" t="str">
        <f>VLOOKUP(AA113,recency!$K$6:$P$818,6,0)</f>
        <v>Low</v>
      </c>
      <c r="AH113" s="132" t="str">
        <f>VLOOKUP(AA113,frequency!$F$6:$H$818,3,FALSE)</f>
        <v>High</v>
      </c>
      <c r="AI113" s="129" t="str">
        <f>VLOOKUP(AA113,monetary!$B$5:$F$817,5,0)</f>
        <v>High</v>
      </c>
      <c r="AJ113" s="99" t="str">
        <f t="shared" si="18"/>
        <v>LHH</v>
      </c>
      <c r="AK113" s="99" t="str">
        <f>VLOOKUP(AJ113,rfm[],2,0)</f>
        <v>⚠️ At Risk High Value</v>
      </c>
      <c r="AN113" s="99" t="b">
        <f t="shared" si="19"/>
        <v>1</v>
      </c>
    </row>
    <row r="114" spans="2:40" x14ac:dyDescent="0.3">
      <c r="B114" s="99" t="s">
        <v>881</v>
      </c>
      <c r="C114" s="100">
        <v>45673</v>
      </c>
      <c r="D114" s="99" t="s">
        <v>44</v>
      </c>
      <c r="E114" s="99" t="s">
        <v>45</v>
      </c>
      <c r="F114" s="99" t="s">
        <v>16</v>
      </c>
      <c r="G114" s="99">
        <v>37</v>
      </c>
      <c r="H114" s="112">
        <v>250000</v>
      </c>
      <c r="I114" s="112">
        <v>9250000</v>
      </c>
      <c r="J114" s="99" t="s">
        <v>2745</v>
      </c>
      <c r="K114" s="99" t="s">
        <v>47</v>
      </c>
      <c r="N114" s="99" t="s">
        <v>2145</v>
      </c>
      <c r="O114" s="99" t="s">
        <v>69</v>
      </c>
      <c r="P114" s="100">
        <f t="shared" si="11"/>
        <v>45687</v>
      </c>
      <c r="Q114" s="101">
        <f t="shared" si="10"/>
        <v>336</v>
      </c>
      <c r="R114" s="99">
        <f t="shared" si="12"/>
        <v>1</v>
      </c>
      <c r="S114" s="101">
        <f t="shared" si="13"/>
        <v>2600000</v>
      </c>
      <c r="T114" s="99" t="str">
        <f t="shared" si="14"/>
        <v>Low</v>
      </c>
      <c r="U114" s="99" t="str">
        <f t="shared" si="15"/>
        <v>Low</v>
      </c>
      <c r="V114" s="99" t="str">
        <f t="shared" si="16"/>
        <v>Low</v>
      </c>
      <c r="W114" s="99" t="str">
        <f t="shared" si="17"/>
        <v>LLL</v>
      </c>
      <c r="X114" s="99" t="str">
        <f>VLOOKUP(W114,rfm[],2,FALSE)</f>
        <v>💤 Lost / Low Value</v>
      </c>
      <c r="AA114" s="99" t="s">
        <v>2145</v>
      </c>
      <c r="AB114" s="99" t="s">
        <v>69</v>
      </c>
      <c r="AC114" s="100">
        <v>45687</v>
      </c>
      <c r="AD114" s="101">
        <v>336</v>
      </c>
      <c r="AE114" s="101">
        <v>1</v>
      </c>
      <c r="AF114" s="101">
        <v>2600000</v>
      </c>
      <c r="AG114" s="99" t="str">
        <f>VLOOKUP(AA114,recency!$K$6:$P$818,6,0)</f>
        <v>Low</v>
      </c>
      <c r="AH114" s="132" t="str">
        <f>VLOOKUP(AA114,frequency!$F$6:$H$818,3,FALSE)</f>
        <v>Low</v>
      </c>
      <c r="AI114" s="129" t="str">
        <f>VLOOKUP(AA114,monetary!$B$5:$F$817,5,0)</f>
        <v>Low</v>
      </c>
      <c r="AJ114" s="99" t="str">
        <f t="shared" si="18"/>
        <v>LLL</v>
      </c>
      <c r="AK114" s="99" t="str">
        <f>VLOOKUP(AJ114,rfm[],2,0)</f>
        <v>💤 Lost / Low Value</v>
      </c>
      <c r="AN114" s="99" t="b">
        <f t="shared" si="19"/>
        <v>1</v>
      </c>
    </row>
    <row r="115" spans="2:40" x14ac:dyDescent="0.3">
      <c r="B115" s="99" t="s">
        <v>925</v>
      </c>
      <c r="C115" s="100">
        <v>45673</v>
      </c>
      <c r="D115" s="99" t="s">
        <v>31</v>
      </c>
      <c r="E115" s="99" t="s">
        <v>32</v>
      </c>
      <c r="F115" s="99" t="s">
        <v>20</v>
      </c>
      <c r="G115" s="99">
        <v>30</v>
      </c>
      <c r="H115" s="112">
        <v>180000</v>
      </c>
      <c r="I115" s="112">
        <v>5400000</v>
      </c>
      <c r="J115" s="99" t="s">
        <v>2355</v>
      </c>
      <c r="K115" s="99" t="s">
        <v>47</v>
      </c>
      <c r="N115" s="99" t="s">
        <v>2146</v>
      </c>
      <c r="O115" s="99" t="s">
        <v>69</v>
      </c>
      <c r="P115" s="100">
        <f t="shared" si="11"/>
        <v>45982</v>
      </c>
      <c r="Q115" s="101">
        <f t="shared" si="10"/>
        <v>41</v>
      </c>
      <c r="R115" s="99">
        <f t="shared" si="12"/>
        <v>2</v>
      </c>
      <c r="S115" s="101">
        <f t="shared" si="13"/>
        <v>16450000</v>
      </c>
      <c r="T115" s="99" t="str">
        <f t="shared" si="14"/>
        <v>High</v>
      </c>
      <c r="U115" s="99" t="str">
        <f t="shared" si="15"/>
        <v>Low</v>
      </c>
      <c r="V115" s="99" t="str">
        <f t="shared" si="16"/>
        <v>Low</v>
      </c>
      <c r="W115" s="99" t="str">
        <f t="shared" si="17"/>
        <v>HLL</v>
      </c>
      <c r="X115" s="99" t="str">
        <f>VLOOKUP(W115,rfm[],2,FALSE)</f>
        <v>🌱 Potential Loyalists</v>
      </c>
      <c r="AA115" s="99" t="s">
        <v>2146</v>
      </c>
      <c r="AB115" s="99" t="s">
        <v>69</v>
      </c>
      <c r="AC115" s="100">
        <v>45982</v>
      </c>
      <c r="AD115" s="101">
        <v>41</v>
      </c>
      <c r="AE115" s="101">
        <v>2</v>
      </c>
      <c r="AF115" s="101">
        <v>16450000</v>
      </c>
      <c r="AG115" s="99" t="str">
        <f>VLOOKUP(AA115,recency!$K$6:$P$818,6,0)</f>
        <v>High</v>
      </c>
      <c r="AH115" s="132" t="str">
        <f>VLOOKUP(AA115,frequency!$F$6:$H$818,3,FALSE)</f>
        <v>Low</v>
      </c>
      <c r="AI115" s="129" t="str">
        <f>VLOOKUP(AA115,monetary!$B$5:$F$817,5,0)</f>
        <v>Low</v>
      </c>
      <c r="AJ115" s="99" t="str">
        <f t="shared" si="18"/>
        <v>HLL</v>
      </c>
      <c r="AK115" s="99" t="str">
        <f>VLOOKUP(AJ115,rfm[],2,0)</f>
        <v>🌱 Potential Loyalists</v>
      </c>
      <c r="AN115" s="99" t="b">
        <f t="shared" si="19"/>
        <v>1</v>
      </c>
    </row>
    <row r="116" spans="2:40" x14ac:dyDescent="0.3">
      <c r="B116" s="99" t="s">
        <v>926</v>
      </c>
      <c r="C116" s="100">
        <v>45673</v>
      </c>
      <c r="D116" s="99" t="s">
        <v>18</v>
      </c>
      <c r="E116" s="99" t="s">
        <v>19</v>
      </c>
      <c r="F116" s="99" t="s">
        <v>20</v>
      </c>
      <c r="G116" s="99">
        <v>35</v>
      </c>
      <c r="H116" s="112">
        <v>500000</v>
      </c>
      <c r="I116" s="112">
        <v>17500000</v>
      </c>
      <c r="J116" s="99" t="s">
        <v>339</v>
      </c>
      <c r="K116" s="99" t="s">
        <v>47</v>
      </c>
      <c r="N116" s="99" t="s">
        <v>2147</v>
      </c>
      <c r="O116" s="99" t="s">
        <v>60</v>
      </c>
      <c r="P116" s="100">
        <f t="shared" si="11"/>
        <v>45931</v>
      </c>
      <c r="Q116" s="101">
        <f t="shared" si="10"/>
        <v>92</v>
      </c>
      <c r="R116" s="99">
        <f t="shared" si="12"/>
        <v>1</v>
      </c>
      <c r="S116" s="101">
        <f t="shared" si="13"/>
        <v>15500000</v>
      </c>
      <c r="T116" s="99" t="str">
        <f t="shared" si="14"/>
        <v>High</v>
      </c>
      <c r="U116" s="99" t="str">
        <f t="shared" si="15"/>
        <v>Low</v>
      </c>
      <c r="V116" s="99" t="str">
        <f t="shared" si="16"/>
        <v>Low</v>
      </c>
      <c r="W116" s="99" t="str">
        <f t="shared" si="17"/>
        <v>HLL</v>
      </c>
      <c r="X116" s="99" t="str">
        <f>VLOOKUP(W116,rfm[],2,FALSE)</f>
        <v>🌱 Potential Loyalists</v>
      </c>
      <c r="AA116" s="99" t="s">
        <v>2147</v>
      </c>
      <c r="AB116" s="99" t="s">
        <v>60</v>
      </c>
      <c r="AC116" s="100">
        <v>45931</v>
      </c>
      <c r="AD116" s="101">
        <v>92</v>
      </c>
      <c r="AE116" s="101">
        <v>1</v>
      </c>
      <c r="AF116" s="101">
        <v>15500000</v>
      </c>
      <c r="AG116" s="99" t="str">
        <f>VLOOKUP(AA116,recency!$K$6:$P$818,6,0)</f>
        <v>Low</v>
      </c>
      <c r="AH116" s="132" t="str">
        <f>VLOOKUP(AA116,frequency!$F$6:$H$818,3,FALSE)</f>
        <v>Low</v>
      </c>
      <c r="AI116" s="129" t="str">
        <f>VLOOKUP(AA116,monetary!$B$5:$F$817,5,0)</f>
        <v>Low</v>
      </c>
      <c r="AJ116" s="99" t="str">
        <f t="shared" si="18"/>
        <v>LLL</v>
      </c>
      <c r="AK116" s="99" t="str">
        <f>VLOOKUP(AJ116,rfm[],2,0)</f>
        <v>💤 Lost / Low Value</v>
      </c>
      <c r="AN116" s="99" t="b">
        <f t="shared" si="19"/>
        <v>0</v>
      </c>
    </row>
    <row r="117" spans="2:40" x14ac:dyDescent="0.3">
      <c r="B117" s="99" t="s">
        <v>927</v>
      </c>
      <c r="C117" s="100">
        <v>45673</v>
      </c>
      <c r="D117" s="99" t="s">
        <v>10</v>
      </c>
      <c r="E117" s="99" t="s">
        <v>11</v>
      </c>
      <c r="F117" s="99" t="s">
        <v>12</v>
      </c>
      <c r="G117" s="99">
        <v>16</v>
      </c>
      <c r="H117" s="112">
        <v>120000</v>
      </c>
      <c r="I117" s="112">
        <v>1920000</v>
      </c>
      <c r="J117" s="99" t="s">
        <v>2678</v>
      </c>
      <c r="K117" s="99" t="s">
        <v>47</v>
      </c>
      <c r="N117" s="99" t="s">
        <v>2148</v>
      </c>
      <c r="O117" s="99" t="s">
        <v>127</v>
      </c>
      <c r="P117" s="100">
        <f t="shared" si="11"/>
        <v>45875</v>
      </c>
      <c r="Q117" s="101">
        <f t="shared" si="10"/>
        <v>148</v>
      </c>
      <c r="R117" s="99">
        <f t="shared" si="12"/>
        <v>4</v>
      </c>
      <c r="S117" s="101">
        <f t="shared" si="13"/>
        <v>28970000</v>
      </c>
      <c r="T117" s="99" t="str">
        <f t="shared" si="14"/>
        <v>Low</v>
      </c>
      <c r="U117" s="99" t="str">
        <f t="shared" si="15"/>
        <v>High</v>
      </c>
      <c r="V117" s="99" t="str">
        <f t="shared" si="16"/>
        <v>High</v>
      </c>
      <c r="W117" s="99" t="str">
        <f t="shared" si="17"/>
        <v>LHH</v>
      </c>
      <c r="X117" s="99" t="str">
        <f>VLOOKUP(W117,rfm[],2,FALSE)</f>
        <v>⚠️ At Risk High Value</v>
      </c>
      <c r="AA117" s="99" t="s">
        <v>2148</v>
      </c>
      <c r="AB117" s="99" t="s">
        <v>127</v>
      </c>
      <c r="AC117" s="100">
        <v>45875</v>
      </c>
      <c r="AD117" s="101">
        <v>148</v>
      </c>
      <c r="AE117" s="101">
        <v>4</v>
      </c>
      <c r="AF117" s="101">
        <v>28970000</v>
      </c>
      <c r="AG117" s="99" t="str">
        <f>VLOOKUP(AA117,recency!$K$6:$P$818,6,0)</f>
        <v>Low</v>
      </c>
      <c r="AH117" s="132" t="str">
        <f>VLOOKUP(AA117,frequency!$F$6:$H$818,3,FALSE)</f>
        <v>High</v>
      </c>
      <c r="AI117" s="129" t="str">
        <f>VLOOKUP(AA117,monetary!$B$5:$F$817,5,0)</f>
        <v>Low</v>
      </c>
      <c r="AJ117" s="99" t="str">
        <f t="shared" si="18"/>
        <v>LHL</v>
      </c>
      <c r="AK117" s="99" t="str">
        <f>VLOOKUP(AJ117,rfm[],2,0)</f>
        <v>🔁 Former Loyal Low Spend</v>
      </c>
      <c r="AN117" s="99" t="b">
        <f t="shared" si="19"/>
        <v>0</v>
      </c>
    </row>
    <row r="118" spans="2:40" x14ac:dyDescent="0.3">
      <c r="B118" s="99" t="s">
        <v>928</v>
      </c>
      <c r="C118" s="100">
        <v>45673</v>
      </c>
      <c r="D118" s="99" t="s">
        <v>28</v>
      </c>
      <c r="E118" s="99" t="s">
        <v>29</v>
      </c>
      <c r="F118" s="99" t="s">
        <v>20</v>
      </c>
      <c r="G118" s="99">
        <v>160</v>
      </c>
      <c r="H118" s="112">
        <v>450000</v>
      </c>
      <c r="I118" s="112">
        <v>72000000</v>
      </c>
      <c r="J118" s="99" t="s">
        <v>2299</v>
      </c>
      <c r="K118" s="99" t="s">
        <v>127</v>
      </c>
      <c r="N118" s="99" t="s">
        <v>2149</v>
      </c>
      <c r="O118" s="99" t="s">
        <v>127</v>
      </c>
      <c r="P118" s="100">
        <f t="shared" si="11"/>
        <v>46016</v>
      </c>
      <c r="Q118" s="101">
        <f t="shared" si="10"/>
        <v>7</v>
      </c>
      <c r="R118" s="99">
        <f t="shared" si="12"/>
        <v>9</v>
      </c>
      <c r="S118" s="101">
        <f t="shared" si="13"/>
        <v>914250000</v>
      </c>
      <c r="T118" s="99" t="str">
        <f t="shared" si="14"/>
        <v>High</v>
      </c>
      <c r="U118" s="99" t="str">
        <f t="shared" si="15"/>
        <v>High</v>
      </c>
      <c r="V118" s="99" t="str">
        <f t="shared" si="16"/>
        <v>High</v>
      </c>
      <c r="W118" s="99" t="str">
        <f t="shared" si="17"/>
        <v>HHH</v>
      </c>
      <c r="X118" s="99" t="str">
        <f>VLOOKUP(W118,rfm[],2,FALSE)</f>
        <v>🥇 Champions</v>
      </c>
      <c r="AA118" s="99" t="s">
        <v>2149</v>
      </c>
      <c r="AB118" s="99" t="s">
        <v>127</v>
      </c>
      <c r="AC118" s="100">
        <v>46016</v>
      </c>
      <c r="AD118" s="101">
        <v>7</v>
      </c>
      <c r="AE118" s="101">
        <v>9</v>
      </c>
      <c r="AF118" s="101">
        <v>914250000</v>
      </c>
      <c r="AG118" s="99" t="str">
        <f>VLOOKUP(AA118,recency!$K$6:$P$818,6,0)</f>
        <v>High</v>
      </c>
      <c r="AH118" s="132" t="str">
        <f>VLOOKUP(AA118,frequency!$F$6:$H$818,3,FALSE)</f>
        <v>High</v>
      </c>
      <c r="AI118" s="129" t="str">
        <f>VLOOKUP(AA118,monetary!$B$5:$F$817,5,0)</f>
        <v>High</v>
      </c>
      <c r="AJ118" s="99" t="str">
        <f t="shared" si="18"/>
        <v>HHH</v>
      </c>
      <c r="AK118" s="99" t="str">
        <f>VLOOKUP(AJ118,rfm[],2,0)</f>
        <v>🥇 Champions</v>
      </c>
      <c r="AN118" s="99" t="b">
        <f t="shared" si="19"/>
        <v>1</v>
      </c>
    </row>
    <row r="119" spans="2:40" x14ac:dyDescent="0.3">
      <c r="B119" s="99" t="s">
        <v>969</v>
      </c>
      <c r="C119" s="100">
        <v>45674</v>
      </c>
      <c r="D119" s="99" t="s">
        <v>18</v>
      </c>
      <c r="E119" s="99" t="s">
        <v>19</v>
      </c>
      <c r="F119" s="99" t="s">
        <v>20</v>
      </c>
      <c r="G119" s="99">
        <v>16</v>
      </c>
      <c r="H119" s="112">
        <v>500000</v>
      </c>
      <c r="I119" s="112">
        <v>8000000</v>
      </c>
      <c r="J119" s="99" t="s">
        <v>2163</v>
      </c>
      <c r="K119" s="99" t="s">
        <v>127</v>
      </c>
      <c r="N119" s="99" t="s">
        <v>2150</v>
      </c>
      <c r="O119" s="99" t="s">
        <v>127</v>
      </c>
      <c r="P119" s="100">
        <f t="shared" si="11"/>
        <v>45987</v>
      </c>
      <c r="Q119" s="101">
        <f t="shared" si="10"/>
        <v>36</v>
      </c>
      <c r="R119" s="99">
        <f t="shared" si="12"/>
        <v>2</v>
      </c>
      <c r="S119" s="101">
        <f t="shared" si="13"/>
        <v>41300000</v>
      </c>
      <c r="T119" s="99" t="str">
        <f t="shared" si="14"/>
        <v>High</v>
      </c>
      <c r="U119" s="99" t="str">
        <f t="shared" si="15"/>
        <v>Low</v>
      </c>
      <c r="V119" s="99" t="str">
        <f t="shared" si="16"/>
        <v>High</v>
      </c>
      <c r="W119" s="99" t="str">
        <f t="shared" si="17"/>
        <v>HLH</v>
      </c>
      <c r="X119" s="99" t="str">
        <f>VLOOKUP(W119,rfm[],2,FALSE)</f>
        <v>🛒 Big Spenders (Occasional)</v>
      </c>
      <c r="AA119" s="99" t="s">
        <v>2150</v>
      </c>
      <c r="AB119" s="99" t="s">
        <v>127</v>
      </c>
      <c r="AC119" s="100">
        <v>45987</v>
      </c>
      <c r="AD119" s="101">
        <v>36</v>
      </c>
      <c r="AE119" s="101">
        <v>2</v>
      </c>
      <c r="AF119" s="101">
        <v>41300000</v>
      </c>
      <c r="AG119" s="99" t="str">
        <f>VLOOKUP(AA119,recency!$K$6:$P$818,6,0)</f>
        <v>High</v>
      </c>
      <c r="AH119" s="132" t="str">
        <f>VLOOKUP(AA119,frequency!$F$6:$H$818,3,FALSE)</f>
        <v>Low</v>
      </c>
      <c r="AI119" s="129" t="str">
        <f>VLOOKUP(AA119,monetary!$B$5:$F$817,5,0)</f>
        <v>Low</v>
      </c>
      <c r="AJ119" s="99" t="str">
        <f t="shared" si="18"/>
        <v>HLL</v>
      </c>
      <c r="AK119" s="99" t="str">
        <f>VLOOKUP(AJ119,rfm[],2,0)</f>
        <v>🌱 Potential Loyalists</v>
      </c>
      <c r="AN119" s="99" t="b">
        <f t="shared" si="19"/>
        <v>0</v>
      </c>
    </row>
    <row r="120" spans="2:40" x14ac:dyDescent="0.3">
      <c r="B120" s="99" t="s">
        <v>970</v>
      </c>
      <c r="C120" s="100">
        <v>45674</v>
      </c>
      <c r="D120" s="99" t="s">
        <v>22</v>
      </c>
      <c r="E120" s="99" t="s">
        <v>23</v>
      </c>
      <c r="F120" s="99" t="s">
        <v>12</v>
      </c>
      <c r="G120" s="99">
        <v>26</v>
      </c>
      <c r="H120" s="112">
        <v>25000</v>
      </c>
      <c r="I120" s="112">
        <v>650000</v>
      </c>
      <c r="J120" s="99" t="s">
        <v>2420</v>
      </c>
      <c r="K120" s="99" t="s">
        <v>127</v>
      </c>
      <c r="N120" s="99" t="s">
        <v>2151</v>
      </c>
      <c r="O120" s="99" t="s">
        <v>69</v>
      </c>
      <c r="P120" s="100">
        <f t="shared" si="11"/>
        <v>45883</v>
      </c>
      <c r="Q120" s="101">
        <f t="shared" si="10"/>
        <v>140</v>
      </c>
      <c r="R120" s="99">
        <f t="shared" si="12"/>
        <v>1</v>
      </c>
      <c r="S120" s="101">
        <f t="shared" si="13"/>
        <v>16800000</v>
      </c>
      <c r="T120" s="99" t="str">
        <f t="shared" si="14"/>
        <v>Low</v>
      </c>
      <c r="U120" s="99" t="str">
        <f t="shared" si="15"/>
        <v>Low</v>
      </c>
      <c r="V120" s="99" t="str">
        <f t="shared" si="16"/>
        <v>Low</v>
      </c>
      <c r="W120" s="99" t="str">
        <f t="shared" si="17"/>
        <v>LLL</v>
      </c>
      <c r="X120" s="99" t="str">
        <f>VLOOKUP(W120,rfm[],2,FALSE)</f>
        <v>💤 Lost / Low Value</v>
      </c>
      <c r="AA120" s="99" t="s">
        <v>2151</v>
      </c>
      <c r="AB120" s="99" t="s">
        <v>69</v>
      </c>
      <c r="AC120" s="100">
        <v>45883</v>
      </c>
      <c r="AD120" s="101">
        <v>140</v>
      </c>
      <c r="AE120" s="101">
        <v>1</v>
      </c>
      <c r="AF120" s="101">
        <v>16800000</v>
      </c>
      <c r="AG120" s="99" t="str">
        <f>VLOOKUP(AA120,recency!$K$6:$P$818,6,0)</f>
        <v>Low</v>
      </c>
      <c r="AH120" s="132" t="str">
        <f>VLOOKUP(AA120,frequency!$F$6:$H$818,3,FALSE)</f>
        <v>Low</v>
      </c>
      <c r="AI120" s="129" t="str">
        <f>VLOOKUP(AA120,monetary!$B$5:$F$817,5,0)</f>
        <v>Low</v>
      </c>
      <c r="AJ120" s="99" t="str">
        <f t="shared" si="18"/>
        <v>LLL</v>
      </c>
      <c r="AK120" s="99" t="str">
        <f>VLOOKUP(AJ120,rfm[],2,0)</f>
        <v>💤 Lost / Low Value</v>
      </c>
      <c r="AN120" s="99" t="b">
        <f t="shared" si="19"/>
        <v>1</v>
      </c>
    </row>
    <row r="121" spans="2:40" x14ac:dyDescent="0.3">
      <c r="B121" s="99" t="s">
        <v>971</v>
      </c>
      <c r="C121" s="100">
        <v>45674</v>
      </c>
      <c r="D121" s="99" t="s">
        <v>14</v>
      </c>
      <c r="E121" s="99" t="s">
        <v>15</v>
      </c>
      <c r="F121" s="99" t="s">
        <v>16</v>
      </c>
      <c r="G121" s="99">
        <v>47</v>
      </c>
      <c r="H121" s="112">
        <v>350000</v>
      </c>
      <c r="I121" s="112">
        <v>16450000</v>
      </c>
      <c r="J121" s="99" t="s">
        <v>2380</v>
      </c>
      <c r="K121" s="99" t="s">
        <v>69</v>
      </c>
      <c r="N121" s="99" t="s">
        <v>2152</v>
      </c>
      <c r="O121" s="99" t="s">
        <v>69</v>
      </c>
      <c r="P121" s="100">
        <f t="shared" si="11"/>
        <v>45945</v>
      </c>
      <c r="Q121" s="101">
        <f t="shared" si="10"/>
        <v>78</v>
      </c>
      <c r="R121" s="99">
        <f t="shared" si="12"/>
        <v>4</v>
      </c>
      <c r="S121" s="101">
        <f t="shared" si="13"/>
        <v>72850000</v>
      </c>
      <c r="T121" s="99" t="str">
        <f t="shared" si="14"/>
        <v>High</v>
      </c>
      <c r="U121" s="99" t="str">
        <f t="shared" si="15"/>
        <v>High</v>
      </c>
      <c r="V121" s="99" t="str">
        <f t="shared" si="16"/>
        <v>High</v>
      </c>
      <c r="W121" s="99" t="str">
        <f t="shared" si="17"/>
        <v>HHH</v>
      </c>
      <c r="X121" s="99" t="str">
        <f>VLOOKUP(W121,rfm[],2,FALSE)</f>
        <v>🥇 Champions</v>
      </c>
      <c r="AA121" s="99" t="s">
        <v>2152</v>
      </c>
      <c r="AB121" s="99" t="s">
        <v>69</v>
      </c>
      <c r="AC121" s="100">
        <v>45945</v>
      </c>
      <c r="AD121" s="101">
        <v>78</v>
      </c>
      <c r="AE121" s="101">
        <v>4</v>
      </c>
      <c r="AF121" s="101">
        <v>72850000</v>
      </c>
      <c r="AG121" s="99" t="str">
        <f>VLOOKUP(AA121,recency!$K$6:$P$818,6,0)</f>
        <v>Low</v>
      </c>
      <c r="AH121" s="132" t="str">
        <f>VLOOKUP(AA121,frequency!$F$6:$H$818,3,FALSE)</f>
        <v>High</v>
      </c>
      <c r="AI121" s="129" t="str">
        <f>VLOOKUP(AA121,monetary!$B$5:$F$817,5,0)</f>
        <v>High</v>
      </c>
      <c r="AJ121" s="99" t="str">
        <f t="shared" si="18"/>
        <v>LHH</v>
      </c>
      <c r="AK121" s="99" t="str">
        <f>VLOOKUP(AJ121,rfm[],2,0)</f>
        <v>⚠️ At Risk High Value</v>
      </c>
      <c r="AN121" s="99" t="b">
        <f t="shared" si="19"/>
        <v>0</v>
      </c>
    </row>
    <row r="122" spans="2:40" x14ac:dyDescent="0.3">
      <c r="B122" s="99" t="s">
        <v>999</v>
      </c>
      <c r="C122" s="100">
        <v>45674</v>
      </c>
      <c r="D122" s="99" t="s">
        <v>44</v>
      </c>
      <c r="E122" s="99" t="s">
        <v>45</v>
      </c>
      <c r="F122" s="99" t="s">
        <v>16</v>
      </c>
      <c r="G122" s="99">
        <v>12</v>
      </c>
      <c r="H122" s="112">
        <v>250000</v>
      </c>
      <c r="I122" s="112">
        <v>3000000</v>
      </c>
      <c r="J122" s="99" t="s">
        <v>2655</v>
      </c>
      <c r="K122" s="99" t="s">
        <v>8</v>
      </c>
      <c r="N122" s="99" t="s">
        <v>2153</v>
      </c>
      <c r="O122" s="99" t="s">
        <v>127</v>
      </c>
      <c r="P122" s="100">
        <f t="shared" si="11"/>
        <v>46014</v>
      </c>
      <c r="Q122" s="101">
        <f t="shared" si="10"/>
        <v>9</v>
      </c>
      <c r="R122" s="99">
        <f t="shared" si="12"/>
        <v>4</v>
      </c>
      <c r="S122" s="101">
        <f t="shared" si="13"/>
        <v>53990000</v>
      </c>
      <c r="T122" s="99" t="str">
        <f t="shared" si="14"/>
        <v>High</v>
      </c>
      <c r="U122" s="99" t="str">
        <f t="shared" si="15"/>
        <v>High</v>
      </c>
      <c r="V122" s="99" t="str">
        <f t="shared" si="16"/>
        <v>High</v>
      </c>
      <c r="W122" s="99" t="str">
        <f t="shared" si="17"/>
        <v>HHH</v>
      </c>
      <c r="X122" s="99" t="str">
        <f>VLOOKUP(W122,rfm[],2,FALSE)</f>
        <v>🥇 Champions</v>
      </c>
      <c r="AA122" s="99" t="s">
        <v>2153</v>
      </c>
      <c r="AB122" s="99" t="s">
        <v>127</v>
      </c>
      <c r="AC122" s="100">
        <v>46014</v>
      </c>
      <c r="AD122" s="101">
        <v>9</v>
      </c>
      <c r="AE122" s="101">
        <v>4</v>
      </c>
      <c r="AF122" s="101">
        <v>53990000</v>
      </c>
      <c r="AG122" s="99" t="str">
        <f>VLOOKUP(AA122,recency!$K$6:$P$818,6,0)</f>
        <v>High</v>
      </c>
      <c r="AH122" s="132" t="str">
        <f>VLOOKUP(AA122,frequency!$F$6:$H$818,3,FALSE)</f>
        <v>High</v>
      </c>
      <c r="AI122" s="129" t="str">
        <f>VLOOKUP(AA122,monetary!$B$5:$F$817,5,0)</f>
        <v>High</v>
      </c>
      <c r="AJ122" s="99" t="str">
        <f t="shared" si="18"/>
        <v>HHH</v>
      </c>
      <c r="AK122" s="99" t="str">
        <f>VLOOKUP(AJ122,rfm[],2,0)</f>
        <v>🥇 Champions</v>
      </c>
      <c r="AN122" s="99" t="b">
        <f t="shared" si="19"/>
        <v>1</v>
      </c>
    </row>
    <row r="123" spans="2:40" x14ac:dyDescent="0.3">
      <c r="B123" s="99" t="s">
        <v>1000</v>
      </c>
      <c r="C123" s="100">
        <v>45674</v>
      </c>
      <c r="D123" s="99" t="s">
        <v>14</v>
      </c>
      <c r="E123" s="99" t="s">
        <v>15</v>
      </c>
      <c r="F123" s="99" t="s">
        <v>16</v>
      </c>
      <c r="G123" s="99">
        <v>47</v>
      </c>
      <c r="H123" s="112">
        <v>350000</v>
      </c>
      <c r="I123" s="112">
        <v>16450000</v>
      </c>
      <c r="J123" s="99" t="s">
        <v>2311</v>
      </c>
      <c r="K123" s="99" t="s">
        <v>60</v>
      </c>
      <c r="N123" s="99" t="s">
        <v>2154</v>
      </c>
      <c r="O123" s="99" t="s">
        <v>127</v>
      </c>
      <c r="P123" s="100">
        <f t="shared" si="11"/>
        <v>45849</v>
      </c>
      <c r="Q123" s="101">
        <f t="shared" si="10"/>
        <v>174</v>
      </c>
      <c r="R123" s="99">
        <f t="shared" si="12"/>
        <v>3</v>
      </c>
      <c r="S123" s="101">
        <f t="shared" si="13"/>
        <v>11150000</v>
      </c>
      <c r="T123" s="99" t="str">
        <f t="shared" si="14"/>
        <v>Low</v>
      </c>
      <c r="U123" s="99" t="str">
        <f t="shared" si="15"/>
        <v>High</v>
      </c>
      <c r="V123" s="99" t="str">
        <f t="shared" si="16"/>
        <v>Low</v>
      </c>
      <c r="W123" s="99" t="str">
        <f t="shared" si="17"/>
        <v>LHL</v>
      </c>
      <c r="X123" s="99" t="str">
        <f>VLOOKUP(W123,rfm[],2,FALSE)</f>
        <v>🔁 Former Loyal Low Spend</v>
      </c>
      <c r="AA123" s="99" t="s">
        <v>2154</v>
      </c>
      <c r="AB123" s="99" t="s">
        <v>127</v>
      </c>
      <c r="AC123" s="100">
        <v>45849</v>
      </c>
      <c r="AD123" s="101">
        <v>174</v>
      </c>
      <c r="AE123" s="101">
        <v>3</v>
      </c>
      <c r="AF123" s="101">
        <v>11150000</v>
      </c>
      <c r="AG123" s="99" t="str">
        <f>VLOOKUP(AA123,recency!$K$6:$P$818,6,0)</f>
        <v>Low</v>
      </c>
      <c r="AH123" s="132" t="str">
        <f>VLOOKUP(AA123,frequency!$F$6:$H$818,3,FALSE)</f>
        <v>High</v>
      </c>
      <c r="AI123" s="129" t="str">
        <f>VLOOKUP(AA123,monetary!$B$5:$F$817,5,0)</f>
        <v>Low</v>
      </c>
      <c r="AJ123" s="99" t="str">
        <f t="shared" si="18"/>
        <v>LHL</v>
      </c>
      <c r="AK123" s="99" t="str">
        <f>VLOOKUP(AJ123,rfm[],2,0)</f>
        <v>🔁 Former Loyal Low Spend</v>
      </c>
      <c r="AN123" s="99" t="b">
        <f t="shared" si="19"/>
        <v>1</v>
      </c>
    </row>
    <row r="124" spans="2:40" x14ac:dyDescent="0.3">
      <c r="B124" s="99" t="s">
        <v>1001</v>
      </c>
      <c r="C124" s="100">
        <v>45674</v>
      </c>
      <c r="D124" s="99" t="s">
        <v>44</v>
      </c>
      <c r="E124" s="99" t="s">
        <v>45</v>
      </c>
      <c r="F124" s="99" t="s">
        <v>16</v>
      </c>
      <c r="G124" s="99">
        <v>12</v>
      </c>
      <c r="H124" s="112">
        <v>250000</v>
      </c>
      <c r="I124" s="112">
        <v>3000000</v>
      </c>
      <c r="J124" s="99" t="s">
        <v>2095</v>
      </c>
      <c r="K124" s="99" t="s">
        <v>69</v>
      </c>
      <c r="N124" s="99" t="s">
        <v>2155</v>
      </c>
      <c r="O124" s="99" t="s">
        <v>69</v>
      </c>
      <c r="P124" s="100">
        <f t="shared" si="11"/>
        <v>46015</v>
      </c>
      <c r="Q124" s="101">
        <f t="shared" si="10"/>
        <v>8</v>
      </c>
      <c r="R124" s="99">
        <f t="shared" si="12"/>
        <v>2</v>
      </c>
      <c r="S124" s="101">
        <f t="shared" si="13"/>
        <v>6480000</v>
      </c>
      <c r="T124" s="99" t="str">
        <f t="shared" si="14"/>
        <v>High</v>
      </c>
      <c r="U124" s="99" t="str">
        <f t="shared" si="15"/>
        <v>Low</v>
      </c>
      <c r="V124" s="99" t="str">
        <f t="shared" si="16"/>
        <v>Low</v>
      </c>
      <c r="W124" s="99" t="str">
        <f t="shared" si="17"/>
        <v>HLL</v>
      </c>
      <c r="X124" s="99" t="str">
        <f>VLOOKUP(W124,rfm[],2,FALSE)</f>
        <v>🌱 Potential Loyalists</v>
      </c>
      <c r="AA124" s="99" t="s">
        <v>2155</v>
      </c>
      <c r="AB124" s="99" t="s">
        <v>69</v>
      </c>
      <c r="AC124" s="100">
        <v>46015</v>
      </c>
      <c r="AD124" s="101">
        <v>8</v>
      </c>
      <c r="AE124" s="101">
        <v>2</v>
      </c>
      <c r="AF124" s="101">
        <v>6480000</v>
      </c>
      <c r="AG124" s="99" t="str">
        <f>VLOOKUP(AA124,recency!$K$6:$P$818,6,0)</f>
        <v>High</v>
      </c>
      <c r="AH124" s="132" t="str">
        <f>VLOOKUP(AA124,frequency!$F$6:$H$818,3,FALSE)</f>
        <v>Low</v>
      </c>
      <c r="AI124" s="129" t="str">
        <f>VLOOKUP(AA124,monetary!$B$5:$F$817,5,0)</f>
        <v>Low</v>
      </c>
      <c r="AJ124" s="99" t="str">
        <f t="shared" si="18"/>
        <v>HLL</v>
      </c>
      <c r="AK124" s="99" t="str">
        <f>VLOOKUP(AJ124,rfm[],2,0)</f>
        <v>🌱 Potential Loyalists</v>
      </c>
      <c r="AN124" s="99" t="b">
        <f t="shared" si="19"/>
        <v>1</v>
      </c>
    </row>
    <row r="125" spans="2:40" x14ac:dyDescent="0.3">
      <c r="B125" s="99" t="s">
        <v>1002</v>
      </c>
      <c r="C125" s="100">
        <v>45674</v>
      </c>
      <c r="D125" s="99" t="s">
        <v>28</v>
      </c>
      <c r="E125" s="99" t="s">
        <v>29</v>
      </c>
      <c r="F125" s="99" t="s">
        <v>20</v>
      </c>
      <c r="G125" s="99">
        <v>40</v>
      </c>
      <c r="H125" s="112">
        <v>450000</v>
      </c>
      <c r="I125" s="112">
        <v>18000000</v>
      </c>
      <c r="J125" s="99" t="s">
        <v>2481</v>
      </c>
      <c r="K125" s="99" t="s">
        <v>127</v>
      </c>
      <c r="N125" s="99" t="s">
        <v>2156</v>
      </c>
      <c r="O125" s="99" t="s">
        <v>47</v>
      </c>
      <c r="P125" s="100">
        <f t="shared" si="11"/>
        <v>45831</v>
      </c>
      <c r="Q125" s="101">
        <f t="shared" si="10"/>
        <v>192</v>
      </c>
      <c r="R125" s="99">
        <f t="shared" si="12"/>
        <v>3</v>
      </c>
      <c r="S125" s="101">
        <f t="shared" si="13"/>
        <v>21700000</v>
      </c>
      <c r="T125" s="99" t="str">
        <f t="shared" si="14"/>
        <v>Low</v>
      </c>
      <c r="U125" s="99" t="str">
        <f t="shared" si="15"/>
        <v>High</v>
      </c>
      <c r="V125" s="99" t="str">
        <f t="shared" si="16"/>
        <v>High</v>
      </c>
      <c r="W125" s="99" t="str">
        <f t="shared" si="17"/>
        <v>LHH</v>
      </c>
      <c r="X125" s="99" t="str">
        <f>VLOOKUP(W125,rfm[],2,FALSE)</f>
        <v>⚠️ At Risk High Value</v>
      </c>
      <c r="AA125" s="99" t="s">
        <v>2156</v>
      </c>
      <c r="AB125" s="99" t="s">
        <v>47</v>
      </c>
      <c r="AC125" s="100">
        <v>45831</v>
      </c>
      <c r="AD125" s="101">
        <v>192</v>
      </c>
      <c r="AE125" s="101">
        <v>3</v>
      </c>
      <c r="AF125" s="101">
        <v>21700000</v>
      </c>
      <c r="AG125" s="99" t="str">
        <f>VLOOKUP(AA125,recency!$K$6:$P$818,6,0)</f>
        <v>Low</v>
      </c>
      <c r="AH125" s="132" t="str">
        <f>VLOOKUP(AA125,frequency!$F$6:$H$818,3,FALSE)</f>
        <v>High</v>
      </c>
      <c r="AI125" s="129" t="str">
        <f>VLOOKUP(AA125,monetary!$B$5:$F$817,5,0)</f>
        <v>Low</v>
      </c>
      <c r="AJ125" s="99" t="str">
        <f t="shared" si="18"/>
        <v>LHL</v>
      </c>
      <c r="AK125" s="99" t="str">
        <f>VLOOKUP(AJ125,rfm[],2,0)</f>
        <v>🔁 Former Loyal Low Spend</v>
      </c>
      <c r="AN125" s="99" t="b">
        <f t="shared" si="19"/>
        <v>0</v>
      </c>
    </row>
    <row r="126" spans="2:40" x14ac:dyDescent="0.3">
      <c r="B126" s="99" t="s">
        <v>1003</v>
      </c>
      <c r="C126" s="100">
        <v>45677</v>
      </c>
      <c r="D126" s="99" t="s">
        <v>10</v>
      </c>
      <c r="E126" s="99" t="s">
        <v>11</v>
      </c>
      <c r="F126" s="99" t="s">
        <v>12</v>
      </c>
      <c r="G126" s="99">
        <v>48</v>
      </c>
      <c r="H126" s="112">
        <v>120000</v>
      </c>
      <c r="I126" s="112">
        <v>5760000</v>
      </c>
      <c r="J126" s="99" t="s">
        <v>2095</v>
      </c>
      <c r="K126" s="99" t="s">
        <v>69</v>
      </c>
      <c r="N126" s="99" t="s">
        <v>2157</v>
      </c>
      <c r="O126" s="99" t="s">
        <v>60</v>
      </c>
      <c r="P126" s="100">
        <f t="shared" si="11"/>
        <v>46021</v>
      </c>
      <c r="Q126" s="101">
        <f t="shared" si="10"/>
        <v>2</v>
      </c>
      <c r="R126" s="99">
        <f t="shared" si="12"/>
        <v>2</v>
      </c>
      <c r="S126" s="101">
        <f t="shared" si="13"/>
        <v>49000000</v>
      </c>
      <c r="T126" s="99" t="str">
        <f t="shared" si="14"/>
        <v>High</v>
      </c>
      <c r="U126" s="99" t="str">
        <f t="shared" si="15"/>
        <v>Low</v>
      </c>
      <c r="V126" s="99" t="str">
        <f t="shared" si="16"/>
        <v>High</v>
      </c>
      <c r="W126" s="99" t="str">
        <f t="shared" si="17"/>
        <v>HLH</v>
      </c>
      <c r="X126" s="99" t="str">
        <f>VLOOKUP(W126,rfm[],2,FALSE)</f>
        <v>🛒 Big Spenders (Occasional)</v>
      </c>
      <c r="AA126" s="99" t="s">
        <v>2157</v>
      </c>
      <c r="AB126" s="99" t="s">
        <v>60</v>
      </c>
      <c r="AC126" s="100">
        <v>46021</v>
      </c>
      <c r="AD126" s="101">
        <v>2</v>
      </c>
      <c r="AE126" s="101">
        <v>2</v>
      </c>
      <c r="AF126" s="101">
        <v>49000000</v>
      </c>
      <c r="AG126" s="99" t="str">
        <f>VLOOKUP(AA126,recency!$K$6:$P$818,6,0)</f>
        <v>High</v>
      </c>
      <c r="AH126" s="132" t="str">
        <f>VLOOKUP(AA126,frequency!$F$6:$H$818,3,FALSE)</f>
        <v>Low</v>
      </c>
      <c r="AI126" s="129" t="str">
        <f>VLOOKUP(AA126,monetary!$B$5:$F$817,5,0)</f>
        <v>Low</v>
      </c>
      <c r="AJ126" s="99" t="str">
        <f t="shared" si="18"/>
        <v>HLL</v>
      </c>
      <c r="AK126" s="99" t="str">
        <f>VLOOKUP(AJ126,rfm[],2,0)</f>
        <v>🌱 Potential Loyalists</v>
      </c>
      <c r="AN126" s="99" t="b">
        <f t="shared" si="19"/>
        <v>0</v>
      </c>
    </row>
    <row r="127" spans="2:40" x14ac:dyDescent="0.3">
      <c r="B127" s="99" t="s">
        <v>1004</v>
      </c>
      <c r="C127" s="100">
        <v>45677</v>
      </c>
      <c r="D127" s="99" t="s">
        <v>38</v>
      </c>
      <c r="E127" s="99" t="s">
        <v>39</v>
      </c>
      <c r="F127" s="99" t="s">
        <v>16</v>
      </c>
      <c r="G127" s="99">
        <v>24</v>
      </c>
      <c r="H127" s="112">
        <v>200000</v>
      </c>
      <c r="I127" s="112">
        <v>4800000</v>
      </c>
      <c r="J127" s="99" t="s">
        <v>2787</v>
      </c>
      <c r="K127" s="99" t="s">
        <v>60</v>
      </c>
      <c r="N127" s="99" t="s">
        <v>2158</v>
      </c>
      <c r="O127" s="99" t="s">
        <v>8</v>
      </c>
      <c r="P127" s="100">
        <f t="shared" si="11"/>
        <v>45805</v>
      </c>
      <c r="Q127" s="101">
        <f t="shared" si="10"/>
        <v>218</v>
      </c>
      <c r="R127" s="99">
        <f t="shared" si="12"/>
        <v>1</v>
      </c>
      <c r="S127" s="101">
        <f t="shared" si="13"/>
        <v>575000</v>
      </c>
      <c r="T127" s="99" t="str">
        <f t="shared" si="14"/>
        <v>Low</v>
      </c>
      <c r="U127" s="99" t="str">
        <f t="shared" si="15"/>
        <v>Low</v>
      </c>
      <c r="V127" s="99" t="str">
        <f t="shared" si="16"/>
        <v>Low</v>
      </c>
      <c r="W127" s="99" t="str">
        <f t="shared" si="17"/>
        <v>LLL</v>
      </c>
      <c r="X127" s="99" t="str">
        <f>VLOOKUP(W127,rfm[],2,FALSE)</f>
        <v>💤 Lost / Low Value</v>
      </c>
      <c r="AA127" s="99" t="s">
        <v>2158</v>
      </c>
      <c r="AB127" s="99" t="s">
        <v>8</v>
      </c>
      <c r="AC127" s="100">
        <v>45805</v>
      </c>
      <c r="AD127" s="101">
        <v>218</v>
      </c>
      <c r="AE127" s="101">
        <v>1</v>
      </c>
      <c r="AF127" s="101">
        <v>575000</v>
      </c>
      <c r="AG127" s="99" t="str">
        <f>VLOOKUP(AA127,recency!$K$6:$P$818,6,0)</f>
        <v>Low</v>
      </c>
      <c r="AH127" s="132" t="str">
        <f>VLOOKUP(AA127,frequency!$F$6:$H$818,3,FALSE)</f>
        <v>Low</v>
      </c>
      <c r="AI127" s="129" t="str">
        <f>VLOOKUP(AA127,monetary!$B$5:$F$817,5,0)</f>
        <v>Low</v>
      </c>
      <c r="AJ127" s="99" t="str">
        <f t="shared" si="18"/>
        <v>LLL</v>
      </c>
      <c r="AK127" s="99" t="str">
        <f>VLOOKUP(AJ127,rfm[],2,0)</f>
        <v>💤 Lost / Low Value</v>
      </c>
      <c r="AN127" s="99" t="b">
        <f t="shared" si="19"/>
        <v>1</v>
      </c>
    </row>
    <row r="128" spans="2:40" x14ac:dyDescent="0.3">
      <c r="B128" s="99" t="s">
        <v>1005</v>
      </c>
      <c r="C128" s="100">
        <v>45677</v>
      </c>
      <c r="D128" s="99" t="s">
        <v>44</v>
      </c>
      <c r="E128" s="99" t="s">
        <v>45</v>
      </c>
      <c r="F128" s="99" t="s">
        <v>16</v>
      </c>
      <c r="G128" s="99">
        <v>10</v>
      </c>
      <c r="H128" s="112">
        <v>250000</v>
      </c>
      <c r="I128" s="112">
        <v>2500000</v>
      </c>
      <c r="J128" s="99" t="s">
        <v>2571</v>
      </c>
      <c r="K128" s="99" t="s">
        <v>60</v>
      </c>
      <c r="N128" s="99" t="s">
        <v>2159</v>
      </c>
      <c r="O128" s="99" t="s">
        <v>127</v>
      </c>
      <c r="P128" s="100">
        <f t="shared" si="11"/>
        <v>46000</v>
      </c>
      <c r="Q128" s="101">
        <f t="shared" si="10"/>
        <v>23</v>
      </c>
      <c r="R128" s="99">
        <f t="shared" si="12"/>
        <v>3</v>
      </c>
      <c r="S128" s="101">
        <f t="shared" si="13"/>
        <v>30910000</v>
      </c>
      <c r="T128" s="99" t="str">
        <f t="shared" si="14"/>
        <v>High</v>
      </c>
      <c r="U128" s="99" t="str">
        <f t="shared" si="15"/>
        <v>High</v>
      </c>
      <c r="V128" s="99" t="str">
        <f t="shared" si="16"/>
        <v>High</v>
      </c>
      <c r="W128" s="99" t="str">
        <f t="shared" si="17"/>
        <v>HHH</v>
      </c>
      <c r="X128" s="99" t="str">
        <f>VLOOKUP(W128,rfm[],2,FALSE)</f>
        <v>🥇 Champions</v>
      </c>
      <c r="AA128" s="99" t="s">
        <v>2159</v>
      </c>
      <c r="AB128" s="99" t="s">
        <v>127</v>
      </c>
      <c r="AC128" s="100">
        <v>46000</v>
      </c>
      <c r="AD128" s="101">
        <v>23</v>
      </c>
      <c r="AE128" s="101">
        <v>3</v>
      </c>
      <c r="AF128" s="101">
        <v>30910000</v>
      </c>
      <c r="AG128" s="99" t="str">
        <f>VLOOKUP(AA128,recency!$K$6:$P$818,6,0)</f>
        <v>High</v>
      </c>
      <c r="AH128" s="132" t="str">
        <f>VLOOKUP(AA128,frequency!$F$6:$H$818,3,FALSE)</f>
        <v>High</v>
      </c>
      <c r="AI128" s="129" t="str">
        <f>VLOOKUP(AA128,monetary!$B$5:$F$817,5,0)</f>
        <v>Low</v>
      </c>
      <c r="AJ128" s="99" t="str">
        <f t="shared" si="18"/>
        <v>HHL</v>
      </c>
      <c r="AK128" s="99" t="str">
        <f>VLOOKUP(AJ128,rfm[],2,0)</f>
        <v>💎 Loyal High Value</v>
      </c>
      <c r="AN128" s="99" t="b">
        <f t="shared" si="19"/>
        <v>0</v>
      </c>
    </row>
    <row r="129" spans="2:40" x14ac:dyDescent="0.3">
      <c r="B129" s="99" t="s">
        <v>1006</v>
      </c>
      <c r="C129" s="100">
        <v>45677</v>
      </c>
      <c r="D129" s="99" t="s">
        <v>31</v>
      </c>
      <c r="E129" s="99" t="s">
        <v>32</v>
      </c>
      <c r="F129" s="99" t="s">
        <v>20</v>
      </c>
      <c r="G129" s="99">
        <v>13</v>
      </c>
      <c r="H129" s="112">
        <v>180000</v>
      </c>
      <c r="I129" s="112">
        <v>2340000</v>
      </c>
      <c r="J129" s="99" t="s">
        <v>2153</v>
      </c>
      <c r="K129" s="99" t="s">
        <v>127</v>
      </c>
      <c r="N129" s="99" t="s">
        <v>2160</v>
      </c>
      <c r="O129" s="99" t="s">
        <v>60</v>
      </c>
      <c r="P129" s="100">
        <f t="shared" si="11"/>
        <v>45967</v>
      </c>
      <c r="Q129" s="101">
        <f t="shared" si="10"/>
        <v>56</v>
      </c>
      <c r="R129" s="99">
        <f t="shared" si="12"/>
        <v>7</v>
      </c>
      <c r="S129" s="101">
        <f t="shared" si="13"/>
        <v>846150000</v>
      </c>
      <c r="T129" s="99" t="str">
        <f t="shared" si="14"/>
        <v>High</v>
      </c>
      <c r="U129" s="99" t="str">
        <f t="shared" si="15"/>
        <v>High</v>
      </c>
      <c r="V129" s="99" t="str">
        <f t="shared" si="16"/>
        <v>High</v>
      </c>
      <c r="W129" s="99" t="str">
        <f t="shared" si="17"/>
        <v>HHH</v>
      </c>
      <c r="X129" s="99" t="str">
        <f>VLOOKUP(W129,rfm[],2,FALSE)</f>
        <v>🥇 Champions</v>
      </c>
      <c r="AA129" s="99" t="s">
        <v>2160</v>
      </c>
      <c r="AB129" s="99" t="s">
        <v>60</v>
      </c>
      <c r="AC129" s="100">
        <v>45967</v>
      </c>
      <c r="AD129" s="101">
        <v>56</v>
      </c>
      <c r="AE129" s="101">
        <v>7</v>
      </c>
      <c r="AF129" s="101">
        <v>846150000</v>
      </c>
      <c r="AG129" s="99" t="str">
        <f>VLOOKUP(AA129,recency!$K$6:$P$818,6,0)</f>
        <v>High</v>
      </c>
      <c r="AH129" s="132" t="str">
        <f>VLOOKUP(AA129,frequency!$F$6:$H$818,3,FALSE)</f>
        <v>High</v>
      </c>
      <c r="AI129" s="129" t="str">
        <f>VLOOKUP(AA129,monetary!$B$5:$F$817,5,0)</f>
        <v>High</v>
      </c>
      <c r="AJ129" s="99" t="str">
        <f t="shared" si="18"/>
        <v>HHH</v>
      </c>
      <c r="AK129" s="99" t="str">
        <f>VLOOKUP(AJ129,rfm[],2,0)</f>
        <v>🥇 Champions</v>
      </c>
      <c r="AN129" s="99" t="b">
        <f t="shared" si="19"/>
        <v>1</v>
      </c>
    </row>
    <row r="130" spans="2:40" x14ac:dyDescent="0.3">
      <c r="B130" s="99" t="s">
        <v>1007</v>
      </c>
      <c r="C130" s="100">
        <v>45677</v>
      </c>
      <c r="D130" s="99" t="s">
        <v>14</v>
      </c>
      <c r="E130" s="99" t="s">
        <v>15</v>
      </c>
      <c r="F130" s="99" t="s">
        <v>16</v>
      </c>
      <c r="G130" s="99">
        <v>30</v>
      </c>
      <c r="H130" s="112">
        <v>350000</v>
      </c>
      <c r="I130" s="112">
        <v>10500000</v>
      </c>
      <c r="J130" s="99" t="s">
        <v>2780</v>
      </c>
      <c r="K130" s="99" t="s">
        <v>127</v>
      </c>
      <c r="N130" s="99" t="s">
        <v>2161</v>
      </c>
      <c r="O130" s="99" t="s">
        <v>69</v>
      </c>
      <c r="P130" s="100">
        <f t="shared" si="11"/>
        <v>45768</v>
      </c>
      <c r="Q130" s="101">
        <f t="shared" si="10"/>
        <v>255</v>
      </c>
      <c r="R130" s="99">
        <f t="shared" si="12"/>
        <v>1</v>
      </c>
      <c r="S130" s="101">
        <f t="shared" si="13"/>
        <v>675000</v>
      </c>
      <c r="T130" s="99" t="str">
        <f t="shared" si="14"/>
        <v>Low</v>
      </c>
      <c r="U130" s="99" t="str">
        <f t="shared" si="15"/>
        <v>Low</v>
      </c>
      <c r="V130" s="99" t="str">
        <f t="shared" si="16"/>
        <v>Low</v>
      </c>
      <c r="W130" s="99" t="str">
        <f t="shared" si="17"/>
        <v>LLL</v>
      </c>
      <c r="X130" s="99" t="str">
        <f>VLOOKUP(W130,rfm[],2,FALSE)</f>
        <v>💤 Lost / Low Value</v>
      </c>
      <c r="AA130" s="99" t="s">
        <v>2161</v>
      </c>
      <c r="AB130" s="99" t="s">
        <v>69</v>
      </c>
      <c r="AC130" s="100">
        <v>45768</v>
      </c>
      <c r="AD130" s="101">
        <v>255</v>
      </c>
      <c r="AE130" s="101">
        <v>1</v>
      </c>
      <c r="AF130" s="101">
        <v>675000</v>
      </c>
      <c r="AG130" s="99" t="str">
        <f>VLOOKUP(AA130,recency!$K$6:$P$818,6,0)</f>
        <v>Low</v>
      </c>
      <c r="AH130" s="132" t="str">
        <f>VLOOKUP(AA130,frequency!$F$6:$H$818,3,FALSE)</f>
        <v>Low</v>
      </c>
      <c r="AI130" s="129" t="str">
        <f>VLOOKUP(AA130,monetary!$B$5:$F$817,5,0)</f>
        <v>Low</v>
      </c>
      <c r="AJ130" s="99" t="str">
        <f t="shared" si="18"/>
        <v>LLL</v>
      </c>
      <c r="AK130" s="99" t="str">
        <f>VLOOKUP(AJ130,rfm[],2,0)</f>
        <v>💤 Lost / Low Value</v>
      </c>
      <c r="AN130" s="99" t="b">
        <f t="shared" si="19"/>
        <v>1</v>
      </c>
    </row>
    <row r="131" spans="2:40" x14ac:dyDescent="0.3">
      <c r="B131" s="99" t="s">
        <v>1008</v>
      </c>
      <c r="C131" s="100">
        <v>45677</v>
      </c>
      <c r="D131" s="99" t="s">
        <v>28</v>
      </c>
      <c r="E131" s="99" t="s">
        <v>29</v>
      </c>
      <c r="F131" s="99" t="s">
        <v>20</v>
      </c>
      <c r="G131" s="99">
        <v>45</v>
      </c>
      <c r="H131" s="112">
        <v>450000</v>
      </c>
      <c r="I131" s="112">
        <v>20250000</v>
      </c>
      <c r="J131" s="99" t="s">
        <v>2307</v>
      </c>
      <c r="K131" s="99" t="s">
        <v>127</v>
      </c>
      <c r="N131" s="99" t="s">
        <v>2162</v>
      </c>
      <c r="O131" s="99" t="s">
        <v>8</v>
      </c>
      <c r="P131" s="100">
        <f t="shared" si="11"/>
        <v>45912</v>
      </c>
      <c r="Q131" s="101">
        <f t="shared" si="10"/>
        <v>111</v>
      </c>
      <c r="R131" s="99">
        <f t="shared" si="12"/>
        <v>4</v>
      </c>
      <c r="S131" s="101">
        <f t="shared" si="13"/>
        <v>971100000</v>
      </c>
      <c r="T131" s="99" t="str">
        <f t="shared" si="14"/>
        <v>Low</v>
      </c>
      <c r="U131" s="99" t="str">
        <f t="shared" si="15"/>
        <v>High</v>
      </c>
      <c r="V131" s="99" t="str">
        <f t="shared" si="16"/>
        <v>High</v>
      </c>
      <c r="W131" s="99" t="str">
        <f t="shared" si="17"/>
        <v>LHH</v>
      </c>
      <c r="X131" s="99" t="str">
        <f>VLOOKUP(W131,rfm[],2,FALSE)</f>
        <v>⚠️ At Risk High Value</v>
      </c>
      <c r="AA131" s="99" t="s">
        <v>2162</v>
      </c>
      <c r="AB131" s="99" t="s">
        <v>8</v>
      </c>
      <c r="AC131" s="100">
        <v>45912</v>
      </c>
      <c r="AD131" s="101">
        <v>111</v>
      </c>
      <c r="AE131" s="101">
        <v>4</v>
      </c>
      <c r="AF131" s="101">
        <v>971100000</v>
      </c>
      <c r="AG131" s="99" t="str">
        <f>VLOOKUP(AA131,recency!$K$6:$P$818,6,0)</f>
        <v>Low</v>
      </c>
      <c r="AH131" s="132" t="str">
        <f>VLOOKUP(AA131,frequency!$F$6:$H$818,3,FALSE)</f>
        <v>High</v>
      </c>
      <c r="AI131" s="129" t="str">
        <f>VLOOKUP(AA131,monetary!$B$5:$F$817,5,0)</f>
        <v>High</v>
      </c>
      <c r="AJ131" s="99" t="str">
        <f t="shared" si="18"/>
        <v>LHH</v>
      </c>
      <c r="AK131" s="99" t="str">
        <f>VLOOKUP(AJ131,rfm[],2,0)</f>
        <v>⚠️ At Risk High Value</v>
      </c>
      <c r="AN131" s="99" t="b">
        <f t="shared" si="19"/>
        <v>1</v>
      </c>
    </row>
    <row r="132" spans="2:40" x14ac:dyDescent="0.3">
      <c r="B132" s="99" t="s">
        <v>1009</v>
      </c>
      <c r="C132" s="100">
        <v>45677</v>
      </c>
      <c r="D132" s="99" t="s">
        <v>18</v>
      </c>
      <c r="E132" s="99" t="s">
        <v>19</v>
      </c>
      <c r="F132" s="99" t="s">
        <v>20</v>
      </c>
      <c r="G132" s="99">
        <v>41</v>
      </c>
      <c r="H132" s="112">
        <v>500000</v>
      </c>
      <c r="I132" s="112">
        <v>20500000</v>
      </c>
      <c r="J132" s="99" t="s">
        <v>2173</v>
      </c>
      <c r="K132" s="99" t="s">
        <v>8</v>
      </c>
      <c r="N132" s="99" t="s">
        <v>2163</v>
      </c>
      <c r="O132" s="99" t="s">
        <v>127</v>
      </c>
      <c r="P132" s="100">
        <f t="shared" si="11"/>
        <v>45674</v>
      </c>
      <c r="Q132" s="101">
        <f t="shared" si="10"/>
        <v>349</v>
      </c>
      <c r="R132" s="99">
        <f t="shared" si="12"/>
        <v>2</v>
      </c>
      <c r="S132" s="101">
        <f t="shared" si="13"/>
        <v>11060000</v>
      </c>
      <c r="T132" s="99" t="str">
        <f t="shared" si="14"/>
        <v>Low</v>
      </c>
      <c r="U132" s="99" t="str">
        <f t="shared" si="15"/>
        <v>Low</v>
      </c>
      <c r="V132" s="99" t="str">
        <f t="shared" si="16"/>
        <v>Low</v>
      </c>
      <c r="W132" s="99" t="str">
        <f t="shared" si="17"/>
        <v>LLL</v>
      </c>
      <c r="X132" s="99" t="str">
        <f>VLOOKUP(W132,rfm[],2,FALSE)</f>
        <v>💤 Lost / Low Value</v>
      </c>
      <c r="AA132" s="99" t="s">
        <v>2163</v>
      </c>
      <c r="AB132" s="99" t="s">
        <v>127</v>
      </c>
      <c r="AC132" s="100">
        <v>45674</v>
      </c>
      <c r="AD132" s="101">
        <v>349</v>
      </c>
      <c r="AE132" s="101">
        <v>2</v>
      </c>
      <c r="AF132" s="101">
        <v>11060000</v>
      </c>
      <c r="AG132" s="99" t="str">
        <f>VLOOKUP(AA132,recency!$K$6:$P$818,6,0)</f>
        <v>Low</v>
      </c>
      <c r="AH132" s="132" t="str">
        <f>VLOOKUP(AA132,frequency!$F$6:$H$818,3,FALSE)</f>
        <v>Low</v>
      </c>
      <c r="AI132" s="129" t="str">
        <f>VLOOKUP(AA132,monetary!$B$5:$F$817,5,0)</f>
        <v>Low</v>
      </c>
      <c r="AJ132" s="99" t="str">
        <f t="shared" si="18"/>
        <v>LLL</v>
      </c>
      <c r="AK132" s="99" t="str">
        <f>VLOOKUP(AJ132,rfm[],2,0)</f>
        <v>💤 Lost / Low Value</v>
      </c>
      <c r="AN132" s="99" t="b">
        <f t="shared" si="19"/>
        <v>1</v>
      </c>
    </row>
    <row r="133" spans="2:40" x14ac:dyDescent="0.3">
      <c r="B133" s="99" t="s">
        <v>1010</v>
      </c>
      <c r="C133" s="100">
        <v>45677</v>
      </c>
      <c r="D133" s="99" t="s">
        <v>18</v>
      </c>
      <c r="E133" s="99" t="s">
        <v>19</v>
      </c>
      <c r="F133" s="99" t="s">
        <v>20</v>
      </c>
      <c r="G133" s="99">
        <v>44</v>
      </c>
      <c r="H133" s="112">
        <v>500000</v>
      </c>
      <c r="I133" s="112">
        <v>22000000</v>
      </c>
      <c r="J133" s="99" t="s">
        <v>2415</v>
      </c>
      <c r="K133" s="99" t="s">
        <v>8</v>
      </c>
      <c r="N133" s="99" t="s">
        <v>2164</v>
      </c>
      <c r="O133" s="99" t="s">
        <v>127</v>
      </c>
      <c r="P133" s="100">
        <f t="shared" si="11"/>
        <v>45995</v>
      </c>
      <c r="Q133" s="101">
        <f t="shared" si="10"/>
        <v>28</v>
      </c>
      <c r="R133" s="99">
        <f t="shared" si="12"/>
        <v>2</v>
      </c>
      <c r="S133" s="101">
        <f t="shared" si="13"/>
        <v>24000000</v>
      </c>
      <c r="T133" s="99" t="str">
        <f t="shared" si="14"/>
        <v>High</v>
      </c>
      <c r="U133" s="99" t="str">
        <f t="shared" si="15"/>
        <v>Low</v>
      </c>
      <c r="V133" s="99" t="str">
        <f t="shared" si="16"/>
        <v>High</v>
      </c>
      <c r="W133" s="99" t="str">
        <f t="shared" si="17"/>
        <v>HLH</v>
      </c>
      <c r="X133" s="99" t="str">
        <f>VLOOKUP(W133,rfm[],2,FALSE)</f>
        <v>🛒 Big Spenders (Occasional)</v>
      </c>
      <c r="AA133" s="99" t="s">
        <v>2164</v>
      </c>
      <c r="AB133" s="99" t="s">
        <v>127</v>
      </c>
      <c r="AC133" s="100">
        <v>45995</v>
      </c>
      <c r="AD133" s="101">
        <v>28</v>
      </c>
      <c r="AE133" s="101">
        <v>2</v>
      </c>
      <c r="AF133" s="101">
        <v>24000000</v>
      </c>
      <c r="AG133" s="99" t="str">
        <f>VLOOKUP(AA133,recency!$K$6:$P$818,6,0)</f>
        <v>High</v>
      </c>
      <c r="AH133" s="132" t="str">
        <f>VLOOKUP(AA133,frequency!$F$6:$H$818,3,FALSE)</f>
        <v>Low</v>
      </c>
      <c r="AI133" s="129" t="str">
        <f>VLOOKUP(AA133,monetary!$B$5:$F$817,5,0)</f>
        <v>Low</v>
      </c>
      <c r="AJ133" s="99" t="str">
        <f t="shared" si="18"/>
        <v>HLL</v>
      </c>
      <c r="AK133" s="99" t="str">
        <f>VLOOKUP(AJ133,rfm[],2,0)</f>
        <v>🌱 Potential Loyalists</v>
      </c>
      <c r="AN133" s="99" t="b">
        <f t="shared" si="19"/>
        <v>0</v>
      </c>
    </row>
    <row r="134" spans="2:40" x14ac:dyDescent="0.3">
      <c r="B134" s="99" t="s">
        <v>1011</v>
      </c>
      <c r="C134" s="100">
        <v>45677</v>
      </c>
      <c r="D134" s="99" t="s">
        <v>44</v>
      </c>
      <c r="E134" s="99" t="s">
        <v>45</v>
      </c>
      <c r="F134" s="99" t="s">
        <v>16</v>
      </c>
      <c r="G134" s="99">
        <v>8</v>
      </c>
      <c r="H134" s="112">
        <v>250000</v>
      </c>
      <c r="I134" s="112">
        <v>2000000</v>
      </c>
      <c r="J134" s="99" t="s">
        <v>2283</v>
      </c>
      <c r="K134" s="99" t="s">
        <v>69</v>
      </c>
      <c r="N134" s="99" t="s">
        <v>2165</v>
      </c>
      <c r="O134" s="99" t="s">
        <v>127</v>
      </c>
      <c r="P134" s="100">
        <f t="shared" si="11"/>
        <v>45988</v>
      </c>
      <c r="Q134" s="101">
        <f t="shared" ref="Q134:Q197" si="20">analysis_date-P134</f>
        <v>35</v>
      </c>
      <c r="R134" s="99">
        <f t="shared" si="12"/>
        <v>1</v>
      </c>
      <c r="S134" s="101">
        <f t="shared" si="13"/>
        <v>18000000</v>
      </c>
      <c r="T134" s="99" t="str">
        <f t="shared" si="14"/>
        <v>High</v>
      </c>
      <c r="U134" s="99" t="str">
        <f t="shared" si="15"/>
        <v>Low</v>
      </c>
      <c r="V134" s="99" t="str">
        <f t="shared" si="16"/>
        <v>Low</v>
      </c>
      <c r="W134" s="99" t="str">
        <f t="shared" si="17"/>
        <v>HLL</v>
      </c>
      <c r="X134" s="99" t="str">
        <f>VLOOKUP(W134,rfm[],2,FALSE)</f>
        <v>🌱 Potential Loyalists</v>
      </c>
      <c r="AA134" s="99" t="s">
        <v>2165</v>
      </c>
      <c r="AB134" s="99" t="s">
        <v>127</v>
      </c>
      <c r="AC134" s="100">
        <v>45988</v>
      </c>
      <c r="AD134" s="101">
        <v>35</v>
      </c>
      <c r="AE134" s="101">
        <v>1</v>
      </c>
      <c r="AF134" s="101">
        <v>18000000</v>
      </c>
      <c r="AG134" s="99" t="str">
        <f>VLOOKUP(AA134,recency!$K$6:$P$818,6,0)</f>
        <v>High</v>
      </c>
      <c r="AH134" s="132" t="str">
        <f>VLOOKUP(AA134,frequency!$F$6:$H$818,3,FALSE)</f>
        <v>Low</v>
      </c>
      <c r="AI134" s="129" t="str">
        <f>VLOOKUP(AA134,monetary!$B$5:$F$817,5,0)</f>
        <v>Low</v>
      </c>
      <c r="AJ134" s="99" t="str">
        <f t="shared" si="18"/>
        <v>HLL</v>
      </c>
      <c r="AK134" s="99" t="str">
        <f>VLOOKUP(AJ134,rfm[],2,0)</f>
        <v>🌱 Potential Loyalists</v>
      </c>
      <c r="AN134" s="99" t="b">
        <f t="shared" si="19"/>
        <v>1</v>
      </c>
    </row>
    <row r="135" spans="2:40" x14ac:dyDescent="0.3">
      <c r="B135" s="99" t="s">
        <v>1038</v>
      </c>
      <c r="C135" s="100">
        <v>45677</v>
      </c>
      <c r="D135" s="99" t="s">
        <v>40</v>
      </c>
      <c r="E135" s="99" t="s">
        <v>41</v>
      </c>
      <c r="F135" s="99" t="s">
        <v>16</v>
      </c>
      <c r="G135" s="99">
        <v>25</v>
      </c>
      <c r="H135" s="112">
        <v>950000</v>
      </c>
      <c r="I135" s="112">
        <v>23750000</v>
      </c>
      <c r="J135" s="99" t="s">
        <v>2609</v>
      </c>
      <c r="K135" s="99" t="s">
        <v>60</v>
      </c>
      <c r="N135" s="99" t="s">
        <v>2166</v>
      </c>
      <c r="O135" s="99" t="s">
        <v>60</v>
      </c>
      <c r="P135" s="100">
        <f t="shared" ref="P135:P198" si="21">_xlfn.MAXIFS($C$6:$C$2005,$J$6:$J$2005,N135)</f>
        <v>45925</v>
      </c>
      <c r="Q135" s="101">
        <f t="shared" si="20"/>
        <v>98</v>
      </c>
      <c r="R135" s="99">
        <f t="shared" ref="R135:R198" si="22">COUNTIFS($J$6:$J$2005,N135)</f>
        <v>2</v>
      </c>
      <c r="S135" s="101">
        <f t="shared" ref="S135:S198" si="23">SUMIFS($I$6:$I$2005,$J$6:$J$2005,N135)</f>
        <v>21400000</v>
      </c>
      <c r="T135" s="99" t="str">
        <f t="shared" ref="T135:T198" si="24">IF(Q135&lt;MEDIAN($Q$6:$Q$817),"High","Low")</f>
        <v>Low</v>
      </c>
      <c r="U135" s="99" t="str">
        <f t="shared" ref="U135:U198" si="25">IF(R135&gt;MEDIAN($R$6:$R$817),"High","Low")</f>
        <v>Low</v>
      </c>
      <c r="V135" s="99" t="str">
        <f t="shared" ref="V135:V198" si="26">IF(S135&gt;MEDIAN($S$6:$S$817),"High","Low")</f>
        <v>High</v>
      </c>
      <c r="W135" s="99" t="str">
        <f t="shared" ref="W135:W198" si="27">_xlfn.CONCAT(LEFT(T135,1),LEFT(U135,1),LEFT(V135,1))</f>
        <v>LLH</v>
      </c>
      <c r="X135" s="99" t="str">
        <f>VLOOKUP(W135,rfm[],2,FALSE)</f>
        <v>💸 Lost High Spenders</v>
      </c>
      <c r="AA135" s="99" t="s">
        <v>2166</v>
      </c>
      <c r="AB135" s="99" t="s">
        <v>60</v>
      </c>
      <c r="AC135" s="100">
        <v>45925</v>
      </c>
      <c r="AD135" s="101">
        <v>98</v>
      </c>
      <c r="AE135" s="101">
        <v>2</v>
      </c>
      <c r="AF135" s="101">
        <v>21400000</v>
      </c>
      <c r="AG135" s="99" t="str">
        <f>VLOOKUP(AA135,recency!$K$6:$P$818,6,0)</f>
        <v>Low</v>
      </c>
      <c r="AH135" s="132" t="str">
        <f>VLOOKUP(AA135,frequency!$F$6:$H$818,3,FALSE)</f>
        <v>Low</v>
      </c>
      <c r="AI135" s="129" t="str">
        <f>VLOOKUP(AA135,monetary!$B$5:$F$817,5,0)</f>
        <v>Low</v>
      </c>
      <c r="AJ135" s="99" t="str">
        <f t="shared" ref="AJ135:AJ198" si="28">_xlfn.CONCAT(LEFT(AG135,1),LEFT(AH135,1),LEFT(AI135,1))</f>
        <v>LLL</v>
      </c>
      <c r="AK135" s="99" t="str">
        <f>VLOOKUP(AJ135,rfm[],2,0)</f>
        <v>💤 Lost / Low Value</v>
      </c>
      <c r="AN135" s="99" t="b">
        <f t="shared" ref="AN135:AN198" si="29">AJ135=W135</f>
        <v>0</v>
      </c>
    </row>
    <row r="136" spans="2:40" x14ac:dyDescent="0.3">
      <c r="B136" s="99" t="s">
        <v>1039</v>
      </c>
      <c r="C136" s="100">
        <v>45677</v>
      </c>
      <c r="D136" s="99" t="s">
        <v>40</v>
      </c>
      <c r="E136" s="99" t="s">
        <v>41</v>
      </c>
      <c r="F136" s="99" t="s">
        <v>16</v>
      </c>
      <c r="G136" s="99">
        <v>33</v>
      </c>
      <c r="H136" s="112">
        <v>950000</v>
      </c>
      <c r="I136" s="112">
        <v>31350000</v>
      </c>
      <c r="J136" s="99" t="s">
        <v>2664</v>
      </c>
      <c r="K136" s="99" t="s">
        <v>127</v>
      </c>
      <c r="N136" s="99" t="s">
        <v>2167</v>
      </c>
      <c r="O136" s="99" t="s">
        <v>69</v>
      </c>
      <c r="P136" s="100">
        <f t="shared" si="21"/>
        <v>45995</v>
      </c>
      <c r="Q136" s="101">
        <f t="shared" si="20"/>
        <v>28</v>
      </c>
      <c r="R136" s="99">
        <f t="shared" si="22"/>
        <v>1</v>
      </c>
      <c r="S136" s="101">
        <f t="shared" si="23"/>
        <v>13650000</v>
      </c>
      <c r="T136" s="99" t="str">
        <f t="shared" si="24"/>
        <v>High</v>
      </c>
      <c r="U136" s="99" t="str">
        <f t="shared" si="25"/>
        <v>Low</v>
      </c>
      <c r="V136" s="99" t="str">
        <f t="shared" si="26"/>
        <v>Low</v>
      </c>
      <c r="W136" s="99" t="str">
        <f t="shared" si="27"/>
        <v>HLL</v>
      </c>
      <c r="X136" s="99" t="str">
        <f>VLOOKUP(W136,rfm[],2,FALSE)</f>
        <v>🌱 Potential Loyalists</v>
      </c>
      <c r="AA136" s="99" t="s">
        <v>2167</v>
      </c>
      <c r="AB136" s="99" t="s">
        <v>69</v>
      </c>
      <c r="AC136" s="100">
        <v>45995</v>
      </c>
      <c r="AD136" s="101">
        <v>28</v>
      </c>
      <c r="AE136" s="101">
        <v>1</v>
      </c>
      <c r="AF136" s="101">
        <v>13650000</v>
      </c>
      <c r="AG136" s="99" t="str">
        <f>VLOOKUP(AA136,recency!$K$6:$P$818,6,0)</f>
        <v>High</v>
      </c>
      <c r="AH136" s="132" t="str">
        <f>VLOOKUP(AA136,frequency!$F$6:$H$818,3,FALSE)</f>
        <v>Low</v>
      </c>
      <c r="AI136" s="129" t="str">
        <f>VLOOKUP(AA136,monetary!$B$5:$F$817,5,0)</f>
        <v>Low</v>
      </c>
      <c r="AJ136" s="99" t="str">
        <f t="shared" si="28"/>
        <v>HLL</v>
      </c>
      <c r="AK136" s="99" t="str">
        <f>VLOOKUP(AJ136,rfm[],2,0)</f>
        <v>🌱 Potential Loyalists</v>
      </c>
      <c r="AN136" s="99" t="b">
        <f t="shared" si="29"/>
        <v>1</v>
      </c>
    </row>
    <row r="137" spans="2:40" x14ac:dyDescent="0.3">
      <c r="B137" s="99" t="s">
        <v>1040</v>
      </c>
      <c r="C137" s="100">
        <v>45677</v>
      </c>
      <c r="D137" s="99" t="s">
        <v>10</v>
      </c>
      <c r="E137" s="99" t="s">
        <v>11</v>
      </c>
      <c r="F137" s="99" t="s">
        <v>12</v>
      </c>
      <c r="G137" s="99">
        <v>12</v>
      </c>
      <c r="H137" s="112">
        <v>120000</v>
      </c>
      <c r="I137" s="112">
        <v>1440000</v>
      </c>
      <c r="J137" s="99" t="s">
        <v>2392</v>
      </c>
      <c r="K137" s="99" t="s">
        <v>8</v>
      </c>
      <c r="N137" s="99" t="s">
        <v>2168</v>
      </c>
      <c r="O137" s="99" t="s">
        <v>127</v>
      </c>
      <c r="P137" s="100">
        <f t="shared" si="21"/>
        <v>45911</v>
      </c>
      <c r="Q137" s="101">
        <f t="shared" si="20"/>
        <v>112</v>
      </c>
      <c r="R137" s="99">
        <f t="shared" si="22"/>
        <v>2</v>
      </c>
      <c r="S137" s="101">
        <f t="shared" si="23"/>
        <v>15450000</v>
      </c>
      <c r="T137" s="99" t="str">
        <f t="shared" si="24"/>
        <v>Low</v>
      </c>
      <c r="U137" s="99" t="str">
        <f t="shared" si="25"/>
        <v>Low</v>
      </c>
      <c r="V137" s="99" t="str">
        <f t="shared" si="26"/>
        <v>Low</v>
      </c>
      <c r="W137" s="99" t="str">
        <f t="shared" si="27"/>
        <v>LLL</v>
      </c>
      <c r="X137" s="99" t="str">
        <f>VLOOKUP(W137,rfm[],2,FALSE)</f>
        <v>💤 Lost / Low Value</v>
      </c>
      <c r="AA137" s="99" t="s">
        <v>2168</v>
      </c>
      <c r="AB137" s="99" t="s">
        <v>127</v>
      </c>
      <c r="AC137" s="100">
        <v>45911</v>
      </c>
      <c r="AD137" s="101">
        <v>112</v>
      </c>
      <c r="AE137" s="101">
        <v>2</v>
      </c>
      <c r="AF137" s="101">
        <v>15450000</v>
      </c>
      <c r="AG137" s="99" t="str">
        <f>VLOOKUP(AA137,recency!$K$6:$P$818,6,0)</f>
        <v>Low</v>
      </c>
      <c r="AH137" s="132" t="str">
        <f>VLOOKUP(AA137,frequency!$F$6:$H$818,3,FALSE)</f>
        <v>Low</v>
      </c>
      <c r="AI137" s="129" t="str">
        <f>VLOOKUP(AA137,monetary!$B$5:$F$817,5,0)</f>
        <v>Low</v>
      </c>
      <c r="AJ137" s="99" t="str">
        <f t="shared" si="28"/>
        <v>LLL</v>
      </c>
      <c r="AK137" s="99" t="str">
        <f>VLOOKUP(AJ137,rfm[],2,0)</f>
        <v>💤 Lost / Low Value</v>
      </c>
      <c r="AN137" s="99" t="b">
        <f t="shared" si="29"/>
        <v>1</v>
      </c>
    </row>
    <row r="138" spans="2:40" x14ac:dyDescent="0.3">
      <c r="B138" s="99" t="s">
        <v>1041</v>
      </c>
      <c r="C138" s="100">
        <v>45677</v>
      </c>
      <c r="D138" s="99" t="s">
        <v>18</v>
      </c>
      <c r="E138" s="99" t="s">
        <v>19</v>
      </c>
      <c r="F138" s="99" t="s">
        <v>20</v>
      </c>
      <c r="G138" s="99">
        <v>27</v>
      </c>
      <c r="H138" s="112">
        <v>500000</v>
      </c>
      <c r="I138" s="112">
        <v>13500000</v>
      </c>
      <c r="J138" s="99" t="s">
        <v>2548</v>
      </c>
      <c r="K138" s="99" t="s">
        <v>47</v>
      </c>
      <c r="N138" s="99" t="s">
        <v>2169</v>
      </c>
      <c r="O138" s="99" t="s">
        <v>127</v>
      </c>
      <c r="P138" s="100">
        <f t="shared" si="21"/>
        <v>45992</v>
      </c>
      <c r="Q138" s="101">
        <f t="shared" si="20"/>
        <v>31</v>
      </c>
      <c r="R138" s="99">
        <f t="shared" si="22"/>
        <v>6</v>
      </c>
      <c r="S138" s="101">
        <f t="shared" si="23"/>
        <v>947500000</v>
      </c>
      <c r="T138" s="99" t="str">
        <f t="shared" si="24"/>
        <v>High</v>
      </c>
      <c r="U138" s="99" t="str">
        <f t="shared" si="25"/>
        <v>High</v>
      </c>
      <c r="V138" s="99" t="str">
        <f t="shared" si="26"/>
        <v>High</v>
      </c>
      <c r="W138" s="99" t="str">
        <f t="shared" si="27"/>
        <v>HHH</v>
      </c>
      <c r="X138" s="99" t="str">
        <f>VLOOKUP(W138,rfm[],2,FALSE)</f>
        <v>🥇 Champions</v>
      </c>
      <c r="AA138" s="99" t="s">
        <v>2169</v>
      </c>
      <c r="AB138" s="99" t="s">
        <v>127</v>
      </c>
      <c r="AC138" s="100">
        <v>45992</v>
      </c>
      <c r="AD138" s="101">
        <v>31</v>
      </c>
      <c r="AE138" s="101">
        <v>6</v>
      </c>
      <c r="AF138" s="101">
        <v>947500000</v>
      </c>
      <c r="AG138" s="99" t="str">
        <f>VLOOKUP(AA138,recency!$K$6:$P$818,6,0)</f>
        <v>High</v>
      </c>
      <c r="AH138" s="132" t="str">
        <f>VLOOKUP(AA138,frequency!$F$6:$H$818,3,FALSE)</f>
        <v>High</v>
      </c>
      <c r="AI138" s="129" t="str">
        <f>VLOOKUP(AA138,monetary!$B$5:$F$817,5,0)</f>
        <v>High</v>
      </c>
      <c r="AJ138" s="99" t="str">
        <f t="shared" si="28"/>
        <v>HHH</v>
      </c>
      <c r="AK138" s="99" t="str">
        <f>VLOOKUP(AJ138,rfm[],2,0)</f>
        <v>🥇 Champions</v>
      </c>
      <c r="AN138" s="99" t="b">
        <f t="shared" si="29"/>
        <v>1</v>
      </c>
    </row>
    <row r="139" spans="2:40" x14ac:dyDescent="0.3">
      <c r="B139" s="99" t="s">
        <v>1042</v>
      </c>
      <c r="C139" s="100">
        <v>45677</v>
      </c>
      <c r="D139" s="99" t="s">
        <v>14</v>
      </c>
      <c r="E139" s="99" t="s">
        <v>15</v>
      </c>
      <c r="F139" s="99" t="s">
        <v>16</v>
      </c>
      <c r="G139" s="99">
        <v>46</v>
      </c>
      <c r="H139" s="112">
        <v>350000</v>
      </c>
      <c r="I139" s="112">
        <v>16100000</v>
      </c>
      <c r="J139" s="99" t="s">
        <v>2302</v>
      </c>
      <c r="K139" s="99" t="s">
        <v>8</v>
      </c>
      <c r="N139" s="99" t="s">
        <v>2170</v>
      </c>
      <c r="O139" s="99" t="s">
        <v>127</v>
      </c>
      <c r="P139" s="100">
        <f t="shared" si="21"/>
        <v>45798</v>
      </c>
      <c r="Q139" s="101">
        <f t="shared" si="20"/>
        <v>225</v>
      </c>
      <c r="R139" s="99">
        <f t="shared" si="22"/>
        <v>1</v>
      </c>
      <c r="S139" s="101">
        <f t="shared" si="23"/>
        <v>20400000</v>
      </c>
      <c r="T139" s="99" t="str">
        <f t="shared" si="24"/>
        <v>Low</v>
      </c>
      <c r="U139" s="99" t="str">
        <f t="shared" si="25"/>
        <v>Low</v>
      </c>
      <c r="V139" s="99" t="str">
        <f t="shared" si="26"/>
        <v>High</v>
      </c>
      <c r="W139" s="99" t="str">
        <f t="shared" si="27"/>
        <v>LLH</v>
      </c>
      <c r="X139" s="99" t="str">
        <f>VLOOKUP(W139,rfm[],2,FALSE)</f>
        <v>💸 Lost High Spenders</v>
      </c>
      <c r="AA139" s="99" t="s">
        <v>2170</v>
      </c>
      <c r="AB139" s="99" t="s">
        <v>127</v>
      </c>
      <c r="AC139" s="100">
        <v>45798</v>
      </c>
      <c r="AD139" s="101">
        <v>225</v>
      </c>
      <c r="AE139" s="101">
        <v>1</v>
      </c>
      <c r="AF139" s="101">
        <v>20400000</v>
      </c>
      <c r="AG139" s="99" t="str">
        <f>VLOOKUP(AA139,recency!$K$6:$P$818,6,0)</f>
        <v>Low</v>
      </c>
      <c r="AH139" s="132" t="str">
        <f>VLOOKUP(AA139,frequency!$F$6:$H$818,3,FALSE)</f>
        <v>Low</v>
      </c>
      <c r="AI139" s="129" t="str">
        <f>VLOOKUP(AA139,monetary!$B$5:$F$817,5,0)</f>
        <v>Low</v>
      </c>
      <c r="AJ139" s="99" t="str">
        <f t="shared" si="28"/>
        <v>LLL</v>
      </c>
      <c r="AK139" s="99" t="str">
        <f>VLOOKUP(AJ139,rfm[],2,0)</f>
        <v>💤 Lost / Low Value</v>
      </c>
      <c r="AN139" s="99" t="b">
        <f t="shared" si="29"/>
        <v>0</v>
      </c>
    </row>
    <row r="140" spans="2:40" x14ac:dyDescent="0.3">
      <c r="B140" s="99" t="s">
        <v>1043</v>
      </c>
      <c r="C140" s="100">
        <v>45677</v>
      </c>
      <c r="D140" s="99" t="s">
        <v>31</v>
      </c>
      <c r="E140" s="99" t="s">
        <v>32</v>
      </c>
      <c r="F140" s="99" t="s">
        <v>20</v>
      </c>
      <c r="G140" s="99">
        <v>26</v>
      </c>
      <c r="H140" s="112">
        <v>180000</v>
      </c>
      <c r="I140" s="112">
        <v>4680000</v>
      </c>
      <c r="J140" s="99" t="s">
        <v>2809</v>
      </c>
      <c r="K140" s="99" t="s">
        <v>47</v>
      </c>
      <c r="N140" s="99" t="s">
        <v>2171</v>
      </c>
      <c r="O140" s="99" t="s">
        <v>47</v>
      </c>
      <c r="P140" s="100">
        <f t="shared" si="21"/>
        <v>45764</v>
      </c>
      <c r="Q140" s="101">
        <f t="shared" si="20"/>
        <v>259</v>
      </c>
      <c r="R140" s="99">
        <f t="shared" si="22"/>
        <v>1</v>
      </c>
      <c r="S140" s="101">
        <f t="shared" si="23"/>
        <v>12000000</v>
      </c>
      <c r="T140" s="99" t="str">
        <f t="shared" si="24"/>
        <v>Low</v>
      </c>
      <c r="U140" s="99" t="str">
        <f t="shared" si="25"/>
        <v>Low</v>
      </c>
      <c r="V140" s="99" t="str">
        <f t="shared" si="26"/>
        <v>Low</v>
      </c>
      <c r="W140" s="99" t="str">
        <f t="shared" si="27"/>
        <v>LLL</v>
      </c>
      <c r="X140" s="99" t="str">
        <f>VLOOKUP(W140,rfm[],2,FALSE)</f>
        <v>💤 Lost / Low Value</v>
      </c>
      <c r="AA140" s="99" t="s">
        <v>2171</v>
      </c>
      <c r="AB140" s="99" t="s">
        <v>47</v>
      </c>
      <c r="AC140" s="100">
        <v>45764</v>
      </c>
      <c r="AD140" s="101">
        <v>259</v>
      </c>
      <c r="AE140" s="101">
        <v>1</v>
      </c>
      <c r="AF140" s="101">
        <v>12000000</v>
      </c>
      <c r="AG140" s="99" t="str">
        <f>VLOOKUP(AA140,recency!$K$6:$P$818,6,0)</f>
        <v>Low</v>
      </c>
      <c r="AH140" s="132" t="str">
        <f>VLOOKUP(AA140,frequency!$F$6:$H$818,3,FALSE)</f>
        <v>Low</v>
      </c>
      <c r="AI140" s="129" t="str">
        <f>VLOOKUP(AA140,monetary!$B$5:$F$817,5,0)</f>
        <v>Low</v>
      </c>
      <c r="AJ140" s="99" t="str">
        <f t="shared" si="28"/>
        <v>LLL</v>
      </c>
      <c r="AK140" s="99" t="str">
        <f>VLOOKUP(AJ140,rfm[],2,0)</f>
        <v>💤 Lost / Low Value</v>
      </c>
      <c r="AN140" s="99" t="b">
        <f t="shared" si="29"/>
        <v>1</v>
      </c>
    </row>
    <row r="141" spans="2:40" x14ac:dyDescent="0.3">
      <c r="B141" s="99" t="s">
        <v>1044</v>
      </c>
      <c r="C141" s="100">
        <v>45678</v>
      </c>
      <c r="D141" s="99" t="s">
        <v>44</v>
      </c>
      <c r="E141" s="99" t="s">
        <v>45</v>
      </c>
      <c r="F141" s="99" t="s">
        <v>16</v>
      </c>
      <c r="G141" s="99">
        <v>50</v>
      </c>
      <c r="H141" s="112">
        <v>250000</v>
      </c>
      <c r="I141" s="112">
        <v>12500000</v>
      </c>
      <c r="J141" s="99" t="s">
        <v>2288</v>
      </c>
      <c r="K141" s="99" t="s">
        <v>60</v>
      </c>
      <c r="N141" s="99" t="s">
        <v>2172</v>
      </c>
      <c r="O141" s="99" t="s">
        <v>60</v>
      </c>
      <c r="P141" s="100">
        <f t="shared" si="21"/>
        <v>45758</v>
      </c>
      <c r="Q141" s="101">
        <f t="shared" si="20"/>
        <v>265</v>
      </c>
      <c r="R141" s="99">
        <f t="shared" si="22"/>
        <v>1</v>
      </c>
      <c r="S141" s="101">
        <f t="shared" si="23"/>
        <v>43700000</v>
      </c>
      <c r="T141" s="99" t="str">
        <f t="shared" si="24"/>
        <v>Low</v>
      </c>
      <c r="U141" s="99" t="str">
        <f t="shared" si="25"/>
        <v>Low</v>
      </c>
      <c r="V141" s="99" t="str">
        <f t="shared" si="26"/>
        <v>High</v>
      </c>
      <c r="W141" s="99" t="str">
        <f t="shared" si="27"/>
        <v>LLH</v>
      </c>
      <c r="X141" s="99" t="str">
        <f>VLOOKUP(W141,rfm[],2,FALSE)</f>
        <v>💸 Lost High Spenders</v>
      </c>
      <c r="AA141" s="99" t="s">
        <v>2172</v>
      </c>
      <c r="AB141" s="99" t="s">
        <v>60</v>
      </c>
      <c r="AC141" s="100">
        <v>45758</v>
      </c>
      <c r="AD141" s="101">
        <v>265</v>
      </c>
      <c r="AE141" s="101">
        <v>1</v>
      </c>
      <c r="AF141" s="101">
        <v>43700000</v>
      </c>
      <c r="AG141" s="99" t="str">
        <f>VLOOKUP(AA141,recency!$K$6:$P$818,6,0)</f>
        <v>Low</v>
      </c>
      <c r="AH141" s="132" t="str">
        <f>VLOOKUP(AA141,frequency!$F$6:$H$818,3,FALSE)</f>
        <v>Low</v>
      </c>
      <c r="AI141" s="129" t="str">
        <f>VLOOKUP(AA141,monetary!$B$5:$F$817,5,0)</f>
        <v>Low</v>
      </c>
      <c r="AJ141" s="99" t="str">
        <f t="shared" si="28"/>
        <v>LLL</v>
      </c>
      <c r="AK141" s="99" t="str">
        <f>VLOOKUP(AJ141,rfm[],2,0)</f>
        <v>💤 Lost / Low Value</v>
      </c>
      <c r="AN141" s="99" t="b">
        <f t="shared" si="29"/>
        <v>0</v>
      </c>
    </row>
    <row r="142" spans="2:40" x14ac:dyDescent="0.3">
      <c r="B142" s="99" t="s">
        <v>1077</v>
      </c>
      <c r="C142" s="100">
        <v>45678</v>
      </c>
      <c r="D142" s="99" t="s">
        <v>31</v>
      </c>
      <c r="E142" s="99" t="s">
        <v>32</v>
      </c>
      <c r="F142" s="99" t="s">
        <v>20</v>
      </c>
      <c r="G142" s="99">
        <v>23</v>
      </c>
      <c r="H142" s="112">
        <v>180000</v>
      </c>
      <c r="I142" s="112">
        <v>4140000</v>
      </c>
      <c r="J142" s="99" t="s">
        <v>2693</v>
      </c>
      <c r="K142" s="99" t="s">
        <v>127</v>
      </c>
      <c r="N142" s="99" t="s">
        <v>2173</v>
      </c>
      <c r="O142" s="99" t="s">
        <v>8</v>
      </c>
      <c r="P142" s="100">
        <f t="shared" si="21"/>
        <v>45764</v>
      </c>
      <c r="Q142" s="101">
        <f t="shared" si="20"/>
        <v>259</v>
      </c>
      <c r="R142" s="99">
        <f t="shared" si="22"/>
        <v>4</v>
      </c>
      <c r="S142" s="101">
        <f t="shared" si="23"/>
        <v>51600000</v>
      </c>
      <c r="T142" s="99" t="str">
        <f t="shared" si="24"/>
        <v>Low</v>
      </c>
      <c r="U142" s="99" t="str">
        <f t="shared" si="25"/>
        <v>High</v>
      </c>
      <c r="V142" s="99" t="str">
        <f t="shared" si="26"/>
        <v>High</v>
      </c>
      <c r="W142" s="99" t="str">
        <f t="shared" si="27"/>
        <v>LHH</v>
      </c>
      <c r="X142" s="99" t="str">
        <f>VLOOKUP(W142,rfm[],2,FALSE)</f>
        <v>⚠️ At Risk High Value</v>
      </c>
      <c r="AA142" s="99" t="s">
        <v>2173</v>
      </c>
      <c r="AB142" s="99" t="s">
        <v>8</v>
      </c>
      <c r="AC142" s="100">
        <v>45764</v>
      </c>
      <c r="AD142" s="101">
        <v>259</v>
      </c>
      <c r="AE142" s="101">
        <v>4</v>
      </c>
      <c r="AF142" s="101">
        <v>51600000</v>
      </c>
      <c r="AG142" s="99" t="str">
        <f>VLOOKUP(AA142,recency!$K$6:$P$818,6,0)</f>
        <v>Low</v>
      </c>
      <c r="AH142" s="132" t="str">
        <f>VLOOKUP(AA142,frequency!$F$6:$H$818,3,FALSE)</f>
        <v>High</v>
      </c>
      <c r="AI142" s="129" t="str">
        <f>VLOOKUP(AA142,monetary!$B$5:$F$817,5,0)</f>
        <v>High</v>
      </c>
      <c r="AJ142" s="99" t="str">
        <f t="shared" si="28"/>
        <v>LHH</v>
      </c>
      <c r="AK142" s="99" t="str">
        <f>VLOOKUP(AJ142,rfm[],2,0)</f>
        <v>⚠️ At Risk High Value</v>
      </c>
      <c r="AN142" s="99" t="b">
        <f t="shared" si="29"/>
        <v>1</v>
      </c>
    </row>
    <row r="143" spans="2:40" x14ac:dyDescent="0.3">
      <c r="B143" s="99" t="s">
        <v>1078</v>
      </c>
      <c r="C143" s="100">
        <v>45678</v>
      </c>
      <c r="D143" s="99" t="s">
        <v>22</v>
      </c>
      <c r="E143" s="99" t="s">
        <v>23</v>
      </c>
      <c r="F143" s="99" t="s">
        <v>12</v>
      </c>
      <c r="G143" s="99">
        <v>10</v>
      </c>
      <c r="H143" s="112">
        <v>25000</v>
      </c>
      <c r="I143" s="112">
        <v>250000</v>
      </c>
      <c r="J143" s="99" t="s">
        <v>2277</v>
      </c>
      <c r="K143" s="99" t="s">
        <v>127</v>
      </c>
      <c r="N143" s="99" t="s">
        <v>2174</v>
      </c>
      <c r="O143" s="99" t="s">
        <v>127</v>
      </c>
      <c r="P143" s="100">
        <f t="shared" si="21"/>
        <v>45824</v>
      </c>
      <c r="Q143" s="101">
        <f t="shared" si="20"/>
        <v>199</v>
      </c>
      <c r="R143" s="99">
        <f t="shared" si="22"/>
        <v>1</v>
      </c>
      <c r="S143" s="101">
        <f t="shared" si="23"/>
        <v>8600000</v>
      </c>
      <c r="T143" s="99" t="str">
        <f t="shared" si="24"/>
        <v>Low</v>
      </c>
      <c r="U143" s="99" t="str">
        <f t="shared" si="25"/>
        <v>Low</v>
      </c>
      <c r="V143" s="99" t="str">
        <f t="shared" si="26"/>
        <v>Low</v>
      </c>
      <c r="W143" s="99" t="str">
        <f t="shared" si="27"/>
        <v>LLL</v>
      </c>
      <c r="X143" s="99" t="str">
        <f>VLOOKUP(W143,rfm[],2,FALSE)</f>
        <v>💤 Lost / Low Value</v>
      </c>
      <c r="AA143" s="99" t="s">
        <v>2174</v>
      </c>
      <c r="AB143" s="99" t="s">
        <v>127</v>
      </c>
      <c r="AC143" s="100">
        <v>45824</v>
      </c>
      <c r="AD143" s="101">
        <v>199</v>
      </c>
      <c r="AE143" s="101">
        <v>1</v>
      </c>
      <c r="AF143" s="101">
        <v>8600000</v>
      </c>
      <c r="AG143" s="99" t="str">
        <f>VLOOKUP(AA143,recency!$K$6:$P$818,6,0)</f>
        <v>Low</v>
      </c>
      <c r="AH143" s="132" t="str">
        <f>VLOOKUP(AA143,frequency!$F$6:$H$818,3,FALSE)</f>
        <v>Low</v>
      </c>
      <c r="AI143" s="129" t="str">
        <f>VLOOKUP(AA143,monetary!$B$5:$F$817,5,0)</f>
        <v>Low</v>
      </c>
      <c r="AJ143" s="99" t="str">
        <f t="shared" si="28"/>
        <v>LLL</v>
      </c>
      <c r="AK143" s="99" t="str">
        <f>VLOOKUP(AJ143,rfm[],2,0)</f>
        <v>💤 Lost / Low Value</v>
      </c>
      <c r="AN143" s="99" t="b">
        <f t="shared" si="29"/>
        <v>1</v>
      </c>
    </row>
    <row r="144" spans="2:40" x14ac:dyDescent="0.3">
      <c r="B144" s="99" t="s">
        <v>1079</v>
      </c>
      <c r="C144" s="100">
        <v>45678</v>
      </c>
      <c r="D144" s="99" t="s">
        <v>38</v>
      </c>
      <c r="E144" s="99" t="s">
        <v>39</v>
      </c>
      <c r="F144" s="99" t="s">
        <v>16</v>
      </c>
      <c r="G144" s="99">
        <v>49</v>
      </c>
      <c r="H144" s="112">
        <v>200000</v>
      </c>
      <c r="I144" s="112">
        <v>9800000</v>
      </c>
      <c r="J144" s="99" t="s">
        <v>2591</v>
      </c>
      <c r="K144" s="99" t="s">
        <v>127</v>
      </c>
      <c r="N144" s="99" t="s">
        <v>2175</v>
      </c>
      <c r="O144" s="99" t="s">
        <v>127</v>
      </c>
      <c r="P144" s="100">
        <f t="shared" si="21"/>
        <v>46021</v>
      </c>
      <c r="Q144" s="101">
        <f t="shared" si="20"/>
        <v>2</v>
      </c>
      <c r="R144" s="99">
        <f t="shared" si="22"/>
        <v>2</v>
      </c>
      <c r="S144" s="101">
        <f t="shared" si="23"/>
        <v>45300000</v>
      </c>
      <c r="T144" s="99" t="str">
        <f t="shared" si="24"/>
        <v>High</v>
      </c>
      <c r="U144" s="99" t="str">
        <f t="shared" si="25"/>
        <v>Low</v>
      </c>
      <c r="V144" s="99" t="str">
        <f t="shared" si="26"/>
        <v>High</v>
      </c>
      <c r="W144" s="99" t="str">
        <f t="shared" si="27"/>
        <v>HLH</v>
      </c>
      <c r="X144" s="99" t="str">
        <f>VLOOKUP(W144,rfm[],2,FALSE)</f>
        <v>🛒 Big Spenders (Occasional)</v>
      </c>
      <c r="AA144" s="99" t="s">
        <v>2175</v>
      </c>
      <c r="AB144" s="99" t="s">
        <v>127</v>
      </c>
      <c r="AC144" s="100">
        <v>46021</v>
      </c>
      <c r="AD144" s="101">
        <v>2</v>
      </c>
      <c r="AE144" s="101">
        <v>2</v>
      </c>
      <c r="AF144" s="101">
        <v>45300000</v>
      </c>
      <c r="AG144" s="99" t="str">
        <f>VLOOKUP(AA144,recency!$K$6:$P$818,6,0)</f>
        <v>High</v>
      </c>
      <c r="AH144" s="132" t="str">
        <f>VLOOKUP(AA144,frequency!$F$6:$H$818,3,FALSE)</f>
        <v>Low</v>
      </c>
      <c r="AI144" s="129" t="str">
        <f>VLOOKUP(AA144,monetary!$B$5:$F$817,5,0)</f>
        <v>Low</v>
      </c>
      <c r="AJ144" s="99" t="str">
        <f t="shared" si="28"/>
        <v>HLL</v>
      </c>
      <c r="AK144" s="99" t="str">
        <f>VLOOKUP(AJ144,rfm[],2,0)</f>
        <v>🌱 Potential Loyalists</v>
      </c>
      <c r="AN144" s="99" t="b">
        <f t="shared" si="29"/>
        <v>0</v>
      </c>
    </row>
    <row r="145" spans="2:40" x14ac:dyDescent="0.3">
      <c r="B145" s="99" t="s">
        <v>1112</v>
      </c>
      <c r="C145" s="100">
        <v>45678</v>
      </c>
      <c r="D145" s="99" t="s">
        <v>31</v>
      </c>
      <c r="E145" s="99" t="s">
        <v>32</v>
      </c>
      <c r="F145" s="99" t="s">
        <v>20</v>
      </c>
      <c r="G145" s="99">
        <v>37</v>
      </c>
      <c r="H145" s="112">
        <v>180000</v>
      </c>
      <c r="I145" s="112">
        <v>6660000</v>
      </c>
      <c r="J145" s="99" t="s">
        <v>2690</v>
      </c>
      <c r="K145" s="99" t="s">
        <v>60</v>
      </c>
      <c r="N145" s="99" t="s">
        <v>2176</v>
      </c>
      <c r="O145" s="99" t="s">
        <v>127</v>
      </c>
      <c r="P145" s="100">
        <f t="shared" si="21"/>
        <v>45961</v>
      </c>
      <c r="Q145" s="101">
        <f t="shared" si="20"/>
        <v>62</v>
      </c>
      <c r="R145" s="99">
        <f t="shared" si="22"/>
        <v>3</v>
      </c>
      <c r="S145" s="101">
        <f t="shared" si="23"/>
        <v>62040000</v>
      </c>
      <c r="T145" s="99" t="str">
        <f t="shared" si="24"/>
        <v>High</v>
      </c>
      <c r="U145" s="99" t="str">
        <f t="shared" si="25"/>
        <v>High</v>
      </c>
      <c r="V145" s="99" t="str">
        <f t="shared" si="26"/>
        <v>High</v>
      </c>
      <c r="W145" s="99" t="str">
        <f t="shared" si="27"/>
        <v>HHH</v>
      </c>
      <c r="X145" s="99" t="str">
        <f>VLOOKUP(W145,rfm[],2,FALSE)</f>
        <v>🥇 Champions</v>
      </c>
      <c r="AA145" s="99" t="s">
        <v>2176</v>
      </c>
      <c r="AB145" s="99" t="s">
        <v>127</v>
      </c>
      <c r="AC145" s="100">
        <v>45961</v>
      </c>
      <c r="AD145" s="101">
        <v>62</v>
      </c>
      <c r="AE145" s="101">
        <v>3</v>
      </c>
      <c r="AF145" s="101">
        <v>62040000</v>
      </c>
      <c r="AG145" s="99" t="str">
        <f>VLOOKUP(AA145,recency!$K$6:$P$818,6,0)</f>
        <v>Low</v>
      </c>
      <c r="AH145" s="132" t="str">
        <f>VLOOKUP(AA145,frequency!$F$6:$H$818,3,FALSE)</f>
        <v>High</v>
      </c>
      <c r="AI145" s="129" t="str">
        <f>VLOOKUP(AA145,monetary!$B$5:$F$817,5,0)</f>
        <v>High</v>
      </c>
      <c r="AJ145" s="99" t="str">
        <f t="shared" si="28"/>
        <v>LHH</v>
      </c>
      <c r="AK145" s="99" t="str">
        <f>VLOOKUP(AJ145,rfm[],2,0)</f>
        <v>⚠️ At Risk High Value</v>
      </c>
      <c r="AN145" s="99" t="b">
        <f t="shared" si="29"/>
        <v>0</v>
      </c>
    </row>
    <row r="146" spans="2:40" x14ac:dyDescent="0.3">
      <c r="B146" s="99" t="s">
        <v>1113</v>
      </c>
      <c r="C146" s="100">
        <v>45678</v>
      </c>
      <c r="D146" s="99" t="s">
        <v>28</v>
      </c>
      <c r="E146" s="99" t="s">
        <v>29</v>
      </c>
      <c r="F146" s="99" t="s">
        <v>20</v>
      </c>
      <c r="G146" s="99">
        <v>30</v>
      </c>
      <c r="H146" s="112">
        <v>450000</v>
      </c>
      <c r="I146" s="112">
        <v>13500000</v>
      </c>
      <c r="J146" s="99" t="s">
        <v>2806</v>
      </c>
      <c r="K146" s="99" t="s">
        <v>69</v>
      </c>
      <c r="N146" s="99" t="s">
        <v>2177</v>
      </c>
      <c r="O146" s="99" t="s">
        <v>47</v>
      </c>
      <c r="P146" s="100">
        <f t="shared" si="21"/>
        <v>45687</v>
      </c>
      <c r="Q146" s="101">
        <f t="shared" si="20"/>
        <v>336</v>
      </c>
      <c r="R146" s="99">
        <f t="shared" si="22"/>
        <v>1</v>
      </c>
      <c r="S146" s="101">
        <f t="shared" si="23"/>
        <v>35150000</v>
      </c>
      <c r="T146" s="99" t="str">
        <f t="shared" si="24"/>
        <v>Low</v>
      </c>
      <c r="U146" s="99" t="str">
        <f t="shared" si="25"/>
        <v>Low</v>
      </c>
      <c r="V146" s="99" t="str">
        <f t="shared" si="26"/>
        <v>High</v>
      </c>
      <c r="W146" s="99" t="str">
        <f t="shared" si="27"/>
        <v>LLH</v>
      </c>
      <c r="X146" s="99" t="str">
        <f>VLOOKUP(W146,rfm[],2,FALSE)</f>
        <v>💸 Lost High Spenders</v>
      </c>
      <c r="AA146" s="99" t="s">
        <v>2177</v>
      </c>
      <c r="AB146" s="99" t="s">
        <v>47</v>
      </c>
      <c r="AC146" s="100">
        <v>45687</v>
      </c>
      <c r="AD146" s="101">
        <v>336</v>
      </c>
      <c r="AE146" s="101">
        <v>1</v>
      </c>
      <c r="AF146" s="101">
        <v>35150000</v>
      </c>
      <c r="AG146" s="99" t="str">
        <f>VLOOKUP(AA146,recency!$K$6:$P$818,6,0)</f>
        <v>Low</v>
      </c>
      <c r="AH146" s="132" t="str">
        <f>VLOOKUP(AA146,frequency!$F$6:$H$818,3,FALSE)</f>
        <v>Low</v>
      </c>
      <c r="AI146" s="129" t="str">
        <f>VLOOKUP(AA146,monetary!$B$5:$F$817,5,0)</f>
        <v>Low</v>
      </c>
      <c r="AJ146" s="99" t="str">
        <f t="shared" si="28"/>
        <v>LLL</v>
      </c>
      <c r="AK146" s="99" t="str">
        <f>VLOOKUP(AJ146,rfm[],2,0)</f>
        <v>💤 Lost / Low Value</v>
      </c>
      <c r="AN146" s="99" t="b">
        <f t="shared" si="29"/>
        <v>0</v>
      </c>
    </row>
    <row r="147" spans="2:40" x14ac:dyDescent="0.3">
      <c r="B147" s="99" t="s">
        <v>1114</v>
      </c>
      <c r="C147" s="100">
        <v>45678</v>
      </c>
      <c r="D147" s="99" t="s">
        <v>22</v>
      </c>
      <c r="E147" s="99" t="s">
        <v>23</v>
      </c>
      <c r="F147" s="99" t="s">
        <v>12</v>
      </c>
      <c r="G147" s="99">
        <v>42</v>
      </c>
      <c r="H147" s="112">
        <v>25000</v>
      </c>
      <c r="I147" s="112">
        <v>1050000</v>
      </c>
      <c r="J147" s="99" t="s">
        <v>2311</v>
      </c>
      <c r="K147" s="99" t="s">
        <v>60</v>
      </c>
      <c r="N147" s="99" t="s">
        <v>2178</v>
      </c>
      <c r="O147" s="99" t="s">
        <v>47</v>
      </c>
      <c r="P147" s="100">
        <f t="shared" si="21"/>
        <v>45966</v>
      </c>
      <c r="Q147" s="101">
        <f t="shared" si="20"/>
        <v>57</v>
      </c>
      <c r="R147" s="99">
        <f t="shared" si="22"/>
        <v>2</v>
      </c>
      <c r="S147" s="101">
        <f t="shared" si="23"/>
        <v>17530000</v>
      </c>
      <c r="T147" s="99" t="str">
        <f t="shared" si="24"/>
        <v>High</v>
      </c>
      <c r="U147" s="99" t="str">
        <f t="shared" si="25"/>
        <v>Low</v>
      </c>
      <c r="V147" s="99" t="str">
        <f t="shared" si="26"/>
        <v>Low</v>
      </c>
      <c r="W147" s="99" t="str">
        <f t="shared" si="27"/>
        <v>HLL</v>
      </c>
      <c r="X147" s="99" t="str">
        <f>VLOOKUP(W147,rfm[],2,FALSE)</f>
        <v>🌱 Potential Loyalists</v>
      </c>
      <c r="AA147" s="99" t="s">
        <v>2178</v>
      </c>
      <c r="AB147" s="99" t="s">
        <v>47</v>
      </c>
      <c r="AC147" s="100">
        <v>45966</v>
      </c>
      <c r="AD147" s="101">
        <v>57</v>
      </c>
      <c r="AE147" s="101">
        <v>2</v>
      </c>
      <c r="AF147" s="101">
        <v>17530000</v>
      </c>
      <c r="AG147" s="99" t="str">
        <f>VLOOKUP(AA147,recency!$K$6:$P$818,6,0)</f>
        <v>High</v>
      </c>
      <c r="AH147" s="132" t="str">
        <f>VLOOKUP(AA147,frequency!$F$6:$H$818,3,FALSE)</f>
        <v>Low</v>
      </c>
      <c r="AI147" s="129" t="str">
        <f>VLOOKUP(AA147,monetary!$B$5:$F$817,5,0)</f>
        <v>Low</v>
      </c>
      <c r="AJ147" s="99" t="str">
        <f t="shared" si="28"/>
        <v>HLL</v>
      </c>
      <c r="AK147" s="99" t="str">
        <f>VLOOKUP(AJ147,rfm[],2,0)</f>
        <v>🌱 Potential Loyalists</v>
      </c>
      <c r="AN147" s="99" t="b">
        <f t="shared" si="29"/>
        <v>1</v>
      </c>
    </row>
    <row r="148" spans="2:40" x14ac:dyDescent="0.3">
      <c r="B148" s="99" t="s">
        <v>1115</v>
      </c>
      <c r="C148" s="100">
        <v>45678</v>
      </c>
      <c r="D148" s="99" t="s">
        <v>14</v>
      </c>
      <c r="E148" s="99" t="s">
        <v>15</v>
      </c>
      <c r="F148" s="99" t="s">
        <v>16</v>
      </c>
      <c r="G148" s="99">
        <v>36</v>
      </c>
      <c r="H148" s="112">
        <v>350000</v>
      </c>
      <c r="I148" s="112">
        <v>12600000</v>
      </c>
      <c r="J148" s="99" t="s">
        <v>2179</v>
      </c>
      <c r="K148" s="99" t="s">
        <v>127</v>
      </c>
      <c r="N148" s="99" t="s">
        <v>2179</v>
      </c>
      <c r="O148" s="99" t="s">
        <v>127</v>
      </c>
      <c r="P148" s="100">
        <f t="shared" si="21"/>
        <v>45982</v>
      </c>
      <c r="Q148" s="101">
        <f t="shared" si="20"/>
        <v>41</v>
      </c>
      <c r="R148" s="99">
        <f t="shared" si="22"/>
        <v>7</v>
      </c>
      <c r="S148" s="101">
        <f t="shared" si="23"/>
        <v>58275000</v>
      </c>
      <c r="T148" s="99" t="str">
        <f t="shared" si="24"/>
        <v>High</v>
      </c>
      <c r="U148" s="99" t="str">
        <f t="shared" si="25"/>
        <v>High</v>
      </c>
      <c r="V148" s="99" t="str">
        <f t="shared" si="26"/>
        <v>High</v>
      </c>
      <c r="W148" s="99" t="str">
        <f t="shared" si="27"/>
        <v>HHH</v>
      </c>
      <c r="X148" s="99" t="str">
        <f>VLOOKUP(W148,rfm[],2,FALSE)</f>
        <v>🥇 Champions</v>
      </c>
      <c r="AA148" s="99" t="s">
        <v>2179</v>
      </c>
      <c r="AB148" s="99" t="s">
        <v>127</v>
      </c>
      <c r="AC148" s="100">
        <v>45982</v>
      </c>
      <c r="AD148" s="101">
        <v>41</v>
      </c>
      <c r="AE148" s="101">
        <v>7</v>
      </c>
      <c r="AF148" s="101">
        <v>58275000</v>
      </c>
      <c r="AG148" s="99" t="str">
        <f>VLOOKUP(AA148,recency!$K$6:$P$818,6,0)</f>
        <v>High</v>
      </c>
      <c r="AH148" s="132" t="str">
        <f>VLOOKUP(AA148,frequency!$F$6:$H$818,3,FALSE)</f>
        <v>High</v>
      </c>
      <c r="AI148" s="129" t="str">
        <f>VLOOKUP(AA148,monetary!$B$5:$F$817,5,0)</f>
        <v>High</v>
      </c>
      <c r="AJ148" s="99" t="str">
        <f t="shared" si="28"/>
        <v>HHH</v>
      </c>
      <c r="AK148" s="99" t="str">
        <f>VLOOKUP(AJ148,rfm[],2,0)</f>
        <v>🥇 Champions</v>
      </c>
      <c r="AN148" s="99" t="b">
        <f t="shared" si="29"/>
        <v>1</v>
      </c>
    </row>
    <row r="149" spans="2:40" x14ac:dyDescent="0.3">
      <c r="B149" s="99" t="s">
        <v>1116</v>
      </c>
      <c r="C149" s="100">
        <v>45678</v>
      </c>
      <c r="D149" s="99" t="s">
        <v>22</v>
      </c>
      <c r="E149" s="99" t="s">
        <v>23</v>
      </c>
      <c r="F149" s="99" t="s">
        <v>12</v>
      </c>
      <c r="G149" s="99">
        <v>31</v>
      </c>
      <c r="H149" s="112">
        <v>25000</v>
      </c>
      <c r="I149" s="112">
        <v>775000</v>
      </c>
      <c r="J149" s="99" t="s">
        <v>2657</v>
      </c>
      <c r="K149" s="99" t="s">
        <v>47</v>
      </c>
      <c r="N149" s="99" t="s">
        <v>2180</v>
      </c>
      <c r="O149" s="99" t="s">
        <v>127</v>
      </c>
      <c r="P149" s="100">
        <f t="shared" si="21"/>
        <v>45790</v>
      </c>
      <c r="Q149" s="101">
        <f t="shared" si="20"/>
        <v>233</v>
      </c>
      <c r="R149" s="99">
        <f t="shared" si="22"/>
        <v>1</v>
      </c>
      <c r="S149" s="101">
        <f t="shared" si="23"/>
        <v>8460000</v>
      </c>
      <c r="T149" s="99" t="str">
        <f t="shared" si="24"/>
        <v>Low</v>
      </c>
      <c r="U149" s="99" t="str">
        <f t="shared" si="25"/>
        <v>Low</v>
      </c>
      <c r="V149" s="99" t="str">
        <f t="shared" si="26"/>
        <v>Low</v>
      </c>
      <c r="W149" s="99" t="str">
        <f t="shared" si="27"/>
        <v>LLL</v>
      </c>
      <c r="X149" s="99" t="str">
        <f>VLOOKUP(W149,rfm[],2,FALSE)</f>
        <v>💤 Lost / Low Value</v>
      </c>
      <c r="AA149" s="99" t="s">
        <v>2180</v>
      </c>
      <c r="AB149" s="99" t="s">
        <v>127</v>
      </c>
      <c r="AC149" s="100">
        <v>45790</v>
      </c>
      <c r="AD149" s="101">
        <v>233</v>
      </c>
      <c r="AE149" s="101">
        <v>1</v>
      </c>
      <c r="AF149" s="101">
        <v>8460000</v>
      </c>
      <c r="AG149" s="99" t="str">
        <f>VLOOKUP(AA149,recency!$K$6:$P$818,6,0)</f>
        <v>Low</v>
      </c>
      <c r="AH149" s="132" t="str">
        <f>VLOOKUP(AA149,frequency!$F$6:$H$818,3,FALSE)</f>
        <v>Low</v>
      </c>
      <c r="AI149" s="129" t="str">
        <f>VLOOKUP(AA149,monetary!$B$5:$F$817,5,0)</f>
        <v>Low</v>
      </c>
      <c r="AJ149" s="99" t="str">
        <f t="shared" si="28"/>
        <v>LLL</v>
      </c>
      <c r="AK149" s="99" t="str">
        <f>VLOOKUP(AJ149,rfm[],2,0)</f>
        <v>💤 Lost / Low Value</v>
      </c>
      <c r="AN149" s="99" t="b">
        <f t="shared" si="29"/>
        <v>1</v>
      </c>
    </row>
    <row r="150" spans="2:40" x14ac:dyDescent="0.3">
      <c r="B150" s="99" t="s">
        <v>1165</v>
      </c>
      <c r="C150" s="100">
        <v>45678</v>
      </c>
      <c r="D150" s="99" t="s">
        <v>22</v>
      </c>
      <c r="E150" s="99" t="s">
        <v>23</v>
      </c>
      <c r="F150" s="99" t="s">
        <v>12</v>
      </c>
      <c r="G150" s="99">
        <v>100</v>
      </c>
      <c r="H150" s="112">
        <v>25000</v>
      </c>
      <c r="I150" s="112">
        <v>2500000</v>
      </c>
      <c r="J150" s="99" t="s">
        <v>2432</v>
      </c>
      <c r="K150" s="99" t="s">
        <v>8</v>
      </c>
      <c r="N150" s="99" t="s">
        <v>2181</v>
      </c>
      <c r="O150" s="99" t="s">
        <v>69</v>
      </c>
      <c r="P150" s="100">
        <f t="shared" si="21"/>
        <v>45992</v>
      </c>
      <c r="Q150" s="101">
        <f t="shared" si="20"/>
        <v>31</v>
      </c>
      <c r="R150" s="99">
        <f t="shared" si="22"/>
        <v>1</v>
      </c>
      <c r="S150" s="101">
        <f t="shared" si="23"/>
        <v>1320000</v>
      </c>
      <c r="T150" s="99" t="str">
        <f t="shared" si="24"/>
        <v>High</v>
      </c>
      <c r="U150" s="99" t="str">
        <f t="shared" si="25"/>
        <v>Low</v>
      </c>
      <c r="V150" s="99" t="str">
        <f t="shared" si="26"/>
        <v>Low</v>
      </c>
      <c r="W150" s="99" t="str">
        <f t="shared" si="27"/>
        <v>HLL</v>
      </c>
      <c r="X150" s="99" t="str">
        <f>VLOOKUP(W150,rfm[],2,FALSE)</f>
        <v>🌱 Potential Loyalists</v>
      </c>
      <c r="AA150" s="99" t="s">
        <v>2181</v>
      </c>
      <c r="AB150" s="99" t="s">
        <v>69</v>
      </c>
      <c r="AC150" s="100">
        <v>45992</v>
      </c>
      <c r="AD150" s="101">
        <v>31</v>
      </c>
      <c r="AE150" s="101">
        <v>1</v>
      </c>
      <c r="AF150" s="101">
        <v>1320000</v>
      </c>
      <c r="AG150" s="99" t="str">
        <f>VLOOKUP(AA150,recency!$K$6:$P$818,6,0)</f>
        <v>High</v>
      </c>
      <c r="AH150" s="132" t="str">
        <f>VLOOKUP(AA150,frequency!$F$6:$H$818,3,FALSE)</f>
        <v>Low</v>
      </c>
      <c r="AI150" s="129" t="str">
        <f>VLOOKUP(AA150,monetary!$B$5:$F$817,5,0)</f>
        <v>Low</v>
      </c>
      <c r="AJ150" s="99" t="str">
        <f t="shared" si="28"/>
        <v>HLL</v>
      </c>
      <c r="AK150" s="99" t="str">
        <f>VLOOKUP(AJ150,rfm[],2,0)</f>
        <v>🌱 Potential Loyalists</v>
      </c>
      <c r="AN150" s="99" t="b">
        <f t="shared" si="29"/>
        <v>1</v>
      </c>
    </row>
    <row r="151" spans="2:40" x14ac:dyDescent="0.3">
      <c r="B151" s="99" t="s">
        <v>1166</v>
      </c>
      <c r="C151" s="100">
        <v>45678</v>
      </c>
      <c r="D151" s="99" t="s">
        <v>28</v>
      </c>
      <c r="E151" s="99" t="s">
        <v>29</v>
      </c>
      <c r="F151" s="99" t="s">
        <v>20</v>
      </c>
      <c r="G151" s="99">
        <v>47</v>
      </c>
      <c r="H151" s="112">
        <v>450000</v>
      </c>
      <c r="I151" s="112">
        <v>21150000</v>
      </c>
      <c r="J151" s="99" t="s">
        <v>2144</v>
      </c>
      <c r="K151" s="99" t="s">
        <v>69</v>
      </c>
      <c r="N151" s="99" t="s">
        <v>2182</v>
      </c>
      <c r="O151" s="99" t="s">
        <v>47</v>
      </c>
      <c r="P151" s="100">
        <f t="shared" si="21"/>
        <v>45982</v>
      </c>
      <c r="Q151" s="101">
        <f t="shared" si="20"/>
        <v>41</v>
      </c>
      <c r="R151" s="99">
        <f t="shared" si="22"/>
        <v>2</v>
      </c>
      <c r="S151" s="101">
        <f t="shared" si="23"/>
        <v>18400000</v>
      </c>
      <c r="T151" s="99" t="str">
        <f t="shared" si="24"/>
        <v>High</v>
      </c>
      <c r="U151" s="99" t="str">
        <f t="shared" si="25"/>
        <v>Low</v>
      </c>
      <c r="V151" s="99" t="str">
        <f t="shared" si="26"/>
        <v>High</v>
      </c>
      <c r="W151" s="99" t="str">
        <f t="shared" si="27"/>
        <v>HLH</v>
      </c>
      <c r="X151" s="99" t="str">
        <f>VLOOKUP(W151,rfm[],2,FALSE)</f>
        <v>🛒 Big Spenders (Occasional)</v>
      </c>
      <c r="AA151" s="99" t="s">
        <v>2182</v>
      </c>
      <c r="AB151" s="99" t="s">
        <v>47</v>
      </c>
      <c r="AC151" s="100">
        <v>45982</v>
      </c>
      <c r="AD151" s="101">
        <v>41</v>
      </c>
      <c r="AE151" s="101">
        <v>2</v>
      </c>
      <c r="AF151" s="101">
        <v>18400000</v>
      </c>
      <c r="AG151" s="99" t="str">
        <f>VLOOKUP(AA151,recency!$K$6:$P$818,6,0)</f>
        <v>High</v>
      </c>
      <c r="AH151" s="132" t="str">
        <f>VLOOKUP(AA151,frequency!$F$6:$H$818,3,FALSE)</f>
        <v>Low</v>
      </c>
      <c r="AI151" s="129" t="str">
        <f>VLOOKUP(AA151,monetary!$B$5:$F$817,5,0)</f>
        <v>Low</v>
      </c>
      <c r="AJ151" s="99" t="str">
        <f t="shared" si="28"/>
        <v>HLL</v>
      </c>
      <c r="AK151" s="99" t="str">
        <f>VLOOKUP(AJ151,rfm[],2,0)</f>
        <v>🌱 Potential Loyalists</v>
      </c>
      <c r="AN151" s="99" t="b">
        <f t="shared" si="29"/>
        <v>0</v>
      </c>
    </row>
    <row r="152" spans="2:40" x14ac:dyDescent="0.3">
      <c r="B152" s="99" t="s">
        <v>1167</v>
      </c>
      <c r="C152" s="100">
        <v>45678</v>
      </c>
      <c r="D152" s="99" t="s">
        <v>28</v>
      </c>
      <c r="E152" s="99" t="s">
        <v>29</v>
      </c>
      <c r="F152" s="99" t="s">
        <v>20</v>
      </c>
      <c r="G152" s="99">
        <v>49</v>
      </c>
      <c r="H152" s="112">
        <v>450000</v>
      </c>
      <c r="I152" s="112">
        <v>22050000</v>
      </c>
      <c r="J152" s="99" t="s">
        <v>2702</v>
      </c>
      <c r="K152" s="99" t="s">
        <v>47</v>
      </c>
      <c r="N152" s="99" t="s">
        <v>2183</v>
      </c>
      <c r="O152" s="99" t="s">
        <v>8</v>
      </c>
      <c r="P152" s="100">
        <f t="shared" si="21"/>
        <v>45952</v>
      </c>
      <c r="Q152" s="101">
        <f t="shared" si="20"/>
        <v>71</v>
      </c>
      <c r="R152" s="99">
        <f t="shared" si="22"/>
        <v>4</v>
      </c>
      <c r="S152" s="101">
        <f t="shared" si="23"/>
        <v>54850000</v>
      </c>
      <c r="T152" s="99" t="str">
        <f t="shared" si="24"/>
        <v>High</v>
      </c>
      <c r="U152" s="99" t="str">
        <f t="shared" si="25"/>
        <v>High</v>
      </c>
      <c r="V152" s="99" t="str">
        <f t="shared" si="26"/>
        <v>High</v>
      </c>
      <c r="W152" s="99" t="str">
        <f t="shared" si="27"/>
        <v>HHH</v>
      </c>
      <c r="X152" s="99" t="str">
        <f>VLOOKUP(W152,rfm[],2,FALSE)</f>
        <v>🥇 Champions</v>
      </c>
      <c r="AA152" s="99" t="s">
        <v>2183</v>
      </c>
      <c r="AB152" s="99" t="s">
        <v>8</v>
      </c>
      <c r="AC152" s="100">
        <v>45952</v>
      </c>
      <c r="AD152" s="101">
        <v>71</v>
      </c>
      <c r="AE152" s="101">
        <v>4</v>
      </c>
      <c r="AF152" s="101">
        <v>54850000</v>
      </c>
      <c r="AG152" s="99" t="str">
        <f>VLOOKUP(AA152,recency!$K$6:$P$818,6,0)</f>
        <v>Low</v>
      </c>
      <c r="AH152" s="132" t="str">
        <f>VLOOKUP(AA152,frequency!$F$6:$H$818,3,FALSE)</f>
        <v>High</v>
      </c>
      <c r="AI152" s="129" t="str">
        <f>VLOOKUP(AA152,monetary!$B$5:$F$817,5,0)</f>
        <v>High</v>
      </c>
      <c r="AJ152" s="99" t="str">
        <f t="shared" si="28"/>
        <v>LHH</v>
      </c>
      <c r="AK152" s="99" t="str">
        <f>VLOOKUP(AJ152,rfm[],2,0)</f>
        <v>⚠️ At Risk High Value</v>
      </c>
      <c r="AN152" s="99" t="b">
        <f t="shared" si="29"/>
        <v>0</v>
      </c>
    </row>
    <row r="153" spans="2:40" x14ac:dyDescent="0.3">
      <c r="B153" s="99" t="s">
        <v>1196</v>
      </c>
      <c r="C153" s="100">
        <v>45679</v>
      </c>
      <c r="D153" s="99" t="s">
        <v>10</v>
      </c>
      <c r="E153" s="99" t="s">
        <v>11</v>
      </c>
      <c r="F153" s="99" t="s">
        <v>12</v>
      </c>
      <c r="G153" s="99">
        <v>31</v>
      </c>
      <c r="H153" s="112">
        <v>120000</v>
      </c>
      <c r="I153" s="112">
        <v>3720000</v>
      </c>
      <c r="J153" s="99" t="s">
        <v>2645</v>
      </c>
      <c r="K153" s="99" t="s">
        <v>127</v>
      </c>
      <c r="N153" s="99" t="s">
        <v>2184</v>
      </c>
      <c r="O153" s="99" t="s">
        <v>127</v>
      </c>
      <c r="P153" s="100">
        <f t="shared" si="21"/>
        <v>45849</v>
      </c>
      <c r="Q153" s="101">
        <f t="shared" si="20"/>
        <v>174</v>
      </c>
      <c r="R153" s="99">
        <f t="shared" si="22"/>
        <v>9</v>
      </c>
      <c r="S153" s="101">
        <f t="shared" si="23"/>
        <v>1079600000</v>
      </c>
      <c r="T153" s="99" t="str">
        <f t="shared" si="24"/>
        <v>Low</v>
      </c>
      <c r="U153" s="99" t="str">
        <f t="shared" si="25"/>
        <v>High</v>
      </c>
      <c r="V153" s="99" t="str">
        <f t="shared" si="26"/>
        <v>High</v>
      </c>
      <c r="W153" s="99" t="str">
        <f t="shared" si="27"/>
        <v>LHH</v>
      </c>
      <c r="X153" s="99" t="str">
        <f>VLOOKUP(W153,rfm[],2,FALSE)</f>
        <v>⚠️ At Risk High Value</v>
      </c>
      <c r="AA153" s="99" t="s">
        <v>2184</v>
      </c>
      <c r="AB153" s="99" t="s">
        <v>127</v>
      </c>
      <c r="AC153" s="100">
        <v>45849</v>
      </c>
      <c r="AD153" s="101">
        <v>174</v>
      </c>
      <c r="AE153" s="101">
        <v>9</v>
      </c>
      <c r="AF153" s="101">
        <v>1079600000</v>
      </c>
      <c r="AG153" s="99" t="str">
        <f>VLOOKUP(AA153,recency!$K$6:$P$818,6,0)</f>
        <v>Low</v>
      </c>
      <c r="AH153" s="132" t="str">
        <f>VLOOKUP(AA153,frequency!$F$6:$H$818,3,FALSE)</f>
        <v>High</v>
      </c>
      <c r="AI153" s="129" t="str">
        <f>VLOOKUP(AA153,monetary!$B$5:$F$817,5,0)</f>
        <v>High</v>
      </c>
      <c r="AJ153" s="99" t="str">
        <f t="shared" si="28"/>
        <v>LHH</v>
      </c>
      <c r="AK153" s="99" t="str">
        <f>VLOOKUP(AJ153,rfm[],2,0)</f>
        <v>⚠️ At Risk High Value</v>
      </c>
      <c r="AN153" s="99" t="b">
        <f t="shared" si="29"/>
        <v>1</v>
      </c>
    </row>
    <row r="154" spans="2:40" x14ac:dyDescent="0.3">
      <c r="B154" s="99" t="s">
        <v>1197</v>
      </c>
      <c r="C154" s="100">
        <v>45679</v>
      </c>
      <c r="D154" s="99" t="s">
        <v>38</v>
      </c>
      <c r="E154" s="99" t="s">
        <v>39</v>
      </c>
      <c r="F154" s="99" t="s">
        <v>16</v>
      </c>
      <c r="G154" s="99">
        <v>110</v>
      </c>
      <c r="H154" s="112">
        <v>200000</v>
      </c>
      <c r="I154" s="112">
        <v>22000000</v>
      </c>
      <c r="J154" s="99" t="s">
        <v>2160</v>
      </c>
      <c r="K154" s="99" t="s">
        <v>60</v>
      </c>
      <c r="N154" s="99" t="s">
        <v>2185</v>
      </c>
      <c r="O154" s="99" t="s">
        <v>47</v>
      </c>
      <c r="P154" s="100">
        <f t="shared" si="21"/>
        <v>45952</v>
      </c>
      <c r="Q154" s="101">
        <f t="shared" si="20"/>
        <v>71</v>
      </c>
      <c r="R154" s="99">
        <f t="shared" si="22"/>
        <v>1</v>
      </c>
      <c r="S154" s="101">
        <f t="shared" si="23"/>
        <v>14350000</v>
      </c>
      <c r="T154" s="99" t="str">
        <f t="shared" si="24"/>
        <v>High</v>
      </c>
      <c r="U154" s="99" t="str">
        <f t="shared" si="25"/>
        <v>Low</v>
      </c>
      <c r="V154" s="99" t="str">
        <f t="shared" si="26"/>
        <v>Low</v>
      </c>
      <c r="W154" s="99" t="str">
        <f t="shared" si="27"/>
        <v>HLL</v>
      </c>
      <c r="X154" s="99" t="str">
        <f>VLOOKUP(W154,rfm[],2,FALSE)</f>
        <v>🌱 Potential Loyalists</v>
      </c>
      <c r="AA154" s="99" t="s">
        <v>2185</v>
      </c>
      <c r="AB154" s="99" t="s">
        <v>47</v>
      </c>
      <c r="AC154" s="100">
        <v>45952</v>
      </c>
      <c r="AD154" s="101">
        <v>71</v>
      </c>
      <c r="AE154" s="101">
        <v>1</v>
      </c>
      <c r="AF154" s="101">
        <v>14350000</v>
      </c>
      <c r="AG154" s="99" t="str">
        <f>VLOOKUP(AA154,recency!$K$6:$P$818,6,0)</f>
        <v>Low</v>
      </c>
      <c r="AH154" s="132" t="str">
        <f>VLOOKUP(AA154,frequency!$F$6:$H$818,3,FALSE)</f>
        <v>Low</v>
      </c>
      <c r="AI154" s="129" t="str">
        <f>VLOOKUP(AA154,monetary!$B$5:$F$817,5,0)</f>
        <v>Low</v>
      </c>
      <c r="AJ154" s="99" t="str">
        <f t="shared" si="28"/>
        <v>LLL</v>
      </c>
      <c r="AK154" s="99" t="str">
        <f>VLOOKUP(AJ154,rfm[],2,0)</f>
        <v>💤 Lost / Low Value</v>
      </c>
      <c r="AN154" s="99" t="b">
        <f t="shared" si="29"/>
        <v>0</v>
      </c>
    </row>
    <row r="155" spans="2:40" x14ac:dyDescent="0.3">
      <c r="B155" s="99" t="s">
        <v>1198</v>
      </c>
      <c r="C155" s="100">
        <v>45679</v>
      </c>
      <c r="D155" s="99" t="s">
        <v>38</v>
      </c>
      <c r="E155" s="99" t="s">
        <v>39</v>
      </c>
      <c r="F155" s="99" t="s">
        <v>16</v>
      </c>
      <c r="G155" s="99">
        <v>47</v>
      </c>
      <c r="H155" s="112">
        <v>200000</v>
      </c>
      <c r="I155" s="112">
        <v>9400000</v>
      </c>
      <c r="J155" s="99" t="s">
        <v>2773</v>
      </c>
      <c r="K155" s="99" t="s">
        <v>8</v>
      </c>
      <c r="N155" s="99" t="s">
        <v>2186</v>
      </c>
      <c r="O155" s="99" t="s">
        <v>69</v>
      </c>
      <c r="P155" s="100">
        <f t="shared" si="21"/>
        <v>45819</v>
      </c>
      <c r="Q155" s="101">
        <f t="shared" si="20"/>
        <v>204</v>
      </c>
      <c r="R155" s="99">
        <f t="shared" si="22"/>
        <v>2</v>
      </c>
      <c r="S155" s="101">
        <f t="shared" si="23"/>
        <v>16820000</v>
      </c>
      <c r="T155" s="99" t="str">
        <f t="shared" si="24"/>
        <v>Low</v>
      </c>
      <c r="U155" s="99" t="str">
        <f t="shared" si="25"/>
        <v>Low</v>
      </c>
      <c r="V155" s="99" t="str">
        <f t="shared" si="26"/>
        <v>Low</v>
      </c>
      <c r="W155" s="99" t="str">
        <f t="shared" si="27"/>
        <v>LLL</v>
      </c>
      <c r="X155" s="99" t="str">
        <f>VLOOKUP(W155,rfm[],2,FALSE)</f>
        <v>💤 Lost / Low Value</v>
      </c>
      <c r="AA155" s="99" t="s">
        <v>2186</v>
      </c>
      <c r="AB155" s="99" t="s">
        <v>69</v>
      </c>
      <c r="AC155" s="100">
        <v>45819</v>
      </c>
      <c r="AD155" s="101">
        <v>204</v>
      </c>
      <c r="AE155" s="101">
        <v>2</v>
      </c>
      <c r="AF155" s="101">
        <v>16820000</v>
      </c>
      <c r="AG155" s="99" t="str">
        <f>VLOOKUP(AA155,recency!$K$6:$P$818,6,0)</f>
        <v>Low</v>
      </c>
      <c r="AH155" s="132" t="str">
        <f>VLOOKUP(AA155,frequency!$F$6:$H$818,3,FALSE)</f>
        <v>Low</v>
      </c>
      <c r="AI155" s="129" t="str">
        <f>VLOOKUP(AA155,monetary!$B$5:$F$817,5,0)</f>
        <v>Low</v>
      </c>
      <c r="AJ155" s="99" t="str">
        <f t="shared" si="28"/>
        <v>LLL</v>
      </c>
      <c r="AK155" s="99" t="str">
        <f>VLOOKUP(AJ155,rfm[],2,0)</f>
        <v>💤 Lost / Low Value</v>
      </c>
      <c r="AN155" s="99" t="b">
        <f t="shared" si="29"/>
        <v>1</v>
      </c>
    </row>
    <row r="156" spans="2:40" x14ac:dyDescent="0.3">
      <c r="B156" s="99" t="s">
        <v>1199</v>
      </c>
      <c r="C156" s="100">
        <v>45679</v>
      </c>
      <c r="D156" s="99" t="s">
        <v>44</v>
      </c>
      <c r="E156" s="99" t="s">
        <v>45</v>
      </c>
      <c r="F156" s="99" t="s">
        <v>16</v>
      </c>
      <c r="G156" s="99">
        <v>21</v>
      </c>
      <c r="H156" s="112">
        <v>250000</v>
      </c>
      <c r="I156" s="112">
        <v>5250000</v>
      </c>
      <c r="J156" s="99" t="s">
        <v>2425</v>
      </c>
      <c r="K156" s="99" t="s">
        <v>60</v>
      </c>
      <c r="N156" s="99" t="s">
        <v>2187</v>
      </c>
      <c r="O156" s="99" t="s">
        <v>60</v>
      </c>
      <c r="P156" s="100">
        <f t="shared" si="21"/>
        <v>45951</v>
      </c>
      <c r="Q156" s="101">
        <f t="shared" si="20"/>
        <v>72</v>
      </c>
      <c r="R156" s="99">
        <f t="shared" si="22"/>
        <v>2</v>
      </c>
      <c r="S156" s="101">
        <f t="shared" si="23"/>
        <v>46225000</v>
      </c>
      <c r="T156" s="99" t="str">
        <f t="shared" si="24"/>
        <v>High</v>
      </c>
      <c r="U156" s="99" t="str">
        <f t="shared" si="25"/>
        <v>Low</v>
      </c>
      <c r="V156" s="99" t="str">
        <f t="shared" si="26"/>
        <v>High</v>
      </c>
      <c r="W156" s="99" t="str">
        <f t="shared" si="27"/>
        <v>HLH</v>
      </c>
      <c r="X156" s="99" t="str">
        <f>VLOOKUP(W156,rfm[],2,FALSE)</f>
        <v>🛒 Big Spenders (Occasional)</v>
      </c>
      <c r="AA156" s="99" t="s">
        <v>2187</v>
      </c>
      <c r="AB156" s="99" t="s">
        <v>60</v>
      </c>
      <c r="AC156" s="100">
        <v>45951</v>
      </c>
      <c r="AD156" s="101">
        <v>72</v>
      </c>
      <c r="AE156" s="101">
        <v>2</v>
      </c>
      <c r="AF156" s="101">
        <v>46225000</v>
      </c>
      <c r="AG156" s="99" t="str">
        <f>VLOOKUP(AA156,recency!$K$6:$P$818,6,0)</f>
        <v>Low</v>
      </c>
      <c r="AH156" s="132" t="str">
        <f>VLOOKUP(AA156,frequency!$F$6:$H$818,3,FALSE)</f>
        <v>Low</v>
      </c>
      <c r="AI156" s="129" t="str">
        <f>VLOOKUP(AA156,monetary!$B$5:$F$817,5,0)</f>
        <v>Low</v>
      </c>
      <c r="AJ156" s="99" t="str">
        <f t="shared" si="28"/>
        <v>LLL</v>
      </c>
      <c r="AK156" s="99" t="str">
        <f>VLOOKUP(AJ156,rfm[],2,0)</f>
        <v>💤 Lost / Low Value</v>
      </c>
      <c r="AN156" s="99" t="b">
        <f t="shared" si="29"/>
        <v>0</v>
      </c>
    </row>
    <row r="157" spans="2:40" x14ac:dyDescent="0.3">
      <c r="B157" s="99" t="s">
        <v>1200</v>
      </c>
      <c r="C157" s="100">
        <v>45679</v>
      </c>
      <c r="D157" s="99" t="s">
        <v>42</v>
      </c>
      <c r="E157" s="99" t="s">
        <v>43</v>
      </c>
      <c r="F157" s="99" t="s">
        <v>16</v>
      </c>
      <c r="G157" s="99">
        <v>39</v>
      </c>
      <c r="H157" s="112">
        <v>1200000</v>
      </c>
      <c r="I157" s="112">
        <v>46800000</v>
      </c>
      <c r="J157" s="99" t="s">
        <v>2463</v>
      </c>
      <c r="K157" s="99" t="s">
        <v>8</v>
      </c>
      <c r="N157" s="99" t="s">
        <v>2188</v>
      </c>
      <c r="O157" s="99" t="s">
        <v>8</v>
      </c>
      <c r="P157" s="100">
        <f t="shared" si="21"/>
        <v>46014</v>
      </c>
      <c r="Q157" s="101">
        <f t="shared" si="20"/>
        <v>9</v>
      </c>
      <c r="R157" s="99">
        <f t="shared" si="22"/>
        <v>2</v>
      </c>
      <c r="S157" s="101">
        <f t="shared" si="23"/>
        <v>4050000</v>
      </c>
      <c r="T157" s="99" t="str">
        <f t="shared" si="24"/>
        <v>High</v>
      </c>
      <c r="U157" s="99" t="str">
        <f t="shared" si="25"/>
        <v>Low</v>
      </c>
      <c r="V157" s="99" t="str">
        <f t="shared" si="26"/>
        <v>Low</v>
      </c>
      <c r="W157" s="99" t="str">
        <f t="shared" si="27"/>
        <v>HLL</v>
      </c>
      <c r="X157" s="99" t="str">
        <f>VLOOKUP(W157,rfm[],2,FALSE)</f>
        <v>🌱 Potential Loyalists</v>
      </c>
      <c r="AA157" s="99" t="s">
        <v>2188</v>
      </c>
      <c r="AB157" s="99" t="s">
        <v>8</v>
      </c>
      <c r="AC157" s="100">
        <v>46014</v>
      </c>
      <c r="AD157" s="101">
        <v>9</v>
      </c>
      <c r="AE157" s="101">
        <v>2</v>
      </c>
      <c r="AF157" s="101">
        <v>4050000</v>
      </c>
      <c r="AG157" s="99" t="str">
        <f>VLOOKUP(AA157,recency!$K$6:$P$818,6,0)</f>
        <v>High</v>
      </c>
      <c r="AH157" s="132" t="str">
        <f>VLOOKUP(AA157,frequency!$F$6:$H$818,3,FALSE)</f>
        <v>Low</v>
      </c>
      <c r="AI157" s="129" t="str">
        <f>VLOOKUP(AA157,monetary!$B$5:$F$817,5,0)</f>
        <v>Low</v>
      </c>
      <c r="AJ157" s="99" t="str">
        <f t="shared" si="28"/>
        <v>HLL</v>
      </c>
      <c r="AK157" s="99" t="str">
        <f>VLOOKUP(AJ157,rfm[],2,0)</f>
        <v>🌱 Potential Loyalists</v>
      </c>
      <c r="AN157" s="99" t="b">
        <f t="shared" si="29"/>
        <v>1</v>
      </c>
    </row>
    <row r="158" spans="2:40" x14ac:dyDescent="0.3">
      <c r="B158" s="99" t="s">
        <v>1201</v>
      </c>
      <c r="C158" s="100">
        <v>45680</v>
      </c>
      <c r="D158" s="99" t="s">
        <v>14</v>
      </c>
      <c r="E158" s="99" t="s">
        <v>15</v>
      </c>
      <c r="F158" s="99" t="s">
        <v>16</v>
      </c>
      <c r="G158" s="99">
        <v>28</v>
      </c>
      <c r="H158" s="112">
        <v>350000</v>
      </c>
      <c r="I158" s="112">
        <v>9800000</v>
      </c>
      <c r="J158" s="99" t="s">
        <v>2355</v>
      </c>
      <c r="K158" s="99" t="s">
        <v>47</v>
      </c>
      <c r="N158" s="99" t="s">
        <v>2189</v>
      </c>
      <c r="O158" s="99" t="s">
        <v>8</v>
      </c>
      <c r="P158" s="100">
        <f t="shared" si="21"/>
        <v>45960</v>
      </c>
      <c r="Q158" s="101">
        <f t="shared" si="20"/>
        <v>63</v>
      </c>
      <c r="R158" s="99">
        <f t="shared" si="22"/>
        <v>1</v>
      </c>
      <c r="S158" s="101">
        <f t="shared" si="23"/>
        <v>9800000</v>
      </c>
      <c r="T158" s="99" t="str">
        <f t="shared" si="24"/>
        <v>High</v>
      </c>
      <c r="U158" s="99" t="str">
        <f t="shared" si="25"/>
        <v>Low</v>
      </c>
      <c r="V158" s="99" t="str">
        <f t="shared" si="26"/>
        <v>Low</v>
      </c>
      <c r="W158" s="99" t="str">
        <f t="shared" si="27"/>
        <v>HLL</v>
      </c>
      <c r="X158" s="99" t="str">
        <f>VLOOKUP(W158,rfm[],2,FALSE)</f>
        <v>🌱 Potential Loyalists</v>
      </c>
      <c r="AA158" s="99" t="s">
        <v>2189</v>
      </c>
      <c r="AB158" s="99" t="s">
        <v>8</v>
      </c>
      <c r="AC158" s="100">
        <v>45960</v>
      </c>
      <c r="AD158" s="101">
        <v>63</v>
      </c>
      <c r="AE158" s="101">
        <v>1</v>
      </c>
      <c r="AF158" s="101">
        <v>9800000</v>
      </c>
      <c r="AG158" s="99" t="str">
        <f>VLOOKUP(AA158,recency!$K$6:$P$818,6,0)</f>
        <v>Low</v>
      </c>
      <c r="AH158" s="132" t="str">
        <f>VLOOKUP(AA158,frequency!$F$6:$H$818,3,FALSE)</f>
        <v>Low</v>
      </c>
      <c r="AI158" s="129" t="str">
        <f>VLOOKUP(AA158,monetary!$B$5:$F$817,5,0)</f>
        <v>Low</v>
      </c>
      <c r="AJ158" s="99" t="str">
        <f t="shared" si="28"/>
        <v>LLL</v>
      </c>
      <c r="AK158" s="99" t="str">
        <f>VLOOKUP(AJ158,rfm[],2,0)</f>
        <v>💤 Lost / Low Value</v>
      </c>
      <c r="AN158" s="99" t="b">
        <f t="shared" si="29"/>
        <v>0</v>
      </c>
    </row>
    <row r="159" spans="2:40" x14ac:dyDescent="0.3">
      <c r="B159" s="99" t="s">
        <v>1202</v>
      </c>
      <c r="C159" s="100">
        <v>45680</v>
      </c>
      <c r="D159" s="99" t="s">
        <v>28</v>
      </c>
      <c r="E159" s="99" t="s">
        <v>29</v>
      </c>
      <c r="F159" s="99" t="s">
        <v>20</v>
      </c>
      <c r="G159" s="99">
        <v>420</v>
      </c>
      <c r="H159" s="112">
        <v>450000</v>
      </c>
      <c r="I159" s="112">
        <v>189000000</v>
      </c>
      <c r="J159" s="99" t="s">
        <v>1789</v>
      </c>
      <c r="K159" s="99" t="s">
        <v>8</v>
      </c>
      <c r="N159" s="99" t="s">
        <v>2190</v>
      </c>
      <c r="O159" s="99" t="s">
        <v>8</v>
      </c>
      <c r="P159" s="100">
        <f t="shared" si="21"/>
        <v>45960</v>
      </c>
      <c r="Q159" s="101">
        <f t="shared" si="20"/>
        <v>63</v>
      </c>
      <c r="R159" s="99">
        <f t="shared" si="22"/>
        <v>3</v>
      </c>
      <c r="S159" s="101">
        <f t="shared" si="23"/>
        <v>31850000</v>
      </c>
      <c r="T159" s="99" t="str">
        <f t="shared" si="24"/>
        <v>High</v>
      </c>
      <c r="U159" s="99" t="str">
        <f t="shared" si="25"/>
        <v>High</v>
      </c>
      <c r="V159" s="99" t="str">
        <f t="shared" si="26"/>
        <v>High</v>
      </c>
      <c r="W159" s="99" t="str">
        <f t="shared" si="27"/>
        <v>HHH</v>
      </c>
      <c r="X159" s="99" t="str">
        <f>VLOOKUP(W159,rfm[],2,FALSE)</f>
        <v>🥇 Champions</v>
      </c>
      <c r="AA159" s="99" t="s">
        <v>2190</v>
      </c>
      <c r="AB159" s="99" t="s">
        <v>8</v>
      </c>
      <c r="AC159" s="100">
        <v>45960</v>
      </c>
      <c r="AD159" s="101">
        <v>63</v>
      </c>
      <c r="AE159" s="101">
        <v>3</v>
      </c>
      <c r="AF159" s="101">
        <v>31850000</v>
      </c>
      <c r="AG159" s="99" t="str">
        <f>VLOOKUP(AA159,recency!$K$6:$P$818,6,0)</f>
        <v>Low</v>
      </c>
      <c r="AH159" s="132" t="str">
        <f>VLOOKUP(AA159,frequency!$F$6:$H$818,3,FALSE)</f>
        <v>High</v>
      </c>
      <c r="AI159" s="129" t="str">
        <f>VLOOKUP(AA159,monetary!$B$5:$F$817,5,0)</f>
        <v>Low</v>
      </c>
      <c r="AJ159" s="99" t="str">
        <f t="shared" si="28"/>
        <v>LHL</v>
      </c>
      <c r="AK159" s="99" t="str">
        <f>VLOOKUP(AJ159,rfm[],2,0)</f>
        <v>🔁 Former Loyal Low Spend</v>
      </c>
      <c r="AN159" s="99" t="b">
        <f t="shared" si="29"/>
        <v>0</v>
      </c>
    </row>
    <row r="160" spans="2:40" x14ac:dyDescent="0.3">
      <c r="B160" s="99" t="s">
        <v>1203</v>
      </c>
      <c r="C160" s="100">
        <v>45680</v>
      </c>
      <c r="D160" s="99" t="s">
        <v>44</v>
      </c>
      <c r="E160" s="99" t="s">
        <v>45</v>
      </c>
      <c r="F160" s="99" t="s">
        <v>16</v>
      </c>
      <c r="G160" s="99">
        <v>10</v>
      </c>
      <c r="H160" s="112">
        <v>250000</v>
      </c>
      <c r="I160" s="112">
        <v>2500000</v>
      </c>
      <c r="J160" s="99" t="s">
        <v>2715</v>
      </c>
      <c r="K160" s="99" t="s">
        <v>60</v>
      </c>
      <c r="N160" s="99" t="s">
        <v>2191</v>
      </c>
      <c r="O160" s="99" t="s">
        <v>69</v>
      </c>
      <c r="P160" s="100">
        <f t="shared" si="21"/>
        <v>45882</v>
      </c>
      <c r="Q160" s="101">
        <f t="shared" si="20"/>
        <v>141</v>
      </c>
      <c r="R160" s="99">
        <f t="shared" si="22"/>
        <v>4</v>
      </c>
      <c r="S160" s="101">
        <f t="shared" si="23"/>
        <v>56060000</v>
      </c>
      <c r="T160" s="99" t="str">
        <f t="shared" si="24"/>
        <v>Low</v>
      </c>
      <c r="U160" s="99" t="str">
        <f t="shared" si="25"/>
        <v>High</v>
      </c>
      <c r="V160" s="99" t="str">
        <f t="shared" si="26"/>
        <v>High</v>
      </c>
      <c r="W160" s="99" t="str">
        <f t="shared" si="27"/>
        <v>LHH</v>
      </c>
      <c r="X160" s="99" t="str">
        <f>VLOOKUP(W160,rfm[],2,FALSE)</f>
        <v>⚠️ At Risk High Value</v>
      </c>
      <c r="AA160" s="99" t="s">
        <v>2191</v>
      </c>
      <c r="AB160" s="99" t="s">
        <v>69</v>
      </c>
      <c r="AC160" s="100">
        <v>45882</v>
      </c>
      <c r="AD160" s="101">
        <v>141</v>
      </c>
      <c r="AE160" s="101">
        <v>4</v>
      </c>
      <c r="AF160" s="101">
        <v>56060000</v>
      </c>
      <c r="AG160" s="99" t="str">
        <f>VLOOKUP(AA160,recency!$K$6:$P$818,6,0)</f>
        <v>Low</v>
      </c>
      <c r="AH160" s="132" t="str">
        <f>VLOOKUP(AA160,frequency!$F$6:$H$818,3,FALSE)</f>
        <v>High</v>
      </c>
      <c r="AI160" s="129" t="str">
        <f>VLOOKUP(AA160,monetary!$B$5:$F$817,5,0)</f>
        <v>High</v>
      </c>
      <c r="AJ160" s="99" t="str">
        <f t="shared" si="28"/>
        <v>LHH</v>
      </c>
      <c r="AK160" s="99" t="str">
        <f>VLOOKUP(AJ160,rfm[],2,0)</f>
        <v>⚠️ At Risk High Value</v>
      </c>
      <c r="AN160" s="99" t="b">
        <f t="shared" si="29"/>
        <v>1</v>
      </c>
    </row>
    <row r="161" spans="2:40" x14ac:dyDescent="0.3">
      <c r="B161" s="99" t="s">
        <v>1243</v>
      </c>
      <c r="C161" s="100">
        <v>45680</v>
      </c>
      <c r="D161" s="99" t="s">
        <v>44</v>
      </c>
      <c r="E161" s="99" t="s">
        <v>45</v>
      </c>
      <c r="F161" s="99" t="s">
        <v>16</v>
      </c>
      <c r="G161" s="99">
        <v>12</v>
      </c>
      <c r="H161" s="112">
        <v>250000</v>
      </c>
      <c r="I161" s="112">
        <v>3000000</v>
      </c>
      <c r="J161" s="99" t="s">
        <v>2154</v>
      </c>
      <c r="K161" s="99" t="s">
        <v>127</v>
      </c>
      <c r="N161" s="99" t="s">
        <v>2192</v>
      </c>
      <c r="O161" s="99" t="s">
        <v>8</v>
      </c>
      <c r="P161" s="100">
        <f t="shared" si="21"/>
        <v>45912</v>
      </c>
      <c r="Q161" s="101">
        <f t="shared" si="20"/>
        <v>111</v>
      </c>
      <c r="R161" s="99">
        <f t="shared" si="22"/>
        <v>2</v>
      </c>
      <c r="S161" s="101">
        <f t="shared" si="23"/>
        <v>18900000</v>
      </c>
      <c r="T161" s="99" t="str">
        <f t="shared" si="24"/>
        <v>Low</v>
      </c>
      <c r="U161" s="99" t="str">
        <f t="shared" si="25"/>
        <v>Low</v>
      </c>
      <c r="V161" s="99" t="str">
        <f t="shared" si="26"/>
        <v>High</v>
      </c>
      <c r="W161" s="99" t="str">
        <f t="shared" si="27"/>
        <v>LLH</v>
      </c>
      <c r="X161" s="99" t="str">
        <f>VLOOKUP(W161,rfm[],2,FALSE)</f>
        <v>💸 Lost High Spenders</v>
      </c>
      <c r="AA161" s="99" t="s">
        <v>2192</v>
      </c>
      <c r="AB161" s="99" t="s">
        <v>8</v>
      </c>
      <c r="AC161" s="100">
        <v>45912</v>
      </c>
      <c r="AD161" s="101">
        <v>111</v>
      </c>
      <c r="AE161" s="101">
        <v>2</v>
      </c>
      <c r="AF161" s="101">
        <v>18900000</v>
      </c>
      <c r="AG161" s="99" t="str">
        <f>VLOOKUP(AA161,recency!$K$6:$P$818,6,0)</f>
        <v>Low</v>
      </c>
      <c r="AH161" s="132" t="str">
        <f>VLOOKUP(AA161,frequency!$F$6:$H$818,3,FALSE)</f>
        <v>Low</v>
      </c>
      <c r="AI161" s="129" t="str">
        <f>VLOOKUP(AA161,monetary!$B$5:$F$817,5,0)</f>
        <v>Low</v>
      </c>
      <c r="AJ161" s="99" t="str">
        <f t="shared" si="28"/>
        <v>LLL</v>
      </c>
      <c r="AK161" s="99" t="str">
        <f>VLOOKUP(AJ161,rfm[],2,0)</f>
        <v>💤 Lost / Low Value</v>
      </c>
      <c r="AN161" s="99" t="b">
        <f t="shared" si="29"/>
        <v>0</v>
      </c>
    </row>
    <row r="162" spans="2:40" x14ac:dyDescent="0.3">
      <c r="B162" s="99" t="s">
        <v>1244</v>
      </c>
      <c r="C162" s="100">
        <v>45680</v>
      </c>
      <c r="D162" s="99" t="s">
        <v>14</v>
      </c>
      <c r="E162" s="99" t="s">
        <v>15</v>
      </c>
      <c r="F162" s="99" t="s">
        <v>16</v>
      </c>
      <c r="G162" s="99">
        <v>20</v>
      </c>
      <c r="H162" s="112">
        <v>350000</v>
      </c>
      <c r="I162" s="112">
        <v>7000000</v>
      </c>
      <c r="J162" s="99" t="s">
        <v>2402</v>
      </c>
      <c r="K162" s="99" t="s">
        <v>69</v>
      </c>
      <c r="N162" s="99" t="s">
        <v>2193</v>
      </c>
      <c r="O162" s="99" t="s">
        <v>127</v>
      </c>
      <c r="P162" s="100">
        <f t="shared" si="21"/>
        <v>45945</v>
      </c>
      <c r="Q162" s="101">
        <f t="shared" si="20"/>
        <v>78</v>
      </c>
      <c r="R162" s="99">
        <f t="shared" si="22"/>
        <v>3</v>
      </c>
      <c r="S162" s="101">
        <f t="shared" si="23"/>
        <v>16200000</v>
      </c>
      <c r="T162" s="99" t="str">
        <f t="shared" si="24"/>
        <v>High</v>
      </c>
      <c r="U162" s="99" t="str">
        <f t="shared" si="25"/>
        <v>High</v>
      </c>
      <c r="V162" s="99" t="str">
        <f t="shared" si="26"/>
        <v>Low</v>
      </c>
      <c r="W162" s="99" t="str">
        <f t="shared" si="27"/>
        <v>HHL</v>
      </c>
      <c r="X162" s="99" t="str">
        <f>VLOOKUP(W162,rfm[],2,FALSE)</f>
        <v>💎 Loyal High Value</v>
      </c>
      <c r="AA162" s="99" t="s">
        <v>2193</v>
      </c>
      <c r="AB162" s="99" t="s">
        <v>127</v>
      </c>
      <c r="AC162" s="100">
        <v>45945</v>
      </c>
      <c r="AD162" s="101">
        <v>78</v>
      </c>
      <c r="AE162" s="101">
        <v>3</v>
      </c>
      <c r="AF162" s="101">
        <v>16200000</v>
      </c>
      <c r="AG162" s="99" t="str">
        <f>VLOOKUP(AA162,recency!$K$6:$P$818,6,0)</f>
        <v>Low</v>
      </c>
      <c r="AH162" s="132" t="str">
        <f>VLOOKUP(AA162,frequency!$F$6:$H$818,3,FALSE)</f>
        <v>High</v>
      </c>
      <c r="AI162" s="129" t="str">
        <f>VLOOKUP(AA162,monetary!$B$5:$F$817,5,0)</f>
        <v>Low</v>
      </c>
      <c r="AJ162" s="99" t="str">
        <f t="shared" si="28"/>
        <v>LHL</v>
      </c>
      <c r="AK162" s="99" t="str">
        <f>VLOOKUP(AJ162,rfm[],2,0)</f>
        <v>🔁 Former Loyal Low Spend</v>
      </c>
      <c r="AN162" s="99" t="b">
        <f t="shared" si="29"/>
        <v>0</v>
      </c>
    </row>
    <row r="163" spans="2:40" x14ac:dyDescent="0.3">
      <c r="B163" s="99" t="s">
        <v>1245</v>
      </c>
      <c r="C163" s="100">
        <v>45680</v>
      </c>
      <c r="D163" s="99" t="s">
        <v>10</v>
      </c>
      <c r="E163" s="99" t="s">
        <v>11</v>
      </c>
      <c r="F163" s="99" t="s">
        <v>12</v>
      </c>
      <c r="G163" s="99">
        <v>23</v>
      </c>
      <c r="H163" s="112">
        <v>120000</v>
      </c>
      <c r="I163" s="112">
        <v>2760000</v>
      </c>
      <c r="J163" s="99" t="s">
        <v>2741</v>
      </c>
      <c r="K163" s="99" t="s">
        <v>60</v>
      </c>
      <c r="N163" s="99" t="s">
        <v>2194</v>
      </c>
      <c r="O163" s="99" t="s">
        <v>8</v>
      </c>
      <c r="P163" s="100">
        <f t="shared" si="21"/>
        <v>45894</v>
      </c>
      <c r="Q163" s="101">
        <f t="shared" si="20"/>
        <v>129</v>
      </c>
      <c r="R163" s="99">
        <f t="shared" si="22"/>
        <v>2</v>
      </c>
      <c r="S163" s="101">
        <f t="shared" si="23"/>
        <v>5825000</v>
      </c>
      <c r="T163" s="99" t="str">
        <f t="shared" si="24"/>
        <v>Low</v>
      </c>
      <c r="U163" s="99" t="str">
        <f t="shared" si="25"/>
        <v>Low</v>
      </c>
      <c r="V163" s="99" t="str">
        <f t="shared" si="26"/>
        <v>Low</v>
      </c>
      <c r="W163" s="99" t="str">
        <f t="shared" si="27"/>
        <v>LLL</v>
      </c>
      <c r="X163" s="99" t="str">
        <f>VLOOKUP(W163,rfm[],2,FALSE)</f>
        <v>💤 Lost / Low Value</v>
      </c>
      <c r="AA163" s="99" t="s">
        <v>2194</v>
      </c>
      <c r="AB163" s="99" t="s">
        <v>8</v>
      </c>
      <c r="AC163" s="100">
        <v>45894</v>
      </c>
      <c r="AD163" s="101">
        <v>129</v>
      </c>
      <c r="AE163" s="101">
        <v>2</v>
      </c>
      <c r="AF163" s="101">
        <v>5825000</v>
      </c>
      <c r="AG163" s="99" t="str">
        <f>VLOOKUP(AA163,recency!$K$6:$P$818,6,0)</f>
        <v>Low</v>
      </c>
      <c r="AH163" s="132" t="str">
        <f>VLOOKUP(AA163,frequency!$F$6:$H$818,3,FALSE)</f>
        <v>Low</v>
      </c>
      <c r="AI163" s="129" t="str">
        <f>VLOOKUP(AA163,monetary!$B$5:$F$817,5,0)</f>
        <v>Low</v>
      </c>
      <c r="AJ163" s="99" t="str">
        <f t="shared" si="28"/>
        <v>LLL</v>
      </c>
      <c r="AK163" s="99" t="str">
        <f>VLOOKUP(AJ163,rfm[],2,0)</f>
        <v>💤 Lost / Low Value</v>
      </c>
      <c r="AN163" s="99" t="b">
        <f t="shared" si="29"/>
        <v>1</v>
      </c>
    </row>
    <row r="164" spans="2:40" x14ac:dyDescent="0.3">
      <c r="B164" s="99" t="s">
        <v>1246</v>
      </c>
      <c r="C164" s="100">
        <v>45680</v>
      </c>
      <c r="D164" s="99" t="s">
        <v>31</v>
      </c>
      <c r="E164" s="99" t="s">
        <v>32</v>
      </c>
      <c r="F164" s="99" t="s">
        <v>20</v>
      </c>
      <c r="G164" s="99">
        <v>8</v>
      </c>
      <c r="H164" s="112">
        <v>180000</v>
      </c>
      <c r="I164" s="112">
        <v>1440000</v>
      </c>
      <c r="J164" s="99" t="s">
        <v>2535</v>
      </c>
      <c r="K164" s="99" t="s">
        <v>127</v>
      </c>
      <c r="N164" s="99" t="s">
        <v>2195</v>
      </c>
      <c r="O164" s="99" t="s">
        <v>60</v>
      </c>
      <c r="P164" s="100">
        <f t="shared" si="21"/>
        <v>45884</v>
      </c>
      <c r="Q164" s="101">
        <f t="shared" si="20"/>
        <v>139</v>
      </c>
      <c r="R164" s="99">
        <f t="shared" si="22"/>
        <v>3</v>
      </c>
      <c r="S164" s="101">
        <f t="shared" si="23"/>
        <v>18075000</v>
      </c>
      <c r="T164" s="99" t="str">
        <f t="shared" si="24"/>
        <v>Low</v>
      </c>
      <c r="U164" s="99" t="str">
        <f t="shared" si="25"/>
        <v>High</v>
      </c>
      <c r="V164" s="99" t="str">
        <f t="shared" si="26"/>
        <v>Low</v>
      </c>
      <c r="W164" s="99" t="str">
        <f t="shared" si="27"/>
        <v>LHL</v>
      </c>
      <c r="X164" s="99" t="str">
        <f>VLOOKUP(W164,rfm[],2,FALSE)</f>
        <v>🔁 Former Loyal Low Spend</v>
      </c>
      <c r="AA164" s="99" t="s">
        <v>2195</v>
      </c>
      <c r="AB164" s="99" t="s">
        <v>60</v>
      </c>
      <c r="AC164" s="100">
        <v>45884</v>
      </c>
      <c r="AD164" s="101">
        <v>139</v>
      </c>
      <c r="AE164" s="101">
        <v>3</v>
      </c>
      <c r="AF164" s="101">
        <v>18075000</v>
      </c>
      <c r="AG164" s="99" t="str">
        <f>VLOOKUP(AA164,recency!$K$6:$P$818,6,0)</f>
        <v>Low</v>
      </c>
      <c r="AH164" s="132" t="str">
        <f>VLOOKUP(AA164,frequency!$F$6:$H$818,3,FALSE)</f>
        <v>High</v>
      </c>
      <c r="AI164" s="129" t="str">
        <f>VLOOKUP(AA164,monetary!$B$5:$F$817,5,0)</f>
        <v>Low</v>
      </c>
      <c r="AJ164" s="99" t="str">
        <f t="shared" si="28"/>
        <v>LHL</v>
      </c>
      <c r="AK164" s="99" t="str">
        <f>VLOOKUP(AJ164,rfm[],2,0)</f>
        <v>🔁 Former Loyal Low Spend</v>
      </c>
      <c r="AN164" s="99" t="b">
        <f t="shared" si="29"/>
        <v>1</v>
      </c>
    </row>
    <row r="165" spans="2:40" x14ac:dyDescent="0.3">
      <c r="B165" s="99" t="s">
        <v>1281</v>
      </c>
      <c r="C165" s="100">
        <v>45680</v>
      </c>
      <c r="D165" s="99" t="s">
        <v>42</v>
      </c>
      <c r="E165" s="99" t="s">
        <v>43</v>
      </c>
      <c r="F165" s="99" t="s">
        <v>16</v>
      </c>
      <c r="G165" s="99">
        <v>80</v>
      </c>
      <c r="H165" s="112">
        <v>1200000</v>
      </c>
      <c r="I165" s="112">
        <v>96000000</v>
      </c>
      <c r="J165" s="99" t="s">
        <v>2362</v>
      </c>
      <c r="K165" s="99" t="s">
        <v>8</v>
      </c>
      <c r="N165" s="99" t="s">
        <v>2196</v>
      </c>
      <c r="O165" s="99" t="s">
        <v>69</v>
      </c>
      <c r="P165" s="100">
        <f t="shared" si="21"/>
        <v>45825</v>
      </c>
      <c r="Q165" s="101">
        <f t="shared" si="20"/>
        <v>198</v>
      </c>
      <c r="R165" s="99">
        <f t="shared" si="22"/>
        <v>1</v>
      </c>
      <c r="S165" s="101">
        <f t="shared" si="23"/>
        <v>4680000</v>
      </c>
      <c r="T165" s="99" t="str">
        <f t="shared" si="24"/>
        <v>Low</v>
      </c>
      <c r="U165" s="99" t="str">
        <f t="shared" si="25"/>
        <v>Low</v>
      </c>
      <c r="V165" s="99" t="str">
        <f t="shared" si="26"/>
        <v>Low</v>
      </c>
      <c r="W165" s="99" t="str">
        <f t="shared" si="27"/>
        <v>LLL</v>
      </c>
      <c r="X165" s="99" t="str">
        <f>VLOOKUP(W165,rfm[],2,FALSE)</f>
        <v>💤 Lost / Low Value</v>
      </c>
      <c r="AA165" s="99" t="s">
        <v>2196</v>
      </c>
      <c r="AB165" s="99" t="s">
        <v>69</v>
      </c>
      <c r="AC165" s="100">
        <v>45825</v>
      </c>
      <c r="AD165" s="101">
        <v>198</v>
      </c>
      <c r="AE165" s="101">
        <v>1</v>
      </c>
      <c r="AF165" s="101">
        <v>4680000</v>
      </c>
      <c r="AG165" s="99" t="str">
        <f>VLOOKUP(AA165,recency!$K$6:$P$818,6,0)</f>
        <v>Low</v>
      </c>
      <c r="AH165" s="132" t="str">
        <f>VLOOKUP(AA165,frequency!$F$6:$H$818,3,FALSE)</f>
        <v>Low</v>
      </c>
      <c r="AI165" s="129" t="str">
        <f>VLOOKUP(AA165,monetary!$B$5:$F$817,5,0)</f>
        <v>Low</v>
      </c>
      <c r="AJ165" s="99" t="str">
        <f t="shared" si="28"/>
        <v>LLL</v>
      </c>
      <c r="AK165" s="99" t="str">
        <f>VLOOKUP(AJ165,rfm[],2,0)</f>
        <v>💤 Lost / Low Value</v>
      </c>
      <c r="AN165" s="99" t="b">
        <f t="shared" si="29"/>
        <v>1</v>
      </c>
    </row>
    <row r="166" spans="2:40" x14ac:dyDescent="0.3">
      <c r="B166" s="99" t="s">
        <v>1282</v>
      </c>
      <c r="C166" s="100">
        <v>45680</v>
      </c>
      <c r="D166" s="99" t="s">
        <v>18</v>
      </c>
      <c r="E166" s="99" t="s">
        <v>19</v>
      </c>
      <c r="F166" s="99" t="s">
        <v>20</v>
      </c>
      <c r="G166" s="99">
        <v>42</v>
      </c>
      <c r="H166" s="112">
        <v>500000</v>
      </c>
      <c r="I166" s="112">
        <v>21000000</v>
      </c>
      <c r="J166" s="99" t="s">
        <v>2248</v>
      </c>
      <c r="K166" s="99" t="s">
        <v>60</v>
      </c>
      <c r="N166" s="99" t="s">
        <v>2197</v>
      </c>
      <c r="O166" s="99" t="s">
        <v>8</v>
      </c>
      <c r="P166" s="100">
        <f t="shared" si="21"/>
        <v>46017</v>
      </c>
      <c r="Q166" s="101">
        <f t="shared" si="20"/>
        <v>6</v>
      </c>
      <c r="R166" s="99">
        <f t="shared" si="22"/>
        <v>6</v>
      </c>
      <c r="S166" s="101">
        <f t="shared" si="23"/>
        <v>1332050000</v>
      </c>
      <c r="T166" s="99" t="str">
        <f t="shared" si="24"/>
        <v>High</v>
      </c>
      <c r="U166" s="99" t="str">
        <f t="shared" si="25"/>
        <v>High</v>
      </c>
      <c r="V166" s="99" t="str">
        <f t="shared" si="26"/>
        <v>High</v>
      </c>
      <c r="W166" s="99" t="str">
        <f t="shared" si="27"/>
        <v>HHH</v>
      </c>
      <c r="X166" s="99" t="str">
        <f>VLOOKUP(W166,rfm[],2,FALSE)</f>
        <v>🥇 Champions</v>
      </c>
      <c r="AA166" s="99" t="s">
        <v>2197</v>
      </c>
      <c r="AB166" s="99" t="s">
        <v>8</v>
      </c>
      <c r="AC166" s="100">
        <v>46017</v>
      </c>
      <c r="AD166" s="101">
        <v>6</v>
      </c>
      <c r="AE166" s="101">
        <v>6</v>
      </c>
      <c r="AF166" s="101">
        <v>1332050000</v>
      </c>
      <c r="AG166" s="99" t="str">
        <f>VLOOKUP(AA166,recency!$K$6:$P$818,6,0)</f>
        <v>High</v>
      </c>
      <c r="AH166" s="132" t="str">
        <f>VLOOKUP(AA166,frequency!$F$6:$H$818,3,FALSE)</f>
        <v>High</v>
      </c>
      <c r="AI166" s="129" t="str">
        <f>VLOOKUP(AA166,monetary!$B$5:$F$817,5,0)</f>
        <v>High</v>
      </c>
      <c r="AJ166" s="99" t="str">
        <f t="shared" si="28"/>
        <v>HHH</v>
      </c>
      <c r="AK166" s="99" t="str">
        <f>VLOOKUP(AJ166,rfm[],2,0)</f>
        <v>🥇 Champions</v>
      </c>
      <c r="AN166" s="99" t="b">
        <f t="shared" si="29"/>
        <v>1</v>
      </c>
    </row>
    <row r="167" spans="2:40" x14ac:dyDescent="0.3">
      <c r="B167" s="99" t="s">
        <v>1283</v>
      </c>
      <c r="C167" s="100">
        <v>45680</v>
      </c>
      <c r="D167" s="99" t="s">
        <v>28</v>
      </c>
      <c r="E167" s="99" t="s">
        <v>29</v>
      </c>
      <c r="F167" s="99" t="s">
        <v>20</v>
      </c>
      <c r="G167" s="99">
        <v>7</v>
      </c>
      <c r="H167" s="112">
        <v>450000</v>
      </c>
      <c r="I167" s="112">
        <v>3150000</v>
      </c>
      <c r="J167" s="99" t="s">
        <v>2645</v>
      </c>
      <c r="K167" s="99" t="s">
        <v>127</v>
      </c>
      <c r="N167" s="99" t="s">
        <v>2198</v>
      </c>
      <c r="O167" s="99" t="s">
        <v>8</v>
      </c>
      <c r="P167" s="100">
        <f t="shared" si="21"/>
        <v>45950</v>
      </c>
      <c r="Q167" s="101">
        <f t="shared" si="20"/>
        <v>73</v>
      </c>
      <c r="R167" s="99">
        <f t="shared" si="22"/>
        <v>2</v>
      </c>
      <c r="S167" s="101">
        <f t="shared" si="23"/>
        <v>11430000</v>
      </c>
      <c r="T167" s="99" t="str">
        <f t="shared" si="24"/>
        <v>High</v>
      </c>
      <c r="U167" s="99" t="str">
        <f t="shared" si="25"/>
        <v>Low</v>
      </c>
      <c r="V167" s="99" t="str">
        <f t="shared" si="26"/>
        <v>Low</v>
      </c>
      <c r="W167" s="99" t="str">
        <f t="shared" si="27"/>
        <v>HLL</v>
      </c>
      <c r="X167" s="99" t="str">
        <f>VLOOKUP(W167,rfm[],2,FALSE)</f>
        <v>🌱 Potential Loyalists</v>
      </c>
      <c r="AA167" s="99" t="s">
        <v>2198</v>
      </c>
      <c r="AB167" s="99" t="s">
        <v>8</v>
      </c>
      <c r="AC167" s="100">
        <v>45950</v>
      </c>
      <c r="AD167" s="101">
        <v>73</v>
      </c>
      <c r="AE167" s="101">
        <v>2</v>
      </c>
      <c r="AF167" s="101">
        <v>11430000</v>
      </c>
      <c r="AG167" s="99" t="str">
        <f>VLOOKUP(AA167,recency!$K$6:$P$818,6,0)</f>
        <v>Low</v>
      </c>
      <c r="AH167" s="132" t="str">
        <f>VLOOKUP(AA167,frequency!$F$6:$H$818,3,FALSE)</f>
        <v>Low</v>
      </c>
      <c r="AI167" s="129" t="str">
        <f>VLOOKUP(AA167,monetary!$B$5:$F$817,5,0)</f>
        <v>Low</v>
      </c>
      <c r="AJ167" s="99" t="str">
        <f t="shared" si="28"/>
        <v>LLL</v>
      </c>
      <c r="AK167" s="99" t="str">
        <f>VLOOKUP(AJ167,rfm[],2,0)</f>
        <v>💤 Lost / Low Value</v>
      </c>
      <c r="AN167" s="99" t="b">
        <f t="shared" si="29"/>
        <v>0</v>
      </c>
    </row>
    <row r="168" spans="2:40" x14ac:dyDescent="0.3">
      <c r="B168" s="99" t="s">
        <v>1284</v>
      </c>
      <c r="C168" s="100">
        <v>45685</v>
      </c>
      <c r="D168" s="99" t="s">
        <v>40</v>
      </c>
      <c r="E168" s="99" t="s">
        <v>41</v>
      </c>
      <c r="F168" s="99" t="s">
        <v>16</v>
      </c>
      <c r="G168" s="99">
        <v>8</v>
      </c>
      <c r="H168" s="112">
        <v>950000</v>
      </c>
      <c r="I168" s="112">
        <v>7600000</v>
      </c>
      <c r="J168" s="99" t="s">
        <v>2817</v>
      </c>
      <c r="K168" s="99" t="s">
        <v>127</v>
      </c>
      <c r="N168" s="99" t="s">
        <v>2199</v>
      </c>
      <c r="O168" s="99" t="s">
        <v>60</v>
      </c>
      <c r="P168" s="100">
        <f t="shared" si="21"/>
        <v>45693</v>
      </c>
      <c r="Q168" s="101">
        <f t="shared" si="20"/>
        <v>330</v>
      </c>
      <c r="R168" s="99">
        <f t="shared" si="22"/>
        <v>1</v>
      </c>
      <c r="S168" s="101">
        <f t="shared" si="23"/>
        <v>3500000</v>
      </c>
      <c r="T168" s="99" t="str">
        <f t="shared" si="24"/>
        <v>Low</v>
      </c>
      <c r="U168" s="99" t="str">
        <f t="shared" si="25"/>
        <v>Low</v>
      </c>
      <c r="V168" s="99" t="str">
        <f t="shared" si="26"/>
        <v>Low</v>
      </c>
      <c r="W168" s="99" t="str">
        <f t="shared" si="27"/>
        <v>LLL</v>
      </c>
      <c r="X168" s="99" t="str">
        <f>VLOOKUP(W168,rfm[],2,FALSE)</f>
        <v>💤 Lost / Low Value</v>
      </c>
      <c r="AA168" s="99" t="s">
        <v>2199</v>
      </c>
      <c r="AB168" s="99" t="s">
        <v>60</v>
      </c>
      <c r="AC168" s="100">
        <v>45693</v>
      </c>
      <c r="AD168" s="101">
        <v>330</v>
      </c>
      <c r="AE168" s="101">
        <v>1</v>
      </c>
      <c r="AF168" s="101">
        <v>3500000</v>
      </c>
      <c r="AG168" s="99" t="str">
        <f>VLOOKUP(AA168,recency!$K$6:$P$818,6,0)</f>
        <v>Low</v>
      </c>
      <c r="AH168" s="132" t="str">
        <f>VLOOKUP(AA168,frequency!$F$6:$H$818,3,FALSE)</f>
        <v>Low</v>
      </c>
      <c r="AI168" s="129" t="str">
        <f>VLOOKUP(AA168,monetary!$B$5:$F$817,5,0)</f>
        <v>Low</v>
      </c>
      <c r="AJ168" s="99" t="str">
        <f t="shared" si="28"/>
        <v>LLL</v>
      </c>
      <c r="AK168" s="99" t="str">
        <f>VLOOKUP(AJ168,rfm[],2,0)</f>
        <v>💤 Lost / Low Value</v>
      </c>
      <c r="AN168" s="99" t="b">
        <f t="shared" si="29"/>
        <v>1</v>
      </c>
    </row>
    <row r="169" spans="2:40" x14ac:dyDescent="0.3">
      <c r="B169" s="99" t="s">
        <v>1285</v>
      </c>
      <c r="C169" s="100">
        <v>45685</v>
      </c>
      <c r="D169" s="99" t="s">
        <v>22</v>
      </c>
      <c r="E169" s="99" t="s">
        <v>23</v>
      </c>
      <c r="F169" s="99" t="s">
        <v>12</v>
      </c>
      <c r="G169" s="99">
        <v>26</v>
      </c>
      <c r="H169" s="112">
        <v>25000</v>
      </c>
      <c r="I169" s="112">
        <v>650000</v>
      </c>
      <c r="J169" s="99" t="s">
        <v>2179</v>
      </c>
      <c r="K169" s="99" t="s">
        <v>127</v>
      </c>
      <c r="N169" s="99" t="s">
        <v>2200</v>
      </c>
      <c r="O169" s="99" t="s">
        <v>8</v>
      </c>
      <c r="P169" s="100">
        <f t="shared" si="21"/>
        <v>45741</v>
      </c>
      <c r="Q169" s="101">
        <f t="shared" si="20"/>
        <v>282</v>
      </c>
      <c r="R169" s="99">
        <f t="shared" si="22"/>
        <v>2</v>
      </c>
      <c r="S169" s="101">
        <f t="shared" si="23"/>
        <v>17000000</v>
      </c>
      <c r="T169" s="99" t="str">
        <f t="shared" si="24"/>
        <v>Low</v>
      </c>
      <c r="U169" s="99" t="str">
        <f t="shared" si="25"/>
        <v>Low</v>
      </c>
      <c r="V169" s="99" t="str">
        <f t="shared" si="26"/>
        <v>Low</v>
      </c>
      <c r="W169" s="99" t="str">
        <f t="shared" si="27"/>
        <v>LLL</v>
      </c>
      <c r="X169" s="99" t="str">
        <f>VLOOKUP(W169,rfm[],2,FALSE)</f>
        <v>💤 Lost / Low Value</v>
      </c>
      <c r="AA169" s="99" t="s">
        <v>2200</v>
      </c>
      <c r="AB169" s="99" t="s">
        <v>8</v>
      </c>
      <c r="AC169" s="100">
        <v>45741</v>
      </c>
      <c r="AD169" s="101">
        <v>282</v>
      </c>
      <c r="AE169" s="101">
        <v>2</v>
      </c>
      <c r="AF169" s="101">
        <v>17000000</v>
      </c>
      <c r="AG169" s="99" t="str">
        <f>VLOOKUP(AA169,recency!$K$6:$P$818,6,0)</f>
        <v>Low</v>
      </c>
      <c r="AH169" s="132" t="str">
        <f>VLOOKUP(AA169,frequency!$F$6:$H$818,3,FALSE)</f>
        <v>Low</v>
      </c>
      <c r="AI169" s="129" t="str">
        <f>VLOOKUP(AA169,monetary!$B$5:$F$817,5,0)</f>
        <v>Low</v>
      </c>
      <c r="AJ169" s="99" t="str">
        <f t="shared" si="28"/>
        <v>LLL</v>
      </c>
      <c r="AK169" s="99" t="str">
        <f>VLOOKUP(AJ169,rfm[],2,0)</f>
        <v>💤 Lost / Low Value</v>
      </c>
      <c r="AN169" s="99" t="b">
        <f t="shared" si="29"/>
        <v>1</v>
      </c>
    </row>
    <row r="170" spans="2:40" x14ac:dyDescent="0.3">
      <c r="B170" s="99" t="s">
        <v>1286</v>
      </c>
      <c r="C170" s="100">
        <v>45685</v>
      </c>
      <c r="D170" s="99" t="s">
        <v>38</v>
      </c>
      <c r="E170" s="99" t="s">
        <v>39</v>
      </c>
      <c r="F170" s="99" t="s">
        <v>16</v>
      </c>
      <c r="G170" s="99">
        <v>18</v>
      </c>
      <c r="H170" s="112">
        <v>200000</v>
      </c>
      <c r="I170" s="112">
        <v>3600000</v>
      </c>
      <c r="J170" s="99" t="s">
        <v>2825</v>
      </c>
      <c r="K170" s="99" t="s">
        <v>127</v>
      </c>
      <c r="N170" s="99" t="s">
        <v>2201</v>
      </c>
      <c r="O170" s="99" t="s">
        <v>60</v>
      </c>
      <c r="P170" s="100">
        <f t="shared" si="21"/>
        <v>45827</v>
      </c>
      <c r="Q170" s="101">
        <f t="shared" si="20"/>
        <v>196</v>
      </c>
      <c r="R170" s="99">
        <f t="shared" si="22"/>
        <v>2</v>
      </c>
      <c r="S170" s="101">
        <f t="shared" si="23"/>
        <v>42650000</v>
      </c>
      <c r="T170" s="99" t="str">
        <f t="shared" si="24"/>
        <v>Low</v>
      </c>
      <c r="U170" s="99" t="str">
        <f t="shared" si="25"/>
        <v>Low</v>
      </c>
      <c r="V170" s="99" t="str">
        <f t="shared" si="26"/>
        <v>High</v>
      </c>
      <c r="W170" s="99" t="str">
        <f t="shared" si="27"/>
        <v>LLH</v>
      </c>
      <c r="X170" s="99" t="str">
        <f>VLOOKUP(W170,rfm[],2,FALSE)</f>
        <v>💸 Lost High Spenders</v>
      </c>
      <c r="AA170" s="99" t="s">
        <v>2201</v>
      </c>
      <c r="AB170" s="99" t="s">
        <v>60</v>
      </c>
      <c r="AC170" s="100">
        <v>45827</v>
      </c>
      <c r="AD170" s="101">
        <v>196</v>
      </c>
      <c r="AE170" s="101">
        <v>2</v>
      </c>
      <c r="AF170" s="101">
        <v>42650000</v>
      </c>
      <c r="AG170" s="99" t="str">
        <f>VLOOKUP(AA170,recency!$K$6:$P$818,6,0)</f>
        <v>Low</v>
      </c>
      <c r="AH170" s="132" t="str">
        <f>VLOOKUP(AA170,frequency!$F$6:$H$818,3,FALSE)</f>
        <v>Low</v>
      </c>
      <c r="AI170" s="129" t="str">
        <f>VLOOKUP(AA170,monetary!$B$5:$F$817,5,0)</f>
        <v>Low</v>
      </c>
      <c r="AJ170" s="99" t="str">
        <f t="shared" si="28"/>
        <v>LLL</v>
      </c>
      <c r="AK170" s="99" t="str">
        <f>VLOOKUP(AJ170,rfm[],2,0)</f>
        <v>💤 Lost / Low Value</v>
      </c>
      <c r="AN170" s="99" t="b">
        <f t="shared" si="29"/>
        <v>0</v>
      </c>
    </row>
    <row r="171" spans="2:40" x14ac:dyDescent="0.3">
      <c r="B171" s="99" t="s">
        <v>1287</v>
      </c>
      <c r="C171" s="100">
        <v>45685</v>
      </c>
      <c r="D171" s="99" t="s">
        <v>40</v>
      </c>
      <c r="E171" s="99" t="s">
        <v>41</v>
      </c>
      <c r="F171" s="99" t="s">
        <v>16</v>
      </c>
      <c r="G171" s="99">
        <v>21</v>
      </c>
      <c r="H171" s="112">
        <v>950000</v>
      </c>
      <c r="I171" s="112">
        <v>19950000</v>
      </c>
      <c r="J171" s="99" t="s">
        <v>670</v>
      </c>
      <c r="K171" s="99" t="s">
        <v>127</v>
      </c>
      <c r="N171" s="99" t="s">
        <v>2202</v>
      </c>
      <c r="O171" s="99" t="s">
        <v>8</v>
      </c>
      <c r="P171" s="100">
        <f t="shared" si="21"/>
        <v>45817</v>
      </c>
      <c r="Q171" s="101">
        <f t="shared" si="20"/>
        <v>206</v>
      </c>
      <c r="R171" s="99">
        <f t="shared" si="22"/>
        <v>3</v>
      </c>
      <c r="S171" s="101">
        <f t="shared" si="23"/>
        <v>30225000</v>
      </c>
      <c r="T171" s="99" t="str">
        <f t="shared" si="24"/>
        <v>Low</v>
      </c>
      <c r="U171" s="99" t="str">
        <f t="shared" si="25"/>
        <v>High</v>
      </c>
      <c r="V171" s="99" t="str">
        <f t="shared" si="26"/>
        <v>High</v>
      </c>
      <c r="W171" s="99" t="str">
        <f t="shared" si="27"/>
        <v>LHH</v>
      </c>
      <c r="X171" s="99" t="str">
        <f>VLOOKUP(W171,rfm[],2,FALSE)</f>
        <v>⚠️ At Risk High Value</v>
      </c>
      <c r="AA171" s="99" t="s">
        <v>2202</v>
      </c>
      <c r="AB171" s="99" t="s">
        <v>8</v>
      </c>
      <c r="AC171" s="100">
        <v>45817</v>
      </c>
      <c r="AD171" s="101">
        <v>206</v>
      </c>
      <c r="AE171" s="101">
        <v>3</v>
      </c>
      <c r="AF171" s="101">
        <v>30225000</v>
      </c>
      <c r="AG171" s="99" t="str">
        <f>VLOOKUP(AA171,recency!$K$6:$P$818,6,0)</f>
        <v>Low</v>
      </c>
      <c r="AH171" s="132" t="str">
        <f>VLOOKUP(AA171,frequency!$F$6:$H$818,3,FALSE)</f>
        <v>High</v>
      </c>
      <c r="AI171" s="129" t="str">
        <f>VLOOKUP(AA171,monetary!$B$5:$F$817,5,0)</f>
        <v>Low</v>
      </c>
      <c r="AJ171" s="99" t="str">
        <f t="shared" si="28"/>
        <v>LHL</v>
      </c>
      <c r="AK171" s="99" t="str">
        <f>VLOOKUP(AJ171,rfm[],2,0)</f>
        <v>🔁 Former Loyal Low Spend</v>
      </c>
      <c r="AN171" s="99" t="b">
        <f t="shared" si="29"/>
        <v>0</v>
      </c>
    </row>
    <row r="172" spans="2:40" x14ac:dyDescent="0.3">
      <c r="B172" s="99" t="s">
        <v>1321</v>
      </c>
      <c r="C172" s="100">
        <v>45685</v>
      </c>
      <c r="D172" s="99" t="s">
        <v>28</v>
      </c>
      <c r="E172" s="99" t="s">
        <v>29</v>
      </c>
      <c r="F172" s="99" t="s">
        <v>20</v>
      </c>
      <c r="G172" s="99">
        <v>41</v>
      </c>
      <c r="H172" s="112">
        <v>450000</v>
      </c>
      <c r="I172" s="112">
        <v>18450000</v>
      </c>
      <c r="J172" s="99" t="s">
        <v>840</v>
      </c>
      <c r="K172" s="99" t="s">
        <v>127</v>
      </c>
      <c r="N172" s="99" t="s">
        <v>2203</v>
      </c>
      <c r="O172" s="99" t="s">
        <v>47</v>
      </c>
      <c r="P172" s="100">
        <f t="shared" si="21"/>
        <v>45889</v>
      </c>
      <c r="Q172" s="101">
        <f t="shared" si="20"/>
        <v>134</v>
      </c>
      <c r="R172" s="99">
        <f t="shared" si="22"/>
        <v>1</v>
      </c>
      <c r="S172" s="101">
        <f t="shared" si="23"/>
        <v>21000000</v>
      </c>
      <c r="T172" s="99" t="str">
        <f t="shared" si="24"/>
        <v>Low</v>
      </c>
      <c r="U172" s="99" t="str">
        <f t="shared" si="25"/>
        <v>Low</v>
      </c>
      <c r="V172" s="99" t="str">
        <f t="shared" si="26"/>
        <v>High</v>
      </c>
      <c r="W172" s="99" t="str">
        <f t="shared" si="27"/>
        <v>LLH</v>
      </c>
      <c r="X172" s="99" t="str">
        <f>VLOOKUP(W172,rfm[],2,FALSE)</f>
        <v>💸 Lost High Spenders</v>
      </c>
      <c r="AA172" s="99" t="s">
        <v>2203</v>
      </c>
      <c r="AB172" s="99" t="s">
        <v>47</v>
      </c>
      <c r="AC172" s="100">
        <v>45889</v>
      </c>
      <c r="AD172" s="101">
        <v>134</v>
      </c>
      <c r="AE172" s="101">
        <v>1</v>
      </c>
      <c r="AF172" s="101">
        <v>21000000</v>
      </c>
      <c r="AG172" s="99" t="str">
        <f>VLOOKUP(AA172,recency!$K$6:$P$818,6,0)</f>
        <v>Low</v>
      </c>
      <c r="AH172" s="132" t="str">
        <f>VLOOKUP(AA172,frequency!$F$6:$H$818,3,FALSE)</f>
        <v>Low</v>
      </c>
      <c r="AI172" s="129" t="str">
        <f>VLOOKUP(AA172,monetary!$B$5:$F$817,5,0)</f>
        <v>Low</v>
      </c>
      <c r="AJ172" s="99" t="str">
        <f t="shared" si="28"/>
        <v>LLL</v>
      </c>
      <c r="AK172" s="99" t="str">
        <f>VLOOKUP(AJ172,rfm[],2,0)</f>
        <v>💤 Lost / Low Value</v>
      </c>
      <c r="AN172" s="99" t="b">
        <f t="shared" si="29"/>
        <v>0</v>
      </c>
    </row>
    <row r="173" spans="2:40" x14ac:dyDescent="0.3">
      <c r="B173" s="99" t="s">
        <v>1322</v>
      </c>
      <c r="C173" s="100">
        <v>45685</v>
      </c>
      <c r="D173" s="99" t="s">
        <v>10</v>
      </c>
      <c r="E173" s="99" t="s">
        <v>11</v>
      </c>
      <c r="F173" s="99" t="s">
        <v>12</v>
      </c>
      <c r="G173" s="99">
        <v>6</v>
      </c>
      <c r="H173" s="112">
        <v>120000</v>
      </c>
      <c r="I173" s="112">
        <v>720000</v>
      </c>
      <c r="J173" s="99" t="s">
        <v>2186</v>
      </c>
      <c r="K173" s="99" t="s">
        <v>69</v>
      </c>
      <c r="N173" s="99" t="s">
        <v>2204</v>
      </c>
      <c r="O173" s="99" t="s">
        <v>69</v>
      </c>
      <c r="P173" s="100">
        <f t="shared" si="21"/>
        <v>45855</v>
      </c>
      <c r="Q173" s="101">
        <f t="shared" si="20"/>
        <v>168</v>
      </c>
      <c r="R173" s="99">
        <f t="shared" si="22"/>
        <v>2</v>
      </c>
      <c r="S173" s="101">
        <f t="shared" si="23"/>
        <v>13100000</v>
      </c>
      <c r="T173" s="99" t="str">
        <f t="shared" si="24"/>
        <v>Low</v>
      </c>
      <c r="U173" s="99" t="str">
        <f t="shared" si="25"/>
        <v>Low</v>
      </c>
      <c r="V173" s="99" t="str">
        <f t="shared" si="26"/>
        <v>Low</v>
      </c>
      <c r="W173" s="99" t="str">
        <f t="shared" si="27"/>
        <v>LLL</v>
      </c>
      <c r="X173" s="99" t="str">
        <f>VLOOKUP(W173,rfm[],2,FALSE)</f>
        <v>💤 Lost / Low Value</v>
      </c>
      <c r="AA173" s="99" t="s">
        <v>2204</v>
      </c>
      <c r="AB173" s="99" t="s">
        <v>69</v>
      </c>
      <c r="AC173" s="100">
        <v>45855</v>
      </c>
      <c r="AD173" s="101">
        <v>168</v>
      </c>
      <c r="AE173" s="101">
        <v>2</v>
      </c>
      <c r="AF173" s="101">
        <v>13100000</v>
      </c>
      <c r="AG173" s="99" t="str">
        <f>VLOOKUP(AA173,recency!$K$6:$P$818,6,0)</f>
        <v>Low</v>
      </c>
      <c r="AH173" s="132" t="str">
        <f>VLOOKUP(AA173,frequency!$F$6:$H$818,3,FALSE)</f>
        <v>Low</v>
      </c>
      <c r="AI173" s="129" t="str">
        <f>VLOOKUP(AA173,monetary!$B$5:$F$817,5,0)</f>
        <v>Low</v>
      </c>
      <c r="AJ173" s="99" t="str">
        <f t="shared" si="28"/>
        <v>LLL</v>
      </c>
      <c r="AK173" s="99" t="str">
        <f>VLOOKUP(AJ173,rfm[],2,0)</f>
        <v>💤 Lost / Low Value</v>
      </c>
      <c r="AN173" s="99" t="b">
        <f t="shared" si="29"/>
        <v>1</v>
      </c>
    </row>
    <row r="174" spans="2:40" x14ac:dyDescent="0.3">
      <c r="B174" s="99" t="s">
        <v>1323</v>
      </c>
      <c r="C174" s="100">
        <v>45685</v>
      </c>
      <c r="D174" s="99" t="s">
        <v>40</v>
      </c>
      <c r="E174" s="99" t="s">
        <v>41</v>
      </c>
      <c r="F174" s="99" t="s">
        <v>16</v>
      </c>
      <c r="G174" s="99">
        <v>36</v>
      </c>
      <c r="H174" s="112">
        <v>950000</v>
      </c>
      <c r="I174" s="112">
        <v>34200000</v>
      </c>
      <c r="J174" s="99" t="s">
        <v>2774</v>
      </c>
      <c r="K174" s="99" t="s">
        <v>8</v>
      </c>
      <c r="N174" s="99" t="s">
        <v>2205</v>
      </c>
      <c r="O174" s="99" t="s">
        <v>60</v>
      </c>
      <c r="P174" s="100">
        <f t="shared" si="21"/>
        <v>45951</v>
      </c>
      <c r="Q174" s="101">
        <f t="shared" si="20"/>
        <v>72</v>
      </c>
      <c r="R174" s="99">
        <f t="shared" si="22"/>
        <v>2</v>
      </c>
      <c r="S174" s="101">
        <f t="shared" si="23"/>
        <v>15000000</v>
      </c>
      <c r="T174" s="99" t="str">
        <f t="shared" si="24"/>
        <v>High</v>
      </c>
      <c r="U174" s="99" t="str">
        <f t="shared" si="25"/>
        <v>Low</v>
      </c>
      <c r="V174" s="99" t="str">
        <f t="shared" si="26"/>
        <v>Low</v>
      </c>
      <c r="W174" s="99" t="str">
        <f t="shared" si="27"/>
        <v>HLL</v>
      </c>
      <c r="X174" s="99" t="str">
        <f>VLOOKUP(W174,rfm[],2,FALSE)</f>
        <v>🌱 Potential Loyalists</v>
      </c>
      <c r="AA174" s="99" t="s">
        <v>2205</v>
      </c>
      <c r="AB174" s="99" t="s">
        <v>60</v>
      </c>
      <c r="AC174" s="100">
        <v>45951</v>
      </c>
      <c r="AD174" s="101">
        <v>72</v>
      </c>
      <c r="AE174" s="101">
        <v>2</v>
      </c>
      <c r="AF174" s="101">
        <v>15000000</v>
      </c>
      <c r="AG174" s="99" t="str">
        <f>VLOOKUP(AA174,recency!$K$6:$P$818,6,0)</f>
        <v>Low</v>
      </c>
      <c r="AH174" s="132" t="str">
        <f>VLOOKUP(AA174,frequency!$F$6:$H$818,3,FALSE)</f>
        <v>Low</v>
      </c>
      <c r="AI174" s="129" t="str">
        <f>VLOOKUP(AA174,monetary!$B$5:$F$817,5,0)</f>
        <v>Low</v>
      </c>
      <c r="AJ174" s="99" t="str">
        <f t="shared" si="28"/>
        <v>LLL</v>
      </c>
      <c r="AK174" s="99" t="str">
        <f>VLOOKUP(AJ174,rfm[],2,0)</f>
        <v>💤 Lost / Low Value</v>
      </c>
      <c r="AN174" s="99" t="b">
        <f t="shared" si="29"/>
        <v>0</v>
      </c>
    </row>
    <row r="175" spans="2:40" x14ac:dyDescent="0.3">
      <c r="B175" s="99" t="s">
        <v>1324</v>
      </c>
      <c r="C175" s="100">
        <v>45685</v>
      </c>
      <c r="D175" s="99" t="s">
        <v>14</v>
      </c>
      <c r="E175" s="99" t="s">
        <v>15</v>
      </c>
      <c r="F175" s="99" t="s">
        <v>16</v>
      </c>
      <c r="G175" s="99">
        <v>47</v>
      </c>
      <c r="H175" s="112">
        <v>350000</v>
      </c>
      <c r="I175" s="112">
        <v>16450000</v>
      </c>
      <c r="J175" s="99" t="s">
        <v>2303</v>
      </c>
      <c r="K175" s="99" t="s">
        <v>127</v>
      </c>
      <c r="N175" s="99" t="s">
        <v>2206</v>
      </c>
      <c r="O175" s="99" t="s">
        <v>8</v>
      </c>
      <c r="P175" s="100">
        <f t="shared" si="21"/>
        <v>45894</v>
      </c>
      <c r="Q175" s="101">
        <f t="shared" si="20"/>
        <v>129</v>
      </c>
      <c r="R175" s="99">
        <f t="shared" si="22"/>
        <v>4</v>
      </c>
      <c r="S175" s="101">
        <f t="shared" si="23"/>
        <v>23500000</v>
      </c>
      <c r="T175" s="99" t="str">
        <f t="shared" si="24"/>
        <v>Low</v>
      </c>
      <c r="U175" s="99" t="str">
        <f t="shared" si="25"/>
        <v>High</v>
      </c>
      <c r="V175" s="99" t="str">
        <f t="shared" si="26"/>
        <v>High</v>
      </c>
      <c r="W175" s="99" t="str">
        <f t="shared" si="27"/>
        <v>LHH</v>
      </c>
      <c r="X175" s="99" t="str">
        <f>VLOOKUP(W175,rfm[],2,FALSE)</f>
        <v>⚠️ At Risk High Value</v>
      </c>
      <c r="AA175" s="99" t="s">
        <v>2206</v>
      </c>
      <c r="AB175" s="99" t="s">
        <v>8</v>
      </c>
      <c r="AC175" s="100">
        <v>45894</v>
      </c>
      <c r="AD175" s="101">
        <v>129</v>
      </c>
      <c r="AE175" s="101">
        <v>4</v>
      </c>
      <c r="AF175" s="101">
        <v>23500000</v>
      </c>
      <c r="AG175" s="99" t="str">
        <f>VLOOKUP(AA175,recency!$K$6:$P$818,6,0)</f>
        <v>Low</v>
      </c>
      <c r="AH175" s="132" t="str">
        <f>VLOOKUP(AA175,frequency!$F$6:$H$818,3,FALSE)</f>
        <v>High</v>
      </c>
      <c r="AI175" s="129" t="str">
        <f>VLOOKUP(AA175,monetary!$B$5:$F$817,5,0)</f>
        <v>Low</v>
      </c>
      <c r="AJ175" s="99" t="str">
        <f t="shared" si="28"/>
        <v>LHL</v>
      </c>
      <c r="AK175" s="99" t="str">
        <f>VLOOKUP(AJ175,rfm[],2,0)</f>
        <v>🔁 Former Loyal Low Spend</v>
      </c>
      <c r="AN175" s="99" t="b">
        <f t="shared" si="29"/>
        <v>0</v>
      </c>
    </row>
    <row r="176" spans="2:40" x14ac:dyDescent="0.3">
      <c r="B176" s="99" t="s">
        <v>1325</v>
      </c>
      <c r="C176" s="100">
        <v>45685</v>
      </c>
      <c r="D176" s="99" t="s">
        <v>22</v>
      </c>
      <c r="E176" s="99" t="s">
        <v>23</v>
      </c>
      <c r="F176" s="99" t="s">
        <v>12</v>
      </c>
      <c r="G176" s="99">
        <v>43</v>
      </c>
      <c r="H176" s="112">
        <v>25000</v>
      </c>
      <c r="I176" s="112">
        <v>1075000</v>
      </c>
      <c r="J176" s="99" t="s">
        <v>2225</v>
      </c>
      <c r="K176" s="99" t="s">
        <v>8</v>
      </c>
      <c r="N176" s="99" t="s">
        <v>2207</v>
      </c>
      <c r="O176" s="99" t="s">
        <v>8</v>
      </c>
      <c r="P176" s="100">
        <f t="shared" si="21"/>
        <v>45812</v>
      </c>
      <c r="Q176" s="101">
        <f t="shared" si="20"/>
        <v>211</v>
      </c>
      <c r="R176" s="99">
        <f t="shared" si="22"/>
        <v>2</v>
      </c>
      <c r="S176" s="101">
        <f t="shared" si="23"/>
        <v>7900000</v>
      </c>
      <c r="T176" s="99" t="str">
        <f t="shared" si="24"/>
        <v>Low</v>
      </c>
      <c r="U176" s="99" t="str">
        <f t="shared" si="25"/>
        <v>Low</v>
      </c>
      <c r="V176" s="99" t="str">
        <f t="shared" si="26"/>
        <v>Low</v>
      </c>
      <c r="W176" s="99" t="str">
        <f t="shared" si="27"/>
        <v>LLL</v>
      </c>
      <c r="X176" s="99" t="str">
        <f>VLOOKUP(W176,rfm[],2,FALSE)</f>
        <v>💤 Lost / Low Value</v>
      </c>
      <c r="AA176" s="99" t="s">
        <v>2207</v>
      </c>
      <c r="AB176" s="99" t="s">
        <v>8</v>
      </c>
      <c r="AC176" s="100">
        <v>45812</v>
      </c>
      <c r="AD176" s="101">
        <v>211</v>
      </c>
      <c r="AE176" s="101">
        <v>2</v>
      </c>
      <c r="AF176" s="101">
        <v>7900000</v>
      </c>
      <c r="AG176" s="99" t="str">
        <f>VLOOKUP(AA176,recency!$K$6:$P$818,6,0)</f>
        <v>Low</v>
      </c>
      <c r="AH176" s="132" t="str">
        <f>VLOOKUP(AA176,frequency!$F$6:$H$818,3,FALSE)</f>
        <v>Low</v>
      </c>
      <c r="AI176" s="129" t="str">
        <f>VLOOKUP(AA176,monetary!$B$5:$F$817,5,0)</f>
        <v>Low</v>
      </c>
      <c r="AJ176" s="99" t="str">
        <f t="shared" si="28"/>
        <v>LLL</v>
      </c>
      <c r="AK176" s="99" t="str">
        <f>VLOOKUP(AJ176,rfm[],2,0)</f>
        <v>💤 Lost / Low Value</v>
      </c>
      <c r="AN176" s="99" t="b">
        <f t="shared" si="29"/>
        <v>1</v>
      </c>
    </row>
    <row r="177" spans="2:40" x14ac:dyDescent="0.3">
      <c r="B177" s="99" t="s">
        <v>1326</v>
      </c>
      <c r="C177" s="100">
        <v>45685</v>
      </c>
      <c r="D177" s="99" t="s">
        <v>40</v>
      </c>
      <c r="E177" s="99" t="s">
        <v>41</v>
      </c>
      <c r="F177" s="99" t="s">
        <v>16</v>
      </c>
      <c r="G177" s="99">
        <v>10</v>
      </c>
      <c r="H177" s="112">
        <v>950000</v>
      </c>
      <c r="I177" s="112">
        <v>9500000</v>
      </c>
      <c r="J177" s="99" t="s">
        <v>402</v>
      </c>
      <c r="K177" s="99" t="s">
        <v>47</v>
      </c>
      <c r="N177" s="99" t="s">
        <v>2208</v>
      </c>
      <c r="O177" s="99" t="s">
        <v>127</v>
      </c>
      <c r="P177" s="100">
        <f t="shared" si="21"/>
        <v>45716</v>
      </c>
      <c r="Q177" s="101">
        <f t="shared" si="20"/>
        <v>307</v>
      </c>
      <c r="R177" s="99">
        <f t="shared" si="22"/>
        <v>1</v>
      </c>
      <c r="S177" s="101">
        <f t="shared" si="23"/>
        <v>1000000</v>
      </c>
      <c r="T177" s="99" t="str">
        <f t="shared" si="24"/>
        <v>Low</v>
      </c>
      <c r="U177" s="99" t="str">
        <f t="shared" si="25"/>
        <v>Low</v>
      </c>
      <c r="V177" s="99" t="str">
        <f t="shared" si="26"/>
        <v>Low</v>
      </c>
      <c r="W177" s="99" t="str">
        <f t="shared" si="27"/>
        <v>LLL</v>
      </c>
      <c r="X177" s="99" t="str">
        <f>VLOOKUP(W177,rfm[],2,FALSE)</f>
        <v>💤 Lost / Low Value</v>
      </c>
      <c r="AA177" s="99" t="s">
        <v>2208</v>
      </c>
      <c r="AB177" s="99" t="s">
        <v>127</v>
      </c>
      <c r="AC177" s="100">
        <v>45716</v>
      </c>
      <c r="AD177" s="101">
        <v>307</v>
      </c>
      <c r="AE177" s="101">
        <v>1</v>
      </c>
      <c r="AF177" s="101">
        <v>1000000</v>
      </c>
      <c r="AG177" s="99" t="str">
        <f>VLOOKUP(AA177,recency!$K$6:$P$818,6,0)</f>
        <v>Low</v>
      </c>
      <c r="AH177" s="132" t="str">
        <f>VLOOKUP(AA177,frequency!$F$6:$H$818,3,FALSE)</f>
        <v>Low</v>
      </c>
      <c r="AI177" s="129" t="str">
        <f>VLOOKUP(AA177,monetary!$B$5:$F$817,5,0)</f>
        <v>Low</v>
      </c>
      <c r="AJ177" s="99" t="str">
        <f t="shared" si="28"/>
        <v>LLL</v>
      </c>
      <c r="AK177" s="99" t="str">
        <f>VLOOKUP(AJ177,rfm[],2,0)</f>
        <v>💤 Lost / Low Value</v>
      </c>
      <c r="AN177" s="99" t="b">
        <f t="shared" si="29"/>
        <v>1</v>
      </c>
    </row>
    <row r="178" spans="2:40" x14ac:dyDescent="0.3">
      <c r="B178" s="99" t="s">
        <v>1327</v>
      </c>
      <c r="C178" s="100">
        <v>45685</v>
      </c>
      <c r="D178" s="99" t="s">
        <v>28</v>
      </c>
      <c r="E178" s="99" t="s">
        <v>29</v>
      </c>
      <c r="F178" s="99" t="s">
        <v>20</v>
      </c>
      <c r="G178" s="99">
        <v>44</v>
      </c>
      <c r="H178" s="112">
        <v>450000</v>
      </c>
      <c r="I178" s="112">
        <v>19800000</v>
      </c>
      <c r="J178" s="99" t="s">
        <v>2722</v>
      </c>
      <c r="K178" s="99" t="s">
        <v>8</v>
      </c>
      <c r="N178" s="99" t="s">
        <v>2209</v>
      </c>
      <c r="O178" s="99" t="s">
        <v>8</v>
      </c>
      <c r="P178" s="100">
        <f t="shared" si="21"/>
        <v>45750</v>
      </c>
      <c r="Q178" s="101">
        <f t="shared" si="20"/>
        <v>273</v>
      </c>
      <c r="R178" s="99">
        <f t="shared" si="22"/>
        <v>2</v>
      </c>
      <c r="S178" s="101">
        <f t="shared" si="23"/>
        <v>9070000</v>
      </c>
      <c r="T178" s="99" t="str">
        <f t="shared" si="24"/>
        <v>Low</v>
      </c>
      <c r="U178" s="99" t="str">
        <f t="shared" si="25"/>
        <v>Low</v>
      </c>
      <c r="V178" s="99" t="str">
        <f t="shared" si="26"/>
        <v>Low</v>
      </c>
      <c r="W178" s="99" t="str">
        <f t="shared" si="27"/>
        <v>LLL</v>
      </c>
      <c r="X178" s="99" t="str">
        <f>VLOOKUP(W178,rfm[],2,FALSE)</f>
        <v>💤 Lost / Low Value</v>
      </c>
      <c r="AA178" s="99" t="s">
        <v>2209</v>
      </c>
      <c r="AB178" s="99" t="s">
        <v>8</v>
      </c>
      <c r="AC178" s="100">
        <v>45750</v>
      </c>
      <c r="AD178" s="101">
        <v>273</v>
      </c>
      <c r="AE178" s="101">
        <v>2</v>
      </c>
      <c r="AF178" s="101">
        <v>9070000</v>
      </c>
      <c r="AG178" s="99" t="str">
        <f>VLOOKUP(AA178,recency!$K$6:$P$818,6,0)</f>
        <v>Low</v>
      </c>
      <c r="AH178" s="132" t="str">
        <f>VLOOKUP(AA178,frequency!$F$6:$H$818,3,FALSE)</f>
        <v>Low</v>
      </c>
      <c r="AI178" s="129" t="str">
        <f>VLOOKUP(AA178,monetary!$B$5:$F$817,5,0)</f>
        <v>Low</v>
      </c>
      <c r="AJ178" s="99" t="str">
        <f t="shared" si="28"/>
        <v>LLL</v>
      </c>
      <c r="AK178" s="99" t="str">
        <f>VLOOKUP(AJ178,rfm[],2,0)</f>
        <v>💤 Lost / Low Value</v>
      </c>
      <c r="AN178" s="99" t="b">
        <f t="shared" si="29"/>
        <v>1</v>
      </c>
    </row>
    <row r="179" spans="2:40" x14ac:dyDescent="0.3">
      <c r="B179" s="99" t="s">
        <v>1328</v>
      </c>
      <c r="C179" s="100">
        <v>45685</v>
      </c>
      <c r="D179" s="99" t="s">
        <v>31</v>
      </c>
      <c r="E179" s="99" t="s">
        <v>32</v>
      </c>
      <c r="F179" s="99" t="s">
        <v>20</v>
      </c>
      <c r="G179" s="99">
        <v>11</v>
      </c>
      <c r="H179" s="112">
        <v>180000</v>
      </c>
      <c r="I179" s="112">
        <v>1980000</v>
      </c>
      <c r="J179" s="99" t="s">
        <v>1242</v>
      </c>
      <c r="K179" s="99" t="s">
        <v>60</v>
      </c>
      <c r="N179" s="99" t="s">
        <v>2210</v>
      </c>
      <c r="O179" s="99" t="s">
        <v>127</v>
      </c>
      <c r="P179" s="100">
        <f t="shared" si="21"/>
        <v>45812</v>
      </c>
      <c r="Q179" s="101">
        <f t="shared" si="20"/>
        <v>211</v>
      </c>
      <c r="R179" s="99">
        <f t="shared" si="22"/>
        <v>2</v>
      </c>
      <c r="S179" s="101">
        <f t="shared" si="23"/>
        <v>11680000</v>
      </c>
      <c r="T179" s="99" t="str">
        <f t="shared" si="24"/>
        <v>Low</v>
      </c>
      <c r="U179" s="99" t="str">
        <f t="shared" si="25"/>
        <v>Low</v>
      </c>
      <c r="V179" s="99" t="str">
        <f t="shared" si="26"/>
        <v>Low</v>
      </c>
      <c r="W179" s="99" t="str">
        <f t="shared" si="27"/>
        <v>LLL</v>
      </c>
      <c r="X179" s="99" t="str">
        <f>VLOOKUP(W179,rfm[],2,FALSE)</f>
        <v>💤 Lost / Low Value</v>
      </c>
      <c r="AA179" s="99" t="s">
        <v>2210</v>
      </c>
      <c r="AB179" s="99" t="s">
        <v>127</v>
      </c>
      <c r="AC179" s="100">
        <v>45812</v>
      </c>
      <c r="AD179" s="101">
        <v>211</v>
      </c>
      <c r="AE179" s="101">
        <v>2</v>
      </c>
      <c r="AF179" s="101">
        <v>11680000</v>
      </c>
      <c r="AG179" s="99" t="str">
        <f>VLOOKUP(AA179,recency!$K$6:$P$818,6,0)</f>
        <v>Low</v>
      </c>
      <c r="AH179" s="132" t="str">
        <f>VLOOKUP(AA179,frequency!$F$6:$H$818,3,FALSE)</f>
        <v>Low</v>
      </c>
      <c r="AI179" s="129" t="str">
        <f>VLOOKUP(AA179,monetary!$B$5:$F$817,5,0)</f>
        <v>Low</v>
      </c>
      <c r="AJ179" s="99" t="str">
        <f t="shared" si="28"/>
        <v>LLL</v>
      </c>
      <c r="AK179" s="99" t="str">
        <f>VLOOKUP(AJ179,rfm[],2,0)</f>
        <v>💤 Lost / Low Value</v>
      </c>
      <c r="AN179" s="99" t="b">
        <f t="shared" si="29"/>
        <v>1</v>
      </c>
    </row>
    <row r="180" spans="2:40" x14ac:dyDescent="0.3">
      <c r="B180" s="99" t="s">
        <v>1329</v>
      </c>
      <c r="C180" s="100">
        <v>45687</v>
      </c>
      <c r="D180" s="99" t="s">
        <v>44</v>
      </c>
      <c r="E180" s="99" t="s">
        <v>45</v>
      </c>
      <c r="F180" s="99" t="s">
        <v>16</v>
      </c>
      <c r="G180" s="99">
        <v>17</v>
      </c>
      <c r="H180" s="112">
        <v>250000</v>
      </c>
      <c r="I180" s="112">
        <v>4250000</v>
      </c>
      <c r="J180" s="99" t="s">
        <v>1939</v>
      </c>
      <c r="K180" s="99" t="s">
        <v>8</v>
      </c>
      <c r="N180" s="99" t="s">
        <v>2211</v>
      </c>
      <c r="O180" s="99" t="s">
        <v>69</v>
      </c>
      <c r="P180" s="100">
        <f t="shared" si="21"/>
        <v>45798</v>
      </c>
      <c r="Q180" s="101">
        <f t="shared" si="20"/>
        <v>225</v>
      </c>
      <c r="R180" s="99">
        <f t="shared" si="22"/>
        <v>1</v>
      </c>
      <c r="S180" s="101">
        <f t="shared" si="23"/>
        <v>36100000</v>
      </c>
      <c r="T180" s="99" t="str">
        <f t="shared" si="24"/>
        <v>Low</v>
      </c>
      <c r="U180" s="99" t="str">
        <f t="shared" si="25"/>
        <v>Low</v>
      </c>
      <c r="V180" s="99" t="str">
        <f t="shared" si="26"/>
        <v>High</v>
      </c>
      <c r="W180" s="99" t="str">
        <f t="shared" si="27"/>
        <v>LLH</v>
      </c>
      <c r="X180" s="99" t="str">
        <f>VLOOKUP(W180,rfm[],2,FALSE)</f>
        <v>💸 Lost High Spenders</v>
      </c>
      <c r="AA180" s="99" t="s">
        <v>2211</v>
      </c>
      <c r="AB180" s="99" t="s">
        <v>69</v>
      </c>
      <c r="AC180" s="100">
        <v>45798</v>
      </c>
      <c r="AD180" s="101">
        <v>225</v>
      </c>
      <c r="AE180" s="101">
        <v>1</v>
      </c>
      <c r="AF180" s="101">
        <v>36100000</v>
      </c>
      <c r="AG180" s="99" t="str">
        <f>VLOOKUP(AA180,recency!$K$6:$P$818,6,0)</f>
        <v>Low</v>
      </c>
      <c r="AH180" s="132" t="str">
        <f>VLOOKUP(AA180,frequency!$F$6:$H$818,3,FALSE)</f>
        <v>Low</v>
      </c>
      <c r="AI180" s="129" t="str">
        <f>VLOOKUP(AA180,monetary!$B$5:$F$817,5,0)</f>
        <v>Low</v>
      </c>
      <c r="AJ180" s="99" t="str">
        <f t="shared" si="28"/>
        <v>LLL</v>
      </c>
      <c r="AK180" s="99" t="str">
        <f>VLOOKUP(AJ180,rfm[],2,0)</f>
        <v>💤 Lost / Low Value</v>
      </c>
      <c r="AN180" s="99" t="b">
        <f t="shared" si="29"/>
        <v>0</v>
      </c>
    </row>
    <row r="181" spans="2:40" x14ac:dyDescent="0.3">
      <c r="B181" s="99" t="s">
        <v>1359</v>
      </c>
      <c r="C181" s="100">
        <v>45687</v>
      </c>
      <c r="D181" s="99" t="s">
        <v>22</v>
      </c>
      <c r="E181" s="99" t="s">
        <v>23</v>
      </c>
      <c r="F181" s="99" t="s">
        <v>12</v>
      </c>
      <c r="G181" s="99">
        <v>27</v>
      </c>
      <c r="H181" s="112">
        <v>25000</v>
      </c>
      <c r="I181" s="112">
        <v>675000</v>
      </c>
      <c r="J181" s="99" t="s">
        <v>2484</v>
      </c>
      <c r="K181" s="99" t="s">
        <v>60</v>
      </c>
      <c r="N181" s="99" t="s">
        <v>2212</v>
      </c>
      <c r="O181" s="99" t="s">
        <v>47</v>
      </c>
      <c r="P181" s="100">
        <f t="shared" si="21"/>
        <v>45930</v>
      </c>
      <c r="Q181" s="101">
        <f t="shared" si="20"/>
        <v>93</v>
      </c>
      <c r="R181" s="99">
        <f t="shared" si="22"/>
        <v>1</v>
      </c>
      <c r="S181" s="101">
        <f t="shared" si="23"/>
        <v>9000000</v>
      </c>
      <c r="T181" s="99" t="str">
        <f t="shared" si="24"/>
        <v>High</v>
      </c>
      <c r="U181" s="99" t="str">
        <f t="shared" si="25"/>
        <v>Low</v>
      </c>
      <c r="V181" s="99" t="str">
        <f t="shared" si="26"/>
        <v>Low</v>
      </c>
      <c r="W181" s="99" t="str">
        <f t="shared" si="27"/>
        <v>HLL</v>
      </c>
      <c r="X181" s="99" t="str">
        <f>VLOOKUP(W181,rfm[],2,FALSE)</f>
        <v>🌱 Potential Loyalists</v>
      </c>
      <c r="AA181" s="99" t="s">
        <v>2212</v>
      </c>
      <c r="AB181" s="99" t="s">
        <v>47</v>
      </c>
      <c r="AC181" s="100">
        <v>45930</v>
      </c>
      <c r="AD181" s="101">
        <v>93</v>
      </c>
      <c r="AE181" s="101">
        <v>1</v>
      </c>
      <c r="AF181" s="101">
        <v>9000000</v>
      </c>
      <c r="AG181" s="99" t="str">
        <f>VLOOKUP(AA181,recency!$K$6:$P$818,6,0)</f>
        <v>Low</v>
      </c>
      <c r="AH181" s="132" t="str">
        <f>VLOOKUP(AA181,frequency!$F$6:$H$818,3,FALSE)</f>
        <v>Low</v>
      </c>
      <c r="AI181" s="129" t="str">
        <f>VLOOKUP(AA181,monetary!$B$5:$F$817,5,0)</f>
        <v>Low</v>
      </c>
      <c r="AJ181" s="99" t="str">
        <f t="shared" si="28"/>
        <v>LLL</v>
      </c>
      <c r="AK181" s="99" t="str">
        <f>VLOOKUP(AJ181,rfm[],2,0)</f>
        <v>💤 Lost / Low Value</v>
      </c>
      <c r="AN181" s="99" t="b">
        <f t="shared" si="29"/>
        <v>0</v>
      </c>
    </row>
    <row r="182" spans="2:40" x14ac:dyDescent="0.3">
      <c r="B182" s="99" t="s">
        <v>1360</v>
      </c>
      <c r="C182" s="100">
        <v>45687</v>
      </c>
      <c r="D182" s="99" t="s">
        <v>14</v>
      </c>
      <c r="E182" s="99" t="s">
        <v>15</v>
      </c>
      <c r="F182" s="99" t="s">
        <v>16</v>
      </c>
      <c r="G182" s="99">
        <v>43</v>
      </c>
      <c r="H182" s="112">
        <v>350000</v>
      </c>
      <c r="I182" s="112">
        <v>15050000</v>
      </c>
      <c r="J182" s="99" t="s">
        <v>2373</v>
      </c>
      <c r="K182" s="99" t="s">
        <v>69</v>
      </c>
      <c r="N182" s="99" t="s">
        <v>2213</v>
      </c>
      <c r="O182" s="99" t="s">
        <v>8</v>
      </c>
      <c r="P182" s="100">
        <f t="shared" si="21"/>
        <v>45833</v>
      </c>
      <c r="Q182" s="101">
        <f t="shared" si="20"/>
        <v>190</v>
      </c>
      <c r="R182" s="99">
        <f t="shared" si="22"/>
        <v>2</v>
      </c>
      <c r="S182" s="101">
        <f t="shared" si="23"/>
        <v>38825000</v>
      </c>
      <c r="T182" s="99" t="str">
        <f t="shared" si="24"/>
        <v>Low</v>
      </c>
      <c r="U182" s="99" t="str">
        <f t="shared" si="25"/>
        <v>Low</v>
      </c>
      <c r="V182" s="99" t="str">
        <f t="shared" si="26"/>
        <v>High</v>
      </c>
      <c r="W182" s="99" t="str">
        <f t="shared" si="27"/>
        <v>LLH</v>
      </c>
      <c r="X182" s="99" t="str">
        <f>VLOOKUP(W182,rfm[],2,FALSE)</f>
        <v>💸 Lost High Spenders</v>
      </c>
      <c r="AA182" s="99" t="s">
        <v>2213</v>
      </c>
      <c r="AB182" s="99" t="s">
        <v>8</v>
      </c>
      <c r="AC182" s="100">
        <v>45833</v>
      </c>
      <c r="AD182" s="101">
        <v>190</v>
      </c>
      <c r="AE182" s="101">
        <v>2</v>
      </c>
      <c r="AF182" s="101">
        <v>38825000</v>
      </c>
      <c r="AG182" s="99" t="str">
        <f>VLOOKUP(AA182,recency!$K$6:$P$818,6,0)</f>
        <v>Low</v>
      </c>
      <c r="AH182" s="132" t="str">
        <f>VLOOKUP(AA182,frequency!$F$6:$H$818,3,FALSE)</f>
        <v>Low</v>
      </c>
      <c r="AI182" s="129" t="str">
        <f>VLOOKUP(AA182,monetary!$B$5:$F$817,5,0)</f>
        <v>Low</v>
      </c>
      <c r="AJ182" s="99" t="str">
        <f t="shared" si="28"/>
        <v>LLL</v>
      </c>
      <c r="AK182" s="99" t="str">
        <f>VLOOKUP(AJ182,rfm[],2,0)</f>
        <v>💤 Lost / Low Value</v>
      </c>
      <c r="AN182" s="99" t="b">
        <f t="shared" si="29"/>
        <v>0</v>
      </c>
    </row>
    <row r="183" spans="2:40" x14ac:dyDescent="0.3">
      <c r="B183" s="99" t="s">
        <v>1361</v>
      </c>
      <c r="C183" s="100">
        <v>45687</v>
      </c>
      <c r="D183" s="99" t="s">
        <v>22</v>
      </c>
      <c r="E183" s="99" t="s">
        <v>23</v>
      </c>
      <c r="F183" s="99" t="s">
        <v>12</v>
      </c>
      <c r="G183" s="99">
        <v>46</v>
      </c>
      <c r="H183" s="112">
        <v>25000</v>
      </c>
      <c r="I183" s="112">
        <v>1150000</v>
      </c>
      <c r="J183" s="99" t="s">
        <v>2507</v>
      </c>
      <c r="K183" s="99" t="s">
        <v>127</v>
      </c>
      <c r="N183" s="99" t="s">
        <v>2214</v>
      </c>
      <c r="O183" s="99" t="s">
        <v>69</v>
      </c>
      <c r="P183" s="100">
        <f t="shared" si="21"/>
        <v>45768</v>
      </c>
      <c r="Q183" s="101">
        <f t="shared" si="20"/>
        <v>255</v>
      </c>
      <c r="R183" s="99">
        <f t="shared" si="22"/>
        <v>1</v>
      </c>
      <c r="S183" s="101">
        <f t="shared" si="23"/>
        <v>13500000</v>
      </c>
      <c r="T183" s="99" t="str">
        <f t="shared" si="24"/>
        <v>Low</v>
      </c>
      <c r="U183" s="99" t="str">
        <f t="shared" si="25"/>
        <v>Low</v>
      </c>
      <c r="V183" s="99" t="str">
        <f t="shared" si="26"/>
        <v>Low</v>
      </c>
      <c r="W183" s="99" t="str">
        <f t="shared" si="27"/>
        <v>LLL</v>
      </c>
      <c r="X183" s="99" t="str">
        <f>VLOOKUP(W183,rfm[],2,FALSE)</f>
        <v>💤 Lost / Low Value</v>
      </c>
      <c r="AA183" s="99" t="s">
        <v>2214</v>
      </c>
      <c r="AB183" s="99" t="s">
        <v>69</v>
      </c>
      <c r="AC183" s="100">
        <v>45768</v>
      </c>
      <c r="AD183" s="101">
        <v>255</v>
      </c>
      <c r="AE183" s="101">
        <v>1</v>
      </c>
      <c r="AF183" s="101">
        <v>13500000</v>
      </c>
      <c r="AG183" s="99" t="str">
        <f>VLOOKUP(AA183,recency!$K$6:$P$818,6,0)</f>
        <v>Low</v>
      </c>
      <c r="AH183" s="132" t="str">
        <f>VLOOKUP(AA183,frequency!$F$6:$H$818,3,FALSE)</f>
        <v>Low</v>
      </c>
      <c r="AI183" s="129" t="str">
        <f>VLOOKUP(AA183,monetary!$B$5:$F$817,5,0)</f>
        <v>Low</v>
      </c>
      <c r="AJ183" s="99" t="str">
        <f t="shared" si="28"/>
        <v>LLL</v>
      </c>
      <c r="AK183" s="99" t="str">
        <f>VLOOKUP(AJ183,rfm[],2,0)</f>
        <v>💤 Lost / Low Value</v>
      </c>
      <c r="AN183" s="99" t="b">
        <f t="shared" si="29"/>
        <v>1</v>
      </c>
    </row>
    <row r="184" spans="2:40" x14ac:dyDescent="0.3">
      <c r="B184" s="99" t="s">
        <v>1362</v>
      </c>
      <c r="C184" s="100">
        <v>45687</v>
      </c>
      <c r="D184" s="99" t="s">
        <v>22</v>
      </c>
      <c r="E184" s="99" t="s">
        <v>23</v>
      </c>
      <c r="F184" s="99" t="s">
        <v>12</v>
      </c>
      <c r="G184" s="99">
        <v>46</v>
      </c>
      <c r="H184" s="112">
        <v>25000</v>
      </c>
      <c r="I184" s="112">
        <v>1150000</v>
      </c>
      <c r="J184" s="99" t="s">
        <v>533</v>
      </c>
      <c r="K184" s="99" t="s">
        <v>47</v>
      </c>
      <c r="N184" s="99" t="s">
        <v>2215</v>
      </c>
      <c r="O184" s="99" t="s">
        <v>60</v>
      </c>
      <c r="P184" s="100">
        <f t="shared" si="21"/>
        <v>46000</v>
      </c>
      <c r="Q184" s="101">
        <f t="shared" si="20"/>
        <v>23</v>
      </c>
      <c r="R184" s="99">
        <f t="shared" si="22"/>
        <v>1</v>
      </c>
      <c r="S184" s="101">
        <f t="shared" si="23"/>
        <v>27550000</v>
      </c>
      <c r="T184" s="99" t="str">
        <f t="shared" si="24"/>
        <v>High</v>
      </c>
      <c r="U184" s="99" t="str">
        <f t="shared" si="25"/>
        <v>Low</v>
      </c>
      <c r="V184" s="99" t="str">
        <f t="shared" si="26"/>
        <v>High</v>
      </c>
      <c r="W184" s="99" t="str">
        <f t="shared" si="27"/>
        <v>HLH</v>
      </c>
      <c r="X184" s="99" t="str">
        <f>VLOOKUP(W184,rfm[],2,FALSE)</f>
        <v>🛒 Big Spenders (Occasional)</v>
      </c>
      <c r="AA184" s="99" t="s">
        <v>2215</v>
      </c>
      <c r="AB184" s="99" t="s">
        <v>60</v>
      </c>
      <c r="AC184" s="100">
        <v>46000</v>
      </c>
      <c r="AD184" s="101">
        <v>23</v>
      </c>
      <c r="AE184" s="101">
        <v>1</v>
      </c>
      <c r="AF184" s="101">
        <v>27550000</v>
      </c>
      <c r="AG184" s="99" t="str">
        <f>VLOOKUP(AA184,recency!$K$6:$P$818,6,0)</f>
        <v>High</v>
      </c>
      <c r="AH184" s="132" t="str">
        <f>VLOOKUP(AA184,frequency!$F$6:$H$818,3,FALSE)</f>
        <v>Low</v>
      </c>
      <c r="AI184" s="129" t="str">
        <f>VLOOKUP(AA184,monetary!$B$5:$F$817,5,0)</f>
        <v>Low</v>
      </c>
      <c r="AJ184" s="99" t="str">
        <f t="shared" si="28"/>
        <v>HLL</v>
      </c>
      <c r="AK184" s="99" t="str">
        <f>VLOOKUP(AJ184,rfm[],2,0)</f>
        <v>🌱 Potential Loyalists</v>
      </c>
      <c r="AN184" s="99" t="b">
        <f t="shared" si="29"/>
        <v>0</v>
      </c>
    </row>
    <row r="185" spans="2:40" x14ac:dyDescent="0.3">
      <c r="B185" s="99" t="s">
        <v>1399</v>
      </c>
      <c r="C185" s="100">
        <v>45687</v>
      </c>
      <c r="D185" s="99" t="s">
        <v>40</v>
      </c>
      <c r="E185" s="99" t="s">
        <v>41</v>
      </c>
      <c r="F185" s="99" t="s">
        <v>16</v>
      </c>
      <c r="G185" s="99">
        <v>37</v>
      </c>
      <c r="H185" s="112">
        <v>950000</v>
      </c>
      <c r="I185" s="112">
        <v>35150000</v>
      </c>
      <c r="J185" s="99" t="s">
        <v>2177</v>
      </c>
      <c r="K185" s="99" t="s">
        <v>47</v>
      </c>
      <c r="N185" s="99" t="s">
        <v>2216</v>
      </c>
      <c r="O185" s="99" t="s">
        <v>60</v>
      </c>
      <c r="P185" s="100">
        <f t="shared" si="21"/>
        <v>45775</v>
      </c>
      <c r="Q185" s="101">
        <f t="shared" si="20"/>
        <v>248</v>
      </c>
      <c r="R185" s="99">
        <f t="shared" si="22"/>
        <v>1</v>
      </c>
      <c r="S185" s="101">
        <f t="shared" si="23"/>
        <v>26400000</v>
      </c>
      <c r="T185" s="99" t="str">
        <f t="shared" si="24"/>
        <v>Low</v>
      </c>
      <c r="U185" s="99" t="str">
        <f t="shared" si="25"/>
        <v>Low</v>
      </c>
      <c r="V185" s="99" t="str">
        <f t="shared" si="26"/>
        <v>High</v>
      </c>
      <c r="W185" s="99" t="str">
        <f t="shared" si="27"/>
        <v>LLH</v>
      </c>
      <c r="X185" s="99" t="str">
        <f>VLOOKUP(W185,rfm[],2,FALSE)</f>
        <v>💸 Lost High Spenders</v>
      </c>
      <c r="AA185" s="99" t="s">
        <v>2216</v>
      </c>
      <c r="AB185" s="99" t="s">
        <v>60</v>
      </c>
      <c r="AC185" s="100">
        <v>45775</v>
      </c>
      <c r="AD185" s="101">
        <v>248</v>
      </c>
      <c r="AE185" s="101">
        <v>1</v>
      </c>
      <c r="AF185" s="101">
        <v>26400000</v>
      </c>
      <c r="AG185" s="99" t="str">
        <f>VLOOKUP(AA185,recency!$K$6:$P$818,6,0)</f>
        <v>Low</v>
      </c>
      <c r="AH185" s="132" t="str">
        <f>VLOOKUP(AA185,frequency!$F$6:$H$818,3,FALSE)</f>
        <v>Low</v>
      </c>
      <c r="AI185" s="129" t="str">
        <f>VLOOKUP(AA185,monetary!$B$5:$F$817,5,0)</f>
        <v>Low</v>
      </c>
      <c r="AJ185" s="99" t="str">
        <f t="shared" si="28"/>
        <v>LLL</v>
      </c>
      <c r="AK185" s="99" t="str">
        <f>VLOOKUP(AJ185,rfm[],2,0)</f>
        <v>💤 Lost / Low Value</v>
      </c>
      <c r="AN185" s="99" t="b">
        <f t="shared" si="29"/>
        <v>0</v>
      </c>
    </row>
    <row r="186" spans="2:40" x14ac:dyDescent="0.3">
      <c r="B186" s="99" t="s">
        <v>1400</v>
      </c>
      <c r="C186" s="100">
        <v>45687</v>
      </c>
      <c r="D186" s="99" t="s">
        <v>28</v>
      </c>
      <c r="E186" s="99" t="s">
        <v>29</v>
      </c>
      <c r="F186" s="99" t="s">
        <v>20</v>
      </c>
      <c r="G186" s="99">
        <v>41</v>
      </c>
      <c r="H186" s="112">
        <v>450000</v>
      </c>
      <c r="I186" s="112">
        <v>18450000</v>
      </c>
      <c r="J186" s="99" t="s">
        <v>2350</v>
      </c>
      <c r="K186" s="99" t="s">
        <v>47</v>
      </c>
      <c r="N186" s="99" t="s">
        <v>2217</v>
      </c>
      <c r="O186" s="99" t="s">
        <v>8</v>
      </c>
      <c r="P186" s="100">
        <f t="shared" si="21"/>
        <v>45930</v>
      </c>
      <c r="Q186" s="101">
        <f t="shared" si="20"/>
        <v>93</v>
      </c>
      <c r="R186" s="99">
        <f t="shared" si="22"/>
        <v>3</v>
      </c>
      <c r="S186" s="101">
        <f t="shared" si="23"/>
        <v>71525000</v>
      </c>
      <c r="T186" s="99" t="str">
        <f t="shared" si="24"/>
        <v>High</v>
      </c>
      <c r="U186" s="99" t="str">
        <f t="shared" si="25"/>
        <v>High</v>
      </c>
      <c r="V186" s="99" t="str">
        <f t="shared" si="26"/>
        <v>High</v>
      </c>
      <c r="W186" s="99" t="str">
        <f t="shared" si="27"/>
        <v>HHH</v>
      </c>
      <c r="X186" s="99" t="str">
        <f>VLOOKUP(W186,rfm[],2,FALSE)</f>
        <v>🥇 Champions</v>
      </c>
      <c r="AA186" s="99" t="s">
        <v>2217</v>
      </c>
      <c r="AB186" s="99" t="s">
        <v>8</v>
      </c>
      <c r="AC186" s="100">
        <v>45930</v>
      </c>
      <c r="AD186" s="101">
        <v>93</v>
      </c>
      <c r="AE186" s="101">
        <v>3</v>
      </c>
      <c r="AF186" s="101">
        <v>71525000</v>
      </c>
      <c r="AG186" s="99" t="str">
        <f>VLOOKUP(AA186,recency!$K$6:$P$818,6,0)</f>
        <v>Low</v>
      </c>
      <c r="AH186" s="132" t="str">
        <f>VLOOKUP(AA186,frequency!$F$6:$H$818,3,FALSE)</f>
        <v>High</v>
      </c>
      <c r="AI186" s="129" t="str">
        <f>VLOOKUP(AA186,monetary!$B$5:$F$817,5,0)</f>
        <v>High</v>
      </c>
      <c r="AJ186" s="99" t="str">
        <f t="shared" si="28"/>
        <v>LHH</v>
      </c>
      <c r="AK186" s="99" t="str">
        <f>VLOOKUP(AJ186,rfm[],2,0)</f>
        <v>⚠️ At Risk High Value</v>
      </c>
      <c r="AN186" s="99" t="b">
        <f t="shared" si="29"/>
        <v>0</v>
      </c>
    </row>
    <row r="187" spans="2:40" x14ac:dyDescent="0.3">
      <c r="B187" s="99" t="s">
        <v>1401</v>
      </c>
      <c r="C187" s="100">
        <v>45687</v>
      </c>
      <c r="D187" s="99" t="s">
        <v>28</v>
      </c>
      <c r="E187" s="99" t="s">
        <v>29</v>
      </c>
      <c r="F187" s="99" t="s">
        <v>20</v>
      </c>
      <c r="G187" s="99">
        <v>25</v>
      </c>
      <c r="H187" s="112">
        <v>450000</v>
      </c>
      <c r="I187" s="112">
        <v>11250000</v>
      </c>
      <c r="J187" s="99" t="s">
        <v>2746</v>
      </c>
      <c r="K187" s="99" t="s">
        <v>127</v>
      </c>
      <c r="N187" s="99" t="s">
        <v>2218</v>
      </c>
      <c r="O187" s="99" t="s">
        <v>47</v>
      </c>
      <c r="P187" s="100">
        <f t="shared" si="21"/>
        <v>45966</v>
      </c>
      <c r="Q187" s="101">
        <f t="shared" si="20"/>
        <v>57</v>
      </c>
      <c r="R187" s="99">
        <f t="shared" si="22"/>
        <v>2</v>
      </c>
      <c r="S187" s="101">
        <f t="shared" si="23"/>
        <v>40800000</v>
      </c>
      <c r="T187" s="99" t="str">
        <f t="shared" si="24"/>
        <v>High</v>
      </c>
      <c r="U187" s="99" t="str">
        <f t="shared" si="25"/>
        <v>Low</v>
      </c>
      <c r="V187" s="99" t="str">
        <f t="shared" si="26"/>
        <v>High</v>
      </c>
      <c r="W187" s="99" t="str">
        <f t="shared" si="27"/>
        <v>HLH</v>
      </c>
      <c r="X187" s="99" t="str">
        <f>VLOOKUP(W187,rfm[],2,FALSE)</f>
        <v>🛒 Big Spenders (Occasional)</v>
      </c>
      <c r="AA187" s="99" t="s">
        <v>2218</v>
      </c>
      <c r="AB187" s="99" t="s">
        <v>47</v>
      </c>
      <c r="AC187" s="100">
        <v>45966</v>
      </c>
      <c r="AD187" s="101">
        <v>57</v>
      </c>
      <c r="AE187" s="101">
        <v>2</v>
      </c>
      <c r="AF187" s="101">
        <v>40800000</v>
      </c>
      <c r="AG187" s="99" t="str">
        <f>VLOOKUP(AA187,recency!$K$6:$P$818,6,0)</f>
        <v>High</v>
      </c>
      <c r="AH187" s="132" t="str">
        <f>VLOOKUP(AA187,frequency!$F$6:$H$818,3,FALSE)</f>
        <v>Low</v>
      </c>
      <c r="AI187" s="129" t="str">
        <f>VLOOKUP(AA187,monetary!$B$5:$F$817,5,0)</f>
        <v>Low</v>
      </c>
      <c r="AJ187" s="99" t="str">
        <f t="shared" si="28"/>
        <v>HLL</v>
      </c>
      <c r="AK187" s="99" t="str">
        <f>VLOOKUP(AJ187,rfm[],2,0)</f>
        <v>🌱 Potential Loyalists</v>
      </c>
      <c r="AN187" s="99" t="b">
        <f t="shared" si="29"/>
        <v>0</v>
      </c>
    </row>
    <row r="188" spans="2:40" x14ac:dyDescent="0.3">
      <c r="B188" s="99" t="s">
        <v>1402</v>
      </c>
      <c r="C188" s="100">
        <v>45687</v>
      </c>
      <c r="D188" s="99" t="s">
        <v>18</v>
      </c>
      <c r="E188" s="99" t="s">
        <v>19</v>
      </c>
      <c r="F188" s="99" t="s">
        <v>20</v>
      </c>
      <c r="G188" s="99">
        <v>470</v>
      </c>
      <c r="H188" s="112">
        <v>500000</v>
      </c>
      <c r="I188" s="112">
        <v>235000000</v>
      </c>
      <c r="J188" s="99" t="s">
        <v>2236</v>
      </c>
      <c r="K188" s="99" t="s">
        <v>8</v>
      </c>
      <c r="N188" s="99" t="s">
        <v>2219</v>
      </c>
      <c r="O188" s="99" t="s">
        <v>60</v>
      </c>
      <c r="P188" s="100">
        <f t="shared" si="21"/>
        <v>45994</v>
      </c>
      <c r="Q188" s="101">
        <f t="shared" si="20"/>
        <v>29</v>
      </c>
      <c r="R188" s="99">
        <f t="shared" si="22"/>
        <v>1</v>
      </c>
      <c r="S188" s="101">
        <f t="shared" si="23"/>
        <v>19800000</v>
      </c>
      <c r="T188" s="99" t="str">
        <f t="shared" si="24"/>
        <v>High</v>
      </c>
      <c r="U188" s="99" t="str">
        <f t="shared" si="25"/>
        <v>Low</v>
      </c>
      <c r="V188" s="99" t="str">
        <f t="shared" si="26"/>
        <v>High</v>
      </c>
      <c r="W188" s="99" t="str">
        <f t="shared" si="27"/>
        <v>HLH</v>
      </c>
      <c r="X188" s="99" t="str">
        <f>VLOOKUP(W188,rfm[],2,FALSE)</f>
        <v>🛒 Big Spenders (Occasional)</v>
      </c>
      <c r="AA188" s="99" t="s">
        <v>2219</v>
      </c>
      <c r="AB188" s="99" t="s">
        <v>60</v>
      </c>
      <c r="AC188" s="100">
        <v>45994</v>
      </c>
      <c r="AD188" s="101">
        <v>29</v>
      </c>
      <c r="AE188" s="101">
        <v>1</v>
      </c>
      <c r="AF188" s="101">
        <v>19800000</v>
      </c>
      <c r="AG188" s="99" t="str">
        <f>VLOOKUP(AA188,recency!$K$6:$P$818,6,0)</f>
        <v>High</v>
      </c>
      <c r="AH188" s="132" t="str">
        <f>VLOOKUP(AA188,frequency!$F$6:$H$818,3,FALSE)</f>
        <v>Low</v>
      </c>
      <c r="AI188" s="129" t="str">
        <f>VLOOKUP(AA188,monetary!$B$5:$F$817,5,0)</f>
        <v>Low</v>
      </c>
      <c r="AJ188" s="99" t="str">
        <f t="shared" si="28"/>
        <v>HLL</v>
      </c>
      <c r="AK188" s="99" t="str">
        <f>VLOOKUP(AJ188,rfm[],2,0)</f>
        <v>🌱 Potential Loyalists</v>
      </c>
      <c r="AN188" s="99" t="b">
        <f t="shared" si="29"/>
        <v>0</v>
      </c>
    </row>
    <row r="189" spans="2:40" x14ac:dyDescent="0.3">
      <c r="B189" s="99" t="s">
        <v>1403</v>
      </c>
      <c r="C189" s="100">
        <v>45687</v>
      </c>
      <c r="D189" s="99" t="s">
        <v>28</v>
      </c>
      <c r="E189" s="99" t="s">
        <v>29</v>
      </c>
      <c r="F189" s="99" t="s">
        <v>20</v>
      </c>
      <c r="G189" s="99">
        <v>31</v>
      </c>
      <c r="H189" s="112">
        <v>450000</v>
      </c>
      <c r="I189" s="112">
        <v>13950000</v>
      </c>
      <c r="J189" s="99" t="s">
        <v>2645</v>
      </c>
      <c r="K189" s="99" t="s">
        <v>127</v>
      </c>
      <c r="N189" s="99" t="s">
        <v>2220</v>
      </c>
      <c r="O189" s="99" t="s">
        <v>8</v>
      </c>
      <c r="P189" s="100">
        <f t="shared" si="21"/>
        <v>45798</v>
      </c>
      <c r="Q189" s="101">
        <f t="shared" si="20"/>
        <v>225</v>
      </c>
      <c r="R189" s="99">
        <f t="shared" si="22"/>
        <v>1</v>
      </c>
      <c r="S189" s="101">
        <f t="shared" si="23"/>
        <v>10800000</v>
      </c>
      <c r="T189" s="99" t="str">
        <f t="shared" si="24"/>
        <v>Low</v>
      </c>
      <c r="U189" s="99" t="str">
        <f t="shared" si="25"/>
        <v>Low</v>
      </c>
      <c r="V189" s="99" t="str">
        <f t="shared" si="26"/>
        <v>Low</v>
      </c>
      <c r="W189" s="99" t="str">
        <f t="shared" si="27"/>
        <v>LLL</v>
      </c>
      <c r="X189" s="99" t="str">
        <f>VLOOKUP(W189,rfm[],2,FALSE)</f>
        <v>💤 Lost / Low Value</v>
      </c>
      <c r="AA189" s="99" t="s">
        <v>2220</v>
      </c>
      <c r="AB189" s="99" t="s">
        <v>8</v>
      </c>
      <c r="AC189" s="100">
        <v>45798</v>
      </c>
      <c r="AD189" s="101">
        <v>225</v>
      </c>
      <c r="AE189" s="101">
        <v>1</v>
      </c>
      <c r="AF189" s="101">
        <v>10800000</v>
      </c>
      <c r="AG189" s="99" t="str">
        <f>VLOOKUP(AA189,recency!$K$6:$P$818,6,0)</f>
        <v>Low</v>
      </c>
      <c r="AH189" s="132" t="str">
        <f>VLOOKUP(AA189,frequency!$F$6:$H$818,3,FALSE)</f>
        <v>Low</v>
      </c>
      <c r="AI189" s="129" t="str">
        <f>VLOOKUP(AA189,monetary!$B$5:$F$817,5,0)</f>
        <v>Low</v>
      </c>
      <c r="AJ189" s="99" t="str">
        <f t="shared" si="28"/>
        <v>LLL</v>
      </c>
      <c r="AK189" s="99" t="str">
        <f>VLOOKUP(AJ189,rfm[],2,0)</f>
        <v>💤 Lost / Low Value</v>
      </c>
      <c r="AN189" s="99" t="b">
        <f t="shared" si="29"/>
        <v>1</v>
      </c>
    </row>
    <row r="190" spans="2:40" x14ac:dyDescent="0.3">
      <c r="B190" s="99" t="s">
        <v>1404</v>
      </c>
      <c r="C190" s="100">
        <v>45687</v>
      </c>
      <c r="D190" s="99" t="s">
        <v>40</v>
      </c>
      <c r="E190" s="99" t="s">
        <v>41</v>
      </c>
      <c r="F190" s="99" t="s">
        <v>16</v>
      </c>
      <c r="G190" s="99">
        <v>5</v>
      </c>
      <c r="H190" s="112">
        <v>950000</v>
      </c>
      <c r="I190" s="112">
        <v>4750000</v>
      </c>
      <c r="J190" s="99" t="s">
        <v>2200</v>
      </c>
      <c r="K190" s="99" t="s">
        <v>8</v>
      </c>
      <c r="N190" s="99" t="s">
        <v>2221</v>
      </c>
      <c r="O190" s="99" t="s">
        <v>60</v>
      </c>
      <c r="P190" s="100">
        <f t="shared" si="21"/>
        <v>45917</v>
      </c>
      <c r="Q190" s="101">
        <f t="shared" si="20"/>
        <v>106</v>
      </c>
      <c r="R190" s="99">
        <f t="shared" si="22"/>
        <v>2</v>
      </c>
      <c r="S190" s="101">
        <f t="shared" si="23"/>
        <v>8550000</v>
      </c>
      <c r="T190" s="99" t="str">
        <f t="shared" si="24"/>
        <v>Low</v>
      </c>
      <c r="U190" s="99" t="str">
        <f t="shared" si="25"/>
        <v>Low</v>
      </c>
      <c r="V190" s="99" t="str">
        <f t="shared" si="26"/>
        <v>Low</v>
      </c>
      <c r="W190" s="99" t="str">
        <f t="shared" si="27"/>
        <v>LLL</v>
      </c>
      <c r="X190" s="99" t="str">
        <f>VLOOKUP(W190,rfm[],2,FALSE)</f>
        <v>💤 Lost / Low Value</v>
      </c>
      <c r="AA190" s="99" t="s">
        <v>2221</v>
      </c>
      <c r="AB190" s="99" t="s">
        <v>60</v>
      </c>
      <c r="AC190" s="100">
        <v>45917</v>
      </c>
      <c r="AD190" s="101">
        <v>106</v>
      </c>
      <c r="AE190" s="101">
        <v>2</v>
      </c>
      <c r="AF190" s="101">
        <v>8550000</v>
      </c>
      <c r="AG190" s="99" t="str">
        <f>VLOOKUP(AA190,recency!$K$6:$P$818,6,0)</f>
        <v>Low</v>
      </c>
      <c r="AH190" s="132" t="str">
        <f>VLOOKUP(AA190,frequency!$F$6:$H$818,3,FALSE)</f>
        <v>Low</v>
      </c>
      <c r="AI190" s="129" t="str">
        <f>VLOOKUP(AA190,monetary!$B$5:$F$817,5,0)</f>
        <v>Low</v>
      </c>
      <c r="AJ190" s="99" t="str">
        <f t="shared" si="28"/>
        <v>LLL</v>
      </c>
      <c r="AK190" s="99" t="str">
        <f>VLOOKUP(AJ190,rfm[],2,0)</f>
        <v>💤 Lost / Low Value</v>
      </c>
      <c r="AN190" s="99" t="b">
        <f t="shared" si="29"/>
        <v>1</v>
      </c>
    </row>
    <row r="191" spans="2:40" x14ac:dyDescent="0.3">
      <c r="B191" s="99" t="s">
        <v>1432</v>
      </c>
      <c r="C191" s="100">
        <v>45687</v>
      </c>
      <c r="D191" s="99" t="s">
        <v>38</v>
      </c>
      <c r="E191" s="99" t="s">
        <v>39</v>
      </c>
      <c r="F191" s="99" t="s">
        <v>16</v>
      </c>
      <c r="G191" s="99">
        <v>13</v>
      </c>
      <c r="H191" s="112">
        <v>200000</v>
      </c>
      <c r="I191" s="112">
        <v>2600000</v>
      </c>
      <c r="J191" s="99" t="s">
        <v>2145</v>
      </c>
      <c r="K191" s="99" t="s">
        <v>69</v>
      </c>
      <c r="N191" s="99" t="s">
        <v>2222</v>
      </c>
      <c r="O191" s="99" t="s">
        <v>60</v>
      </c>
      <c r="P191" s="100">
        <f t="shared" si="21"/>
        <v>46021</v>
      </c>
      <c r="Q191" s="101">
        <f t="shared" si="20"/>
        <v>2</v>
      </c>
      <c r="R191" s="99">
        <f t="shared" si="22"/>
        <v>1</v>
      </c>
      <c r="S191" s="101">
        <f t="shared" si="23"/>
        <v>12250000</v>
      </c>
      <c r="T191" s="99" t="str">
        <f t="shared" si="24"/>
        <v>High</v>
      </c>
      <c r="U191" s="99" t="str">
        <f t="shared" si="25"/>
        <v>Low</v>
      </c>
      <c r="V191" s="99" t="str">
        <f t="shared" si="26"/>
        <v>Low</v>
      </c>
      <c r="W191" s="99" t="str">
        <f t="shared" si="27"/>
        <v>HLL</v>
      </c>
      <c r="X191" s="99" t="str">
        <f>VLOOKUP(W191,rfm[],2,FALSE)</f>
        <v>🌱 Potential Loyalists</v>
      </c>
      <c r="AA191" s="99" t="s">
        <v>2222</v>
      </c>
      <c r="AB191" s="99" t="s">
        <v>60</v>
      </c>
      <c r="AC191" s="100">
        <v>46021</v>
      </c>
      <c r="AD191" s="101">
        <v>2</v>
      </c>
      <c r="AE191" s="101">
        <v>1</v>
      </c>
      <c r="AF191" s="101">
        <v>12250000</v>
      </c>
      <c r="AG191" s="99" t="str">
        <f>VLOOKUP(AA191,recency!$K$6:$P$818,6,0)</f>
        <v>High</v>
      </c>
      <c r="AH191" s="132" t="str">
        <f>VLOOKUP(AA191,frequency!$F$6:$H$818,3,FALSE)</f>
        <v>Low</v>
      </c>
      <c r="AI191" s="129" t="str">
        <f>VLOOKUP(AA191,monetary!$B$5:$F$817,5,0)</f>
        <v>Low</v>
      </c>
      <c r="AJ191" s="99" t="str">
        <f t="shared" si="28"/>
        <v>HLL</v>
      </c>
      <c r="AK191" s="99" t="str">
        <f>VLOOKUP(AJ191,rfm[],2,0)</f>
        <v>🌱 Potential Loyalists</v>
      </c>
      <c r="AN191" s="99" t="b">
        <f t="shared" si="29"/>
        <v>1</v>
      </c>
    </row>
    <row r="192" spans="2:40" x14ac:dyDescent="0.3">
      <c r="B192" s="99" t="s">
        <v>1433</v>
      </c>
      <c r="C192" s="100">
        <v>45687</v>
      </c>
      <c r="D192" s="99" t="s">
        <v>14</v>
      </c>
      <c r="E192" s="99" t="s">
        <v>15</v>
      </c>
      <c r="F192" s="99" t="s">
        <v>16</v>
      </c>
      <c r="G192" s="99">
        <v>42</v>
      </c>
      <c r="H192" s="112">
        <v>350000</v>
      </c>
      <c r="I192" s="112">
        <v>14700000</v>
      </c>
      <c r="J192" s="99" t="s">
        <v>2761</v>
      </c>
      <c r="K192" s="99" t="s">
        <v>69</v>
      </c>
      <c r="N192" s="99" t="s">
        <v>2223</v>
      </c>
      <c r="O192" s="99" t="s">
        <v>8</v>
      </c>
      <c r="P192" s="100">
        <f t="shared" si="21"/>
        <v>45982</v>
      </c>
      <c r="Q192" s="101">
        <f t="shared" si="20"/>
        <v>41</v>
      </c>
      <c r="R192" s="99">
        <f t="shared" si="22"/>
        <v>2</v>
      </c>
      <c r="S192" s="101">
        <f t="shared" si="23"/>
        <v>54350000</v>
      </c>
      <c r="T192" s="99" t="str">
        <f t="shared" si="24"/>
        <v>High</v>
      </c>
      <c r="U192" s="99" t="str">
        <f t="shared" si="25"/>
        <v>Low</v>
      </c>
      <c r="V192" s="99" t="str">
        <f t="shared" si="26"/>
        <v>High</v>
      </c>
      <c r="W192" s="99" t="str">
        <f t="shared" si="27"/>
        <v>HLH</v>
      </c>
      <c r="X192" s="99" t="str">
        <f>VLOOKUP(W192,rfm[],2,FALSE)</f>
        <v>🛒 Big Spenders (Occasional)</v>
      </c>
      <c r="AA192" s="99" t="s">
        <v>2223</v>
      </c>
      <c r="AB192" s="99" t="s">
        <v>8</v>
      </c>
      <c r="AC192" s="100">
        <v>45982</v>
      </c>
      <c r="AD192" s="101">
        <v>41</v>
      </c>
      <c r="AE192" s="101">
        <v>2</v>
      </c>
      <c r="AF192" s="101">
        <v>54350000</v>
      </c>
      <c r="AG192" s="99" t="str">
        <f>VLOOKUP(AA192,recency!$K$6:$P$818,6,0)</f>
        <v>High</v>
      </c>
      <c r="AH192" s="132" t="str">
        <f>VLOOKUP(AA192,frequency!$F$6:$H$818,3,FALSE)</f>
        <v>Low</v>
      </c>
      <c r="AI192" s="129" t="str">
        <f>VLOOKUP(AA192,monetary!$B$5:$F$817,5,0)</f>
        <v>High</v>
      </c>
      <c r="AJ192" s="99" t="str">
        <f t="shared" si="28"/>
        <v>HLH</v>
      </c>
      <c r="AK192" s="99" t="str">
        <f>VLOOKUP(AJ192,rfm[],2,0)</f>
        <v>🛒 Big Spenders (Occasional)</v>
      </c>
      <c r="AN192" s="99" t="b">
        <f t="shared" si="29"/>
        <v>1</v>
      </c>
    </row>
    <row r="193" spans="2:40" x14ac:dyDescent="0.3">
      <c r="B193" s="99" t="s">
        <v>1434</v>
      </c>
      <c r="C193" s="100">
        <v>45693</v>
      </c>
      <c r="D193" s="99" t="s">
        <v>42</v>
      </c>
      <c r="E193" s="99" t="s">
        <v>43</v>
      </c>
      <c r="F193" s="99" t="s">
        <v>16</v>
      </c>
      <c r="G193" s="99">
        <v>12</v>
      </c>
      <c r="H193" s="112">
        <v>1200000</v>
      </c>
      <c r="I193" s="112">
        <v>14400000</v>
      </c>
      <c r="J193" s="99" t="s">
        <v>2557</v>
      </c>
      <c r="K193" s="99" t="s">
        <v>127</v>
      </c>
      <c r="N193" s="99" t="s">
        <v>2224</v>
      </c>
      <c r="O193" s="99" t="s">
        <v>127</v>
      </c>
      <c r="P193" s="100">
        <f t="shared" si="21"/>
        <v>45918</v>
      </c>
      <c r="Q193" s="101">
        <f t="shared" si="20"/>
        <v>105</v>
      </c>
      <c r="R193" s="99">
        <f t="shared" si="22"/>
        <v>2</v>
      </c>
      <c r="S193" s="101">
        <f t="shared" si="23"/>
        <v>49400000</v>
      </c>
      <c r="T193" s="99" t="str">
        <f t="shared" si="24"/>
        <v>Low</v>
      </c>
      <c r="U193" s="99" t="str">
        <f t="shared" si="25"/>
        <v>Low</v>
      </c>
      <c r="V193" s="99" t="str">
        <f t="shared" si="26"/>
        <v>High</v>
      </c>
      <c r="W193" s="99" t="str">
        <f t="shared" si="27"/>
        <v>LLH</v>
      </c>
      <c r="X193" s="99" t="str">
        <f>VLOOKUP(W193,rfm[],2,FALSE)</f>
        <v>💸 Lost High Spenders</v>
      </c>
      <c r="AA193" s="99" t="s">
        <v>2224</v>
      </c>
      <c r="AB193" s="99" t="s">
        <v>127</v>
      </c>
      <c r="AC193" s="100">
        <v>45918</v>
      </c>
      <c r="AD193" s="101">
        <v>105</v>
      </c>
      <c r="AE193" s="101">
        <v>2</v>
      </c>
      <c r="AF193" s="101">
        <v>49400000</v>
      </c>
      <c r="AG193" s="99" t="str">
        <f>VLOOKUP(AA193,recency!$K$6:$P$818,6,0)</f>
        <v>Low</v>
      </c>
      <c r="AH193" s="132" t="str">
        <f>VLOOKUP(AA193,frequency!$F$6:$H$818,3,FALSE)</f>
        <v>Low</v>
      </c>
      <c r="AI193" s="129" t="str">
        <f>VLOOKUP(AA193,monetary!$B$5:$F$817,5,0)</f>
        <v>High</v>
      </c>
      <c r="AJ193" s="99" t="str">
        <f t="shared" si="28"/>
        <v>LLH</v>
      </c>
      <c r="AK193" s="99" t="str">
        <f>VLOOKUP(AJ193,rfm[],2,0)</f>
        <v>💸 Lost High Spenders</v>
      </c>
      <c r="AN193" s="99" t="b">
        <f t="shared" si="29"/>
        <v>1</v>
      </c>
    </row>
    <row r="194" spans="2:40" x14ac:dyDescent="0.3">
      <c r="B194" s="99" t="s">
        <v>1435</v>
      </c>
      <c r="C194" s="100">
        <v>45693</v>
      </c>
      <c r="D194" s="99" t="s">
        <v>18</v>
      </c>
      <c r="E194" s="99" t="s">
        <v>19</v>
      </c>
      <c r="F194" s="99" t="s">
        <v>20</v>
      </c>
      <c r="G194" s="99">
        <v>7</v>
      </c>
      <c r="H194" s="112">
        <v>500000</v>
      </c>
      <c r="I194" s="112">
        <v>3500000</v>
      </c>
      <c r="J194" s="99" t="s">
        <v>2199</v>
      </c>
      <c r="K194" s="99" t="s">
        <v>60</v>
      </c>
      <c r="N194" s="99" t="s">
        <v>2225</v>
      </c>
      <c r="O194" s="99" t="s">
        <v>8</v>
      </c>
      <c r="P194" s="100">
        <f t="shared" si="21"/>
        <v>45943</v>
      </c>
      <c r="Q194" s="101">
        <f t="shared" si="20"/>
        <v>80</v>
      </c>
      <c r="R194" s="99">
        <f t="shared" si="22"/>
        <v>2</v>
      </c>
      <c r="S194" s="101">
        <f t="shared" si="23"/>
        <v>11575000</v>
      </c>
      <c r="T194" s="99" t="str">
        <f t="shared" si="24"/>
        <v>High</v>
      </c>
      <c r="U194" s="99" t="str">
        <f t="shared" si="25"/>
        <v>Low</v>
      </c>
      <c r="V194" s="99" t="str">
        <f t="shared" si="26"/>
        <v>Low</v>
      </c>
      <c r="W194" s="99" t="str">
        <f t="shared" si="27"/>
        <v>HLL</v>
      </c>
      <c r="X194" s="99" t="str">
        <f>VLOOKUP(W194,rfm[],2,FALSE)</f>
        <v>🌱 Potential Loyalists</v>
      </c>
      <c r="AA194" s="99" t="s">
        <v>2225</v>
      </c>
      <c r="AB194" s="99" t="s">
        <v>8</v>
      </c>
      <c r="AC194" s="100">
        <v>45943</v>
      </c>
      <c r="AD194" s="101">
        <v>80</v>
      </c>
      <c r="AE194" s="101">
        <v>2</v>
      </c>
      <c r="AF194" s="101">
        <v>11575000</v>
      </c>
      <c r="AG194" s="99" t="str">
        <f>VLOOKUP(AA194,recency!$K$6:$P$818,6,0)</f>
        <v>Low</v>
      </c>
      <c r="AH194" s="132" t="str">
        <f>VLOOKUP(AA194,frequency!$F$6:$H$818,3,FALSE)</f>
        <v>Low</v>
      </c>
      <c r="AI194" s="129" t="str">
        <f>VLOOKUP(AA194,monetary!$B$5:$F$817,5,0)</f>
        <v>Low</v>
      </c>
      <c r="AJ194" s="99" t="str">
        <f t="shared" si="28"/>
        <v>LLL</v>
      </c>
      <c r="AK194" s="99" t="str">
        <f>VLOOKUP(AJ194,rfm[],2,0)</f>
        <v>💤 Lost / Low Value</v>
      </c>
      <c r="AN194" s="99" t="b">
        <f t="shared" si="29"/>
        <v>0</v>
      </c>
    </row>
    <row r="195" spans="2:40" x14ac:dyDescent="0.3">
      <c r="B195" s="99" t="s">
        <v>1436</v>
      </c>
      <c r="C195" s="100">
        <v>45693</v>
      </c>
      <c r="D195" s="99" t="s">
        <v>31</v>
      </c>
      <c r="E195" s="99" t="s">
        <v>32</v>
      </c>
      <c r="F195" s="99" t="s">
        <v>20</v>
      </c>
      <c r="G195" s="99">
        <v>47</v>
      </c>
      <c r="H195" s="112">
        <v>180000</v>
      </c>
      <c r="I195" s="112">
        <v>8460000</v>
      </c>
      <c r="J195" s="99" t="s">
        <v>2608</v>
      </c>
      <c r="K195" s="99" t="s">
        <v>60</v>
      </c>
      <c r="N195" s="99" t="s">
        <v>2226</v>
      </c>
      <c r="O195" s="99" t="s">
        <v>60</v>
      </c>
      <c r="P195" s="100">
        <f t="shared" si="21"/>
        <v>45974</v>
      </c>
      <c r="Q195" s="101">
        <f t="shared" si="20"/>
        <v>49</v>
      </c>
      <c r="R195" s="99">
        <f t="shared" si="22"/>
        <v>1</v>
      </c>
      <c r="S195" s="101">
        <f t="shared" si="23"/>
        <v>60000000</v>
      </c>
      <c r="T195" s="99" t="str">
        <f t="shared" si="24"/>
        <v>High</v>
      </c>
      <c r="U195" s="99" t="str">
        <f t="shared" si="25"/>
        <v>Low</v>
      </c>
      <c r="V195" s="99" t="str">
        <f t="shared" si="26"/>
        <v>High</v>
      </c>
      <c r="W195" s="99" t="str">
        <f t="shared" si="27"/>
        <v>HLH</v>
      </c>
      <c r="X195" s="99" t="str">
        <f>VLOOKUP(W195,rfm[],2,FALSE)</f>
        <v>🛒 Big Spenders (Occasional)</v>
      </c>
      <c r="AA195" s="99" t="s">
        <v>2226</v>
      </c>
      <c r="AB195" s="99" t="s">
        <v>60</v>
      </c>
      <c r="AC195" s="100">
        <v>45974</v>
      </c>
      <c r="AD195" s="101">
        <v>49</v>
      </c>
      <c r="AE195" s="101">
        <v>1</v>
      </c>
      <c r="AF195" s="101">
        <v>60000000</v>
      </c>
      <c r="AG195" s="99" t="str">
        <f>VLOOKUP(AA195,recency!$K$6:$P$818,6,0)</f>
        <v>High</v>
      </c>
      <c r="AH195" s="132" t="str">
        <f>VLOOKUP(AA195,frequency!$F$6:$H$818,3,FALSE)</f>
        <v>Low</v>
      </c>
      <c r="AI195" s="129" t="str">
        <f>VLOOKUP(AA195,monetary!$B$5:$F$817,5,0)</f>
        <v>High</v>
      </c>
      <c r="AJ195" s="99" t="str">
        <f t="shared" si="28"/>
        <v>HLH</v>
      </c>
      <c r="AK195" s="99" t="str">
        <f>VLOOKUP(AJ195,rfm[],2,0)</f>
        <v>🛒 Big Spenders (Occasional)</v>
      </c>
      <c r="AN195" s="99" t="b">
        <f t="shared" si="29"/>
        <v>1</v>
      </c>
    </row>
    <row r="196" spans="2:40" x14ac:dyDescent="0.3">
      <c r="B196" s="99" t="s">
        <v>1437</v>
      </c>
      <c r="C196" s="100">
        <v>45693</v>
      </c>
      <c r="D196" s="99" t="s">
        <v>42</v>
      </c>
      <c r="E196" s="99" t="s">
        <v>43</v>
      </c>
      <c r="F196" s="99" t="s">
        <v>16</v>
      </c>
      <c r="G196" s="99">
        <v>22</v>
      </c>
      <c r="H196" s="112">
        <v>1200000</v>
      </c>
      <c r="I196" s="112">
        <v>26400000</v>
      </c>
      <c r="J196" s="99" t="s">
        <v>2704</v>
      </c>
      <c r="K196" s="99" t="s">
        <v>8</v>
      </c>
      <c r="N196" s="99" t="s">
        <v>2227</v>
      </c>
      <c r="O196" s="99" t="s">
        <v>60</v>
      </c>
      <c r="P196" s="100">
        <f t="shared" si="21"/>
        <v>45789</v>
      </c>
      <c r="Q196" s="101">
        <f t="shared" si="20"/>
        <v>234</v>
      </c>
      <c r="R196" s="99">
        <f t="shared" si="22"/>
        <v>1</v>
      </c>
      <c r="S196" s="101">
        <f t="shared" si="23"/>
        <v>4050000</v>
      </c>
      <c r="T196" s="99" t="str">
        <f t="shared" si="24"/>
        <v>Low</v>
      </c>
      <c r="U196" s="99" t="str">
        <f t="shared" si="25"/>
        <v>Low</v>
      </c>
      <c r="V196" s="99" t="str">
        <f t="shared" si="26"/>
        <v>Low</v>
      </c>
      <c r="W196" s="99" t="str">
        <f t="shared" si="27"/>
        <v>LLL</v>
      </c>
      <c r="X196" s="99" t="str">
        <f>VLOOKUP(W196,rfm[],2,FALSE)</f>
        <v>💤 Lost / Low Value</v>
      </c>
      <c r="AA196" s="99" t="s">
        <v>2227</v>
      </c>
      <c r="AB196" s="99" t="s">
        <v>60</v>
      </c>
      <c r="AC196" s="100">
        <v>45789</v>
      </c>
      <c r="AD196" s="101">
        <v>234</v>
      </c>
      <c r="AE196" s="101">
        <v>1</v>
      </c>
      <c r="AF196" s="101">
        <v>4050000</v>
      </c>
      <c r="AG196" s="99" t="str">
        <f>VLOOKUP(AA196,recency!$K$6:$P$818,6,0)</f>
        <v>Low</v>
      </c>
      <c r="AH196" s="132" t="str">
        <f>VLOOKUP(AA196,frequency!$F$6:$H$818,3,FALSE)</f>
        <v>Low</v>
      </c>
      <c r="AI196" s="129" t="str">
        <f>VLOOKUP(AA196,monetary!$B$5:$F$817,5,0)</f>
        <v>Low</v>
      </c>
      <c r="AJ196" s="99" t="str">
        <f t="shared" si="28"/>
        <v>LLL</v>
      </c>
      <c r="AK196" s="99" t="str">
        <f>VLOOKUP(AJ196,rfm[],2,0)</f>
        <v>💤 Lost / Low Value</v>
      </c>
      <c r="AN196" s="99" t="b">
        <f t="shared" si="29"/>
        <v>1</v>
      </c>
    </row>
    <row r="197" spans="2:40" x14ac:dyDescent="0.3">
      <c r="B197" s="99" t="s">
        <v>1438</v>
      </c>
      <c r="C197" s="100">
        <v>45693</v>
      </c>
      <c r="D197" s="99" t="s">
        <v>44</v>
      </c>
      <c r="E197" s="99" t="s">
        <v>45</v>
      </c>
      <c r="F197" s="99" t="s">
        <v>16</v>
      </c>
      <c r="G197" s="99">
        <v>45</v>
      </c>
      <c r="H197" s="112">
        <v>250000</v>
      </c>
      <c r="I197" s="112">
        <v>11250000</v>
      </c>
      <c r="J197" s="99" t="s">
        <v>2361</v>
      </c>
      <c r="K197" s="99" t="s">
        <v>8</v>
      </c>
      <c r="N197" s="99" t="s">
        <v>2228</v>
      </c>
      <c r="O197" s="99" t="s">
        <v>127</v>
      </c>
      <c r="P197" s="100">
        <f t="shared" si="21"/>
        <v>45833</v>
      </c>
      <c r="Q197" s="101">
        <f t="shared" si="20"/>
        <v>190</v>
      </c>
      <c r="R197" s="99">
        <f t="shared" si="22"/>
        <v>1</v>
      </c>
      <c r="S197" s="101">
        <f t="shared" si="23"/>
        <v>14500000</v>
      </c>
      <c r="T197" s="99" t="str">
        <f t="shared" si="24"/>
        <v>Low</v>
      </c>
      <c r="U197" s="99" t="str">
        <f t="shared" si="25"/>
        <v>Low</v>
      </c>
      <c r="V197" s="99" t="str">
        <f t="shared" si="26"/>
        <v>Low</v>
      </c>
      <c r="W197" s="99" t="str">
        <f t="shared" si="27"/>
        <v>LLL</v>
      </c>
      <c r="X197" s="99" t="str">
        <f>VLOOKUP(W197,rfm[],2,FALSE)</f>
        <v>💤 Lost / Low Value</v>
      </c>
      <c r="AA197" s="99" t="s">
        <v>2228</v>
      </c>
      <c r="AB197" s="99" t="s">
        <v>127</v>
      </c>
      <c r="AC197" s="100">
        <v>45833</v>
      </c>
      <c r="AD197" s="101">
        <v>190</v>
      </c>
      <c r="AE197" s="101">
        <v>1</v>
      </c>
      <c r="AF197" s="101">
        <v>14500000</v>
      </c>
      <c r="AG197" s="99" t="str">
        <f>VLOOKUP(AA197,recency!$K$6:$P$818,6,0)</f>
        <v>Low</v>
      </c>
      <c r="AH197" s="132" t="str">
        <f>VLOOKUP(AA197,frequency!$F$6:$H$818,3,FALSE)</f>
        <v>Low</v>
      </c>
      <c r="AI197" s="129" t="str">
        <f>VLOOKUP(AA197,monetary!$B$5:$F$817,5,0)</f>
        <v>Low</v>
      </c>
      <c r="AJ197" s="99" t="str">
        <f t="shared" si="28"/>
        <v>LLL</v>
      </c>
      <c r="AK197" s="99" t="str">
        <f>VLOOKUP(AJ197,rfm[],2,0)</f>
        <v>💤 Lost / Low Value</v>
      </c>
      <c r="AN197" s="99" t="b">
        <f t="shared" si="29"/>
        <v>1</v>
      </c>
    </row>
    <row r="198" spans="2:40" x14ac:dyDescent="0.3">
      <c r="B198" s="99" t="s">
        <v>1439</v>
      </c>
      <c r="C198" s="100">
        <v>45693</v>
      </c>
      <c r="D198" s="99" t="s">
        <v>10</v>
      </c>
      <c r="E198" s="99" t="s">
        <v>11</v>
      </c>
      <c r="F198" s="99" t="s">
        <v>12</v>
      </c>
      <c r="G198" s="99">
        <v>45</v>
      </c>
      <c r="H198" s="112">
        <v>120000</v>
      </c>
      <c r="I198" s="112">
        <v>5400000</v>
      </c>
      <c r="J198" s="99" t="s">
        <v>2699</v>
      </c>
      <c r="K198" s="99" t="s">
        <v>69</v>
      </c>
      <c r="N198" s="99" t="s">
        <v>2229</v>
      </c>
      <c r="O198" s="99" t="s">
        <v>60</v>
      </c>
      <c r="P198" s="100">
        <f t="shared" si="21"/>
        <v>45868</v>
      </c>
      <c r="Q198" s="101">
        <f t="shared" ref="Q198:Q261" si="30">analysis_date-P198</f>
        <v>155</v>
      </c>
      <c r="R198" s="99">
        <f t="shared" si="22"/>
        <v>3</v>
      </c>
      <c r="S198" s="101">
        <f t="shared" si="23"/>
        <v>77200000</v>
      </c>
      <c r="T198" s="99" t="str">
        <f t="shared" si="24"/>
        <v>Low</v>
      </c>
      <c r="U198" s="99" t="str">
        <f t="shared" si="25"/>
        <v>High</v>
      </c>
      <c r="V198" s="99" t="str">
        <f t="shared" si="26"/>
        <v>High</v>
      </c>
      <c r="W198" s="99" t="str">
        <f t="shared" si="27"/>
        <v>LHH</v>
      </c>
      <c r="X198" s="99" t="str">
        <f>VLOOKUP(W198,rfm[],2,FALSE)</f>
        <v>⚠️ At Risk High Value</v>
      </c>
      <c r="AA198" s="99" t="s">
        <v>2229</v>
      </c>
      <c r="AB198" s="99" t="s">
        <v>60</v>
      </c>
      <c r="AC198" s="100">
        <v>45868</v>
      </c>
      <c r="AD198" s="101">
        <v>155</v>
      </c>
      <c r="AE198" s="101">
        <v>3</v>
      </c>
      <c r="AF198" s="101">
        <v>77200000</v>
      </c>
      <c r="AG198" s="99" t="str">
        <f>VLOOKUP(AA198,recency!$K$6:$P$818,6,0)</f>
        <v>Low</v>
      </c>
      <c r="AH198" s="132" t="str">
        <f>VLOOKUP(AA198,frequency!$F$6:$H$818,3,FALSE)</f>
        <v>High</v>
      </c>
      <c r="AI198" s="129" t="str">
        <f>VLOOKUP(AA198,monetary!$B$5:$F$817,5,0)</f>
        <v>High</v>
      </c>
      <c r="AJ198" s="99" t="str">
        <f t="shared" si="28"/>
        <v>LHH</v>
      </c>
      <c r="AK198" s="99" t="str">
        <f>VLOOKUP(AJ198,rfm[],2,0)</f>
        <v>⚠️ At Risk High Value</v>
      </c>
      <c r="AN198" s="99" t="b">
        <f t="shared" si="29"/>
        <v>1</v>
      </c>
    </row>
    <row r="199" spans="2:40" x14ac:dyDescent="0.3">
      <c r="B199" s="99" t="s">
        <v>1471</v>
      </c>
      <c r="C199" s="100">
        <v>45693</v>
      </c>
      <c r="D199" s="99" t="s">
        <v>40</v>
      </c>
      <c r="E199" s="99" t="s">
        <v>41</v>
      </c>
      <c r="F199" s="99" t="s">
        <v>16</v>
      </c>
      <c r="G199" s="99">
        <v>26</v>
      </c>
      <c r="H199" s="112">
        <v>950000</v>
      </c>
      <c r="I199" s="112">
        <v>24700000</v>
      </c>
      <c r="J199" s="99" t="s">
        <v>2556</v>
      </c>
      <c r="K199" s="99" t="s">
        <v>8</v>
      </c>
      <c r="N199" s="99" t="s">
        <v>2230</v>
      </c>
      <c r="O199" s="99" t="s">
        <v>47</v>
      </c>
      <c r="P199" s="100">
        <f t="shared" ref="P199:P262" si="31">_xlfn.MAXIFS($C$6:$C$2005,$J$6:$J$2005,N199)</f>
        <v>45980</v>
      </c>
      <c r="Q199" s="101">
        <f t="shared" si="30"/>
        <v>43</v>
      </c>
      <c r="R199" s="99">
        <f t="shared" ref="R199:R262" si="32">COUNTIFS($J$6:$J$2005,N199)</f>
        <v>2</v>
      </c>
      <c r="S199" s="101">
        <f t="shared" ref="S199:S262" si="33">SUMIFS($I$6:$I$2005,$J$6:$J$2005,N199)</f>
        <v>9750000</v>
      </c>
      <c r="T199" s="99" t="str">
        <f t="shared" ref="T199:T262" si="34">IF(Q199&lt;MEDIAN($Q$6:$Q$817),"High","Low")</f>
        <v>High</v>
      </c>
      <c r="U199" s="99" t="str">
        <f t="shared" ref="U199:U262" si="35">IF(R199&gt;MEDIAN($R$6:$R$817),"High","Low")</f>
        <v>Low</v>
      </c>
      <c r="V199" s="99" t="str">
        <f t="shared" ref="V199:V262" si="36">IF(S199&gt;MEDIAN($S$6:$S$817),"High","Low")</f>
        <v>Low</v>
      </c>
      <c r="W199" s="99" t="str">
        <f t="shared" ref="W199:W262" si="37">_xlfn.CONCAT(LEFT(T199,1),LEFT(U199,1),LEFT(V199,1))</f>
        <v>HLL</v>
      </c>
      <c r="X199" s="99" t="str">
        <f>VLOOKUP(W199,rfm[],2,FALSE)</f>
        <v>🌱 Potential Loyalists</v>
      </c>
      <c r="AA199" s="99" t="s">
        <v>2230</v>
      </c>
      <c r="AB199" s="99" t="s">
        <v>47</v>
      </c>
      <c r="AC199" s="100">
        <v>45980</v>
      </c>
      <c r="AD199" s="101">
        <v>43</v>
      </c>
      <c r="AE199" s="101">
        <v>2</v>
      </c>
      <c r="AF199" s="101">
        <v>9750000</v>
      </c>
      <c r="AG199" s="99" t="str">
        <f>VLOOKUP(AA199,recency!$K$6:$P$818,6,0)</f>
        <v>High</v>
      </c>
      <c r="AH199" s="132" t="str">
        <f>VLOOKUP(AA199,frequency!$F$6:$H$818,3,FALSE)</f>
        <v>Low</v>
      </c>
      <c r="AI199" s="129" t="str">
        <f>VLOOKUP(AA199,monetary!$B$5:$F$817,5,0)</f>
        <v>Low</v>
      </c>
      <c r="AJ199" s="99" t="str">
        <f t="shared" ref="AJ199:AJ262" si="38">_xlfn.CONCAT(LEFT(AG199,1),LEFT(AH199,1),LEFT(AI199,1))</f>
        <v>HLL</v>
      </c>
      <c r="AK199" s="99" t="str">
        <f>VLOOKUP(AJ199,rfm[],2,0)</f>
        <v>🌱 Potential Loyalists</v>
      </c>
      <c r="AN199" s="99" t="b">
        <f t="shared" ref="AN199:AN262" si="39">AJ199=W199</f>
        <v>1</v>
      </c>
    </row>
    <row r="200" spans="2:40" x14ac:dyDescent="0.3">
      <c r="B200" s="99" t="s">
        <v>1472</v>
      </c>
      <c r="C200" s="100">
        <v>45693</v>
      </c>
      <c r="D200" s="99" t="s">
        <v>28</v>
      </c>
      <c r="E200" s="99" t="s">
        <v>29</v>
      </c>
      <c r="F200" s="99" t="s">
        <v>20</v>
      </c>
      <c r="G200" s="99">
        <v>5</v>
      </c>
      <c r="H200" s="112">
        <v>450000</v>
      </c>
      <c r="I200" s="112">
        <v>2250000</v>
      </c>
      <c r="J200" s="99" t="s">
        <v>2673</v>
      </c>
      <c r="K200" s="99" t="s">
        <v>8</v>
      </c>
      <c r="N200" s="99" t="s">
        <v>2231</v>
      </c>
      <c r="O200" s="99" t="s">
        <v>60</v>
      </c>
      <c r="P200" s="100">
        <f t="shared" si="31"/>
        <v>45951</v>
      </c>
      <c r="Q200" s="101">
        <f t="shared" si="30"/>
        <v>72</v>
      </c>
      <c r="R200" s="99">
        <f t="shared" si="32"/>
        <v>1</v>
      </c>
      <c r="S200" s="101">
        <f t="shared" si="33"/>
        <v>9500000</v>
      </c>
      <c r="T200" s="99" t="str">
        <f t="shared" si="34"/>
        <v>High</v>
      </c>
      <c r="U200" s="99" t="str">
        <f t="shared" si="35"/>
        <v>Low</v>
      </c>
      <c r="V200" s="99" t="str">
        <f t="shared" si="36"/>
        <v>Low</v>
      </c>
      <c r="W200" s="99" t="str">
        <f t="shared" si="37"/>
        <v>HLL</v>
      </c>
      <c r="X200" s="99" t="str">
        <f>VLOOKUP(W200,rfm[],2,FALSE)</f>
        <v>🌱 Potential Loyalists</v>
      </c>
      <c r="AA200" s="99" t="s">
        <v>2231</v>
      </c>
      <c r="AB200" s="99" t="s">
        <v>60</v>
      </c>
      <c r="AC200" s="100">
        <v>45951</v>
      </c>
      <c r="AD200" s="101">
        <v>72</v>
      </c>
      <c r="AE200" s="101">
        <v>1</v>
      </c>
      <c r="AF200" s="101">
        <v>9500000</v>
      </c>
      <c r="AG200" s="99" t="str">
        <f>VLOOKUP(AA200,recency!$K$6:$P$818,6,0)</f>
        <v>Low</v>
      </c>
      <c r="AH200" s="132" t="str">
        <f>VLOOKUP(AA200,frequency!$F$6:$H$818,3,FALSE)</f>
        <v>Low</v>
      </c>
      <c r="AI200" s="129" t="str">
        <f>VLOOKUP(AA200,monetary!$B$5:$F$817,5,0)</f>
        <v>Low</v>
      </c>
      <c r="AJ200" s="99" t="str">
        <f t="shared" si="38"/>
        <v>LLL</v>
      </c>
      <c r="AK200" s="99" t="str">
        <f>VLOOKUP(AJ200,rfm[],2,0)</f>
        <v>💤 Lost / Low Value</v>
      </c>
      <c r="AN200" s="99" t="b">
        <f t="shared" si="39"/>
        <v>0</v>
      </c>
    </row>
    <row r="201" spans="2:40" x14ac:dyDescent="0.3">
      <c r="B201" s="99" t="s">
        <v>1473</v>
      </c>
      <c r="C201" s="100">
        <v>45693</v>
      </c>
      <c r="D201" s="99" t="s">
        <v>31</v>
      </c>
      <c r="E201" s="99" t="s">
        <v>32</v>
      </c>
      <c r="F201" s="99" t="s">
        <v>20</v>
      </c>
      <c r="G201" s="99">
        <v>9</v>
      </c>
      <c r="H201" s="112">
        <v>180000</v>
      </c>
      <c r="I201" s="112">
        <v>1620000</v>
      </c>
      <c r="J201" s="99" t="s">
        <v>2809</v>
      </c>
      <c r="K201" s="99" t="s">
        <v>47</v>
      </c>
      <c r="N201" s="99" t="s">
        <v>2232</v>
      </c>
      <c r="O201" s="99" t="s">
        <v>60</v>
      </c>
      <c r="P201" s="100">
        <f t="shared" si="31"/>
        <v>45999</v>
      </c>
      <c r="Q201" s="101">
        <f t="shared" si="30"/>
        <v>24</v>
      </c>
      <c r="R201" s="99">
        <f t="shared" si="32"/>
        <v>1</v>
      </c>
      <c r="S201" s="101">
        <f t="shared" si="33"/>
        <v>960000</v>
      </c>
      <c r="T201" s="99" t="str">
        <f t="shared" si="34"/>
        <v>High</v>
      </c>
      <c r="U201" s="99" t="str">
        <f t="shared" si="35"/>
        <v>Low</v>
      </c>
      <c r="V201" s="99" t="str">
        <f t="shared" si="36"/>
        <v>Low</v>
      </c>
      <c r="W201" s="99" t="str">
        <f t="shared" si="37"/>
        <v>HLL</v>
      </c>
      <c r="X201" s="99" t="str">
        <f>VLOOKUP(W201,rfm[],2,FALSE)</f>
        <v>🌱 Potential Loyalists</v>
      </c>
      <c r="AA201" s="99" t="s">
        <v>2232</v>
      </c>
      <c r="AB201" s="99" t="s">
        <v>60</v>
      </c>
      <c r="AC201" s="100">
        <v>45999</v>
      </c>
      <c r="AD201" s="101">
        <v>24</v>
      </c>
      <c r="AE201" s="101">
        <v>1</v>
      </c>
      <c r="AF201" s="101">
        <v>960000</v>
      </c>
      <c r="AG201" s="99" t="str">
        <f>VLOOKUP(AA201,recency!$K$6:$P$818,6,0)</f>
        <v>High</v>
      </c>
      <c r="AH201" s="132" t="str">
        <f>VLOOKUP(AA201,frequency!$F$6:$H$818,3,FALSE)</f>
        <v>Low</v>
      </c>
      <c r="AI201" s="129" t="str">
        <f>VLOOKUP(AA201,monetary!$B$5:$F$817,5,0)</f>
        <v>Low</v>
      </c>
      <c r="AJ201" s="99" t="str">
        <f t="shared" si="38"/>
        <v>HLL</v>
      </c>
      <c r="AK201" s="99" t="str">
        <f>VLOOKUP(AJ201,rfm[],2,0)</f>
        <v>🌱 Potential Loyalists</v>
      </c>
      <c r="AN201" s="99" t="b">
        <f t="shared" si="39"/>
        <v>1</v>
      </c>
    </row>
    <row r="202" spans="2:40" x14ac:dyDescent="0.3">
      <c r="B202" s="99" t="s">
        <v>1474</v>
      </c>
      <c r="C202" s="100">
        <v>45693</v>
      </c>
      <c r="D202" s="99" t="s">
        <v>10</v>
      </c>
      <c r="E202" s="99" t="s">
        <v>11</v>
      </c>
      <c r="F202" s="99" t="s">
        <v>12</v>
      </c>
      <c r="G202" s="99">
        <v>11</v>
      </c>
      <c r="H202" s="112">
        <v>120000</v>
      </c>
      <c r="I202" s="112">
        <v>1320000</v>
      </c>
      <c r="J202" s="99" t="s">
        <v>2716</v>
      </c>
      <c r="K202" s="99" t="s">
        <v>127</v>
      </c>
      <c r="N202" s="99" t="s">
        <v>2233</v>
      </c>
      <c r="O202" s="99" t="s">
        <v>8</v>
      </c>
      <c r="P202" s="100">
        <f t="shared" si="31"/>
        <v>45987</v>
      </c>
      <c r="Q202" s="101">
        <f t="shared" si="30"/>
        <v>36</v>
      </c>
      <c r="R202" s="99">
        <f t="shared" si="32"/>
        <v>7</v>
      </c>
      <c r="S202" s="101">
        <f t="shared" si="33"/>
        <v>1151500000</v>
      </c>
      <c r="T202" s="99" t="str">
        <f t="shared" si="34"/>
        <v>High</v>
      </c>
      <c r="U202" s="99" t="str">
        <f t="shared" si="35"/>
        <v>High</v>
      </c>
      <c r="V202" s="99" t="str">
        <f t="shared" si="36"/>
        <v>High</v>
      </c>
      <c r="W202" s="99" t="str">
        <f t="shared" si="37"/>
        <v>HHH</v>
      </c>
      <c r="X202" s="99" t="str">
        <f>VLOOKUP(W202,rfm[],2,FALSE)</f>
        <v>🥇 Champions</v>
      </c>
      <c r="AA202" s="99" t="s">
        <v>2233</v>
      </c>
      <c r="AB202" s="99" t="s">
        <v>8</v>
      </c>
      <c r="AC202" s="100">
        <v>45987</v>
      </c>
      <c r="AD202" s="101">
        <v>36</v>
      </c>
      <c r="AE202" s="101">
        <v>7</v>
      </c>
      <c r="AF202" s="101">
        <v>1151500000</v>
      </c>
      <c r="AG202" s="99" t="str">
        <f>VLOOKUP(AA202,recency!$K$6:$P$818,6,0)</f>
        <v>High</v>
      </c>
      <c r="AH202" s="132" t="str">
        <f>VLOOKUP(AA202,frequency!$F$6:$H$818,3,FALSE)</f>
        <v>High</v>
      </c>
      <c r="AI202" s="129" t="str">
        <f>VLOOKUP(AA202,monetary!$B$5:$F$817,5,0)</f>
        <v>High</v>
      </c>
      <c r="AJ202" s="99" t="str">
        <f t="shared" si="38"/>
        <v>HHH</v>
      </c>
      <c r="AK202" s="99" t="str">
        <f>VLOOKUP(AJ202,rfm[],2,0)</f>
        <v>🥇 Champions</v>
      </c>
      <c r="AN202" s="99" t="b">
        <f t="shared" si="39"/>
        <v>1</v>
      </c>
    </row>
    <row r="203" spans="2:40" x14ac:dyDescent="0.3">
      <c r="B203" s="99" t="s">
        <v>1475</v>
      </c>
      <c r="C203" s="100">
        <v>45693</v>
      </c>
      <c r="D203" s="99" t="s">
        <v>10</v>
      </c>
      <c r="E203" s="99" t="s">
        <v>11</v>
      </c>
      <c r="F203" s="99" t="s">
        <v>12</v>
      </c>
      <c r="G203" s="99">
        <v>19</v>
      </c>
      <c r="H203" s="112">
        <v>120000</v>
      </c>
      <c r="I203" s="112">
        <v>2280000</v>
      </c>
      <c r="J203" s="99" t="s">
        <v>2119</v>
      </c>
      <c r="K203" s="99" t="s">
        <v>127</v>
      </c>
      <c r="N203" s="99" t="s">
        <v>2234</v>
      </c>
      <c r="O203" s="99" t="s">
        <v>60</v>
      </c>
      <c r="P203" s="100">
        <f t="shared" si="31"/>
        <v>45790</v>
      </c>
      <c r="Q203" s="101">
        <f t="shared" si="30"/>
        <v>233</v>
      </c>
      <c r="R203" s="99">
        <f t="shared" si="32"/>
        <v>3</v>
      </c>
      <c r="S203" s="101">
        <f t="shared" si="33"/>
        <v>76150000</v>
      </c>
      <c r="T203" s="99" t="str">
        <f t="shared" si="34"/>
        <v>Low</v>
      </c>
      <c r="U203" s="99" t="str">
        <f t="shared" si="35"/>
        <v>High</v>
      </c>
      <c r="V203" s="99" t="str">
        <f t="shared" si="36"/>
        <v>High</v>
      </c>
      <c r="W203" s="99" t="str">
        <f t="shared" si="37"/>
        <v>LHH</v>
      </c>
      <c r="X203" s="99" t="str">
        <f>VLOOKUP(W203,rfm[],2,FALSE)</f>
        <v>⚠️ At Risk High Value</v>
      </c>
      <c r="AA203" s="99" t="s">
        <v>2234</v>
      </c>
      <c r="AB203" s="99" t="s">
        <v>60</v>
      </c>
      <c r="AC203" s="100">
        <v>45790</v>
      </c>
      <c r="AD203" s="101">
        <v>233</v>
      </c>
      <c r="AE203" s="101">
        <v>3</v>
      </c>
      <c r="AF203" s="101">
        <v>76150000</v>
      </c>
      <c r="AG203" s="99" t="str">
        <f>VLOOKUP(AA203,recency!$K$6:$P$818,6,0)</f>
        <v>Low</v>
      </c>
      <c r="AH203" s="132" t="str">
        <f>VLOOKUP(AA203,frequency!$F$6:$H$818,3,FALSE)</f>
        <v>High</v>
      </c>
      <c r="AI203" s="129" t="str">
        <f>VLOOKUP(AA203,monetary!$B$5:$F$817,5,0)</f>
        <v>High</v>
      </c>
      <c r="AJ203" s="99" t="str">
        <f t="shared" si="38"/>
        <v>LHH</v>
      </c>
      <c r="AK203" s="99" t="str">
        <f>VLOOKUP(AJ203,rfm[],2,0)</f>
        <v>⚠️ At Risk High Value</v>
      </c>
      <c r="AN203" s="99" t="b">
        <f t="shared" si="39"/>
        <v>1</v>
      </c>
    </row>
    <row r="204" spans="2:40" x14ac:dyDescent="0.3">
      <c r="B204" s="99" t="s">
        <v>1476</v>
      </c>
      <c r="C204" s="100">
        <v>45693</v>
      </c>
      <c r="D204" s="99" t="s">
        <v>42</v>
      </c>
      <c r="E204" s="99" t="s">
        <v>43</v>
      </c>
      <c r="F204" s="99" t="s">
        <v>16</v>
      </c>
      <c r="G204" s="99">
        <v>21</v>
      </c>
      <c r="H204" s="112">
        <v>1200000</v>
      </c>
      <c r="I204" s="112">
        <v>25200000</v>
      </c>
      <c r="J204" s="99" t="s">
        <v>2632</v>
      </c>
      <c r="K204" s="99" t="s">
        <v>60</v>
      </c>
      <c r="N204" s="99" t="s">
        <v>2235</v>
      </c>
      <c r="O204" s="99" t="s">
        <v>127</v>
      </c>
      <c r="P204" s="100">
        <f t="shared" si="31"/>
        <v>45909</v>
      </c>
      <c r="Q204" s="101">
        <f t="shared" si="30"/>
        <v>114</v>
      </c>
      <c r="R204" s="99">
        <f t="shared" si="32"/>
        <v>4</v>
      </c>
      <c r="S204" s="101">
        <f t="shared" si="33"/>
        <v>846250000</v>
      </c>
      <c r="T204" s="99" t="str">
        <f t="shared" si="34"/>
        <v>Low</v>
      </c>
      <c r="U204" s="99" t="str">
        <f t="shared" si="35"/>
        <v>High</v>
      </c>
      <c r="V204" s="99" t="str">
        <f t="shared" si="36"/>
        <v>High</v>
      </c>
      <c r="W204" s="99" t="str">
        <f t="shared" si="37"/>
        <v>LHH</v>
      </c>
      <c r="X204" s="99" t="str">
        <f>VLOOKUP(W204,rfm[],2,FALSE)</f>
        <v>⚠️ At Risk High Value</v>
      </c>
      <c r="AA204" s="99" t="s">
        <v>2235</v>
      </c>
      <c r="AB204" s="99" t="s">
        <v>127</v>
      </c>
      <c r="AC204" s="100">
        <v>45909</v>
      </c>
      <c r="AD204" s="101">
        <v>114</v>
      </c>
      <c r="AE204" s="101">
        <v>4</v>
      </c>
      <c r="AF204" s="101">
        <v>846250000</v>
      </c>
      <c r="AG204" s="99" t="str">
        <f>VLOOKUP(AA204,recency!$K$6:$P$818,6,0)</f>
        <v>Low</v>
      </c>
      <c r="AH204" s="132" t="str">
        <f>VLOOKUP(AA204,frequency!$F$6:$H$818,3,FALSE)</f>
        <v>High</v>
      </c>
      <c r="AI204" s="129" t="str">
        <f>VLOOKUP(AA204,monetary!$B$5:$F$817,5,0)</f>
        <v>High</v>
      </c>
      <c r="AJ204" s="99" t="str">
        <f t="shared" si="38"/>
        <v>LHH</v>
      </c>
      <c r="AK204" s="99" t="str">
        <f>VLOOKUP(AJ204,rfm[],2,0)</f>
        <v>⚠️ At Risk High Value</v>
      </c>
      <c r="AN204" s="99" t="b">
        <f t="shared" si="39"/>
        <v>1</v>
      </c>
    </row>
    <row r="205" spans="2:40" x14ac:dyDescent="0.3">
      <c r="B205" s="99" t="s">
        <v>1477</v>
      </c>
      <c r="C205" s="100">
        <v>45693</v>
      </c>
      <c r="D205" s="99" t="s">
        <v>40</v>
      </c>
      <c r="E205" s="99" t="s">
        <v>41</v>
      </c>
      <c r="F205" s="99" t="s">
        <v>16</v>
      </c>
      <c r="G205" s="99">
        <v>25</v>
      </c>
      <c r="H205" s="112">
        <v>950000</v>
      </c>
      <c r="I205" s="112">
        <v>23750000</v>
      </c>
      <c r="J205" s="99" t="s">
        <v>2129</v>
      </c>
      <c r="K205" s="99" t="s">
        <v>8</v>
      </c>
      <c r="N205" s="99" t="s">
        <v>2236</v>
      </c>
      <c r="O205" s="99" t="s">
        <v>8</v>
      </c>
      <c r="P205" s="100">
        <f t="shared" si="31"/>
        <v>45987</v>
      </c>
      <c r="Q205" s="101">
        <f t="shared" si="30"/>
        <v>36</v>
      </c>
      <c r="R205" s="99">
        <f t="shared" si="32"/>
        <v>6</v>
      </c>
      <c r="S205" s="101">
        <f t="shared" si="33"/>
        <v>1135000000</v>
      </c>
      <c r="T205" s="99" t="str">
        <f t="shared" si="34"/>
        <v>High</v>
      </c>
      <c r="U205" s="99" t="str">
        <f t="shared" si="35"/>
        <v>High</v>
      </c>
      <c r="V205" s="99" t="str">
        <f t="shared" si="36"/>
        <v>High</v>
      </c>
      <c r="W205" s="99" t="str">
        <f t="shared" si="37"/>
        <v>HHH</v>
      </c>
      <c r="X205" s="99" t="str">
        <f>VLOOKUP(W205,rfm[],2,FALSE)</f>
        <v>🥇 Champions</v>
      </c>
      <c r="AA205" s="99" t="s">
        <v>2236</v>
      </c>
      <c r="AB205" s="99" t="s">
        <v>8</v>
      </c>
      <c r="AC205" s="100">
        <v>45987</v>
      </c>
      <c r="AD205" s="101">
        <v>36</v>
      </c>
      <c r="AE205" s="101">
        <v>6</v>
      </c>
      <c r="AF205" s="101">
        <v>1135000000</v>
      </c>
      <c r="AG205" s="99" t="str">
        <f>VLOOKUP(AA205,recency!$K$6:$P$818,6,0)</f>
        <v>High</v>
      </c>
      <c r="AH205" s="132" t="str">
        <f>VLOOKUP(AA205,frequency!$F$6:$H$818,3,FALSE)</f>
        <v>High</v>
      </c>
      <c r="AI205" s="129" t="str">
        <f>VLOOKUP(AA205,monetary!$B$5:$F$817,5,0)</f>
        <v>High</v>
      </c>
      <c r="AJ205" s="99" t="str">
        <f t="shared" si="38"/>
        <v>HHH</v>
      </c>
      <c r="AK205" s="99" t="str">
        <f>VLOOKUP(AJ205,rfm[],2,0)</f>
        <v>🥇 Champions</v>
      </c>
      <c r="AN205" s="99" t="b">
        <f t="shared" si="39"/>
        <v>1</v>
      </c>
    </row>
    <row r="206" spans="2:40" x14ac:dyDescent="0.3">
      <c r="B206" s="99" t="s">
        <v>1478</v>
      </c>
      <c r="C206" s="100">
        <v>45693</v>
      </c>
      <c r="D206" s="99" t="s">
        <v>40</v>
      </c>
      <c r="E206" s="99" t="s">
        <v>41</v>
      </c>
      <c r="F206" s="99" t="s">
        <v>16</v>
      </c>
      <c r="G206" s="99">
        <v>25</v>
      </c>
      <c r="H206" s="112">
        <v>950000</v>
      </c>
      <c r="I206" s="112">
        <v>23750000</v>
      </c>
      <c r="J206" s="99" t="s">
        <v>2765</v>
      </c>
      <c r="K206" s="99" t="s">
        <v>127</v>
      </c>
      <c r="N206" s="99" t="s">
        <v>2237</v>
      </c>
      <c r="O206" s="99" t="s">
        <v>47</v>
      </c>
      <c r="P206" s="100">
        <f t="shared" si="31"/>
        <v>45974</v>
      </c>
      <c r="Q206" s="101">
        <f t="shared" si="30"/>
        <v>49</v>
      </c>
      <c r="R206" s="99">
        <f t="shared" si="32"/>
        <v>1</v>
      </c>
      <c r="S206" s="101">
        <f t="shared" si="33"/>
        <v>4320000</v>
      </c>
      <c r="T206" s="99" t="str">
        <f t="shared" si="34"/>
        <v>High</v>
      </c>
      <c r="U206" s="99" t="str">
        <f t="shared" si="35"/>
        <v>Low</v>
      </c>
      <c r="V206" s="99" t="str">
        <f t="shared" si="36"/>
        <v>Low</v>
      </c>
      <c r="W206" s="99" t="str">
        <f t="shared" si="37"/>
        <v>HLL</v>
      </c>
      <c r="X206" s="99" t="str">
        <f>VLOOKUP(W206,rfm[],2,FALSE)</f>
        <v>🌱 Potential Loyalists</v>
      </c>
      <c r="AA206" s="99" t="s">
        <v>2237</v>
      </c>
      <c r="AB206" s="99" t="s">
        <v>47</v>
      </c>
      <c r="AC206" s="100">
        <v>45974</v>
      </c>
      <c r="AD206" s="101">
        <v>49</v>
      </c>
      <c r="AE206" s="101">
        <v>1</v>
      </c>
      <c r="AF206" s="101">
        <v>4320000</v>
      </c>
      <c r="AG206" s="99" t="str">
        <f>VLOOKUP(AA206,recency!$K$6:$P$818,6,0)</f>
        <v>High</v>
      </c>
      <c r="AH206" s="132" t="str">
        <f>VLOOKUP(AA206,frequency!$F$6:$H$818,3,FALSE)</f>
        <v>Low</v>
      </c>
      <c r="AI206" s="129" t="str">
        <f>VLOOKUP(AA206,monetary!$B$5:$F$817,5,0)</f>
        <v>Low</v>
      </c>
      <c r="AJ206" s="99" t="str">
        <f t="shared" si="38"/>
        <v>HLL</v>
      </c>
      <c r="AK206" s="99" t="str">
        <f>VLOOKUP(AJ206,rfm[],2,0)</f>
        <v>🌱 Potential Loyalists</v>
      </c>
      <c r="AN206" s="99" t="b">
        <f t="shared" si="39"/>
        <v>1</v>
      </c>
    </row>
    <row r="207" spans="2:40" x14ac:dyDescent="0.3">
      <c r="B207" s="99" t="s">
        <v>1479</v>
      </c>
      <c r="C207" s="100">
        <v>45693</v>
      </c>
      <c r="D207" s="99" t="s">
        <v>42</v>
      </c>
      <c r="E207" s="99" t="s">
        <v>43</v>
      </c>
      <c r="F207" s="99" t="s">
        <v>16</v>
      </c>
      <c r="G207" s="99">
        <v>16</v>
      </c>
      <c r="H207" s="112">
        <v>1200000</v>
      </c>
      <c r="I207" s="112">
        <v>19200000</v>
      </c>
      <c r="J207" s="99" t="s">
        <v>164</v>
      </c>
      <c r="K207" s="99" t="s">
        <v>8</v>
      </c>
      <c r="N207" s="99" t="s">
        <v>2238</v>
      </c>
      <c r="O207" s="99" t="s">
        <v>60</v>
      </c>
      <c r="P207" s="100">
        <f t="shared" si="31"/>
        <v>45663</v>
      </c>
      <c r="Q207" s="101">
        <f t="shared" si="30"/>
        <v>360</v>
      </c>
      <c r="R207" s="99">
        <f t="shared" si="32"/>
        <v>1</v>
      </c>
      <c r="S207" s="101">
        <f t="shared" si="33"/>
        <v>6000000</v>
      </c>
      <c r="T207" s="99" t="str">
        <f t="shared" si="34"/>
        <v>Low</v>
      </c>
      <c r="U207" s="99" t="str">
        <f t="shared" si="35"/>
        <v>Low</v>
      </c>
      <c r="V207" s="99" t="str">
        <f t="shared" si="36"/>
        <v>Low</v>
      </c>
      <c r="W207" s="99" t="str">
        <f t="shared" si="37"/>
        <v>LLL</v>
      </c>
      <c r="X207" s="99" t="str">
        <f>VLOOKUP(W207,rfm[],2,FALSE)</f>
        <v>💤 Lost / Low Value</v>
      </c>
      <c r="AA207" s="99" t="s">
        <v>2238</v>
      </c>
      <c r="AB207" s="99" t="s">
        <v>60</v>
      </c>
      <c r="AC207" s="100">
        <v>45663</v>
      </c>
      <c r="AD207" s="101">
        <v>360</v>
      </c>
      <c r="AE207" s="101">
        <v>1</v>
      </c>
      <c r="AF207" s="101">
        <v>6000000</v>
      </c>
      <c r="AG207" s="99" t="str">
        <f>VLOOKUP(AA207,recency!$K$6:$P$818,6,0)</f>
        <v>Low</v>
      </c>
      <c r="AH207" s="132" t="str">
        <f>VLOOKUP(AA207,frequency!$F$6:$H$818,3,FALSE)</f>
        <v>Low</v>
      </c>
      <c r="AI207" s="129" t="str">
        <f>VLOOKUP(AA207,monetary!$B$5:$F$817,5,0)</f>
        <v>Low</v>
      </c>
      <c r="AJ207" s="99" t="str">
        <f t="shared" si="38"/>
        <v>LLL</v>
      </c>
      <c r="AK207" s="99" t="str">
        <f>VLOOKUP(AJ207,rfm[],2,0)</f>
        <v>💤 Lost / Low Value</v>
      </c>
      <c r="AN207" s="99" t="b">
        <f t="shared" si="39"/>
        <v>1</v>
      </c>
    </row>
    <row r="208" spans="2:40" x14ac:dyDescent="0.3">
      <c r="B208" s="99" t="s">
        <v>1480</v>
      </c>
      <c r="C208" s="100">
        <v>45694</v>
      </c>
      <c r="D208" s="99" t="s">
        <v>10</v>
      </c>
      <c r="E208" s="99" t="s">
        <v>11</v>
      </c>
      <c r="F208" s="99" t="s">
        <v>12</v>
      </c>
      <c r="G208" s="99">
        <v>42</v>
      </c>
      <c r="H208" s="112">
        <v>120000</v>
      </c>
      <c r="I208" s="112">
        <v>5040000</v>
      </c>
      <c r="J208" s="99" t="s">
        <v>2724</v>
      </c>
      <c r="K208" s="99" t="s">
        <v>47</v>
      </c>
      <c r="N208" s="99" t="s">
        <v>2239</v>
      </c>
      <c r="O208" s="99" t="s">
        <v>8</v>
      </c>
      <c r="P208" s="100">
        <f t="shared" si="31"/>
        <v>45952</v>
      </c>
      <c r="Q208" s="101">
        <f t="shared" si="30"/>
        <v>71</v>
      </c>
      <c r="R208" s="99">
        <f t="shared" si="32"/>
        <v>6</v>
      </c>
      <c r="S208" s="101">
        <f t="shared" si="33"/>
        <v>1214250000</v>
      </c>
      <c r="T208" s="99" t="str">
        <f t="shared" si="34"/>
        <v>High</v>
      </c>
      <c r="U208" s="99" t="str">
        <f t="shared" si="35"/>
        <v>High</v>
      </c>
      <c r="V208" s="99" t="str">
        <f t="shared" si="36"/>
        <v>High</v>
      </c>
      <c r="W208" s="99" t="str">
        <f t="shared" si="37"/>
        <v>HHH</v>
      </c>
      <c r="X208" s="99" t="str">
        <f>VLOOKUP(W208,rfm[],2,FALSE)</f>
        <v>🥇 Champions</v>
      </c>
      <c r="AA208" s="99" t="s">
        <v>2239</v>
      </c>
      <c r="AB208" s="99" t="s">
        <v>8</v>
      </c>
      <c r="AC208" s="100">
        <v>45952</v>
      </c>
      <c r="AD208" s="101">
        <v>71</v>
      </c>
      <c r="AE208" s="101">
        <v>6</v>
      </c>
      <c r="AF208" s="101">
        <v>1214250000</v>
      </c>
      <c r="AG208" s="99" t="str">
        <f>VLOOKUP(AA208,recency!$K$6:$P$818,6,0)</f>
        <v>Low</v>
      </c>
      <c r="AH208" s="132" t="str">
        <f>VLOOKUP(AA208,frequency!$F$6:$H$818,3,FALSE)</f>
        <v>High</v>
      </c>
      <c r="AI208" s="129" t="str">
        <f>VLOOKUP(AA208,monetary!$B$5:$F$817,5,0)</f>
        <v>High</v>
      </c>
      <c r="AJ208" s="99" t="str">
        <f t="shared" si="38"/>
        <v>LHH</v>
      </c>
      <c r="AK208" s="99" t="str">
        <f>VLOOKUP(AJ208,rfm[],2,0)</f>
        <v>⚠️ At Risk High Value</v>
      </c>
      <c r="AN208" s="99" t="b">
        <f t="shared" si="39"/>
        <v>0</v>
      </c>
    </row>
    <row r="209" spans="2:40" x14ac:dyDescent="0.3">
      <c r="B209" s="99" t="s">
        <v>1514</v>
      </c>
      <c r="C209" s="100">
        <v>45694</v>
      </c>
      <c r="D209" s="99" t="s">
        <v>42</v>
      </c>
      <c r="E209" s="99" t="s">
        <v>43</v>
      </c>
      <c r="F209" s="99" t="s">
        <v>16</v>
      </c>
      <c r="G209" s="99">
        <v>32</v>
      </c>
      <c r="H209" s="112">
        <v>1200000</v>
      </c>
      <c r="I209" s="112">
        <v>38400000</v>
      </c>
      <c r="J209" s="99" t="s">
        <v>2213</v>
      </c>
      <c r="K209" s="99" t="s">
        <v>8</v>
      </c>
      <c r="N209" s="99" t="s">
        <v>2240</v>
      </c>
      <c r="O209" s="99" t="s">
        <v>8</v>
      </c>
      <c r="P209" s="100">
        <f t="shared" si="31"/>
        <v>45831</v>
      </c>
      <c r="Q209" s="101">
        <f t="shared" si="30"/>
        <v>192</v>
      </c>
      <c r="R209" s="99">
        <f t="shared" si="32"/>
        <v>1</v>
      </c>
      <c r="S209" s="101">
        <f t="shared" si="33"/>
        <v>13500000</v>
      </c>
      <c r="T209" s="99" t="str">
        <f t="shared" si="34"/>
        <v>Low</v>
      </c>
      <c r="U209" s="99" t="str">
        <f t="shared" si="35"/>
        <v>Low</v>
      </c>
      <c r="V209" s="99" t="str">
        <f t="shared" si="36"/>
        <v>Low</v>
      </c>
      <c r="W209" s="99" t="str">
        <f t="shared" si="37"/>
        <v>LLL</v>
      </c>
      <c r="X209" s="99" t="str">
        <f>VLOOKUP(W209,rfm[],2,FALSE)</f>
        <v>💤 Lost / Low Value</v>
      </c>
      <c r="AA209" s="99" t="s">
        <v>2240</v>
      </c>
      <c r="AB209" s="99" t="s">
        <v>8</v>
      </c>
      <c r="AC209" s="100">
        <v>45831</v>
      </c>
      <c r="AD209" s="101">
        <v>192</v>
      </c>
      <c r="AE209" s="101">
        <v>1</v>
      </c>
      <c r="AF209" s="101">
        <v>13500000</v>
      </c>
      <c r="AG209" s="99" t="str">
        <f>VLOOKUP(AA209,recency!$K$6:$P$818,6,0)</f>
        <v>Low</v>
      </c>
      <c r="AH209" s="132" t="str">
        <f>VLOOKUP(AA209,frequency!$F$6:$H$818,3,FALSE)</f>
        <v>Low</v>
      </c>
      <c r="AI209" s="129" t="str">
        <f>VLOOKUP(AA209,monetary!$B$5:$F$817,5,0)</f>
        <v>Low</v>
      </c>
      <c r="AJ209" s="99" t="str">
        <f t="shared" si="38"/>
        <v>LLL</v>
      </c>
      <c r="AK209" s="99" t="str">
        <f>VLOOKUP(AJ209,rfm[],2,0)</f>
        <v>💤 Lost / Low Value</v>
      </c>
      <c r="AN209" s="99" t="b">
        <f t="shared" si="39"/>
        <v>1</v>
      </c>
    </row>
    <row r="210" spans="2:40" x14ac:dyDescent="0.3">
      <c r="B210" s="99" t="s">
        <v>1515</v>
      </c>
      <c r="C210" s="100">
        <v>45694</v>
      </c>
      <c r="D210" s="99" t="s">
        <v>18</v>
      </c>
      <c r="E210" s="99" t="s">
        <v>19</v>
      </c>
      <c r="F210" s="99" t="s">
        <v>20</v>
      </c>
      <c r="G210" s="99">
        <v>80</v>
      </c>
      <c r="H210" s="112">
        <v>500000</v>
      </c>
      <c r="I210" s="112">
        <v>40000000</v>
      </c>
      <c r="J210" s="99" t="s">
        <v>2824</v>
      </c>
      <c r="K210" s="99" t="s">
        <v>127</v>
      </c>
      <c r="N210" s="99" t="s">
        <v>2241</v>
      </c>
      <c r="O210" s="99" t="s">
        <v>127</v>
      </c>
      <c r="P210" s="100">
        <f t="shared" si="31"/>
        <v>45910</v>
      </c>
      <c r="Q210" s="101">
        <f t="shared" si="30"/>
        <v>113</v>
      </c>
      <c r="R210" s="99">
        <f t="shared" si="32"/>
        <v>1</v>
      </c>
      <c r="S210" s="101">
        <f t="shared" si="33"/>
        <v>46800000</v>
      </c>
      <c r="T210" s="99" t="str">
        <f t="shared" si="34"/>
        <v>Low</v>
      </c>
      <c r="U210" s="99" t="str">
        <f t="shared" si="35"/>
        <v>Low</v>
      </c>
      <c r="V210" s="99" t="str">
        <f t="shared" si="36"/>
        <v>High</v>
      </c>
      <c r="W210" s="99" t="str">
        <f t="shared" si="37"/>
        <v>LLH</v>
      </c>
      <c r="X210" s="99" t="str">
        <f>VLOOKUP(W210,rfm[],2,FALSE)</f>
        <v>💸 Lost High Spenders</v>
      </c>
      <c r="AA210" s="99" t="s">
        <v>2241</v>
      </c>
      <c r="AB210" s="99" t="s">
        <v>127</v>
      </c>
      <c r="AC210" s="100">
        <v>45910</v>
      </c>
      <c r="AD210" s="101">
        <v>113</v>
      </c>
      <c r="AE210" s="101">
        <v>1</v>
      </c>
      <c r="AF210" s="101">
        <v>46800000</v>
      </c>
      <c r="AG210" s="99" t="str">
        <f>VLOOKUP(AA210,recency!$K$6:$P$818,6,0)</f>
        <v>Low</v>
      </c>
      <c r="AH210" s="132" t="str">
        <f>VLOOKUP(AA210,frequency!$F$6:$H$818,3,FALSE)</f>
        <v>Low</v>
      </c>
      <c r="AI210" s="129" t="str">
        <f>VLOOKUP(AA210,monetary!$B$5:$F$817,5,0)</f>
        <v>Low</v>
      </c>
      <c r="AJ210" s="99" t="str">
        <f t="shared" si="38"/>
        <v>LLL</v>
      </c>
      <c r="AK210" s="99" t="str">
        <f>VLOOKUP(AJ210,rfm[],2,0)</f>
        <v>💤 Lost / Low Value</v>
      </c>
      <c r="AN210" s="99" t="b">
        <f t="shared" si="39"/>
        <v>0</v>
      </c>
    </row>
    <row r="211" spans="2:40" x14ac:dyDescent="0.3">
      <c r="B211" s="99" t="s">
        <v>1516</v>
      </c>
      <c r="C211" s="100">
        <v>45694</v>
      </c>
      <c r="D211" s="99" t="s">
        <v>40</v>
      </c>
      <c r="E211" s="99" t="s">
        <v>41</v>
      </c>
      <c r="F211" s="99" t="s">
        <v>16</v>
      </c>
      <c r="G211" s="99">
        <v>380</v>
      </c>
      <c r="H211" s="112">
        <v>950000</v>
      </c>
      <c r="I211" s="112">
        <v>361000000</v>
      </c>
      <c r="J211" s="99" t="s">
        <v>2688</v>
      </c>
      <c r="K211" s="99" t="s">
        <v>60</v>
      </c>
      <c r="N211" s="99" t="s">
        <v>2242</v>
      </c>
      <c r="O211" s="99" t="s">
        <v>127</v>
      </c>
      <c r="P211" s="100">
        <f t="shared" si="31"/>
        <v>45910</v>
      </c>
      <c r="Q211" s="101">
        <f t="shared" si="30"/>
        <v>113</v>
      </c>
      <c r="R211" s="99">
        <f t="shared" si="32"/>
        <v>1</v>
      </c>
      <c r="S211" s="101">
        <f t="shared" si="33"/>
        <v>6750000</v>
      </c>
      <c r="T211" s="99" t="str">
        <f t="shared" si="34"/>
        <v>Low</v>
      </c>
      <c r="U211" s="99" t="str">
        <f t="shared" si="35"/>
        <v>Low</v>
      </c>
      <c r="V211" s="99" t="str">
        <f t="shared" si="36"/>
        <v>Low</v>
      </c>
      <c r="W211" s="99" t="str">
        <f t="shared" si="37"/>
        <v>LLL</v>
      </c>
      <c r="X211" s="99" t="str">
        <f>VLOOKUP(W211,rfm[],2,FALSE)</f>
        <v>💤 Lost / Low Value</v>
      </c>
      <c r="AA211" s="99" t="s">
        <v>2242</v>
      </c>
      <c r="AB211" s="99" t="s">
        <v>127</v>
      </c>
      <c r="AC211" s="100">
        <v>45910</v>
      </c>
      <c r="AD211" s="101">
        <v>113</v>
      </c>
      <c r="AE211" s="101">
        <v>1</v>
      </c>
      <c r="AF211" s="101">
        <v>6750000</v>
      </c>
      <c r="AG211" s="99" t="str">
        <f>VLOOKUP(AA211,recency!$K$6:$P$818,6,0)</f>
        <v>Low</v>
      </c>
      <c r="AH211" s="132" t="str">
        <f>VLOOKUP(AA211,frequency!$F$6:$H$818,3,FALSE)</f>
        <v>Low</v>
      </c>
      <c r="AI211" s="129" t="str">
        <f>VLOOKUP(AA211,monetary!$B$5:$F$817,5,0)</f>
        <v>Low</v>
      </c>
      <c r="AJ211" s="99" t="str">
        <f t="shared" si="38"/>
        <v>LLL</v>
      </c>
      <c r="AK211" s="99" t="str">
        <f>VLOOKUP(AJ211,rfm[],2,0)</f>
        <v>💤 Lost / Low Value</v>
      </c>
      <c r="AN211" s="99" t="b">
        <f t="shared" si="39"/>
        <v>1</v>
      </c>
    </row>
    <row r="212" spans="2:40" x14ac:dyDescent="0.3">
      <c r="B212" s="99" t="s">
        <v>1517</v>
      </c>
      <c r="C212" s="100">
        <v>45694</v>
      </c>
      <c r="D212" s="99" t="s">
        <v>31</v>
      </c>
      <c r="E212" s="99" t="s">
        <v>32</v>
      </c>
      <c r="F212" s="99" t="s">
        <v>20</v>
      </c>
      <c r="G212" s="99">
        <v>25</v>
      </c>
      <c r="H212" s="112">
        <v>180000</v>
      </c>
      <c r="I212" s="112">
        <v>4500000</v>
      </c>
      <c r="J212" s="99" t="s">
        <v>1431</v>
      </c>
      <c r="K212" s="99" t="s">
        <v>69</v>
      </c>
      <c r="N212" s="99" t="s">
        <v>2243</v>
      </c>
      <c r="O212" s="99" t="s">
        <v>8</v>
      </c>
      <c r="P212" s="100">
        <f t="shared" si="31"/>
        <v>45999</v>
      </c>
      <c r="Q212" s="101">
        <f t="shared" si="30"/>
        <v>24</v>
      </c>
      <c r="R212" s="99">
        <f t="shared" si="32"/>
        <v>3</v>
      </c>
      <c r="S212" s="101">
        <f t="shared" si="33"/>
        <v>15030000</v>
      </c>
      <c r="T212" s="99" t="str">
        <f t="shared" si="34"/>
        <v>High</v>
      </c>
      <c r="U212" s="99" t="str">
        <f t="shared" si="35"/>
        <v>High</v>
      </c>
      <c r="V212" s="99" t="str">
        <f t="shared" si="36"/>
        <v>Low</v>
      </c>
      <c r="W212" s="99" t="str">
        <f t="shared" si="37"/>
        <v>HHL</v>
      </c>
      <c r="X212" s="99" t="str">
        <f>VLOOKUP(W212,rfm[],2,FALSE)</f>
        <v>💎 Loyal High Value</v>
      </c>
      <c r="AA212" s="99" t="s">
        <v>2243</v>
      </c>
      <c r="AB212" s="99" t="s">
        <v>8</v>
      </c>
      <c r="AC212" s="100">
        <v>45999</v>
      </c>
      <c r="AD212" s="101">
        <v>24</v>
      </c>
      <c r="AE212" s="101">
        <v>3</v>
      </c>
      <c r="AF212" s="101">
        <v>15030000</v>
      </c>
      <c r="AG212" s="99" t="str">
        <f>VLOOKUP(AA212,recency!$K$6:$P$818,6,0)</f>
        <v>High</v>
      </c>
      <c r="AH212" s="132" t="str">
        <f>VLOOKUP(AA212,frequency!$F$6:$H$818,3,FALSE)</f>
        <v>High</v>
      </c>
      <c r="AI212" s="129" t="str">
        <f>VLOOKUP(AA212,monetary!$B$5:$F$817,5,0)</f>
        <v>Low</v>
      </c>
      <c r="AJ212" s="99" t="str">
        <f t="shared" si="38"/>
        <v>HHL</v>
      </c>
      <c r="AK212" s="99" t="str">
        <f>VLOOKUP(AJ212,rfm[],2,0)</f>
        <v>💎 Loyal High Value</v>
      </c>
      <c r="AN212" s="99" t="b">
        <f t="shared" si="39"/>
        <v>1</v>
      </c>
    </row>
    <row r="213" spans="2:40" x14ac:dyDescent="0.3">
      <c r="B213" s="99" t="s">
        <v>1518</v>
      </c>
      <c r="C213" s="100">
        <v>45694</v>
      </c>
      <c r="D213" s="99" t="s">
        <v>14</v>
      </c>
      <c r="E213" s="99" t="s">
        <v>15</v>
      </c>
      <c r="F213" s="99" t="s">
        <v>16</v>
      </c>
      <c r="G213" s="99">
        <v>19</v>
      </c>
      <c r="H213" s="112">
        <v>350000</v>
      </c>
      <c r="I213" s="112">
        <v>6650000</v>
      </c>
      <c r="J213" s="99" t="s">
        <v>2767</v>
      </c>
      <c r="K213" s="99" t="s">
        <v>127</v>
      </c>
      <c r="N213" s="99" t="s">
        <v>2244</v>
      </c>
      <c r="O213" s="99" t="s">
        <v>60</v>
      </c>
      <c r="P213" s="100">
        <f t="shared" si="31"/>
        <v>45889</v>
      </c>
      <c r="Q213" s="101">
        <f t="shared" si="30"/>
        <v>134</v>
      </c>
      <c r="R213" s="99">
        <f t="shared" si="32"/>
        <v>1</v>
      </c>
      <c r="S213" s="101">
        <f t="shared" si="33"/>
        <v>2520000</v>
      </c>
      <c r="T213" s="99" t="str">
        <f t="shared" si="34"/>
        <v>Low</v>
      </c>
      <c r="U213" s="99" t="str">
        <f t="shared" si="35"/>
        <v>Low</v>
      </c>
      <c r="V213" s="99" t="str">
        <f t="shared" si="36"/>
        <v>Low</v>
      </c>
      <c r="W213" s="99" t="str">
        <f t="shared" si="37"/>
        <v>LLL</v>
      </c>
      <c r="X213" s="99" t="str">
        <f>VLOOKUP(W213,rfm[],2,FALSE)</f>
        <v>💤 Lost / Low Value</v>
      </c>
      <c r="AA213" s="99" t="s">
        <v>2244</v>
      </c>
      <c r="AB213" s="99" t="s">
        <v>60</v>
      </c>
      <c r="AC213" s="100">
        <v>45889</v>
      </c>
      <c r="AD213" s="101">
        <v>134</v>
      </c>
      <c r="AE213" s="101">
        <v>1</v>
      </c>
      <c r="AF213" s="101">
        <v>2520000</v>
      </c>
      <c r="AG213" s="99" t="str">
        <f>VLOOKUP(AA213,recency!$K$6:$P$818,6,0)</f>
        <v>Low</v>
      </c>
      <c r="AH213" s="132" t="str">
        <f>VLOOKUP(AA213,frequency!$F$6:$H$818,3,FALSE)</f>
        <v>Low</v>
      </c>
      <c r="AI213" s="129" t="str">
        <f>VLOOKUP(AA213,monetary!$B$5:$F$817,5,0)</f>
        <v>Low</v>
      </c>
      <c r="AJ213" s="99" t="str">
        <f t="shared" si="38"/>
        <v>LLL</v>
      </c>
      <c r="AK213" s="99" t="str">
        <f>VLOOKUP(AJ213,rfm[],2,0)</f>
        <v>💤 Lost / Low Value</v>
      </c>
      <c r="AN213" s="99" t="b">
        <f t="shared" si="39"/>
        <v>1</v>
      </c>
    </row>
    <row r="214" spans="2:40" x14ac:dyDescent="0.3">
      <c r="B214" s="99" t="s">
        <v>1519</v>
      </c>
      <c r="C214" s="100">
        <v>45694</v>
      </c>
      <c r="D214" s="99" t="s">
        <v>31</v>
      </c>
      <c r="E214" s="99" t="s">
        <v>32</v>
      </c>
      <c r="F214" s="99" t="s">
        <v>20</v>
      </c>
      <c r="G214" s="99">
        <v>31</v>
      </c>
      <c r="H214" s="112">
        <v>180000</v>
      </c>
      <c r="I214" s="112">
        <v>5580000</v>
      </c>
      <c r="J214" s="99" t="s">
        <v>2495</v>
      </c>
      <c r="K214" s="99" t="s">
        <v>60</v>
      </c>
      <c r="N214" s="99" t="s">
        <v>2245</v>
      </c>
      <c r="O214" s="99" t="s">
        <v>127</v>
      </c>
      <c r="P214" s="100">
        <f t="shared" si="31"/>
        <v>46010</v>
      </c>
      <c r="Q214" s="101">
        <f t="shared" si="30"/>
        <v>13</v>
      </c>
      <c r="R214" s="99">
        <f t="shared" si="32"/>
        <v>6</v>
      </c>
      <c r="S214" s="101">
        <f t="shared" si="33"/>
        <v>944000000</v>
      </c>
      <c r="T214" s="99" t="str">
        <f t="shared" si="34"/>
        <v>High</v>
      </c>
      <c r="U214" s="99" t="str">
        <f t="shared" si="35"/>
        <v>High</v>
      </c>
      <c r="V214" s="99" t="str">
        <f t="shared" si="36"/>
        <v>High</v>
      </c>
      <c r="W214" s="99" t="str">
        <f t="shared" si="37"/>
        <v>HHH</v>
      </c>
      <c r="X214" s="99" t="str">
        <f>VLOOKUP(W214,rfm[],2,FALSE)</f>
        <v>🥇 Champions</v>
      </c>
      <c r="AA214" s="99" t="s">
        <v>2245</v>
      </c>
      <c r="AB214" s="99" t="s">
        <v>127</v>
      </c>
      <c r="AC214" s="100">
        <v>46010</v>
      </c>
      <c r="AD214" s="101">
        <v>13</v>
      </c>
      <c r="AE214" s="101">
        <v>6</v>
      </c>
      <c r="AF214" s="101">
        <v>944000000</v>
      </c>
      <c r="AG214" s="99" t="str">
        <f>VLOOKUP(AA214,recency!$K$6:$P$818,6,0)</f>
        <v>High</v>
      </c>
      <c r="AH214" s="132" t="str">
        <f>VLOOKUP(AA214,frequency!$F$6:$H$818,3,FALSE)</f>
        <v>High</v>
      </c>
      <c r="AI214" s="129" t="str">
        <f>VLOOKUP(AA214,monetary!$B$5:$F$817,5,0)</f>
        <v>High</v>
      </c>
      <c r="AJ214" s="99" t="str">
        <f t="shared" si="38"/>
        <v>HHH</v>
      </c>
      <c r="AK214" s="99" t="str">
        <f>VLOOKUP(AJ214,rfm[],2,0)</f>
        <v>🥇 Champions</v>
      </c>
      <c r="AN214" s="99" t="b">
        <f t="shared" si="39"/>
        <v>1</v>
      </c>
    </row>
    <row r="215" spans="2:40" x14ac:dyDescent="0.3">
      <c r="B215" s="99" t="s">
        <v>1520</v>
      </c>
      <c r="C215" s="100">
        <v>45694</v>
      </c>
      <c r="D215" s="99" t="s">
        <v>18</v>
      </c>
      <c r="E215" s="99" t="s">
        <v>19</v>
      </c>
      <c r="F215" s="99" t="s">
        <v>20</v>
      </c>
      <c r="G215" s="99">
        <v>35</v>
      </c>
      <c r="H215" s="112">
        <v>500000</v>
      </c>
      <c r="I215" s="112">
        <v>17500000</v>
      </c>
      <c r="J215" s="99" t="s">
        <v>2258</v>
      </c>
      <c r="K215" s="99" t="s">
        <v>127</v>
      </c>
      <c r="N215" s="99" t="s">
        <v>2246</v>
      </c>
      <c r="O215" s="99" t="s">
        <v>127</v>
      </c>
      <c r="P215" s="100">
        <f t="shared" si="31"/>
        <v>45862</v>
      </c>
      <c r="Q215" s="101">
        <f t="shared" si="30"/>
        <v>161</v>
      </c>
      <c r="R215" s="99">
        <f t="shared" si="32"/>
        <v>1</v>
      </c>
      <c r="S215" s="101">
        <f t="shared" si="33"/>
        <v>8400000</v>
      </c>
      <c r="T215" s="99" t="str">
        <f t="shared" si="34"/>
        <v>Low</v>
      </c>
      <c r="U215" s="99" t="str">
        <f t="shared" si="35"/>
        <v>Low</v>
      </c>
      <c r="V215" s="99" t="str">
        <f t="shared" si="36"/>
        <v>Low</v>
      </c>
      <c r="W215" s="99" t="str">
        <f t="shared" si="37"/>
        <v>LLL</v>
      </c>
      <c r="X215" s="99" t="str">
        <f>VLOOKUP(W215,rfm[],2,FALSE)</f>
        <v>💤 Lost / Low Value</v>
      </c>
      <c r="AA215" s="99" t="s">
        <v>2246</v>
      </c>
      <c r="AB215" s="99" t="s">
        <v>127</v>
      </c>
      <c r="AC215" s="100">
        <v>45862</v>
      </c>
      <c r="AD215" s="101">
        <v>161</v>
      </c>
      <c r="AE215" s="101">
        <v>1</v>
      </c>
      <c r="AF215" s="101">
        <v>8400000</v>
      </c>
      <c r="AG215" s="99" t="str">
        <f>VLOOKUP(AA215,recency!$K$6:$P$818,6,0)</f>
        <v>Low</v>
      </c>
      <c r="AH215" s="132" t="str">
        <f>VLOOKUP(AA215,frequency!$F$6:$H$818,3,FALSE)</f>
        <v>Low</v>
      </c>
      <c r="AI215" s="129" t="str">
        <f>VLOOKUP(AA215,monetary!$B$5:$F$817,5,0)</f>
        <v>Low</v>
      </c>
      <c r="AJ215" s="99" t="str">
        <f t="shared" si="38"/>
        <v>LLL</v>
      </c>
      <c r="AK215" s="99" t="str">
        <f>VLOOKUP(AJ215,rfm[],2,0)</f>
        <v>💤 Lost / Low Value</v>
      </c>
      <c r="AN215" s="99" t="b">
        <f t="shared" si="39"/>
        <v>1</v>
      </c>
    </row>
    <row r="216" spans="2:40" x14ac:dyDescent="0.3">
      <c r="B216" s="99" t="s">
        <v>1521</v>
      </c>
      <c r="C216" s="100">
        <v>45694</v>
      </c>
      <c r="D216" s="99" t="s">
        <v>28</v>
      </c>
      <c r="E216" s="99" t="s">
        <v>29</v>
      </c>
      <c r="F216" s="99" t="s">
        <v>20</v>
      </c>
      <c r="G216" s="99">
        <v>23</v>
      </c>
      <c r="H216" s="112">
        <v>450000</v>
      </c>
      <c r="I216" s="112">
        <v>10350000</v>
      </c>
      <c r="J216" s="99" t="s">
        <v>2673</v>
      </c>
      <c r="K216" s="99" t="s">
        <v>8</v>
      </c>
      <c r="N216" s="99" t="s">
        <v>2247</v>
      </c>
      <c r="O216" s="99" t="s">
        <v>8</v>
      </c>
      <c r="P216" s="100">
        <f t="shared" si="31"/>
        <v>46013</v>
      </c>
      <c r="Q216" s="101">
        <f t="shared" si="30"/>
        <v>10</v>
      </c>
      <c r="R216" s="99">
        <f t="shared" si="32"/>
        <v>3</v>
      </c>
      <c r="S216" s="101">
        <f t="shared" si="33"/>
        <v>37490000</v>
      </c>
      <c r="T216" s="99" t="str">
        <f t="shared" si="34"/>
        <v>High</v>
      </c>
      <c r="U216" s="99" t="str">
        <f t="shared" si="35"/>
        <v>High</v>
      </c>
      <c r="V216" s="99" t="str">
        <f t="shared" si="36"/>
        <v>High</v>
      </c>
      <c r="W216" s="99" t="str">
        <f t="shared" si="37"/>
        <v>HHH</v>
      </c>
      <c r="X216" s="99" t="str">
        <f>VLOOKUP(W216,rfm[],2,FALSE)</f>
        <v>🥇 Champions</v>
      </c>
      <c r="AA216" s="99" t="s">
        <v>2247</v>
      </c>
      <c r="AB216" s="99" t="s">
        <v>8</v>
      </c>
      <c r="AC216" s="100">
        <v>46013</v>
      </c>
      <c r="AD216" s="101">
        <v>10</v>
      </c>
      <c r="AE216" s="101">
        <v>3</v>
      </c>
      <c r="AF216" s="101">
        <v>37490000</v>
      </c>
      <c r="AG216" s="99" t="str">
        <f>VLOOKUP(AA216,recency!$K$6:$P$818,6,0)</f>
        <v>High</v>
      </c>
      <c r="AH216" s="132" t="str">
        <f>VLOOKUP(AA216,frequency!$F$6:$H$818,3,FALSE)</f>
        <v>High</v>
      </c>
      <c r="AI216" s="129" t="str">
        <f>VLOOKUP(AA216,monetary!$B$5:$F$817,5,0)</f>
        <v>Low</v>
      </c>
      <c r="AJ216" s="99" t="str">
        <f t="shared" si="38"/>
        <v>HHL</v>
      </c>
      <c r="AK216" s="99" t="str">
        <f>VLOOKUP(AJ216,rfm[],2,0)</f>
        <v>💎 Loyal High Value</v>
      </c>
      <c r="AN216" s="99" t="b">
        <f t="shared" si="39"/>
        <v>0</v>
      </c>
    </row>
    <row r="217" spans="2:40" x14ac:dyDescent="0.3">
      <c r="B217" s="99" t="s">
        <v>1522</v>
      </c>
      <c r="C217" s="100">
        <v>45694</v>
      </c>
      <c r="D217" s="99" t="s">
        <v>18</v>
      </c>
      <c r="E217" s="99" t="s">
        <v>19</v>
      </c>
      <c r="F217" s="99" t="s">
        <v>20</v>
      </c>
      <c r="G217" s="99">
        <v>15</v>
      </c>
      <c r="H217" s="112">
        <v>500000</v>
      </c>
      <c r="I217" s="112">
        <v>7500000</v>
      </c>
      <c r="J217" s="99" t="s">
        <v>2323</v>
      </c>
      <c r="K217" s="99" t="s">
        <v>47</v>
      </c>
      <c r="N217" s="99" t="s">
        <v>2248</v>
      </c>
      <c r="O217" s="99" t="s">
        <v>60</v>
      </c>
      <c r="P217" s="100">
        <f t="shared" si="31"/>
        <v>45950</v>
      </c>
      <c r="Q217" s="101">
        <f t="shared" si="30"/>
        <v>73</v>
      </c>
      <c r="R217" s="99">
        <f t="shared" si="32"/>
        <v>5</v>
      </c>
      <c r="S217" s="101">
        <f t="shared" si="33"/>
        <v>59520000</v>
      </c>
      <c r="T217" s="99" t="str">
        <f t="shared" si="34"/>
        <v>High</v>
      </c>
      <c r="U217" s="99" t="str">
        <f t="shared" si="35"/>
        <v>High</v>
      </c>
      <c r="V217" s="99" t="str">
        <f t="shared" si="36"/>
        <v>High</v>
      </c>
      <c r="W217" s="99" t="str">
        <f t="shared" si="37"/>
        <v>HHH</v>
      </c>
      <c r="X217" s="99" t="str">
        <f>VLOOKUP(W217,rfm[],2,FALSE)</f>
        <v>🥇 Champions</v>
      </c>
      <c r="AA217" s="99" t="s">
        <v>2248</v>
      </c>
      <c r="AB217" s="99" t="s">
        <v>60</v>
      </c>
      <c r="AC217" s="100">
        <v>45950</v>
      </c>
      <c r="AD217" s="101">
        <v>73</v>
      </c>
      <c r="AE217" s="101">
        <v>5</v>
      </c>
      <c r="AF217" s="101">
        <v>59520000</v>
      </c>
      <c r="AG217" s="99" t="str">
        <f>VLOOKUP(AA217,recency!$K$6:$P$818,6,0)</f>
        <v>Low</v>
      </c>
      <c r="AH217" s="132" t="str">
        <f>VLOOKUP(AA217,frequency!$F$6:$H$818,3,FALSE)</f>
        <v>High</v>
      </c>
      <c r="AI217" s="129" t="str">
        <f>VLOOKUP(AA217,monetary!$B$5:$F$817,5,0)</f>
        <v>High</v>
      </c>
      <c r="AJ217" s="99" t="str">
        <f t="shared" si="38"/>
        <v>LHH</v>
      </c>
      <c r="AK217" s="99" t="str">
        <f>VLOOKUP(AJ217,rfm[],2,0)</f>
        <v>⚠️ At Risk High Value</v>
      </c>
      <c r="AN217" s="99" t="b">
        <f t="shared" si="39"/>
        <v>0</v>
      </c>
    </row>
    <row r="218" spans="2:40" x14ac:dyDescent="0.3">
      <c r="B218" s="99" t="s">
        <v>1523</v>
      </c>
      <c r="C218" s="100">
        <v>45694</v>
      </c>
      <c r="D218" s="99" t="s">
        <v>14</v>
      </c>
      <c r="E218" s="99" t="s">
        <v>15</v>
      </c>
      <c r="F218" s="99" t="s">
        <v>16</v>
      </c>
      <c r="G218" s="99">
        <v>8</v>
      </c>
      <c r="H218" s="112">
        <v>350000</v>
      </c>
      <c r="I218" s="112">
        <v>2800000</v>
      </c>
      <c r="J218" s="99" t="s">
        <v>2468</v>
      </c>
      <c r="K218" s="99" t="s">
        <v>60</v>
      </c>
      <c r="N218" s="99" t="s">
        <v>2249</v>
      </c>
      <c r="O218" s="99" t="s">
        <v>69</v>
      </c>
      <c r="P218" s="100">
        <f t="shared" si="31"/>
        <v>45939</v>
      </c>
      <c r="Q218" s="101">
        <f t="shared" si="30"/>
        <v>84</v>
      </c>
      <c r="R218" s="99">
        <f t="shared" si="32"/>
        <v>2</v>
      </c>
      <c r="S218" s="101">
        <f t="shared" si="33"/>
        <v>8960000</v>
      </c>
      <c r="T218" s="99" t="str">
        <f t="shared" si="34"/>
        <v>High</v>
      </c>
      <c r="U218" s="99" t="str">
        <f t="shared" si="35"/>
        <v>Low</v>
      </c>
      <c r="V218" s="99" t="str">
        <f t="shared" si="36"/>
        <v>Low</v>
      </c>
      <c r="W218" s="99" t="str">
        <f t="shared" si="37"/>
        <v>HLL</v>
      </c>
      <c r="X218" s="99" t="str">
        <f>VLOOKUP(W218,rfm[],2,FALSE)</f>
        <v>🌱 Potential Loyalists</v>
      </c>
      <c r="AA218" s="99" t="s">
        <v>2249</v>
      </c>
      <c r="AB218" s="99" t="s">
        <v>69</v>
      </c>
      <c r="AC218" s="100">
        <v>45939</v>
      </c>
      <c r="AD218" s="101">
        <v>84</v>
      </c>
      <c r="AE218" s="101">
        <v>2</v>
      </c>
      <c r="AF218" s="101">
        <v>8960000</v>
      </c>
      <c r="AG218" s="99" t="str">
        <f>VLOOKUP(AA218,recency!$K$6:$P$818,6,0)</f>
        <v>Low</v>
      </c>
      <c r="AH218" s="132" t="str">
        <f>VLOOKUP(AA218,frequency!$F$6:$H$818,3,FALSE)</f>
        <v>Low</v>
      </c>
      <c r="AI218" s="129" t="str">
        <f>VLOOKUP(AA218,monetary!$B$5:$F$817,5,0)</f>
        <v>Low</v>
      </c>
      <c r="AJ218" s="99" t="str">
        <f t="shared" si="38"/>
        <v>LLL</v>
      </c>
      <c r="AK218" s="99" t="str">
        <f>VLOOKUP(AJ218,rfm[],2,0)</f>
        <v>💤 Lost / Low Value</v>
      </c>
      <c r="AN218" s="99" t="b">
        <f t="shared" si="39"/>
        <v>0</v>
      </c>
    </row>
    <row r="219" spans="2:40" x14ac:dyDescent="0.3">
      <c r="B219" s="99" t="s">
        <v>1524</v>
      </c>
      <c r="C219" s="100">
        <v>45694</v>
      </c>
      <c r="D219" s="99" t="s">
        <v>40</v>
      </c>
      <c r="E219" s="99" t="s">
        <v>41</v>
      </c>
      <c r="F219" s="99" t="s">
        <v>16</v>
      </c>
      <c r="G219" s="99">
        <v>220</v>
      </c>
      <c r="H219" s="112">
        <v>950000</v>
      </c>
      <c r="I219" s="112">
        <v>209000000</v>
      </c>
      <c r="J219" s="99" t="s">
        <v>2429</v>
      </c>
      <c r="K219" s="99" t="s">
        <v>127</v>
      </c>
      <c r="N219" s="99" t="s">
        <v>2250</v>
      </c>
      <c r="O219" s="99" t="s">
        <v>69</v>
      </c>
      <c r="P219" s="100">
        <f t="shared" si="31"/>
        <v>46017</v>
      </c>
      <c r="Q219" s="101">
        <f t="shared" si="30"/>
        <v>6</v>
      </c>
      <c r="R219" s="99">
        <f t="shared" si="32"/>
        <v>7</v>
      </c>
      <c r="S219" s="101">
        <f t="shared" si="33"/>
        <v>29775000</v>
      </c>
      <c r="T219" s="99" t="str">
        <f t="shared" si="34"/>
        <v>High</v>
      </c>
      <c r="U219" s="99" t="str">
        <f t="shared" si="35"/>
        <v>High</v>
      </c>
      <c r="V219" s="99" t="str">
        <f t="shared" si="36"/>
        <v>High</v>
      </c>
      <c r="W219" s="99" t="str">
        <f t="shared" si="37"/>
        <v>HHH</v>
      </c>
      <c r="X219" s="99" t="str">
        <f>VLOOKUP(W219,rfm[],2,FALSE)</f>
        <v>🥇 Champions</v>
      </c>
      <c r="AA219" s="99" t="s">
        <v>2250</v>
      </c>
      <c r="AB219" s="99" t="s">
        <v>69</v>
      </c>
      <c r="AC219" s="100">
        <v>46017</v>
      </c>
      <c r="AD219" s="101">
        <v>6</v>
      </c>
      <c r="AE219" s="101">
        <v>7</v>
      </c>
      <c r="AF219" s="101">
        <v>29775000</v>
      </c>
      <c r="AG219" s="99" t="str">
        <f>VLOOKUP(AA219,recency!$K$6:$P$818,6,0)</f>
        <v>High</v>
      </c>
      <c r="AH219" s="132" t="str">
        <f>VLOOKUP(AA219,frequency!$F$6:$H$818,3,FALSE)</f>
        <v>High</v>
      </c>
      <c r="AI219" s="129" t="str">
        <f>VLOOKUP(AA219,monetary!$B$5:$F$817,5,0)</f>
        <v>Low</v>
      </c>
      <c r="AJ219" s="99" t="str">
        <f t="shared" si="38"/>
        <v>HHL</v>
      </c>
      <c r="AK219" s="99" t="str">
        <f>VLOOKUP(AJ219,rfm[],2,0)</f>
        <v>💎 Loyal High Value</v>
      </c>
      <c r="AN219" s="99" t="b">
        <f t="shared" si="39"/>
        <v>0</v>
      </c>
    </row>
    <row r="220" spans="2:40" x14ac:dyDescent="0.3">
      <c r="B220" s="99" t="s">
        <v>1525</v>
      </c>
      <c r="C220" s="100">
        <v>45694</v>
      </c>
      <c r="D220" s="99" t="s">
        <v>28</v>
      </c>
      <c r="E220" s="99" t="s">
        <v>29</v>
      </c>
      <c r="F220" s="99" t="s">
        <v>20</v>
      </c>
      <c r="G220" s="99">
        <v>40</v>
      </c>
      <c r="H220" s="112">
        <v>450000</v>
      </c>
      <c r="I220" s="112">
        <v>18000000</v>
      </c>
      <c r="J220" s="99" t="s">
        <v>2537</v>
      </c>
      <c r="K220" s="99" t="s">
        <v>127</v>
      </c>
      <c r="N220" s="99" t="s">
        <v>2251</v>
      </c>
      <c r="O220" s="99" t="s">
        <v>127</v>
      </c>
      <c r="P220" s="100">
        <f t="shared" si="31"/>
        <v>45838</v>
      </c>
      <c r="Q220" s="101">
        <f t="shared" si="30"/>
        <v>185</v>
      </c>
      <c r="R220" s="99">
        <f t="shared" si="32"/>
        <v>4</v>
      </c>
      <c r="S220" s="101">
        <f t="shared" si="33"/>
        <v>57080000</v>
      </c>
      <c r="T220" s="99" t="str">
        <f t="shared" si="34"/>
        <v>Low</v>
      </c>
      <c r="U220" s="99" t="str">
        <f t="shared" si="35"/>
        <v>High</v>
      </c>
      <c r="V220" s="99" t="str">
        <f t="shared" si="36"/>
        <v>High</v>
      </c>
      <c r="W220" s="99" t="str">
        <f t="shared" si="37"/>
        <v>LHH</v>
      </c>
      <c r="X220" s="99" t="str">
        <f>VLOOKUP(W220,rfm[],2,FALSE)</f>
        <v>⚠️ At Risk High Value</v>
      </c>
      <c r="AA220" s="99" t="s">
        <v>2251</v>
      </c>
      <c r="AB220" s="99" t="s">
        <v>127</v>
      </c>
      <c r="AC220" s="100">
        <v>45838</v>
      </c>
      <c r="AD220" s="101">
        <v>185</v>
      </c>
      <c r="AE220" s="101">
        <v>4</v>
      </c>
      <c r="AF220" s="101">
        <v>57080000</v>
      </c>
      <c r="AG220" s="99" t="str">
        <f>VLOOKUP(AA220,recency!$K$6:$P$818,6,0)</f>
        <v>Low</v>
      </c>
      <c r="AH220" s="132" t="str">
        <f>VLOOKUP(AA220,frequency!$F$6:$H$818,3,FALSE)</f>
        <v>High</v>
      </c>
      <c r="AI220" s="129" t="str">
        <f>VLOOKUP(AA220,monetary!$B$5:$F$817,5,0)</f>
        <v>High</v>
      </c>
      <c r="AJ220" s="99" t="str">
        <f t="shared" si="38"/>
        <v>LHH</v>
      </c>
      <c r="AK220" s="99" t="str">
        <f>VLOOKUP(AJ220,rfm[],2,0)</f>
        <v>⚠️ At Risk High Value</v>
      </c>
      <c r="AN220" s="99" t="b">
        <f t="shared" si="39"/>
        <v>1</v>
      </c>
    </row>
    <row r="221" spans="2:40" x14ac:dyDescent="0.3">
      <c r="B221" s="99" t="s">
        <v>1526</v>
      </c>
      <c r="C221" s="100">
        <v>45694</v>
      </c>
      <c r="D221" s="99" t="s">
        <v>38</v>
      </c>
      <c r="E221" s="99" t="s">
        <v>39</v>
      </c>
      <c r="F221" s="99" t="s">
        <v>16</v>
      </c>
      <c r="G221" s="99">
        <v>470</v>
      </c>
      <c r="H221" s="112">
        <v>200000</v>
      </c>
      <c r="I221" s="112">
        <v>94000000</v>
      </c>
      <c r="J221" s="99" t="s">
        <v>2197</v>
      </c>
      <c r="K221" s="99" t="s">
        <v>8</v>
      </c>
      <c r="N221" s="99" t="s">
        <v>2252</v>
      </c>
      <c r="O221" s="99" t="s">
        <v>47</v>
      </c>
      <c r="P221" s="100">
        <f t="shared" si="31"/>
        <v>45840</v>
      </c>
      <c r="Q221" s="101">
        <f t="shared" si="30"/>
        <v>183</v>
      </c>
      <c r="R221" s="99">
        <f t="shared" si="32"/>
        <v>2</v>
      </c>
      <c r="S221" s="101">
        <f t="shared" si="33"/>
        <v>34200000</v>
      </c>
      <c r="T221" s="99" t="str">
        <f t="shared" si="34"/>
        <v>Low</v>
      </c>
      <c r="U221" s="99" t="str">
        <f t="shared" si="35"/>
        <v>Low</v>
      </c>
      <c r="V221" s="99" t="str">
        <f t="shared" si="36"/>
        <v>High</v>
      </c>
      <c r="W221" s="99" t="str">
        <f t="shared" si="37"/>
        <v>LLH</v>
      </c>
      <c r="X221" s="99" t="str">
        <f>VLOOKUP(W221,rfm[],2,FALSE)</f>
        <v>💸 Lost High Spenders</v>
      </c>
      <c r="AA221" s="99" t="s">
        <v>2252</v>
      </c>
      <c r="AB221" s="99" t="s">
        <v>47</v>
      </c>
      <c r="AC221" s="100">
        <v>45840</v>
      </c>
      <c r="AD221" s="101">
        <v>183</v>
      </c>
      <c r="AE221" s="101">
        <v>2</v>
      </c>
      <c r="AF221" s="101">
        <v>34200000</v>
      </c>
      <c r="AG221" s="99" t="str">
        <f>VLOOKUP(AA221,recency!$K$6:$P$818,6,0)</f>
        <v>Low</v>
      </c>
      <c r="AH221" s="132" t="str">
        <f>VLOOKUP(AA221,frequency!$F$6:$H$818,3,FALSE)</f>
        <v>Low</v>
      </c>
      <c r="AI221" s="129" t="str">
        <f>VLOOKUP(AA221,monetary!$B$5:$F$817,5,0)</f>
        <v>Low</v>
      </c>
      <c r="AJ221" s="99" t="str">
        <f t="shared" si="38"/>
        <v>LLL</v>
      </c>
      <c r="AK221" s="99" t="str">
        <f>VLOOKUP(AJ221,rfm[],2,0)</f>
        <v>💤 Lost / Low Value</v>
      </c>
      <c r="AN221" s="99" t="b">
        <f t="shared" si="39"/>
        <v>0</v>
      </c>
    </row>
    <row r="222" spans="2:40" x14ac:dyDescent="0.3">
      <c r="B222" s="99" t="s">
        <v>1527</v>
      </c>
      <c r="C222" s="100">
        <v>45694</v>
      </c>
      <c r="D222" s="99" t="s">
        <v>38</v>
      </c>
      <c r="E222" s="99" t="s">
        <v>39</v>
      </c>
      <c r="F222" s="99" t="s">
        <v>16</v>
      </c>
      <c r="G222" s="99">
        <v>40</v>
      </c>
      <c r="H222" s="112">
        <v>200000</v>
      </c>
      <c r="I222" s="112">
        <v>8000000</v>
      </c>
      <c r="J222" s="99" t="s">
        <v>2298</v>
      </c>
      <c r="K222" s="99" t="s">
        <v>60</v>
      </c>
      <c r="N222" s="99" t="s">
        <v>2253</v>
      </c>
      <c r="O222" s="99" t="s">
        <v>8</v>
      </c>
      <c r="P222" s="100">
        <f t="shared" si="31"/>
        <v>45937</v>
      </c>
      <c r="Q222" s="101">
        <f t="shared" si="30"/>
        <v>86</v>
      </c>
      <c r="R222" s="99">
        <f t="shared" si="32"/>
        <v>4</v>
      </c>
      <c r="S222" s="101">
        <f t="shared" si="33"/>
        <v>39180000</v>
      </c>
      <c r="T222" s="99" t="str">
        <f t="shared" si="34"/>
        <v>High</v>
      </c>
      <c r="U222" s="99" t="str">
        <f t="shared" si="35"/>
        <v>High</v>
      </c>
      <c r="V222" s="99" t="str">
        <f t="shared" si="36"/>
        <v>High</v>
      </c>
      <c r="W222" s="99" t="str">
        <f t="shared" si="37"/>
        <v>HHH</v>
      </c>
      <c r="X222" s="99" t="str">
        <f>VLOOKUP(W222,rfm[],2,FALSE)</f>
        <v>🥇 Champions</v>
      </c>
      <c r="AA222" s="99" t="s">
        <v>2253</v>
      </c>
      <c r="AB222" s="99" t="s">
        <v>8</v>
      </c>
      <c r="AC222" s="100">
        <v>45937</v>
      </c>
      <c r="AD222" s="101">
        <v>86</v>
      </c>
      <c r="AE222" s="101">
        <v>4</v>
      </c>
      <c r="AF222" s="101">
        <v>39180000</v>
      </c>
      <c r="AG222" s="99" t="str">
        <f>VLOOKUP(AA222,recency!$K$6:$P$818,6,0)</f>
        <v>Low</v>
      </c>
      <c r="AH222" s="132" t="str">
        <f>VLOOKUP(AA222,frequency!$F$6:$H$818,3,FALSE)</f>
        <v>High</v>
      </c>
      <c r="AI222" s="129" t="str">
        <f>VLOOKUP(AA222,monetary!$B$5:$F$817,5,0)</f>
        <v>Low</v>
      </c>
      <c r="AJ222" s="99" t="str">
        <f t="shared" si="38"/>
        <v>LHL</v>
      </c>
      <c r="AK222" s="99" t="str">
        <f>VLOOKUP(AJ222,rfm[],2,0)</f>
        <v>🔁 Former Loyal Low Spend</v>
      </c>
      <c r="AN222" s="99" t="b">
        <f t="shared" si="39"/>
        <v>0</v>
      </c>
    </row>
    <row r="223" spans="2:40" x14ac:dyDescent="0.3">
      <c r="B223" s="99" t="s">
        <v>1528</v>
      </c>
      <c r="C223" s="100">
        <v>45694</v>
      </c>
      <c r="D223" s="99" t="s">
        <v>18</v>
      </c>
      <c r="E223" s="99" t="s">
        <v>19</v>
      </c>
      <c r="F223" s="99" t="s">
        <v>20</v>
      </c>
      <c r="G223" s="99">
        <v>270</v>
      </c>
      <c r="H223" s="112">
        <v>500000</v>
      </c>
      <c r="I223" s="112">
        <v>135000000</v>
      </c>
      <c r="J223" s="99" t="s">
        <v>2184</v>
      </c>
      <c r="K223" s="99" t="s">
        <v>127</v>
      </c>
      <c r="N223" s="99" t="s">
        <v>2254</v>
      </c>
      <c r="O223" s="99" t="s">
        <v>8</v>
      </c>
      <c r="P223" s="100">
        <f t="shared" si="31"/>
        <v>45805</v>
      </c>
      <c r="Q223" s="101">
        <f t="shared" si="30"/>
        <v>218</v>
      </c>
      <c r="R223" s="99">
        <f t="shared" si="32"/>
        <v>1</v>
      </c>
      <c r="S223" s="101">
        <f t="shared" si="33"/>
        <v>3600000</v>
      </c>
      <c r="T223" s="99" t="str">
        <f t="shared" si="34"/>
        <v>Low</v>
      </c>
      <c r="U223" s="99" t="str">
        <f t="shared" si="35"/>
        <v>Low</v>
      </c>
      <c r="V223" s="99" t="str">
        <f t="shared" si="36"/>
        <v>Low</v>
      </c>
      <c r="W223" s="99" t="str">
        <f t="shared" si="37"/>
        <v>LLL</v>
      </c>
      <c r="X223" s="99" t="str">
        <f>VLOOKUP(W223,rfm[],2,FALSE)</f>
        <v>💤 Lost / Low Value</v>
      </c>
      <c r="AA223" s="99" t="s">
        <v>2254</v>
      </c>
      <c r="AB223" s="99" t="s">
        <v>8</v>
      </c>
      <c r="AC223" s="100">
        <v>45805</v>
      </c>
      <c r="AD223" s="101">
        <v>218</v>
      </c>
      <c r="AE223" s="101">
        <v>1</v>
      </c>
      <c r="AF223" s="101">
        <v>3600000</v>
      </c>
      <c r="AG223" s="99" t="str">
        <f>VLOOKUP(AA223,recency!$K$6:$P$818,6,0)</f>
        <v>Low</v>
      </c>
      <c r="AH223" s="132" t="str">
        <f>VLOOKUP(AA223,frequency!$F$6:$H$818,3,FALSE)</f>
        <v>Low</v>
      </c>
      <c r="AI223" s="129" t="str">
        <f>VLOOKUP(AA223,monetary!$B$5:$F$817,5,0)</f>
        <v>Low</v>
      </c>
      <c r="AJ223" s="99" t="str">
        <f t="shared" si="38"/>
        <v>LLL</v>
      </c>
      <c r="AK223" s="99" t="str">
        <f>VLOOKUP(AJ223,rfm[],2,0)</f>
        <v>💤 Lost / Low Value</v>
      </c>
      <c r="AN223" s="99" t="b">
        <f t="shared" si="39"/>
        <v>1</v>
      </c>
    </row>
    <row r="224" spans="2:40" x14ac:dyDescent="0.3">
      <c r="B224" s="99" t="s">
        <v>1555</v>
      </c>
      <c r="C224" s="100">
        <v>45694</v>
      </c>
      <c r="D224" s="99" t="s">
        <v>18</v>
      </c>
      <c r="E224" s="99" t="s">
        <v>19</v>
      </c>
      <c r="F224" s="99" t="s">
        <v>20</v>
      </c>
      <c r="G224" s="99">
        <v>38</v>
      </c>
      <c r="H224" s="112">
        <v>500000</v>
      </c>
      <c r="I224" s="112">
        <v>19000000</v>
      </c>
      <c r="J224" s="99" t="s">
        <v>2669</v>
      </c>
      <c r="K224" s="99" t="s">
        <v>8</v>
      </c>
      <c r="N224" s="99" t="s">
        <v>2255</v>
      </c>
      <c r="O224" s="99" t="s">
        <v>69</v>
      </c>
      <c r="P224" s="100">
        <f t="shared" si="31"/>
        <v>45884</v>
      </c>
      <c r="Q224" s="101">
        <f t="shared" si="30"/>
        <v>139</v>
      </c>
      <c r="R224" s="99">
        <f t="shared" si="32"/>
        <v>1</v>
      </c>
      <c r="S224" s="101">
        <f t="shared" si="33"/>
        <v>37050000</v>
      </c>
      <c r="T224" s="99" t="str">
        <f t="shared" si="34"/>
        <v>Low</v>
      </c>
      <c r="U224" s="99" t="str">
        <f t="shared" si="35"/>
        <v>Low</v>
      </c>
      <c r="V224" s="99" t="str">
        <f t="shared" si="36"/>
        <v>High</v>
      </c>
      <c r="W224" s="99" t="str">
        <f t="shared" si="37"/>
        <v>LLH</v>
      </c>
      <c r="X224" s="99" t="str">
        <f>VLOOKUP(W224,rfm[],2,FALSE)</f>
        <v>💸 Lost High Spenders</v>
      </c>
      <c r="AA224" s="99" t="s">
        <v>2255</v>
      </c>
      <c r="AB224" s="99" t="s">
        <v>69</v>
      </c>
      <c r="AC224" s="100">
        <v>45884</v>
      </c>
      <c r="AD224" s="101">
        <v>139</v>
      </c>
      <c r="AE224" s="101">
        <v>1</v>
      </c>
      <c r="AF224" s="101">
        <v>37050000</v>
      </c>
      <c r="AG224" s="99" t="str">
        <f>VLOOKUP(AA224,recency!$K$6:$P$818,6,0)</f>
        <v>Low</v>
      </c>
      <c r="AH224" s="132" t="str">
        <f>VLOOKUP(AA224,frequency!$F$6:$H$818,3,FALSE)</f>
        <v>Low</v>
      </c>
      <c r="AI224" s="129" t="str">
        <f>VLOOKUP(AA224,monetary!$B$5:$F$817,5,0)</f>
        <v>Low</v>
      </c>
      <c r="AJ224" s="99" t="str">
        <f t="shared" si="38"/>
        <v>LLL</v>
      </c>
      <c r="AK224" s="99" t="str">
        <f>VLOOKUP(AJ224,rfm[],2,0)</f>
        <v>💤 Lost / Low Value</v>
      </c>
      <c r="AN224" s="99" t="b">
        <f t="shared" si="39"/>
        <v>0</v>
      </c>
    </row>
    <row r="225" spans="2:40" x14ac:dyDescent="0.3">
      <c r="B225" s="99" t="s">
        <v>1556</v>
      </c>
      <c r="C225" s="100">
        <v>45694</v>
      </c>
      <c r="D225" s="99" t="s">
        <v>31</v>
      </c>
      <c r="E225" s="99" t="s">
        <v>32</v>
      </c>
      <c r="F225" s="99" t="s">
        <v>20</v>
      </c>
      <c r="G225" s="99">
        <v>33</v>
      </c>
      <c r="H225" s="112">
        <v>180000</v>
      </c>
      <c r="I225" s="112">
        <v>5940000</v>
      </c>
      <c r="J225" s="99" t="s">
        <v>2128</v>
      </c>
      <c r="K225" s="99" t="s">
        <v>69</v>
      </c>
      <c r="N225" s="99" t="s">
        <v>2256</v>
      </c>
      <c r="O225" s="99" t="s">
        <v>60</v>
      </c>
      <c r="P225" s="100">
        <f t="shared" si="31"/>
        <v>45782</v>
      </c>
      <c r="Q225" s="101">
        <f t="shared" si="30"/>
        <v>241</v>
      </c>
      <c r="R225" s="99">
        <f t="shared" si="32"/>
        <v>2</v>
      </c>
      <c r="S225" s="101">
        <f t="shared" si="33"/>
        <v>23750000</v>
      </c>
      <c r="T225" s="99" t="str">
        <f t="shared" si="34"/>
        <v>Low</v>
      </c>
      <c r="U225" s="99" t="str">
        <f t="shared" si="35"/>
        <v>Low</v>
      </c>
      <c r="V225" s="99" t="str">
        <f t="shared" si="36"/>
        <v>High</v>
      </c>
      <c r="W225" s="99" t="str">
        <f t="shared" si="37"/>
        <v>LLH</v>
      </c>
      <c r="X225" s="99" t="str">
        <f>VLOOKUP(W225,rfm[],2,FALSE)</f>
        <v>💸 Lost High Spenders</v>
      </c>
      <c r="AA225" s="99" t="s">
        <v>2256</v>
      </c>
      <c r="AB225" s="99" t="s">
        <v>60</v>
      </c>
      <c r="AC225" s="100">
        <v>45782</v>
      </c>
      <c r="AD225" s="101">
        <v>241</v>
      </c>
      <c r="AE225" s="101">
        <v>2</v>
      </c>
      <c r="AF225" s="101">
        <v>23750000</v>
      </c>
      <c r="AG225" s="99" t="str">
        <f>VLOOKUP(AA225,recency!$K$6:$P$818,6,0)</f>
        <v>Low</v>
      </c>
      <c r="AH225" s="132" t="str">
        <f>VLOOKUP(AA225,frequency!$F$6:$H$818,3,FALSE)</f>
        <v>Low</v>
      </c>
      <c r="AI225" s="129" t="str">
        <f>VLOOKUP(AA225,monetary!$B$5:$F$817,5,0)</f>
        <v>Low</v>
      </c>
      <c r="AJ225" s="99" t="str">
        <f t="shared" si="38"/>
        <v>LLL</v>
      </c>
      <c r="AK225" s="99" t="str">
        <f>VLOOKUP(AJ225,rfm[],2,0)</f>
        <v>💤 Lost / Low Value</v>
      </c>
      <c r="AN225" s="99" t="b">
        <f t="shared" si="39"/>
        <v>0</v>
      </c>
    </row>
    <row r="226" spans="2:40" x14ac:dyDescent="0.3">
      <c r="B226" s="99" t="s">
        <v>1557</v>
      </c>
      <c r="C226" s="100">
        <v>45698</v>
      </c>
      <c r="D226" s="99" t="s">
        <v>10</v>
      </c>
      <c r="E226" s="99" t="s">
        <v>11</v>
      </c>
      <c r="F226" s="99" t="s">
        <v>12</v>
      </c>
      <c r="G226" s="99">
        <v>20</v>
      </c>
      <c r="H226" s="112">
        <v>120000</v>
      </c>
      <c r="I226" s="112">
        <v>2400000</v>
      </c>
      <c r="J226" s="99" t="s">
        <v>2750</v>
      </c>
      <c r="K226" s="99" t="s">
        <v>127</v>
      </c>
      <c r="N226" s="99" t="s">
        <v>2257</v>
      </c>
      <c r="O226" s="99" t="s">
        <v>127</v>
      </c>
      <c r="P226" s="100">
        <f t="shared" si="31"/>
        <v>45995</v>
      </c>
      <c r="Q226" s="101">
        <f t="shared" si="30"/>
        <v>28</v>
      </c>
      <c r="R226" s="99">
        <f t="shared" si="32"/>
        <v>4</v>
      </c>
      <c r="S226" s="101">
        <f t="shared" si="33"/>
        <v>19960000</v>
      </c>
      <c r="T226" s="99" t="str">
        <f t="shared" si="34"/>
        <v>High</v>
      </c>
      <c r="U226" s="99" t="str">
        <f t="shared" si="35"/>
        <v>High</v>
      </c>
      <c r="V226" s="99" t="str">
        <f t="shared" si="36"/>
        <v>High</v>
      </c>
      <c r="W226" s="99" t="str">
        <f t="shared" si="37"/>
        <v>HHH</v>
      </c>
      <c r="X226" s="99" t="str">
        <f>VLOOKUP(W226,rfm[],2,FALSE)</f>
        <v>🥇 Champions</v>
      </c>
      <c r="AA226" s="99" t="s">
        <v>2257</v>
      </c>
      <c r="AB226" s="99" t="s">
        <v>127</v>
      </c>
      <c r="AC226" s="100">
        <v>45995</v>
      </c>
      <c r="AD226" s="101">
        <v>28</v>
      </c>
      <c r="AE226" s="101">
        <v>4</v>
      </c>
      <c r="AF226" s="101">
        <v>19960000</v>
      </c>
      <c r="AG226" s="99" t="str">
        <f>VLOOKUP(AA226,recency!$K$6:$P$818,6,0)</f>
        <v>High</v>
      </c>
      <c r="AH226" s="132" t="str">
        <f>VLOOKUP(AA226,frequency!$F$6:$H$818,3,FALSE)</f>
        <v>High</v>
      </c>
      <c r="AI226" s="129" t="str">
        <f>VLOOKUP(AA226,monetary!$B$5:$F$817,5,0)</f>
        <v>Low</v>
      </c>
      <c r="AJ226" s="99" t="str">
        <f t="shared" si="38"/>
        <v>HHL</v>
      </c>
      <c r="AK226" s="99" t="str">
        <f>VLOOKUP(AJ226,rfm[],2,0)</f>
        <v>💎 Loyal High Value</v>
      </c>
      <c r="AN226" s="99" t="b">
        <f t="shared" si="39"/>
        <v>0</v>
      </c>
    </row>
    <row r="227" spans="2:40" x14ac:dyDescent="0.3">
      <c r="B227" s="99" t="s">
        <v>1558</v>
      </c>
      <c r="C227" s="100">
        <v>45698</v>
      </c>
      <c r="D227" s="99" t="s">
        <v>28</v>
      </c>
      <c r="E227" s="99" t="s">
        <v>29</v>
      </c>
      <c r="F227" s="99" t="s">
        <v>20</v>
      </c>
      <c r="G227" s="99">
        <v>36</v>
      </c>
      <c r="H227" s="112">
        <v>450000</v>
      </c>
      <c r="I227" s="112">
        <v>16200000</v>
      </c>
      <c r="J227" s="99" t="s">
        <v>2840</v>
      </c>
      <c r="K227" s="99" t="s">
        <v>8</v>
      </c>
      <c r="N227" s="99" t="s">
        <v>2258</v>
      </c>
      <c r="O227" s="99" t="s">
        <v>127</v>
      </c>
      <c r="P227" s="100">
        <f t="shared" si="31"/>
        <v>45862</v>
      </c>
      <c r="Q227" s="101">
        <f t="shared" si="30"/>
        <v>161</v>
      </c>
      <c r="R227" s="99">
        <f t="shared" si="32"/>
        <v>3</v>
      </c>
      <c r="S227" s="101">
        <f t="shared" si="33"/>
        <v>41900000</v>
      </c>
      <c r="T227" s="99" t="str">
        <f t="shared" si="34"/>
        <v>Low</v>
      </c>
      <c r="U227" s="99" t="str">
        <f t="shared" si="35"/>
        <v>High</v>
      </c>
      <c r="V227" s="99" t="str">
        <f t="shared" si="36"/>
        <v>High</v>
      </c>
      <c r="W227" s="99" t="str">
        <f t="shared" si="37"/>
        <v>LHH</v>
      </c>
      <c r="X227" s="99" t="str">
        <f>VLOOKUP(W227,rfm[],2,FALSE)</f>
        <v>⚠️ At Risk High Value</v>
      </c>
      <c r="AA227" s="99" t="s">
        <v>2258</v>
      </c>
      <c r="AB227" s="99" t="s">
        <v>127</v>
      </c>
      <c r="AC227" s="100">
        <v>45862</v>
      </c>
      <c r="AD227" s="101">
        <v>161</v>
      </c>
      <c r="AE227" s="101">
        <v>3</v>
      </c>
      <c r="AF227" s="101">
        <v>41900000</v>
      </c>
      <c r="AG227" s="99" t="str">
        <f>VLOOKUP(AA227,recency!$K$6:$P$818,6,0)</f>
        <v>Low</v>
      </c>
      <c r="AH227" s="132" t="str">
        <f>VLOOKUP(AA227,frequency!$F$6:$H$818,3,FALSE)</f>
        <v>High</v>
      </c>
      <c r="AI227" s="129" t="str">
        <f>VLOOKUP(AA227,monetary!$B$5:$F$817,5,0)</f>
        <v>Low</v>
      </c>
      <c r="AJ227" s="99" t="str">
        <f t="shared" si="38"/>
        <v>LHL</v>
      </c>
      <c r="AK227" s="99" t="str">
        <f>VLOOKUP(AJ227,rfm[],2,0)</f>
        <v>🔁 Former Loyal Low Spend</v>
      </c>
      <c r="AN227" s="99" t="b">
        <f t="shared" si="39"/>
        <v>0</v>
      </c>
    </row>
    <row r="228" spans="2:40" x14ac:dyDescent="0.3">
      <c r="B228" s="99" t="s">
        <v>1559</v>
      </c>
      <c r="C228" s="100">
        <v>45698</v>
      </c>
      <c r="D228" s="99" t="s">
        <v>38</v>
      </c>
      <c r="E228" s="99" t="s">
        <v>39</v>
      </c>
      <c r="F228" s="99" t="s">
        <v>16</v>
      </c>
      <c r="G228" s="99">
        <v>25</v>
      </c>
      <c r="H228" s="112">
        <v>200000</v>
      </c>
      <c r="I228" s="112">
        <v>5000000</v>
      </c>
      <c r="J228" s="99" t="s">
        <v>2195</v>
      </c>
      <c r="K228" s="99" t="s">
        <v>60</v>
      </c>
      <c r="N228" s="99" t="s">
        <v>2259</v>
      </c>
      <c r="O228" s="99" t="s">
        <v>127</v>
      </c>
      <c r="P228" s="100">
        <f t="shared" si="31"/>
        <v>45842</v>
      </c>
      <c r="Q228" s="101">
        <f t="shared" si="30"/>
        <v>181</v>
      </c>
      <c r="R228" s="99">
        <f t="shared" si="32"/>
        <v>2</v>
      </c>
      <c r="S228" s="101">
        <f t="shared" si="33"/>
        <v>20300000</v>
      </c>
      <c r="T228" s="99" t="str">
        <f t="shared" si="34"/>
        <v>Low</v>
      </c>
      <c r="U228" s="99" t="str">
        <f t="shared" si="35"/>
        <v>Low</v>
      </c>
      <c r="V228" s="99" t="str">
        <f t="shared" si="36"/>
        <v>High</v>
      </c>
      <c r="W228" s="99" t="str">
        <f t="shared" si="37"/>
        <v>LLH</v>
      </c>
      <c r="X228" s="99" t="str">
        <f>VLOOKUP(W228,rfm[],2,FALSE)</f>
        <v>💸 Lost High Spenders</v>
      </c>
      <c r="AA228" s="99" t="s">
        <v>2259</v>
      </c>
      <c r="AB228" s="99" t="s">
        <v>127</v>
      </c>
      <c r="AC228" s="100">
        <v>45842</v>
      </c>
      <c r="AD228" s="101">
        <v>181</v>
      </c>
      <c r="AE228" s="101">
        <v>2</v>
      </c>
      <c r="AF228" s="101">
        <v>20300000</v>
      </c>
      <c r="AG228" s="99" t="str">
        <f>VLOOKUP(AA228,recency!$K$6:$P$818,6,0)</f>
        <v>Low</v>
      </c>
      <c r="AH228" s="132" t="str">
        <f>VLOOKUP(AA228,frequency!$F$6:$H$818,3,FALSE)</f>
        <v>Low</v>
      </c>
      <c r="AI228" s="129" t="str">
        <f>VLOOKUP(AA228,monetary!$B$5:$F$817,5,0)</f>
        <v>Low</v>
      </c>
      <c r="AJ228" s="99" t="str">
        <f t="shared" si="38"/>
        <v>LLL</v>
      </c>
      <c r="AK228" s="99" t="str">
        <f>VLOOKUP(AJ228,rfm[],2,0)</f>
        <v>💤 Lost / Low Value</v>
      </c>
      <c r="AN228" s="99" t="b">
        <f t="shared" si="39"/>
        <v>0</v>
      </c>
    </row>
    <row r="229" spans="2:40" x14ac:dyDescent="0.3">
      <c r="B229" s="99" t="s">
        <v>1560</v>
      </c>
      <c r="C229" s="100">
        <v>45698</v>
      </c>
      <c r="D229" s="99" t="s">
        <v>40</v>
      </c>
      <c r="E229" s="99" t="s">
        <v>41</v>
      </c>
      <c r="F229" s="99" t="s">
        <v>16</v>
      </c>
      <c r="G229" s="99">
        <v>210</v>
      </c>
      <c r="H229" s="112">
        <v>950000</v>
      </c>
      <c r="I229" s="112">
        <v>199500000</v>
      </c>
      <c r="J229" s="99" t="s">
        <v>2533</v>
      </c>
      <c r="K229" s="99" t="s">
        <v>8</v>
      </c>
      <c r="N229" s="99" t="s">
        <v>2260</v>
      </c>
      <c r="O229" s="99" t="s">
        <v>127</v>
      </c>
      <c r="P229" s="100">
        <f t="shared" si="31"/>
        <v>45965</v>
      </c>
      <c r="Q229" s="101">
        <f t="shared" si="30"/>
        <v>58</v>
      </c>
      <c r="R229" s="99">
        <f t="shared" si="32"/>
        <v>6</v>
      </c>
      <c r="S229" s="101">
        <f t="shared" si="33"/>
        <v>65860000</v>
      </c>
      <c r="T229" s="99" t="str">
        <f t="shared" si="34"/>
        <v>High</v>
      </c>
      <c r="U229" s="99" t="str">
        <f t="shared" si="35"/>
        <v>High</v>
      </c>
      <c r="V229" s="99" t="str">
        <f t="shared" si="36"/>
        <v>High</v>
      </c>
      <c r="W229" s="99" t="str">
        <f t="shared" si="37"/>
        <v>HHH</v>
      </c>
      <c r="X229" s="99" t="str">
        <f>VLOOKUP(W229,rfm[],2,FALSE)</f>
        <v>🥇 Champions</v>
      </c>
      <c r="AA229" s="99" t="s">
        <v>2260</v>
      </c>
      <c r="AB229" s="99" t="s">
        <v>127</v>
      </c>
      <c r="AC229" s="100">
        <v>45965</v>
      </c>
      <c r="AD229" s="101">
        <v>58</v>
      </c>
      <c r="AE229" s="101">
        <v>6</v>
      </c>
      <c r="AF229" s="101">
        <v>65860000</v>
      </c>
      <c r="AG229" s="99" t="str">
        <f>VLOOKUP(AA229,recency!$K$6:$P$818,6,0)</f>
        <v>High</v>
      </c>
      <c r="AH229" s="132" t="str">
        <f>VLOOKUP(AA229,frequency!$F$6:$H$818,3,FALSE)</f>
        <v>High</v>
      </c>
      <c r="AI229" s="129" t="str">
        <f>VLOOKUP(AA229,monetary!$B$5:$F$817,5,0)</f>
        <v>High</v>
      </c>
      <c r="AJ229" s="99" t="str">
        <f t="shared" si="38"/>
        <v>HHH</v>
      </c>
      <c r="AK229" s="99" t="str">
        <f>VLOOKUP(AJ229,rfm[],2,0)</f>
        <v>🥇 Champions</v>
      </c>
      <c r="AN229" s="99" t="b">
        <f t="shared" si="39"/>
        <v>1</v>
      </c>
    </row>
    <row r="230" spans="2:40" x14ac:dyDescent="0.3">
      <c r="B230" s="99" t="s">
        <v>1561</v>
      </c>
      <c r="C230" s="100">
        <v>45698</v>
      </c>
      <c r="D230" s="99" t="s">
        <v>18</v>
      </c>
      <c r="E230" s="99" t="s">
        <v>19</v>
      </c>
      <c r="F230" s="99" t="s">
        <v>20</v>
      </c>
      <c r="G230" s="99">
        <v>44</v>
      </c>
      <c r="H230" s="112">
        <v>500000</v>
      </c>
      <c r="I230" s="112">
        <v>22000000</v>
      </c>
      <c r="J230" s="99" t="s">
        <v>2309</v>
      </c>
      <c r="K230" s="99" t="s">
        <v>8</v>
      </c>
      <c r="N230" s="99" t="s">
        <v>2261</v>
      </c>
      <c r="O230" s="99" t="s">
        <v>47</v>
      </c>
      <c r="P230" s="100">
        <f t="shared" si="31"/>
        <v>45833</v>
      </c>
      <c r="Q230" s="101">
        <f t="shared" si="30"/>
        <v>190</v>
      </c>
      <c r="R230" s="99">
        <f t="shared" si="32"/>
        <v>1</v>
      </c>
      <c r="S230" s="101">
        <f t="shared" si="33"/>
        <v>4680000</v>
      </c>
      <c r="T230" s="99" t="str">
        <f t="shared" si="34"/>
        <v>Low</v>
      </c>
      <c r="U230" s="99" t="str">
        <f t="shared" si="35"/>
        <v>Low</v>
      </c>
      <c r="V230" s="99" t="str">
        <f t="shared" si="36"/>
        <v>Low</v>
      </c>
      <c r="W230" s="99" t="str">
        <f t="shared" si="37"/>
        <v>LLL</v>
      </c>
      <c r="X230" s="99" t="str">
        <f>VLOOKUP(W230,rfm[],2,FALSE)</f>
        <v>💤 Lost / Low Value</v>
      </c>
      <c r="AA230" s="99" t="s">
        <v>2261</v>
      </c>
      <c r="AB230" s="99" t="s">
        <v>47</v>
      </c>
      <c r="AC230" s="100">
        <v>45833</v>
      </c>
      <c r="AD230" s="101">
        <v>190</v>
      </c>
      <c r="AE230" s="101">
        <v>1</v>
      </c>
      <c r="AF230" s="101">
        <v>4680000</v>
      </c>
      <c r="AG230" s="99" t="str">
        <f>VLOOKUP(AA230,recency!$K$6:$P$818,6,0)</f>
        <v>Low</v>
      </c>
      <c r="AH230" s="132" t="str">
        <f>VLOOKUP(AA230,frequency!$F$6:$H$818,3,FALSE)</f>
        <v>Low</v>
      </c>
      <c r="AI230" s="129" t="str">
        <f>VLOOKUP(AA230,monetary!$B$5:$F$817,5,0)</f>
        <v>Low</v>
      </c>
      <c r="AJ230" s="99" t="str">
        <f t="shared" si="38"/>
        <v>LLL</v>
      </c>
      <c r="AK230" s="99" t="str">
        <f>VLOOKUP(AJ230,rfm[],2,0)</f>
        <v>💤 Lost / Low Value</v>
      </c>
      <c r="AN230" s="99" t="b">
        <f t="shared" si="39"/>
        <v>1</v>
      </c>
    </row>
    <row r="231" spans="2:40" x14ac:dyDescent="0.3">
      <c r="B231" s="99" t="s">
        <v>1585</v>
      </c>
      <c r="C231" s="100">
        <v>45698</v>
      </c>
      <c r="D231" s="99" t="s">
        <v>31</v>
      </c>
      <c r="E231" s="99" t="s">
        <v>32</v>
      </c>
      <c r="F231" s="99" t="s">
        <v>20</v>
      </c>
      <c r="G231" s="99">
        <v>230</v>
      </c>
      <c r="H231" s="112">
        <v>180000</v>
      </c>
      <c r="I231" s="112">
        <v>41400000</v>
      </c>
      <c r="J231" s="99" t="s">
        <v>2160</v>
      </c>
      <c r="K231" s="99" t="s">
        <v>60</v>
      </c>
      <c r="N231" s="99" t="s">
        <v>2262</v>
      </c>
      <c r="O231" s="99" t="s">
        <v>127</v>
      </c>
      <c r="P231" s="100">
        <f t="shared" si="31"/>
        <v>45747</v>
      </c>
      <c r="Q231" s="101">
        <f t="shared" si="30"/>
        <v>276</v>
      </c>
      <c r="R231" s="99">
        <f t="shared" si="32"/>
        <v>1</v>
      </c>
      <c r="S231" s="101">
        <f t="shared" si="33"/>
        <v>43700000</v>
      </c>
      <c r="T231" s="99" t="str">
        <f t="shared" si="34"/>
        <v>Low</v>
      </c>
      <c r="U231" s="99" t="str">
        <f t="shared" si="35"/>
        <v>Low</v>
      </c>
      <c r="V231" s="99" t="str">
        <f t="shared" si="36"/>
        <v>High</v>
      </c>
      <c r="W231" s="99" t="str">
        <f t="shared" si="37"/>
        <v>LLH</v>
      </c>
      <c r="X231" s="99" t="str">
        <f>VLOOKUP(W231,rfm[],2,FALSE)</f>
        <v>💸 Lost High Spenders</v>
      </c>
      <c r="AA231" s="99" t="s">
        <v>2262</v>
      </c>
      <c r="AB231" s="99" t="s">
        <v>127</v>
      </c>
      <c r="AC231" s="100">
        <v>45747</v>
      </c>
      <c r="AD231" s="101">
        <v>276</v>
      </c>
      <c r="AE231" s="101">
        <v>1</v>
      </c>
      <c r="AF231" s="101">
        <v>43700000</v>
      </c>
      <c r="AG231" s="99" t="str">
        <f>VLOOKUP(AA231,recency!$K$6:$P$818,6,0)</f>
        <v>Low</v>
      </c>
      <c r="AH231" s="132" t="str">
        <f>VLOOKUP(AA231,frequency!$F$6:$H$818,3,FALSE)</f>
        <v>Low</v>
      </c>
      <c r="AI231" s="129" t="str">
        <f>VLOOKUP(AA231,monetary!$B$5:$F$817,5,0)</f>
        <v>Low</v>
      </c>
      <c r="AJ231" s="99" t="str">
        <f t="shared" si="38"/>
        <v>LLL</v>
      </c>
      <c r="AK231" s="99" t="str">
        <f>VLOOKUP(AJ231,rfm[],2,0)</f>
        <v>💤 Lost / Low Value</v>
      </c>
      <c r="AN231" s="99" t="b">
        <f t="shared" si="39"/>
        <v>0</v>
      </c>
    </row>
    <row r="232" spans="2:40" x14ac:dyDescent="0.3">
      <c r="B232" s="99" t="s">
        <v>1586</v>
      </c>
      <c r="C232" s="100">
        <v>45698</v>
      </c>
      <c r="D232" s="99" t="s">
        <v>22</v>
      </c>
      <c r="E232" s="99" t="s">
        <v>23</v>
      </c>
      <c r="F232" s="99" t="s">
        <v>12</v>
      </c>
      <c r="G232" s="99">
        <v>26</v>
      </c>
      <c r="H232" s="112">
        <v>25000</v>
      </c>
      <c r="I232" s="112">
        <v>650000</v>
      </c>
      <c r="J232" s="99" t="s">
        <v>2583</v>
      </c>
      <c r="K232" s="99" t="s">
        <v>69</v>
      </c>
      <c r="N232" s="99" t="s">
        <v>2263</v>
      </c>
      <c r="O232" s="99" t="s">
        <v>8</v>
      </c>
      <c r="P232" s="100">
        <f t="shared" si="31"/>
        <v>46003</v>
      </c>
      <c r="Q232" s="101">
        <f t="shared" si="30"/>
        <v>20</v>
      </c>
      <c r="R232" s="99">
        <f t="shared" si="32"/>
        <v>7</v>
      </c>
      <c r="S232" s="101">
        <f t="shared" si="33"/>
        <v>67990000</v>
      </c>
      <c r="T232" s="99" t="str">
        <f t="shared" si="34"/>
        <v>High</v>
      </c>
      <c r="U232" s="99" t="str">
        <f t="shared" si="35"/>
        <v>High</v>
      </c>
      <c r="V232" s="99" t="str">
        <f t="shared" si="36"/>
        <v>High</v>
      </c>
      <c r="W232" s="99" t="str">
        <f t="shared" si="37"/>
        <v>HHH</v>
      </c>
      <c r="X232" s="99" t="str">
        <f>VLOOKUP(W232,rfm[],2,FALSE)</f>
        <v>🥇 Champions</v>
      </c>
      <c r="AA232" s="99" t="s">
        <v>2263</v>
      </c>
      <c r="AB232" s="99" t="s">
        <v>8</v>
      </c>
      <c r="AC232" s="100">
        <v>46003</v>
      </c>
      <c r="AD232" s="101">
        <v>20</v>
      </c>
      <c r="AE232" s="101">
        <v>7</v>
      </c>
      <c r="AF232" s="101">
        <v>67990000</v>
      </c>
      <c r="AG232" s="99" t="str">
        <f>VLOOKUP(AA232,recency!$K$6:$P$818,6,0)</f>
        <v>High</v>
      </c>
      <c r="AH232" s="132" t="str">
        <f>VLOOKUP(AA232,frequency!$F$6:$H$818,3,FALSE)</f>
        <v>High</v>
      </c>
      <c r="AI232" s="129" t="str">
        <f>VLOOKUP(AA232,monetary!$B$5:$F$817,5,0)</f>
        <v>High</v>
      </c>
      <c r="AJ232" s="99" t="str">
        <f t="shared" si="38"/>
        <v>HHH</v>
      </c>
      <c r="AK232" s="99" t="str">
        <f>VLOOKUP(AJ232,rfm[],2,0)</f>
        <v>🥇 Champions</v>
      </c>
      <c r="AN232" s="99" t="b">
        <f t="shared" si="39"/>
        <v>1</v>
      </c>
    </row>
    <row r="233" spans="2:40" x14ac:dyDescent="0.3">
      <c r="B233" s="99" t="s">
        <v>1587</v>
      </c>
      <c r="C233" s="100">
        <v>45698</v>
      </c>
      <c r="D233" s="99" t="s">
        <v>31</v>
      </c>
      <c r="E233" s="99" t="s">
        <v>32</v>
      </c>
      <c r="F233" s="99" t="s">
        <v>20</v>
      </c>
      <c r="G233" s="99">
        <v>26</v>
      </c>
      <c r="H233" s="112">
        <v>180000</v>
      </c>
      <c r="I233" s="112">
        <v>4680000</v>
      </c>
      <c r="J233" s="99" t="s">
        <v>2735</v>
      </c>
      <c r="K233" s="99" t="s">
        <v>60</v>
      </c>
      <c r="N233" s="99" t="s">
        <v>2264</v>
      </c>
      <c r="O233" s="99" t="s">
        <v>69</v>
      </c>
      <c r="P233" s="100">
        <f t="shared" si="31"/>
        <v>45862</v>
      </c>
      <c r="Q233" s="101">
        <f t="shared" si="30"/>
        <v>161</v>
      </c>
      <c r="R233" s="99">
        <f t="shared" si="32"/>
        <v>1</v>
      </c>
      <c r="S233" s="101">
        <f t="shared" si="33"/>
        <v>7740000</v>
      </c>
      <c r="T233" s="99" t="str">
        <f t="shared" si="34"/>
        <v>Low</v>
      </c>
      <c r="U233" s="99" t="str">
        <f t="shared" si="35"/>
        <v>Low</v>
      </c>
      <c r="V233" s="99" t="str">
        <f t="shared" si="36"/>
        <v>Low</v>
      </c>
      <c r="W233" s="99" t="str">
        <f t="shared" si="37"/>
        <v>LLL</v>
      </c>
      <c r="X233" s="99" t="str">
        <f>VLOOKUP(W233,rfm[],2,FALSE)</f>
        <v>💤 Lost / Low Value</v>
      </c>
      <c r="AA233" s="99" t="s">
        <v>2264</v>
      </c>
      <c r="AB233" s="99" t="s">
        <v>69</v>
      </c>
      <c r="AC233" s="100">
        <v>45862</v>
      </c>
      <c r="AD233" s="101">
        <v>161</v>
      </c>
      <c r="AE233" s="101">
        <v>1</v>
      </c>
      <c r="AF233" s="101">
        <v>7740000</v>
      </c>
      <c r="AG233" s="99" t="str">
        <f>VLOOKUP(AA233,recency!$K$6:$P$818,6,0)</f>
        <v>Low</v>
      </c>
      <c r="AH233" s="132" t="str">
        <f>VLOOKUP(AA233,frequency!$F$6:$H$818,3,FALSE)</f>
        <v>Low</v>
      </c>
      <c r="AI233" s="129" t="str">
        <f>VLOOKUP(AA233,monetary!$B$5:$F$817,5,0)</f>
        <v>Low</v>
      </c>
      <c r="AJ233" s="99" t="str">
        <f t="shared" si="38"/>
        <v>LLL</v>
      </c>
      <c r="AK233" s="99" t="str">
        <f>VLOOKUP(AJ233,rfm[],2,0)</f>
        <v>💤 Lost / Low Value</v>
      </c>
      <c r="AN233" s="99" t="b">
        <f t="shared" si="39"/>
        <v>1</v>
      </c>
    </row>
    <row r="234" spans="2:40" x14ac:dyDescent="0.3">
      <c r="B234" s="99" t="s">
        <v>1588</v>
      </c>
      <c r="C234" s="100">
        <v>45698</v>
      </c>
      <c r="D234" s="99" t="s">
        <v>22</v>
      </c>
      <c r="E234" s="99" t="s">
        <v>23</v>
      </c>
      <c r="F234" s="99" t="s">
        <v>12</v>
      </c>
      <c r="G234" s="99">
        <v>47</v>
      </c>
      <c r="H234" s="112">
        <v>25000</v>
      </c>
      <c r="I234" s="112">
        <v>1175000</v>
      </c>
      <c r="J234" s="99" t="s">
        <v>485</v>
      </c>
      <c r="K234" s="99" t="s">
        <v>127</v>
      </c>
      <c r="N234" s="99" t="s">
        <v>2265</v>
      </c>
      <c r="O234" s="99" t="s">
        <v>127</v>
      </c>
      <c r="P234" s="100">
        <f t="shared" si="31"/>
        <v>45926</v>
      </c>
      <c r="Q234" s="101">
        <f t="shared" si="30"/>
        <v>97</v>
      </c>
      <c r="R234" s="99">
        <f t="shared" si="32"/>
        <v>1</v>
      </c>
      <c r="S234" s="101">
        <f t="shared" si="33"/>
        <v>1000000</v>
      </c>
      <c r="T234" s="99" t="str">
        <f t="shared" si="34"/>
        <v>Low</v>
      </c>
      <c r="U234" s="99" t="str">
        <f t="shared" si="35"/>
        <v>Low</v>
      </c>
      <c r="V234" s="99" t="str">
        <f t="shared" si="36"/>
        <v>Low</v>
      </c>
      <c r="W234" s="99" t="str">
        <f t="shared" si="37"/>
        <v>LLL</v>
      </c>
      <c r="X234" s="99" t="str">
        <f>VLOOKUP(W234,rfm[],2,FALSE)</f>
        <v>💤 Lost / Low Value</v>
      </c>
      <c r="AA234" s="99" t="s">
        <v>2265</v>
      </c>
      <c r="AB234" s="99" t="s">
        <v>127</v>
      </c>
      <c r="AC234" s="100">
        <v>45926</v>
      </c>
      <c r="AD234" s="101">
        <v>97</v>
      </c>
      <c r="AE234" s="101">
        <v>1</v>
      </c>
      <c r="AF234" s="101">
        <v>1000000</v>
      </c>
      <c r="AG234" s="99" t="str">
        <f>VLOOKUP(AA234,recency!$K$6:$P$818,6,0)</f>
        <v>Low</v>
      </c>
      <c r="AH234" s="132" t="str">
        <f>VLOOKUP(AA234,frequency!$F$6:$H$818,3,FALSE)</f>
        <v>Low</v>
      </c>
      <c r="AI234" s="129" t="str">
        <f>VLOOKUP(AA234,monetary!$B$5:$F$817,5,0)</f>
        <v>Low</v>
      </c>
      <c r="AJ234" s="99" t="str">
        <f t="shared" si="38"/>
        <v>LLL</v>
      </c>
      <c r="AK234" s="99" t="str">
        <f>VLOOKUP(AJ234,rfm[],2,0)</f>
        <v>💤 Lost / Low Value</v>
      </c>
      <c r="AN234" s="99" t="b">
        <f t="shared" si="39"/>
        <v>1</v>
      </c>
    </row>
    <row r="235" spans="2:40" x14ac:dyDescent="0.3">
      <c r="B235" s="99" t="s">
        <v>1589</v>
      </c>
      <c r="C235" s="100">
        <v>45698</v>
      </c>
      <c r="D235" s="99" t="s">
        <v>38</v>
      </c>
      <c r="E235" s="99" t="s">
        <v>39</v>
      </c>
      <c r="F235" s="99" t="s">
        <v>16</v>
      </c>
      <c r="G235" s="99">
        <v>26</v>
      </c>
      <c r="H235" s="112">
        <v>200000</v>
      </c>
      <c r="I235" s="112">
        <v>5200000</v>
      </c>
      <c r="J235" s="99" t="s">
        <v>2608</v>
      </c>
      <c r="K235" s="99" t="s">
        <v>60</v>
      </c>
      <c r="N235" s="99" t="s">
        <v>2266</v>
      </c>
      <c r="O235" s="99" t="s">
        <v>8</v>
      </c>
      <c r="P235" s="100">
        <f t="shared" si="31"/>
        <v>46021</v>
      </c>
      <c r="Q235" s="101">
        <f t="shared" si="30"/>
        <v>2</v>
      </c>
      <c r="R235" s="99">
        <f t="shared" si="32"/>
        <v>7</v>
      </c>
      <c r="S235" s="101">
        <f t="shared" si="33"/>
        <v>1186900000</v>
      </c>
      <c r="T235" s="99" t="str">
        <f t="shared" si="34"/>
        <v>High</v>
      </c>
      <c r="U235" s="99" t="str">
        <f t="shared" si="35"/>
        <v>High</v>
      </c>
      <c r="V235" s="99" t="str">
        <f t="shared" si="36"/>
        <v>High</v>
      </c>
      <c r="W235" s="99" t="str">
        <f t="shared" si="37"/>
        <v>HHH</v>
      </c>
      <c r="X235" s="99" t="str">
        <f>VLOOKUP(W235,rfm[],2,FALSE)</f>
        <v>🥇 Champions</v>
      </c>
      <c r="AA235" s="99" t="s">
        <v>2266</v>
      </c>
      <c r="AB235" s="99" t="s">
        <v>8</v>
      </c>
      <c r="AC235" s="100">
        <v>46021</v>
      </c>
      <c r="AD235" s="101">
        <v>2</v>
      </c>
      <c r="AE235" s="101">
        <v>7</v>
      </c>
      <c r="AF235" s="101">
        <v>1186900000</v>
      </c>
      <c r="AG235" s="99" t="str">
        <f>VLOOKUP(AA235,recency!$K$6:$P$818,6,0)</f>
        <v>High</v>
      </c>
      <c r="AH235" s="132" t="str">
        <f>VLOOKUP(AA235,frequency!$F$6:$H$818,3,FALSE)</f>
        <v>High</v>
      </c>
      <c r="AI235" s="129" t="str">
        <f>VLOOKUP(AA235,monetary!$B$5:$F$817,5,0)</f>
        <v>High</v>
      </c>
      <c r="AJ235" s="99" t="str">
        <f t="shared" si="38"/>
        <v>HHH</v>
      </c>
      <c r="AK235" s="99" t="str">
        <f>VLOOKUP(AJ235,rfm[],2,0)</f>
        <v>🥇 Champions</v>
      </c>
      <c r="AN235" s="99" t="b">
        <f t="shared" si="39"/>
        <v>1</v>
      </c>
    </row>
    <row r="236" spans="2:40" x14ac:dyDescent="0.3">
      <c r="B236" s="99" t="s">
        <v>1608</v>
      </c>
      <c r="C236" s="100">
        <v>45698</v>
      </c>
      <c r="D236" s="99" t="s">
        <v>28</v>
      </c>
      <c r="E236" s="99" t="s">
        <v>29</v>
      </c>
      <c r="F236" s="99" t="s">
        <v>20</v>
      </c>
      <c r="G236" s="99">
        <v>33</v>
      </c>
      <c r="H236" s="112">
        <v>450000</v>
      </c>
      <c r="I236" s="112">
        <v>14850000</v>
      </c>
      <c r="J236" s="99" t="s">
        <v>2647</v>
      </c>
      <c r="K236" s="99" t="s">
        <v>8</v>
      </c>
      <c r="N236" s="99" t="s">
        <v>2267</v>
      </c>
      <c r="O236" s="99" t="s">
        <v>8</v>
      </c>
      <c r="P236" s="100">
        <f t="shared" si="31"/>
        <v>45910</v>
      </c>
      <c r="Q236" s="101">
        <f t="shared" si="30"/>
        <v>113</v>
      </c>
      <c r="R236" s="99">
        <f t="shared" si="32"/>
        <v>3</v>
      </c>
      <c r="S236" s="101">
        <f t="shared" si="33"/>
        <v>46100000</v>
      </c>
      <c r="T236" s="99" t="str">
        <f t="shared" si="34"/>
        <v>Low</v>
      </c>
      <c r="U236" s="99" t="str">
        <f t="shared" si="35"/>
        <v>High</v>
      </c>
      <c r="V236" s="99" t="str">
        <f t="shared" si="36"/>
        <v>High</v>
      </c>
      <c r="W236" s="99" t="str">
        <f t="shared" si="37"/>
        <v>LHH</v>
      </c>
      <c r="X236" s="99" t="str">
        <f>VLOOKUP(W236,rfm[],2,FALSE)</f>
        <v>⚠️ At Risk High Value</v>
      </c>
      <c r="AA236" s="99" t="s">
        <v>2267</v>
      </c>
      <c r="AB236" s="99" t="s">
        <v>8</v>
      </c>
      <c r="AC236" s="100">
        <v>45910</v>
      </c>
      <c r="AD236" s="101">
        <v>113</v>
      </c>
      <c r="AE236" s="101">
        <v>3</v>
      </c>
      <c r="AF236" s="101">
        <v>46100000</v>
      </c>
      <c r="AG236" s="99" t="str">
        <f>VLOOKUP(AA236,recency!$K$6:$P$818,6,0)</f>
        <v>Low</v>
      </c>
      <c r="AH236" s="132" t="str">
        <f>VLOOKUP(AA236,frequency!$F$6:$H$818,3,FALSE)</f>
        <v>High</v>
      </c>
      <c r="AI236" s="129" t="str">
        <f>VLOOKUP(AA236,monetary!$B$5:$F$817,5,0)</f>
        <v>Low</v>
      </c>
      <c r="AJ236" s="99" t="str">
        <f t="shared" si="38"/>
        <v>LHL</v>
      </c>
      <c r="AK236" s="99" t="str">
        <f>VLOOKUP(AJ236,rfm[],2,0)</f>
        <v>🔁 Former Loyal Low Spend</v>
      </c>
      <c r="AN236" s="99" t="b">
        <f t="shared" si="39"/>
        <v>0</v>
      </c>
    </row>
    <row r="237" spans="2:40" x14ac:dyDescent="0.3">
      <c r="B237" s="99" t="s">
        <v>1609</v>
      </c>
      <c r="C237" s="100">
        <v>45698</v>
      </c>
      <c r="D237" s="99" t="s">
        <v>14</v>
      </c>
      <c r="E237" s="99" t="s">
        <v>15</v>
      </c>
      <c r="F237" s="99" t="s">
        <v>16</v>
      </c>
      <c r="G237" s="99">
        <v>290</v>
      </c>
      <c r="H237" s="112">
        <v>350000</v>
      </c>
      <c r="I237" s="112">
        <v>101500000</v>
      </c>
      <c r="J237" s="99" t="s">
        <v>2830</v>
      </c>
      <c r="K237" s="99" t="s">
        <v>69</v>
      </c>
      <c r="N237" s="99" t="s">
        <v>2268</v>
      </c>
      <c r="O237" s="99" t="s">
        <v>60</v>
      </c>
      <c r="P237" s="100">
        <f t="shared" si="31"/>
        <v>45959</v>
      </c>
      <c r="Q237" s="101">
        <f t="shared" si="30"/>
        <v>64</v>
      </c>
      <c r="R237" s="99">
        <f t="shared" si="32"/>
        <v>1</v>
      </c>
      <c r="S237" s="101">
        <f t="shared" si="33"/>
        <v>4500000</v>
      </c>
      <c r="T237" s="99" t="str">
        <f t="shared" si="34"/>
        <v>High</v>
      </c>
      <c r="U237" s="99" t="str">
        <f t="shared" si="35"/>
        <v>Low</v>
      </c>
      <c r="V237" s="99" t="str">
        <f t="shared" si="36"/>
        <v>Low</v>
      </c>
      <c r="W237" s="99" t="str">
        <f t="shared" si="37"/>
        <v>HLL</v>
      </c>
      <c r="X237" s="99" t="str">
        <f>VLOOKUP(W237,rfm[],2,FALSE)</f>
        <v>🌱 Potential Loyalists</v>
      </c>
      <c r="AA237" s="99" t="s">
        <v>2268</v>
      </c>
      <c r="AB237" s="99" t="s">
        <v>60</v>
      </c>
      <c r="AC237" s="100">
        <v>45959</v>
      </c>
      <c r="AD237" s="101">
        <v>64</v>
      </c>
      <c r="AE237" s="101">
        <v>1</v>
      </c>
      <c r="AF237" s="101">
        <v>4500000</v>
      </c>
      <c r="AG237" s="99" t="str">
        <f>VLOOKUP(AA237,recency!$K$6:$P$818,6,0)</f>
        <v>Low</v>
      </c>
      <c r="AH237" s="132" t="str">
        <f>VLOOKUP(AA237,frequency!$F$6:$H$818,3,FALSE)</f>
        <v>Low</v>
      </c>
      <c r="AI237" s="129" t="str">
        <f>VLOOKUP(AA237,monetary!$B$5:$F$817,5,0)</f>
        <v>Low</v>
      </c>
      <c r="AJ237" s="99" t="str">
        <f t="shared" si="38"/>
        <v>LLL</v>
      </c>
      <c r="AK237" s="99" t="str">
        <f>VLOOKUP(AJ237,rfm[],2,0)</f>
        <v>💤 Lost / Low Value</v>
      </c>
      <c r="AN237" s="99" t="b">
        <f t="shared" si="39"/>
        <v>0</v>
      </c>
    </row>
    <row r="238" spans="2:40" x14ac:dyDescent="0.3">
      <c r="B238" s="99" t="s">
        <v>1641</v>
      </c>
      <c r="C238" s="100">
        <v>45698</v>
      </c>
      <c r="D238" s="99" t="s">
        <v>22</v>
      </c>
      <c r="E238" s="99" t="s">
        <v>23</v>
      </c>
      <c r="F238" s="99" t="s">
        <v>12</v>
      </c>
      <c r="G238" s="99">
        <v>340</v>
      </c>
      <c r="H238" s="112">
        <v>25000</v>
      </c>
      <c r="I238" s="112">
        <v>8500000</v>
      </c>
      <c r="J238" s="99" t="s">
        <v>2184</v>
      </c>
      <c r="K238" s="99" t="s">
        <v>127</v>
      </c>
      <c r="N238" s="99" t="s">
        <v>2269</v>
      </c>
      <c r="O238" s="99" t="s">
        <v>8</v>
      </c>
      <c r="P238" s="100">
        <f t="shared" si="31"/>
        <v>45805</v>
      </c>
      <c r="Q238" s="101">
        <f t="shared" si="30"/>
        <v>218</v>
      </c>
      <c r="R238" s="99">
        <f t="shared" si="32"/>
        <v>2</v>
      </c>
      <c r="S238" s="101">
        <f t="shared" si="33"/>
        <v>51750000</v>
      </c>
      <c r="T238" s="99" t="str">
        <f t="shared" si="34"/>
        <v>Low</v>
      </c>
      <c r="U238" s="99" t="str">
        <f t="shared" si="35"/>
        <v>Low</v>
      </c>
      <c r="V238" s="99" t="str">
        <f t="shared" si="36"/>
        <v>High</v>
      </c>
      <c r="W238" s="99" t="str">
        <f t="shared" si="37"/>
        <v>LLH</v>
      </c>
      <c r="X238" s="99" t="str">
        <f>VLOOKUP(W238,rfm[],2,FALSE)</f>
        <v>💸 Lost High Spenders</v>
      </c>
      <c r="AA238" s="99" t="s">
        <v>2269</v>
      </c>
      <c r="AB238" s="99" t="s">
        <v>8</v>
      </c>
      <c r="AC238" s="100">
        <v>45805</v>
      </c>
      <c r="AD238" s="101">
        <v>218</v>
      </c>
      <c r="AE238" s="101">
        <v>2</v>
      </c>
      <c r="AF238" s="101">
        <v>51750000</v>
      </c>
      <c r="AG238" s="99" t="str">
        <f>VLOOKUP(AA238,recency!$K$6:$P$818,6,0)</f>
        <v>Low</v>
      </c>
      <c r="AH238" s="132" t="str">
        <f>VLOOKUP(AA238,frequency!$F$6:$H$818,3,FALSE)</f>
        <v>Low</v>
      </c>
      <c r="AI238" s="129" t="str">
        <f>VLOOKUP(AA238,monetary!$B$5:$F$817,5,0)</f>
        <v>High</v>
      </c>
      <c r="AJ238" s="99" t="str">
        <f t="shared" si="38"/>
        <v>LLH</v>
      </c>
      <c r="AK238" s="99" t="str">
        <f>VLOOKUP(AJ238,rfm[],2,0)</f>
        <v>💸 Lost High Spenders</v>
      </c>
      <c r="AN238" s="99" t="b">
        <f t="shared" si="39"/>
        <v>1</v>
      </c>
    </row>
    <row r="239" spans="2:40" x14ac:dyDescent="0.3">
      <c r="B239" s="99" t="s">
        <v>1642</v>
      </c>
      <c r="C239" s="100">
        <v>45698</v>
      </c>
      <c r="D239" s="99" t="s">
        <v>14</v>
      </c>
      <c r="E239" s="99" t="s">
        <v>15</v>
      </c>
      <c r="F239" s="99" t="s">
        <v>16</v>
      </c>
      <c r="G239" s="99">
        <v>50</v>
      </c>
      <c r="H239" s="112">
        <v>350000</v>
      </c>
      <c r="I239" s="112">
        <v>17500000</v>
      </c>
      <c r="J239" s="99" t="s">
        <v>2747</v>
      </c>
      <c r="K239" s="99" t="s">
        <v>8</v>
      </c>
      <c r="N239" s="99" t="s">
        <v>2270</v>
      </c>
      <c r="O239" s="99" t="s">
        <v>60</v>
      </c>
      <c r="P239" s="100">
        <f t="shared" si="31"/>
        <v>45938</v>
      </c>
      <c r="Q239" s="101">
        <f t="shared" si="30"/>
        <v>85</v>
      </c>
      <c r="R239" s="99">
        <f t="shared" si="32"/>
        <v>2</v>
      </c>
      <c r="S239" s="101">
        <f t="shared" si="33"/>
        <v>4430000</v>
      </c>
      <c r="T239" s="99" t="str">
        <f t="shared" si="34"/>
        <v>High</v>
      </c>
      <c r="U239" s="99" t="str">
        <f t="shared" si="35"/>
        <v>Low</v>
      </c>
      <c r="V239" s="99" t="str">
        <f t="shared" si="36"/>
        <v>Low</v>
      </c>
      <c r="W239" s="99" t="str">
        <f t="shared" si="37"/>
        <v>HLL</v>
      </c>
      <c r="X239" s="99" t="str">
        <f>VLOOKUP(W239,rfm[],2,FALSE)</f>
        <v>🌱 Potential Loyalists</v>
      </c>
      <c r="AA239" s="99" t="s">
        <v>2270</v>
      </c>
      <c r="AB239" s="99" t="s">
        <v>60</v>
      </c>
      <c r="AC239" s="100">
        <v>45938</v>
      </c>
      <c r="AD239" s="101">
        <v>85</v>
      </c>
      <c r="AE239" s="101">
        <v>2</v>
      </c>
      <c r="AF239" s="101">
        <v>4430000</v>
      </c>
      <c r="AG239" s="99" t="str">
        <f>VLOOKUP(AA239,recency!$K$6:$P$818,6,0)</f>
        <v>Low</v>
      </c>
      <c r="AH239" s="132" t="str">
        <f>VLOOKUP(AA239,frequency!$F$6:$H$818,3,FALSE)</f>
        <v>Low</v>
      </c>
      <c r="AI239" s="129" t="str">
        <f>VLOOKUP(AA239,monetary!$B$5:$F$817,5,0)</f>
        <v>Low</v>
      </c>
      <c r="AJ239" s="99" t="str">
        <f t="shared" si="38"/>
        <v>LLL</v>
      </c>
      <c r="AK239" s="99" t="str">
        <f>VLOOKUP(AJ239,rfm[],2,0)</f>
        <v>💤 Lost / Low Value</v>
      </c>
      <c r="AN239" s="99" t="b">
        <f t="shared" si="39"/>
        <v>0</v>
      </c>
    </row>
    <row r="240" spans="2:40" x14ac:dyDescent="0.3">
      <c r="B240" s="99" t="s">
        <v>1643</v>
      </c>
      <c r="C240" s="100">
        <v>45699</v>
      </c>
      <c r="D240" s="99" t="s">
        <v>10</v>
      </c>
      <c r="E240" s="99" t="s">
        <v>11</v>
      </c>
      <c r="F240" s="99" t="s">
        <v>12</v>
      </c>
      <c r="G240" s="99">
        <v>21</v>
      </c>
      <c r="H240" s="112">
        <v>120000</v>
      </c>
      <c r="I240" s="112">
        <v>2520000</v>
      </c>
      <c r="J240" s="99" t="s">
        <v>2721</v>
      </c>
      <c r="K240" s="99" t="s">
        <v>8</v>
      </c>
      <c r="N240" s="99" t="s">
        <v>2271</v>
      </c>
      <c r="O240" s="99" t="s">
        <v>47</v>
      </c>
      <c r="P240" s="100">
        <f t="shared" si="31"/>
        <v>45726</v>
      </c>
      <c r="Q240" s="101">
        <f t="shared" si="30"/>
        <v>297</v>
      </c>
      <c r="R240" s="99">
        <f t="shared" si="32"/>
        <v>2</v>
      </c>
      <c r="S240" s="101">
        <f t="shared" si="33"/>
        <v>24900000</v>
      </c>
      <c r="T240" s="99" t="str">
        <f t="shared" si="34"/>
        <v>Low</v>
      </c>
      <c r="U240" s="99" t="str">
        <f t="shared" si="35"/>
        <v>Low</v>
      </c>
      <c r="V240" s="99" t="str">
        <f t="shared" si="36"/>
        <v>High</v>
      </c>
      <c r="W240" s="99" t="str">
        <f t="shared" si="37"/>
        <v>LLH</v>
      </c>
      <c r="X240" s="99" t="str">
        <f>VLOOKUP(W240,rfm[],2,FALSE)</f>
        <v>💸 Lost High Spenders</v>
      </c>
      <c r="AA240" s="99" t="s">
        <v>2271</v>
      </c>
      <c r="AB240" s="99" t="s">
        <v>47</v>
      </c>
      <c r="AC240" s="100">
        <v>45726</v>
      </c>
      <c r="AD240" s="101">
        <v>297</v>
      </c>
      <c r="AE240" s="101">
        <v>2</v>
      </c>
      <c r="AF240" s="101">
        <v>24900000</v>
      </c>
      <c r="AG240" s="99" t="str">
        <f>VLOOKUP(AA240,recency!$K$6:$P$818,6,0)</f>
        <v>Low</v>
      </c>
      <c r="AH240" s="132" t="str">
        <f>VLOOKUP(AA240,frequency!$F$6:$H$818,3,FALSE)</f>
        <v>Low</v>
      </c>
      <c r="AI240" s="129" t="str">
        <f>VLOOKUP(AA240,monetary!$B$5:$F$817,5,0)</f>
        <v>Low</v>
      </c>
      <c r="AJ240" s="99" t="str">
        <f t="shared" si="38"/>
        <v>LLL</v>
      </c>
      <c r="AK240" s="99" t="str">
        <f>VLOOKUP(AJ240,rfm[],2,0)</f>
        <v>💤 Lost / Low Value</v>
      </c>
      <c r="AN240" s="99" t="b">
        <f t="shared" si="39"/>
        <v>0</v>
      </c>
    </row>
    <row r="241" spans="2:40" x14ac:dyDescent="0.3">
      <c r="B241" s="99" t="s">
        <v>1644</v>
      </c>
      <c r="C241" s="100">
        <v>45699</v>
      </c>
      <c r="D241" s="99" t="s">
        <v>40</v>
      </c>
      <c r="E241" s="99" t="s">
        <v>41</v>
      </c>
      <c r="F241" s="99" t="s">
        <v>16</v>
      </c>
      <c r="G241" s="99">
        <v>41</v>
      </c>
      <c r="H241" s="112">
        <v>950000</v>
      </c>
      <c r="I241" s="112">
        <v>38950000</v>
      </c>
      <c r="J241" s="99" t="s">
        <v>2793</v>
      </c>
      <c r="K241" s="99" t="s">
        <v>69</v>
      </c>
      <c r="N241" s="99" t="s">
        <v>2272</v>
      </c>
      <c r="O241" s="99" t="s">
        <v>8</v>
      </c>
      <c r="P241" s="100">
        <f t="shared" si="31"/>
        <v>45994</v>
      </c>
      <c r="Q241" s="101">
        <f t="shared" si="30"/>
        <v>29</v>
      </c>
      <c r="R241" s="99">
        <f t="shared" si="32"/>
        <v>2</v>
      </c>
      <c r="S241" s="101">
        <f t="shared" si="33"/>
        <v>49090000</v>
      </c>
      <c r="T241" s="99" t="str">
        <f t="shared" si="34"/>
        <v>High</v>
      </c>
      <c r="U241" s="99" t="str">
        <f t="shared" si="35"/>
        <v>Low</v>
      </c>
      <c r="V241" s="99" t="str">
        <f t="shared" si="36"/>
        <v>High</v>
      </c>
      <c r="W241" s="99" t="str">
        <f t="shared" si="37"/>
        <v>HLH</v>
      </c>
      <c r="X241" s="99" t="str">
        <f>VLOOKUP(W241,rfm[],2,FALSE)</f>
        <v>🛒 Big Spenders (Occasional)</v>
      </c>
      <c r="AA241" s="99" t="s">
        <v>2272</v>
      </c>
      <c r="AB241" s="99" t="s">
        <v>8</v>
      </c>
      <c r="AC241" s="100">
        <v>45994</v>
      </c>
      <c r="AD241" s="101">
        <v>29</v>
      </c>
      <c r="AE241" s="101">
        <v>2</v>
      </c>
      <c r="AF241" s="101">
        <v>49090000</v>
      </c>
      <c r="AG241" s="99" t="str">
        <f>VLOOKUP(AA241,recency!$K$6:$P$818,6,0)</f>
        <v>High</v>
      </c>
      <c r="AH241" s="132" t="str">
        <f>VLOOKUP(AA241,frequency!$F$6:$H$818,3,FALSE)</f>
        <v>Low</v>
      </c>
      <c r="AI241" s="129" t="str">
        <f>VLOOKUP(AA241,monetary!$B$5:$F$817,5,0)</f>
        <v>Low</v>
      </c>
      <c r="AJ241" s="99" t="str">
        <f t="shared" si="38"/>
        <v>HLL</v>
      </c>
      <c r="AK241" s="99" t="str">
        <f>VLOOKUP(AJ241,rfm[],2,0)</f>
        <v>🌱 Potential Loyalists</v>
      </c>
      <c r="AN241" s="99" t="b">
        <f t="shared" si="39"/>
        <v>0</v>
      </c>
    </row>
    <row r="242" spans="2:40" x14ac:dyDescent="0.3">
      <c r="B242" s="99" t="s">
        <v>1645</v>
      </c>
      <c r="C242" s="100">
        <v>45699</v>
      </c>
      <c r="D242" s="99" t="s">
        <v>42</v>
      </c>
      <c r="E242" s="99" t="s">
        <v>43</v>
      </c>
      <c r="F242" s="99" t="s">
        <v>16</v>
      </c>
      <c r="G242" s="99">
        <v>6</v>
      </c>
      <c r="H242" s="112">
        <v>1200000</v>
      </c>
      <c r="I242" s="112">
        <v>7200000</v>
      </c>
      <c r="J242" s="99" t="s">
        <v>596</v>
      </c>
      <c r="K242" s="99" t="s">
        <v>60</v>
      </c>
      <c r="N242" s="99" t="s">
        <v>2273</v>
      </c>
      <c r="O242" s="99" t="s">
        <v>60</v>
      </c>
      <c r="P242" s="100">
        <f t="shared" si="31"/>
        <v>45986</v>
      </c>
      <c r="Q242" s="101">
        <f t="shared" si="30"/>
        <v>37</v>
      </c>
      <c r="R242" s="99">
        <f t="shared" si="32"/>
        <v>4</v>
      </c>
      <c r="S242" s="101">
        <f t="shared" si="33"/>
        <v>25935000</v>
      </c>
      <c r="T242" s="99" t="str">
        <f t="shared" si="34"/>
        <v>High</v>
      </c>
      <c r="U242" s="99" t="str">
        <f t="shared" si="35"/>
        <v>High</v>
      </c>
      <c r="V242" s="99" t="str">
        <f t="shared" si="36"/>
        <v>High</v>
      </c>
      <c r="W242" s="99" t="str">
        <f t="shared" si="37"/>
        <v>HHH</v>
      </c>
      <c r="X242" s="99" t="str">
        <f>VLOOKUP(W242,rfm[],2,FALSE)</f>
        <v>🥇 Champions</v>
      </c>
      <c r="AA242" s="99" t="s">
        <v>2273</v>
      </c>
      <c r="AB242" s="99" t="s">
        <v>60</v>
      </c>
      <c r="AC242" s="100">
        <v>45986</v>
      </c>
      <c r="AD242" s="101">
        <v>37</v>
      </c>
      <c r="AE242" s="101">
        <v>4</v>
      </c>
      <c r="AF242" s="101">
        <v>25935000</v>
      </c>
      <c r="AG242" s="99" t="str">
        <f>VLOOKUP(AA242,recency!$K$6:$P$818,6,0)</f>
        <v>High</v>
      </c>
      <c r="AH242" s="132" t="str">
        <f>VLOOKUP(AA242,frequency!$F$6:$H$818,3,FALSE)</f>
        <v>High</v>
      </c>
      <c r="AI242" s="129" t="str">
        <f>VLOOKUP(AA242,monetary!$B$5:$F$817,5,0)</f>
        <v>Low</v>
      </c>
      <c r="AJ242" s="99" t="str">
        <f t="shared" si="38"/>
        <v>HHL</v>
      </c>
      <c r="AK242" s="99" t="str">
        <f>VLOOKUP(AJ242,rfm[],2,0)</f>
        <v>💎 Loyal High Value</v>
      </c>
      <c r="AN242" s="99" t="b">
        <f t="shared" si="39"/>
        <v>0</v>
      </c>
    </row>
    <row r="243" spans="2:40" x14ac:dyDescent="0.3">
      <c r="B243" s="99" t="s">
        <v>1646</v>
      </c>
      <c r="C243" s="100">
        <v>45699</v>
      </c>
      <c r="D243" s="99" t="s">
        <v>40</v>
      </c>
      <c r="E243" s="99" t="s">
        <v>41</v>
      </c>
      <c r="F243" s="99" t="s">
        <v>16</v>
      </c>
      <c r="G243" s="99">
        <v>480</v>
      </c>
      <c r="H243" s="112">
        <v>950000</v>
      </c>
      <c r="I243" s="112">
        <v>456000000</v>
      </c>
      <c r="J243" s="99" t="s">
        <v>2684</v>
      </c>
      <c r="K243" s="99" t="s">
        <v>127</v>
      </c>
      <c r="N243" s="99" t="s">
        <v>2274</v>
      </c>
      <c r="O243" s="99" t="s">
        <v>60</v>
      </c>
      <c r="P243" s="100">
        <f t="shared" si="31"/>
        <v>45982</v>
      </c>
      <c r="Q243" s="101">
        <f t="shared" si="30"/>
        <v>41</v>
      </c>
      <c r="R243" s="99">
        <f t="shared" si="32"/>
        <v>3</v>
      </c>
      <c r="S243" s="101">
        <f t="shared" si="33"/>
        <v>19315000</v>
      </c>
      <c r="T243" s="99" t="str">
        <f t="shared" si="34"/>
        <v>High</v>
      </c>
      <c r="U243" s="99" t="str">
        <f t="shared" si="35"/>
        <v>High</v>
      </c>
      <c r="V243" s="99" t="str">
        <f t="shared" si="36"/>
        <v>High</v>
      </c>
      <c r="W243" s="99" t="str">
        <f t="shared" si="37"/>
        <v>HHH</v>
      </c>
      <c r="X243" s="99" t="str">
        <f>VLOOKUP(W243,rfm[],2,FALSE)</f>
        <v>🥇 Champions</v>
      </c>
      <c r="AA243" s="99" t="s">
        <v>2274</v>
      </c>
      <c r="AB243" s="99" t="s">
        <v>60</v>
      </c>
      <c r="AC243" s="100">
        <v>45982</v>
      </c>
      <c r="AD243" s="101">
        <v>41</v>
      </c>
      <c r="AE243" s="101">
        <v>3</v>
      </c>
      <c r="AF243" s="101">
        <v>19315000</v>
      </c>
      <c r="AG243" s="99" t="str">
        <f>VLOOKUP(AA243,recency!$K$6:$P$818,6,0)</f>
        <v>High</v>
      </c>
      <c r="AH243" s="132" t="str">
        <f>VLOOKUP(AA243,frequency!$F$6:$H$818,3,FALSE)</f>
        <v>High</v>
      </c>
      <c r="AI243" s="129" t="str">
        <f>VLOOKUP(AA243,monetary!$B$5:$F$817,5,0)</f>
        <v>Low</v>
      </c>
      <c r="AJ243" s="99" t="str">
        <f t="shared" si="38"/>
        <v>HHL</v>
      </c>
      <c r="AK243" s="99" t="str">
        <f>VLOOKUP(AJ243,rfm[],2,0)</f>
        <v>💎 Loyal High Value</v>
      </c>
      <c r="AN243" s="99" t="b">
        <f t="shared" si="39"/>
        <v>0</v>
      </c>
    </row>
    <row r="244" spans="2:40" x14ac:dyDescent="0.3">
      <c r="B244" s="99" t="s">
        <v>1684</v>
      </c>
      <c r="C244" s="100">
        <v>45699</v>
      </c>
      <c r="D244" s="99" t="s">
        <v>42</v>
      </c>
      <c r="E244" s="99" t="s">
        <v>43</v>
      </c>
      <c r="F244" s="99" t="s">
        <v>16</v>
      </c>
      <c r="G244" s="99">
        <v>9</v>
      </c>
      <c r="H244" s="112">
        <v>1200000</v>
      </c>
      <c r="I244" s="112">
        <v>10800000</v>
      </c>
      <c r="J244" s="99" t="s">
        <v>2832</v>
      </c>
      <c r="K244" s="99" t="s">
        <v>69</v>
      </c>
      <c r="N244" s="99" t="s">
        <v>2275</v>
      </c>
      <c r="O244" s="99" t="s">
        <v>60</v>
      </c>
      <c r="P244" s="100">
        <f t="shared" si="31"/>
        <v>45712</v>
      </c>
      <c r="Q244" s="101">
        <f t="shared" si="30"/>
        <v>311</v>
      </c>
      <c r="R244" s="99">
        <f t="shared" si="32"/>
        <v>1</v>
      </c>
      <c r="S244" s="101">
        <f t="shared" si="33"/>
        <v>20500000</v>
      </c>
      <c r="T244" s="99" t="str">
        <f t="shared" si="34"/>
        <v>Low</v>
      </c>
      <c r="U244" s="99" t="str">
        <f t="shared" si="35"/>
        <v>Low</v>
      </c>
      <c r="V244" s="99" t="str">
        <f t="shared" si="36"/>
        <v>High</v>
      </c>
      <c r="W244" s="99" t="str">
        <f t="shared" si="37"/>
        <v>LLH</v>
      </c>
      <c r="X244" s="99" t="str">
        <f>VLOOKUP(W244,rfm[],2,FALSE)</f>
        <v>💸 Lost High Spenders</v>
      </c>
      <c r="AA244" s="99" t="s">
        <v>2275</v>
      </c>
      <c r="AB244" s="99" t="s">
        <v>60</v>
      </c>
      <c r="AC244" s="100">
        <v>45712</v>
      </c>
      <c r="AD244" s="101">
        <v>311</v>
      </c>
      <c r="AE244" s="101">
        <v>1</v>
      </c>
      <c r="AF244" s="101">
        <v>20500000</v>
      </c>
      <c r="AG244" s="99" t="str">
        <f>VLOOKUP(AA244,recency!$K$6:$P$818,6,0)</f>
        <v>Low</v>
      </c>
      <c r="AH244" s="132" t="str">
        <f>VLOOKUP(AA244,frequency!$F$6:$H$818,3,FALSE)</f>
        <v>Low</v>
      </c>
      <c r="AI244" s="129" t="str">
        <f>VLOOKUP(AA244,monetary!$B$5:$F$817,5,0)</f>
        <v>Low</v>
      </c>
      <c r="AJ244" s="99" t="str">
        <f t="shared" si="38"/>
        <v>LLL</v>
      </c>
      <c r="AK244" s="99" t="str">
        <f>VLOOKUP(AJ244,rfm[],2,0)</f>
        <v>💤 Lost / Low Value</v>
      </c>
      <c r="AN244" s="99" t="b">
        <f t="shared" si="39"/>
        <v>0</v>
      </c>
    </row>
    <row r="245" spans="2:40" x14ac:dyDescent="0.3">
      <c r="B245" s="99" t="s">
        <v>1685</v>
      </c>
      <c r="C245" s="100">
        <v>45699</v>
      </c>
      <c r="D245" s="99" t="s">
        <v>38</v>
      </c>
      <c r="E245" s="99" t="s">
        <v>39</v>
      </c>
      <c r="F245" s="99" t="s">
        <v>16</v>
      </c>
      <c r="G245" s="99">
        <v>26</v>
      </c>
      <c r="H245" s="112">
        <v>200000</v>
      </c>
      <c r="I245" s="112">
        <v>5200000</v>
      </c>
      <c r="J245" s="99" t="s">
        <v>2464</v>
      </c>
      <c r="K245" s="99" t="s">
        <v>8</v>
      </c>
      <c r="N245" s="99" t="s">
        <v>2276</v>
      </c>
      <c r="O245" s="99" t="s">
        <v>8</v>
      </c>
      <c r="P245" s="100">
        <f t="shared" si="31"/>
        <v>45982</v>
      </c>
      <c r="Q245" s="101">
        <f t="shared" si="30"/>
        <v>41</v>
      </c>
      <c r="R245" s="99">
        <f t="shared" si="32"/>
        <v>7</v>
      </c>
      <c r="S245" s="101">
        <f t="shared" si="33"/>
        <v>19000000</v>
      </c>
      <c r="T245" s="99" t="str">
        <f t="shared" si="34"/>
        <v>High</v>
      </c>
      <c r="U245" s="99" t="str">
        <f t="shared" si="35"/>
        <v>High</v>
      </c>
      <c r="V245" s="99" t="str">
        <f t="shared" si="36"/>
        <v>High</v>
      </c>
      <c r="W245" s="99" t="str">
        <f t="shared" si="37"/>
        <v>HHH</v>
      </c>
      <c r="X245" s="99" t="str">
        <f>VLOOKUP(W245,rfm[],2,FALSE)</f>
        <v>🥇 Champions</v>
      </c>
      <c r="AA245" s="99" t="s">
        <v>2276</v>
      </c>
      <c r="AB245" s="99" t="s">
        <v>8</v>
      </c>
      <c r="AC245" s="100">
        <v>45982</v>
      </c>
      <c r="AD245" s="101">
        <v>41</v>
      </c>
      <c r="AE245" s="101">
        <v>7</v>
      </c>
      <c r="AF245" s="101">
        <v>19000000</v>
      </c>
      <c r="AG245" s="99" t="str">
        <f>VLOOKUP(AA245,recency!$K$6:$P$818,6,0)</f>
        <v>High</v>
      </c>
      <c r="AH245" s="132" t="str">
        <f>VLOOKUP(AA245,frequency!$F$6:$H$818,3,FALSE)</f>
        <v>High</v>
      </c>
      <c r="AI245" s="129" t="str">
        <f>VLOOKUP(AA245,monetary!$B$5:$F$817,5,0)</f>
        <v>Low</v>
      </c>
      <c r="AJ245" s="99" t="str">
        <f t="shared" si="38"/>
        <v>HHL</v>
      </c>
      <c r="AK245" s="99" t="str">
        <f>VLOOKUP(AJ245,rfm[],2,0)</f>
        <v>💎 Loyal High Value</v>
      </c>
      <c r="AN245" s="99" t="b">
        <f t="shared" si="39"/>
        <v>0</v>
      </c>
    </row>
    <row r="246" spans="2:40" x14ac:dyDescent="0.3">
      <c r="B246" s="99" t="s">
        <v>1686</v>
      </c>
      <c r="C246" s="100">
        <v>45699</v>
      </c>
      <c r="D246" s="99" t="s">
        <v>28</v>
      </c>
      <c r="E246" s="99" t="s">
        <v>29</v>
      </c>
      <c r="F246" s="99" t="s">
        <v>20</v>
      </c>
      <c r="G246" s="99">
        <v>9</v>
      </c>
      <c r="H246" s="112">
        <v>450000</v>
      </c>
      <c r="I246" s="112">
        <v>4050000</v>
      </c>
      <c r="J246" s="99" t="s">
        <v>2690</v>
      </c>
      <c r="K246" s="99" t="s">
        <v>60</v>
      </c>
      <c r="N246" s="99" t="s">
        <v>2277</v>
      </c>
      <c r="O246" s="99" t="s">
        <v>127</v>
      </c>
      <c r="P246" s="100">
        <f t="shared" si="31"/>
        <v>45833</v>
      </c>
      <c r="Q246" s="101">
        <f t="shared" si="30"/>
        <v>190</v>
      </c>
      <c r="R246" s="99">
        <f t="shared" si="32"/>
        <v>2</v>
      </c>
      <c r="S246" s="101">
        <f t="shared" si="33"/>
        <v>3400000</v>
      </c>
      <c r="T246" s="99" t="str">
        <f t="shared" si="34"/>
        <v>Low</v>
      </c>
      <c r="U246" s="99" t="str">
        <f t="shared" si="35"/>
        <v>Low</v>
      </c>
      <c r="V246" s="99" t="str">
        <f t="shared" si="36"/>
        <v>Low</v>
      </c>
      <c r="W246" s="99" t="str">
        <f t="shared" si="37"/>
        <v>LLL</v>
      </c>
      <c r="X246" s="99" t="str">
        <f>VLOOKUP(W246,rfm[],2,FALSE)</f>
        <v>💤 Lost / Low Value</v>
      </c>
      <c r="AA246" s="99" t="s">
        <v>2277</v>
      </c>
      <c r="AB246" s="99" t="s">
        <v>127</v>
      </c>
      <c r="AC246" s="100">
        <v>45833</v>
      </c>
      <c r="AD246" s="101">
        <v>190</v>
      </c>
      <c r="AE246" s="101">
        <v>2</v>
      </c>
      <c r="AF246" s="101">
        <v>3400000</v>
      </c>
      <c r="AG246" s="99" t="str">
        <f>VLOOKUP(AA246,recency!$K$6:$P$818,6,0)</f>
        <v>Low</v>
      </c>
      <c r="AH246" s="132" t="str">
        <f>VLOOKUP(AA246,frequency!$F$6:$H$818,3,FALSE)</f>
        <v>Low</v>
      </c>
      <c r="AI246" s="129" t="str">
        <f>VLOOKUP(AA246,monetary!$B$5:$F$817,5,0)</f>
        <v>Low</v>
      </c>
      <c r="AJ246" s="99" t="str">
        <f t="shared" si="38"/>
        <v>LLL</v>
      </c>
      <c r="AK246" s="99" t="str">
        <f>VLOOKUP(AJ246,rfm[],2,0)</f>
        <v>💤 Lost / Low Value</v>
      </c>
      <c r="AN246" s="99" t="b">
        <f t="shared" si="39"/>
        <v>1</v>
      </c>
    </row>
    <row r="247" spans="2:40" x14ac:dyDescent="0.3">
      <c r="B247" s="99" t="s">
        <v>1717</v>
      </c>
      <c r="C247" s="100">
        <v>45699</v>
      </c>
      <c r="D247" s="99" t="s">
        <v>22</v>
      </c>
      <c r="E247" s="99" t="s">
        <v>23</v>
      </c>
      <c r="F247" s="99" t="s">
        <v>12</v>
      </c>
      <c r="G247" s="99">
        <v>15</v>
      </c>
      <c r="H247" s="112">
        <v>25000</v>
      </c>
      <c r="I247" s="112">
        <v>375000</v>
      </c>
      <c r="J247" s="99" t="s">
        <v>2720</v>
      </c>
      <c r="K247" s="99" t="s">
        <v>47</v>
      </c>
      <c r="N247" s="99" t="s">
        <v>2278</v>
      </c>
      <c r="O247" s="99" t="s">
        <v>60</v>
      </c>
      <c r="P247" s="100">
        <f t="shared" si="31"/>
        <v>45896</v>
      </c>
      <c r="Q247" s="101">
        <f t="shared" si="30"/>
        <v>127</v>
      </c>
      <c r="R247" s="99">
        <f t="shared" si="32"/>
        <v>2</v>
      </c>
      <c r="S247" s="101">
        <f t="shared" si="33"/>
        <v>19200000</v>
      </c>
      <c r="T247" s="99" t="str">
        <f t="shared" si="34"/>
        <v>Low</v>
      </c>
      <c r="U247" s="99" t="str">
        <f t="shared" si="35"/>
        <v>Low</v>
      </c>
      <c r="V247" s="99" t="str">
        <f t="shared" si="36"/>
        <v>High</v>
      </c>
      <c r="W247" s="99" t="str">
        <f t="shared" si="37"/>
        <v>LLH</v>
      </c>
      <c r="X247" s="99" t="str">
        <f>VLOOKUP(W247,rfm[],2,FALSE)</f>
        <v>💸 Lost High Spenders</v>
      </c>
      <c r="AA247" s="99" t="s">
        <v>2278</v>
      </c>
      <c r="AB247" s="99" t="s">
        <v>60</v>
      </c>
      <c r="AC247" s="100">
        <v>45896</v>
      </c>
      <c r="AD247" s="101">
        <v>127</v>
      </c>
      <c r="AE247" s="101">
        <v>2</v>
      </c>
      <c r="AF247" s="101">
        <v>19200000</v>
      </c>
      <c r="AG247" s="99" t="str">
        <f>VLOOKUP(AA247,recency!$K$6:$P$818,6,0)</f>
        <v>Low</v>
      </c>
      <c r="AH247" s="132" t="str">
        <f>VLOOKUP(AA247,frequency!$F$6:$H$818,3,FALSE)</f>
        <v>Low</v>
      </c>
      <c r="AI247" s="129" t="str">
        <f>VLOOKUP(AA247,monetary!$B$5:$F$817,5,0)</f>
        <v>Low</v>
      </c>
      <c r="AJ247" s="99" t="str">
        <f t="shared" si="38"/>
        <v>LLL</v>
      </c>
      <c r="AK247" s="99" t="str">
        <f>VLOOKUP(AJ247,rfm[],2,0)</f>
        <v>💤 Lost / Low Value</v>
      </c>
      <c r="AN247" s="99" t="b">
        <f t="shared" si="39"/>
        <v>0</v>
      </c>
    </row>
    <row r="248" spans="2:40" x14ac:dyDescent="0.3">
      <c r="B248" s="99" t="s">
        <v>1718</v>
      </c>
      <c r="C248" s="100">
        <v>45699</v>
      </c>
      <c r="D248" s="99" t="s">
        <v>31</v>
      </c>
      <c r="E248" s="99" t="s">
        <v>32</v>
      </c>
      <c r="F248" s="99" t="s">
        <v>20</v>
      </c>
      <c r="G248" s="99">
        <v>32</v>
      </c>
      <c r="H248" s="112">
        <v>180000</v>
      </c>
      <c r="I248" s="112">
        <v>5760000</v>
      </c>
      <c r="J248" s="99" t="s">
        <v>2480</v>
      </c>
      <c r="K248" s="99" t="s">
        <v>127</v>
      </c>
      <c r="N248" s="99" t="s">
        <v>2279</v>
      </c>
      <c r="O248" s="99" t="s">
        <v>60</v>
      </c>
      <c r="P248" s="100">
        <f t="shared" si="31"/>
        <v>45820</v>
      </c>
      <c r="Q248" s="101">
        <f t="shared" si="30"/>
        <v>203</v>
      </c>
      <c r="R248" s="99">
        <f t="shared" si="32"/>
        <v>1</v>
      </c>
      <c r="S248" s="101">
        <f t="shared" si="33"/>
        <v>5750000</v>
      </c>
      <c r="T248" s="99" t="str">
        <f t="shared" si="34"/>
        <v>Low</v>
      </c>
      <c r="U248" s="99" t="str">
        <f t="shared" si="35"/>
        <v>Low</v>
      </c>
      <c r="V248" s="99" t="str">
        <f t="shared" si="36"/>
        <v>Low</v>
      </c>
      <c r="W248" s="99" t="str">
        <f t="shared" si="37"/>
        <v>LLL</v>
      </c>
      <c r="X248" s="99" t="str">
        <f>VLOOKUP(W248,rfm[],2,FALSE)</f>
        <v>💤 Lost / Low Value</v>
      </c>
      <c r="AA248" s="99" t="s">
        <v>2279</v>
      </c>
      <c r="AB248" s="99" t="s">
        <v>60</v>
      </c>
      <c r="AC248" s="100">
        <v>45820</v>
      </c>
      <c r="AD248" s="101">
        <v>203</v>
      </c>
      <c r="AE248" s="101">
        <v>1</v>
      </c>
      <c r="AF248" s="101">
        <v>5750000</v>
      </c>
      <c r="AG248" s="99" t="str">
        <f>VLOOKUP(AA248,recency!$K$6:$P$818,6,0)</f>
        <v>Low</v>
      </c>
      <c r="AH248" s="132" t="str">
        <f>VLOOKUP(AA248,frequency!$F$6:$H$818,3,FALSE)</f>
        <v>Low</v>
      </c>
      <c r="AI248" s="129" t="str">
        <f>VLOOKUP(AA248,monetary!$B$5:$F$817,5,0)</f>
        <v>Low</v>
      </c>
      <c r="AJ248" s="99" t="str">
        <f t="shared" si="38"/>
        <v>LLL</v>
      </c>
      <c r="AK248" s="99" t="str">
        <f>VLOOKUP(AJ248,rfm[],2,0)</f>
        <v>💤 Lost / Low Value</v>
      </c>
      <c r="AN248" s="99" t="b">
        <f t="shared" si="39"/>
        <v>1</v>
      </c>
    </row>
    <row r="249" spans="2:40" x14ac:dyDescent="0.3">
      <c r="B249" s="99" t="s">
        <v>1719</v>
      </c>
      <c r="C249" s="100">
        <v>45699</v>
      </c>
      <c r="D249" s="99" t="s">
        <v>28</v>
      </c>
      <c r="E249" s="99" t="s">
        <v>29</v>
      </c>
      <c r="F249" s="99" t="s">
        <v>20</v>
      </c>
      <c r="G249" s="99">
        <v>16</v>
      </c>
      <c r="H249" s="112">
        <v>450000</v>
      </c>
      <c r="I249" s="112">
        <v>7200000</v>
      </c>
      <c r="J249" s="99" t="s">
        <v>2358</v>
      </c>
      <c r="K249" s="99" t="s">
        <v>127</v>
      </c>
      <c r="N249" s="99" t="s">
        <v>2280</v>
      </c>
      <c r="O249" s="99" t="s">
        <v>60</v>
      </c>
      <c r="P249" s="100">
        <f t="shared" si="31"/>
        <v>45824</v>
      </c>
      <c r="Q249" s="101">
        <f t="shared" si="30"/>
        <v>199</v>
      </c>
      <c r="R249" s="99">
        <f t="shared" si="32"/>
        <v>2</v>
      </c>
      <c r="S249" s="101">
        <f t="shared" si="33"/>
        <v>9900000</v>
      </c>
      <c r="T249" s="99" t="str">
        <f t="shared" si="34"/>
        <v>Low</v>
      </c>
      <c r="U249" s="99" t="str">
        <f t="shared" si="35"/>
        <v>Low</v>
      </c>
      <c r="V249" s="99" t="str">
        <f t="shared" si="36"/>
        <v>Low</v>
      </c>
      <c r="W249" s="99" t="str">
        <f t="shared" si="37"/>
        <v>LLL</v>
      </c>
      <c r="X249" s="99" t="str">
        <f>VLOOKUP(W249,rfm[],2,FALSE)</f>
        <v>💤 Lost / Low Value</v>
      </c>
      <c r="AA249" s="99" t="s">
        <v>2280</v>
      </c>
      <c r="AB249" s="99" t="s">
        <v>60</v>
      </c>
      <c r="AC249" s="100">
        <v>45824</v>
      </c>
      <c r="AD249" s="101">
        <v>199</v>
      </c>
      <c r="AE249" s="101">
        <v>2</v>
      </c>
      <c r="AF249" s="101">
        <v>9900000</v>
      </c>
      <c r="AG249" s="99" t="str">
        <f>VLOOKUP(AA249,recency!$K$6:$P$818,6,0)</f>
        <v>Low</v>
      </c>
      <c r="AH249" s="132" t="str">
        <f>VLOOKUP(AA249,frequency!$F$6:$H$818,3,FALSE)</f>
        <v>Low</v>
      </c>
      <c r="AI249" s="129" t="str">
        <f>VLOOKUP(AA249,monetary!$B$5:$F$817,5,0)</f>
        <v>Low</v>
      </c>
      <c r="AJ249" s="99" t="str">
        <f t="shared" si="38"/>
        <v>LLL</v>
      </c>
      <c r="AK249" s="99" t="str">
        <f>VLOOKUP(AJ249,rfm[],2,0)</f>
        <v>💤 Lost / Low Value</v>
      </c>
      <c r="AN249" s="99" t="b">
        <f t="shared" si="39"/>
        <v>1</v>
      </c>
    </row>
    <row r="250" spans="2:40" x14ac:dyDescent="0.3">
      <c r="B250" s="99" t="s">
        <v>1720</v>
      </c>
      <c r="C250" s="100">
        <v>45699</v>
      </c>
      <c r="D250" s="99" t="s">
        <v>22</v>
      </c>
      <c r="E250" s="99" t="s">
        <v>23</v>
      </c>
      <c r="F250" s="99" t="s">
        <v>12</v>
      </c>
      <c r="G250" s="99">
        <v>11</v>
      </c>
      <c r="H250" s="112">
        <v>25000</v>
      </c>
      <c r="I250" s="112">
        <v>275000</v>
      </c>
      <c r="J250" s="99" t="s">
        <v>1242</v>
      </c>
      <c r="K250" s="99" t="s">
        <v>60</v>
      </c>
      <c r="N250" s="99" t="s">
        <v>2281</v>
      </c>
      <c r="O250" s="99" t="s">
        <v>47</v>
      </c>
      <c r="P250" s="100">
        <f t="shared" si="31"/>
        <v>45842</v>
      </c>
      <c r="Q250" s="101">
        <f t="shared" si="30"/>
        <v>181</v>
      </c>
      <c r="R250" s="99">
        <f t="shared" si="32"/>
        <v>1</v>
      </c>
      <c r="S250" s="101">
        <f t="shared" si="33"/>
        <v>4140000</v>
      </c>
      <c r="T250" s="99" t="str">
        <f t="shared" si="34"/>
        <v>Low</v>
      </c>
      <c r="U250" s="99" t="str">
        <f t="shared" si="35"/>
        <v>Low</v>
      </c>
      <c r="V250" s="99" t="str">
        <f t="shared" si="36"/>
        <v>Low</v>
      </c>
      <c r="W250" s="99" t="str">
        <f t="shared" si="37"/>
        <v>LLL</v>
      </c>
      <c r="X250" s="99" t="str">
        <f>VLOOKUP(W250,rfm[],2,FALSE)</f>
        <v>💤 Lost / Low Value</v>
      </c>
      <c r="AA250" s="99" t="s">
        <v>2281</v>
      </c>
      <c r="AB250" s="99" t="s">
        <v>47</v>
      </c>
      <c r="AC250" s="100">
        <v>45842</v>
      </c>
      <c r="AD250" s="101">
        <v>181</v>
      </c>
      <c r="AE250" s="101">
        <v>1</v>
      </c>
      <c r="AF250" s="101">
        <v>4140000</v>
      </c>
      <c r="AG250" s="99" t="str">
        <f>VLOOKUP(AA250,recency!$K$6:$P$818,6,0)</f>
        <v>Low</v>
      </c>
      <c r="AH250" s="132" t="str">
        <f>VLOOKUP(AA250,frequency!$F$6:$H$818,3,FALSE)</f>
        <v>Low</v>
      </c>
      <c r="AI250" s="129" t="str">
        <f>VLOOKUP(AA250,monetary!$B$5:$F$817,5,0)</f>
        <v>Low</v>
      </c>
      <c r="AJ250" s="99" t="str">
        <f t="shared" si="38"/>
        <v>LLL</v>
      </c>
      <c r="AK250" s="99" t="str">
        <f>VLOOKUP(AJ250,rfm[],2,0)</f>
        <v>💤 Lost / Low Value</v>
      </c>
      <c r="AN250" s="99" t="b">
        <f t="shared" si="39"/>
        <v>1</v>
      </c>
    </row>
    <row r="251" spans="2:40" x14ac:dyDescent="0.3">
      <c r="B251" s="99" t="s">
        <v>1721</v>
      </c>
      <c r="C251" s="100">
        <v>45699</v>
      </c>
      <c r="D251" s="99" t="s">
        <v>42</v>
      </c>
      <c r="E251" s="99" t="s">
        <v>43</v>
      </c>
      <c r="F251" s="99" t="s">
        <v>16</v>
      </c>
      <c r="G251" s="99">
        <v>120</v>
      </c>
      <c r="H251" s="112">
        <v>1200000</v>
      </c>
      <c r="I251" s="112">
        <v>144000000</v>
      </c>
      <c r="J251" s="99" t="s">
        <v>2618</v>
      </c>
      <c r="K251" s="99" t="s">
        <v>8</v>
      </c>
      <c r="N251" s="99" t="s">
        <v>2282</v>
      </c>
      <c r="O251" s="99" t="s">
        <v>69</v>
      </c>
      <c r="P251" s="100">
        <f t="shared" si="31"/>
        <v>46008</v>
      </c>
      <c r="Q251" s="101">
        <f t="shared" si="30"/>
        <v>15</v>
      </c>
      <c r="R251" s="99">
        <f t="shared" si="32"/>
        <v>3</v>
      </c>
      <c r="S251" s="101">
        <f t="shared" si="33"/>
        <v>18720000</v>
      </c>
      <c r="T251" s="99" t="str">
        <f t="shared" si="34"/>
        <v>High</v>
      </c>
      <c r="U251" s="99" t="str">
        <f t="shared" si="35"/>
        <v>High</v>
      </c>
      <c r="V251" s="99" t="str">
        <f t="shared" si="36"/>
        <v>High</v>
      </c>
      <c r="W251" s="99" t="str">
        <f t="shared" si="37"/>
        <v>HHH</v>
      </c>
      <c r="X251" s="99" t="str">
        <f>VLOOKUP(W251,rfm[],2,FALSE)</f>
        <v>🥇 Champions</v>
      </c>
      <c r="AA251" s="99" t="s">
        <v>2282</v>
      </c>
      <c r="AB251" s="99" t="s">
        <v>69</v>
      </c>
      <c r="AC251" s="100">
        <v>46008</v>
      </c>
      <c r="AD251" s="101">
        <v>15</v>
      </c>
      <c r="AE251" s="101">
        <v>3</v>
      </c>
      <c r="AF251" s="101">
        <v>18720000</v>
      </c>
      <c r="AG251" s="99" t="str">
        <f>VLOOKUP(AA251,recency!$K$6:$P$818,6,0)</f>
        <v>High</v>
      </c>
      <c r="AH251" s="132" t="str">
        <f>VLOOKUP(AA251,frequency!$F$6:$H$818,3,FALSE)</f>
        <v>High</v>
      </c>
      <c r="AI251" s="129" t="str">
        <f>VLOOKUP(AA251,monetary!$B$5:$F$817,5,0)</f>
        <v>Low</v>
      </c>
      <c r="AJ251" s="99" t="str">
        <f t="shared" si="38"/>
        <v>HHL</v>
      </c>
      <c r="AK251" s="99" t="str">
        <f>VLOOKUP(AJ251,rfm[],2,0)</f>
        <v>💎 Loyal High Value</v>
      </c>
      <c r="AN251" s="99" t="b">
        <f t="shared" si="39"/>
        <v>0</v>
      </c>
    </row>
    <row r="252" spans="2:40" x14ac:dyDescent="0.3">
      <c r="B252" s="99" t="s">
        <v>1722</v>
      </c>
      <c r="C252" s="100">
        <v>45699</v>
      </c>
      <c r="D252" s="99" t="s">
        <v>18</v>
      </c>
      <c r="E252" s="99" t="s">
        <v>19</v>
      </c>
      <c r="F252" s="99" t="s">
        <v>20</v>
      </c>
      <c r="G252" s="99">
        <v>27</v>
      </c>
      <c r="H252" s="112">
        <v>500000</v>
      </c>
      <c r="I252" s="112">
        <v>13500000</v>
      </c>
      <c r="J252" s="99" t="s">
        <v>2633</v>
      </c>
      <c r="K252" s="99" t="s">
        <v>60</v>
      </c>
      <c r="N252" s="99" t="s">
        <v>2283</v>
      </c>
      <c r="O252" s="99" t="s">
        <v>69</v>
      </c>
      <c r="P252" s="100">
        <f t="shared" si="31"/>
        <v>45677</v>
      </c>
      <c r="Q252" s="101">
        <f t="shared" si="30"/>
        <v>346</v>
      </c>
      <c r="R252" s="99">
        <f t="shared" si="32"/>
        <v>1</v>
      </c>
      <c r="S252" s="101">
        <f t="shared" si="33"/>
        <v>2000000</v>
      </c>
      <c r="T252" s="99" t="str">
        <f t="shared" si="34"/>
        <v>Low</v>
      </c>
      <c r="U252" s="99" t="str">
        <f t="shared" si="35"/>
        <v>Low</v>
      </c>
      <c r="V252" s="99" t="str">
        <f t="shared" si="36"/>
        <v>Low</v>
      </c>
      <c r="W252" s="99" t="str">
        <f t="shared" si="37"/>
        <v>LLL</v>
      </c>
      <c r="X252" s="99" t="str">
        <f>VLOOKUP(W252,rfm[],2,FALSE)</f>
        <v>💤 Lost / Low Value</v>
      </c>
      <c r="AA252" s="99" t="s">
        <v>2283</v>
      </c>
      <c r="AB252" s="99" t="s">
        <v>69</v>
      </c>
      <c r="AC252" s="100">
        <v>45677</v>
      </c>
      <c r="AD252" s="101">
        <v>346</v>
      </c>
      <c r="AE252" s="101">
        <v>1</v>
      </c>
      <c r="AF252" s="101">
        <v>2000000</v>
      </c>
      <c r="AG252" s="99" t="str">
        <f>VLOOKUP(AA252,recency!$K$6:$P$818,6,0)</f>
        <v>Low</v>
      </c>
      <c r="AH252" s="132" t="str">
        <f>VLOOKUP(AA252,frequency!$F$6:$H$818,3,FALSE)</f>
        <v>Low</v>
      </c>
      <c r="AI252" s="129" t="str">
        <f>VLOOKUP(AA252,monetary!$B$5:$F$817,5,0)</f>
        <v>Low</v>
      </c>
      <c r="AJ252" s="99" t="str">
        <f t="shared" si="38"/>
        <v>LLL</v>
      </c>
      <c r="AK252" s="99" t="str">
        <f>VLOOKUP(AJ252,rfm[],2,0)</f>
        <v>💤 Lost / Low Value</v>
      </c>
      <c r="AN252" s="99" t="b">
        <f t="shared" si="39"/>
        <v>1</v>
      </c>
    </row>
    <row r="253" spans="2:40" x14ac:dyDescent="0.3">
      <c r="B253" s="99" t="s">
        <v>1723</v>
      </c>
      <c r="C253" s="100">
        <v>45699</v>
      </c>
      <c r="D253" s="99" t="s">
        <v>31</v>
      </c>
      <c r="E253" s="99" t="s">
        <v>32</v>
      </c>
      <c r="F253" s="99" t="s">
        <v>20</v>
      </c>
      <c r="G253" s="99">
        <v>7</v>
      </c>
      <c r="H253" s="112">
        <v>180000</v>
      </c>
      <c r="I253" s="112">
        <v>1260000</v>
      </c>
      <c r="J253" s="99" t="s">
        <v>2585</v>
      </c>
      <c r="K253" s="99" t="s">
        <v>8</v>
      </c>
      <c r="N253" s="99" t="s">
        <v>2284</v>
      </c>
      <c r="O253" s="99" t="s">
        <v>8</v>
      </c>
      <c r="P253" s="100">
        <f t="shared" si="31"/>
        <v>45715</v>
      </c>
      <c r="Q253" s="101">
        <f t="shared" si="30"/>
        <v>308</v>
      </c>
      <c r="R253" s="99">
        <f t="shared" si="32"/>
        <v>1</v>
      </c>
      <c r="S253" s="101">
        <f t="shared" si="33"/>
        <v>7000000</v>
      </c>
      <c r="T253" s="99" t="str">
        <f t="shared" si="34"/>
        <v>Low</v>
      </c>
      <c r="U253" s="99" t="str">
        <f t="shared" si="35"/>
        <v>Low</v>
      </c>
      <c r="V253" s="99" t="str">
        <f t="shared" si="36"/>
        <v>Low</v>
      </c>
      <c r="W253" s="99" t="str">
        <f t="shared" si="37"/>
        <v>LLL</v>
      </c>
      <c r="X253" s="99" t="str">
        <f>VLOOKUP(W253,rfm[],2,FALSE)</f>
        <v>💤 Lost / Low Value</v>
      </c>
      <c r="AA253" s="99" t="s">
        <v>2284</v>
      </c>
      <c r="AB253" s="99" t="s">
        <v>8</v>
      </c>
      <c r="AC253" s="100">
        <v>45715</v>
      </c>
      <c r="AD253" s="101">
        <v>308</v>
      </c>
      <c r="AE253" s="101">
        <v>1</v>
      </c>
      <c r="AF253" s="101">
        <v>7000000</v>
      </c>
      <c r="AG253" s="99" t="str">
        <f>VLOOKUP(AA253,recency!$K$6:$P$818,6,0)</f>
        <v>Low</v>
      </c>
      <c r="AH253" s="132" t="str">
        <f>VLOOKUP(AA253,frequency!$F$6:$H$818,3,FALSE)</f>
        <v>Low</v>
      </c>
      <c r="AI253" s="129" t="str">
        <f>VLOOKUP(AA253,monetary!$B$5:$F$817,5,0)</f>
        <v>Low</v>
      </c>
      <c r="AJ253" s="99" t="str">
        <f t="shared" si="38"/>
        <v>LLL</v>
      </c>
      <c r="AK253" s="99" t="str">
        <f>VLOOKUP(AJ253,rfm[],2,0)</f>
        <v>💤 Lost / Low Value</v>
      </c>
      <c r="AN253" s="99" t="b">
        <f t="shared" si="39"/>
        <v>1</v>
      </c>
    </row>
    <row r="254" spans="2:40" x14ac:dyDescent="0.3">
      <c r="B254" s="99" t="s">
        <v>1757</v>
      </c>
      <c r="C254" s="100">
        <v>45699</v>
      </c>
      <c r="D254" s="99" t="s">
        <v>10</v>
      </c>
      <c r="E254" s="99" t="s">
        <v>11</v>
      </c>
      <c r="F254" s="99" t="s">
        <v>12</v>
      </c>
      <c r="G254" s="99">
        <v>15</v>
      </c>
      <c r="H254" s="112">
        <v>120000</v>
      </c>
      <c r="I254" s="112">
        <v>1800000</v>
      </c>
      <c r="J254" s="99" t="s">
        <v>2519</v>
      </c>
      <c r="K254" s="99" t="s">
        <v>127</v>
      </c>
      <c r="N254" s="99" t="s">
        <v>2285</v>
      </c>
      <c r="O254" s="99" t="s">
        <v>69</v>
      </c>
      <c r="P254" s="100">
        <f t="shared" si="31"/>
        <v>46022</v>
      </c>
      <c r="Q254" s="101">
        <f t="shared" si="30"/>
        <v>1</v>
      </c>
      <c r="R254" s="99">
        <f t="shared" si="32"/>
        <v>2</v>
      </c>
      <c r="S254" s="101">
        <f t="shared" si="33"/>
        <v>7430000</v>
      </c>
      <c r="T254" s="99" t="str">
        <f t="shared" si="34"/>
        <v>High</v>
      </c>
      <c r="U254" s="99" t="str">
        <f t="shared" si="35"/>
        <v>Low</v>
      </c>
      <c r="V254" s="99" t="str">
        <f t="shared" si="36"/>
        <v>Low</v>
      </c>
      <c r="W254" s="99" t="str">
        <f t="shared" si="37"/>
        <v>HLL</v>
      </c>
      <c r="X254" s="99" t="str">
        <f>VLOOKUP(W254,rfm[],2,FALSE)</f>
        <v>🌱 Potential Loyalists</v>
      </c>
      <c r="AA254" s="99" t="s">
        <v>2285</v>
      </c>
      <c r="AB254" s="99" t="s">
        <v>69</v>
      </c>
      <c r="AC254" s="100">
        <v>46022</v>
      </c>
      <c r="AD254" s="101">
        <v>1</v>
      </c>
      <c r="AE254" s="101">
        <v>2</v>
      </c>
      <c r="AF254" s="101">
        <v>7430000</v>
      </c>
      <c r="AG254" s="99" t="str">
        <f>VLOOKUP(AA254,recency!$K$6:$P$818,6,0)</f>
        <v>High</v>
      </c>
      <c r="AH254" s="132" t="str">
        <f>VLOOKUP(AA254,frequency!$F$6:$H$818,3,FALSE)</f>
        <v>Low</v>
      </c>
      <c r="AI254" s="129" t="str">
        <f>VLOOKUP(AA254,monetary!$B$5:$F$817,5,0)</f>
        <v>Low</v>
      </c>
      <c r="AJ254" s="99" t="str">
        <f t="shared" si="38"/>
        <v>HLL</v>
      </c>
      <c r="AK254" s="99" t="str">
        <f>VLOOKUP(AJ254,rfm[],2,0)</f>
        <v>🌱 Potential Loyalists</v>
      </c>
      <c r="AN254" s="99" t="b">
        <f t="shared" si="39"/>
        <v>1</v>
      </c>
    </row>
    <row r="255" spans="2:40" x14ac:dyDescent="0.3">
      <c r="B255" s="99" t="s">
        <v>1758</v>
      </c>
      <c r="C255" s="100">
        <v>45701</v>
      </c>
      <c r="D255" s="99" t="s">
        <v>28</v>
      </c>
      <c r="E255" s="99" t="s">
        <v>29</v>
      </c>
      <c r="F255" s="99" t="s">
        <v>20</v>
      </c>
      <c r="G255" s="99">
        <v>5</v>
      </c>
      <c r="H255" s="112">
        <v>450000</v>
      </c>
      <c r="I255" s="112">
        <v>2250000</v>
      </c>
      <c r="J255" s="99" t="s">
        <v>2835</v>
      </c>
      <c r="K255" s="99" t="s">
        <v>69</v>
      </c>
      <c r="N255" s="99" t="s">
        <v>2286</v>
      </c>
      <c r="O255" s="99" t="s">
        <v>8</v>
      </c>
      <c r="P255" s="100">
        <f t="shared" si="31"/>
        <v>45945</v>
      </c>
      <c r="Q255" s="101">
        <f t="shared" si="30"/>
        <v>78</v>
      </c>
      <c r="R255" s="99">
        <f t="shared" si="32"/>
        <v>1</v>
      </c>
      <c r="S255" s="101">
        <f t="shared" si="33"/>
        <v>18000000</v>
      </c>
      <c r="T255" s="99" t="str">
        <f t="shared" si="34"/>
        <v>High</v>
      </c>
      <c r="U255" s="99" t="str">
        <f t="shared" si="35"/>
        <v>Low</v>
      </c>
      <c r="V255" s="99" t="str">
        <f t="shared" si="36"/>
        <v>Low</v>
      </c>
      <c r="W255" s="99" t="str">
        <f t="shared" si="37"/>
        <v>HLL</v>
      </c>
      <c r="X255" s="99" t="str">
        <f>VLOOKUP(W255,rfm[],2,FALSE)</f>
        <v>🌱 Potential Loyalists</v>
      </c>
      <c r="AA255" s="99" t="s">
        <v>2286</v>
      </c>
      <c r="AB255" s="99" t="s">
        <v>8</v>
      </c>
      <c r="AC255" s="100">
        <v>45945</v>
      </c>
      <c r="AD255" s="101">
        <v>78</v>
      </c>
      <c r="AE255" s="101">
        <v>1</v>
      </c>
      <c r="AF255" s="101">
        <v>18000000</v>
      </c>
      <c r="AG255" s="99" t="str">
        <f>VLOOKUP(AA255,recency!$K$6:$P$818,6,0)</f>
        <v>Low</v>
      </c>
      <c r="AH255" s="132" t="str">
        <f>VLOOKUP(AA255,frequency!$F$6:$H$818,3,FALSE)</f>
        <v>Low</v>
      </c>
      <c r="AI255" s="129" t="str">
        <f>VLOOKUP(AA255,monetary!$B$5:$F$817,5,0)</f>
        <v>Low</v>
      </c>
      <c r="AJ255" s="99" t="str">
        <f t="shared" si="38"/>
        <v>LLL</v>
      </c>
      <c r="AK255" s="99" t="str">
        <f>VLOOKUP(AJ255,rfm[],2,0)</f>
        <v>💤 Lost / Low Value</v>
      </c>
      <c r="AN255" s="99" t="b">
        <f t="shared" si="39"/>
        <v>0</v>
      </c>
    </row>
    <row r="256" spans="2:40" x14ac:dyDescent="0.3">
      <c r="B256" s="99" t="s">
        <v>1759</v>
      </c>
      <c r="C256" s="100">
        <v>45701</v>
      </c>
      <c r="D256" s="99" t="s">
        <v>18</v>
      </c>
      <c r="E256" s="99" t="s">
        <v>19</v>
      </c>
      <c r="F256" s="99" t="s">
        <v>20</v>
      </c>
      <c r="G256" s="99">
        <v>360</v>
      </c>
      <c r="H256" s="112">
        <v>500000</v>
      </c>
      <c r="I256" s="112">
        <v>180000000</v>
      </c>
      <c r="J256" s="99" t="s">
        <v>2362</v>
      </c>
      <c r="K256" s="99" t="s">
        <v>8</v>
      </c>
      <c r="N256" s="99" t="s">
        <v>2287</v>
      </c>
      <c r="O256" s="99" t="s">
        <v>127</v>
      </c>
      <c r="P256" s="100">
        <f t="shared" si="31"/>
        <v>45994</v>
      </c>
      <c r="Q256" s="101">
        <f t="shared" si="30"/>
        <v>29</v>
      </c>
      <c r="R256" s="99">
        <f t="shared" si="32"/>
        <v>3</v>
      </c>
      <c r="S256" s="101">
        <f t="shared" si="33"/>
        <v>20550000</v>
      </c>
      <c r="T256" s="99" t="str">
        <f t="shared" si="34"/>
        <v>High</v>
      </c>
      <c r="U256" s="99" t="str">
        <f t="shared" si="35"/>
        <v>High</v>
      </c>
      <c r="V256" s="99" t="str">
        <f t="shared" si="36"/>
        <v>High</v>
      </c>
      <c r="W256" s="99" t="str">
        <f t="shared" si="37"/>
        <v>HHH</v>
      </c>
      <c r="X256" s="99" t="str">
        <f>VLOOKUP(W256,rfm[],2,FALSE)</f>
        <v>🥇 Champions</v>
      </c>
      <c r="AA256" s="99" t="s">
        <v>2287</v>
      </c>
      <c r="AB256" s="99" t="s">
        <v>127</v>
      </c>
      <c r="AC256" s="100">
        <v>45994</v>
      </c>
      <c r="AD256" s="101">
        <v>29</v>
      </c>
      <c r="AE256" s="101">
        <v>3</v>
      </c>
      <c r="AF256" s="101">
        <v>20550000</v>
      </c>
      <c r="AG256" s="99" t="str">
        <f>VLOOKUP(AA256,recency!$K$6:$P$818,6,0)</f>
        <v>High</v>
      </c>
      <c r="AH256" s="132" t="str">
        <f>VLOOKUP(AA256,frequency!$F$6:$H$818,3,FALSE)</f>
        <v>High</v>
      </c>
      <c r="AI256" s="129" t="str">
        <f>VLOOKUP(AA256,monetary!$B$5:$F$817,5,0)</f>
        <v>Low</v>
      </c>
      <c r="AJ256" s="99" t="str">
        <f t="shared" si="38"/>
        <v>HHL</v>
      </c>
      <c r="AK256" s="99" t="str">
        <f>VLOOKUP(AJ256,rfm[],2,0)</f>
        <v>💎 Loyal High Value</v>
      </c>
      <c r="AN256" s="99" t="b">
        <f t="shared" si="39"/>
        <v>0</v>
      </c>
    </row>
    <row r="257" spans="2:40" x14ac:dyDescent="0.3">
      <c r="B257" s="99" t="s">
        <v>1760</v>
      </c>
      <c r="C257" s="100">
        <v>45701</v>
      </c>
      <c r="D257" s="99" t="s">
        <v>42</v>
      </c>
      <c r="E257" s="99" t="s">
        <v>43</v>
      </c>
      <c r="F257" s="99" t="s">
        <v>16</v>
      </c>
      <c r="G257" s="99">
        <v>10</v>
      </c>
      <c r="H257" s="112">
        <v>1200000</v>
      </c>
      <c r="I257" s="112">
        <v>12000000</v>
      </c>
      <c r="J257" s="99" t="s">
        <v>2669</v>
      </c>
      <c r="K257" s="99" t="s">
        <v>8</v>
      </c>
      <c r="N257" s="99" t="s">
        <v>2288</v>
      </c>
      <c r="O257" s="99" t="s">
        <v>60</v>
      </c>
      <c r="P257" s="100">
        <f t="shared" si="31"/>
        <v>45744</v>
      </c>
      <c r="Q257" s="101">
        <f t="shared" si="30"/>
        <v>279</v>
      </c>
      <c r="R257" s="99">
        <f t="shared" si="32"/>
        <v>2</v>
      </c>
      <c r="S257" s="101">
        <f t="shared" si="33"/>
        <v>32750000</v>
      </c>
      <c r="T257" s="99" t="str">
        <f t="shared" si="34"/>
        <v>Low</v>
      </c>
      <c r="U257" s="99" t="str">
        <f t="shared" si="35"/>
        <v>Low</v>
      </c>
      <c r="V257" s="99" t="str">
        <f t="shared" si="36"/>
        <v>High</v>
      </c>
      <c r="W257" s="99" t="str">
        <f t="shared" si="37"/>
        <v>LLH</v>
      </c>
      <c r="X257" s="99" t="str">
        <f>VLOOKUP(W257,rfm[],2,FALSE)</f>
        <v>💸 Lost High Spenders</v>
      </c>
      <c r="AA257" s="99" t="s">
        <v>2288</v>
      </c>
      <c r="AB257" s="99" t="s">
        <v>60</v>
      </c>
      <c r="AC257" s="100">
        <v>45744</v>
      </c>
      <c r="AD257" s="101">
        <v>279</v>
      </c>
      <c r="AE257" s="101">
        <v>2</v>
      </c>
      <c r="AF257" s="101">
        <v>32750000</v>
      </c>
      <c r="AG257" s="99" t="str">
        <f>VLOOKUP(AA257,recency!$K$6:$P$818,6,0)</f>
        <v>Low</v>
      </c>
      <c r="AH257" s="132" t="str">
        <f>VLOOKUP(AA257,frequency!$F$6:$H$818,3,FALSE)</f>
        <v>Low</v>
      </c>
      <c r="AI257" s="129" t="str">
        <f>VLOOKUP(AA257,monetary!$B$5:$F$817,5,0)</f>
        <v>Low</v>
      </c>
      <c r="AJ257" s="99" t="str">
        <f t="shared" si="38"/>
        <v>LLL</v>
      </c>
      <c r="AK257" s="99" t="str">
        <f>VLOOKUP(AJ257,rfm[],2,0)</f>
        <v>💤 Lost / Low Value</v>
      </c>
      <c r="AN257" s="99" t="b">
        <f t="shared" si="39"/>
        <v>0</v>
      </c>
    </row>
    <row r="258" spans="2:40" x14ac:dyDescent="0.3">
      <c r="B258" s="99" t="s">
        <v>1761</v>
      </c>
      <c r="C258" s="100">
        <v>45701</v>
      </c>
      <c r="D258" s="99" t="s">
        <v>38</v>
      </c>
      <c r="E258" s="99" t="s">
        <v>39</v>
      </c>
      <c r="F258" s="99" t="s">
        <v>16</v>
      </c>
      <c r="G258" s="99">
        <v>38</v>
      </c>
      <c r="H258" s="112">
        <v>200000</v>
      </c>
      <c r="I258" s="112">
        <v>7600000</v>
      </c>
      <c r="J258" s="99" t="s">
        <v>2156</v>
      </c>
      <c r="K258" s="99" t="s">
        <v>47</v>
      </c>
      <c r="N258" s="99" t="s">
        <v>2289</v>
      </c>
      <c r="O258" s="99" t="s">
        <v>127</v>
      </c>
      <c r="P258" s="100">
        <f t="shared" si="31"/>
        <v>45819</v>
      </c>
      <c r="Q258" s="101">
        <f t="shared" si="30"/>
        <v>204</v>
      </c>
      <c r="R258" s="99">
        <f t="shared" si="32"/>
        <v>1</v>
      </c>
      <c r="S258" s="101">
        <f t="shared" si="33"/>
        <v>18000000</v>
      </c>
      <c r="T258" s="99" t="str">
        <f t="shared" si="34"/>
        <v>Low</v>
      </c>
      <c r="U258" s="99" t="str">
        <f t="shared" si="35"/>
        <v>Low</v>
      </c>
      <c r="V258" s="99" t="str">
        <f t="shared" si="36"/>
        <v>Low</v>
      </c>
      <c r="W258" s="99" t="str">
        <f t="shared" si="37"/>
        <v>LLL</v>
      </c>
      <c r="X258" s="99" t="str">
        <f>VLOOKUP(W258,rfm[],2,FALSE)</f>
        <v>💤 Lost / Low Value</v>
      </c>
      <c r="AA258" s="99" t="s">
        <v>2289</v>
      </c>
      <c r="AB258" s="99" t="s">
        <v>127</v>
      </c>
      <c r="AC258" s="100">
        <v>45819</v>
      </c>
      <c r="AD258" s="101">
        <v>204</v>
      </c>
      <c r="AE258" s="101">
        <v>1</v>
      </c>
      <c r="AF258" s="101">
        <v>18000000</v>
      </c>
      <c r="AG258" s="99" t="str">
        <f>VLOOKUP(AA258,recency!$K$6:$P$818,6,0)</f>
        <v>Low</v>
      </c>
      <c r="AH258" s="132" t="str">
        <f>VLOOKUP(AA258,frequency!$F$6:$H$818,3,FALSE)</f>
        <v>Low</v>
      </c>
      <c r="AI258" s="129" t="str">
        <f>VLOOKUP(AA258,monetary!$B$5:$F$817,5,0)</f>
        <v>Low</v>
      </c>
      <c r="AJ258" s="99" t="str">
        <f t="shared" si="38"/>
        <v>LLL</v>
      </c>
      <c r="AK258" s="99" t="str">
        <f>VLOOKUP(AJ258,rfm[],2,0)</f>
        <v>💤 Lost / Low Value</v>
      </c>
      <c r="AN258" s="99" t="b">
        <f t="shared" si="39"/>
        <v>1</v>
      </c>
    </row>
    <row r="259" spans="2:40" x14ac:dyDescent="0.3">
      <c r="B259" s="99" t="s">
        <v>1790</v>
      </c>
      <c r="C259" s="100">
        <v>45701</v>
      </c>
      <c r="D259" s="99" t="s">
        <v>10</v>
      </c>
      <c r="E259" s="99" t="s">
        <v>11</v>
      </c>
      <c r="F259" s="99" t="s">
        <v>12</v>
      </c>
      <c r="G259" s="99">
        <v>36</v>
      </c>
      <c r="H259" s="112">
        <v>120000</v>
      </c>
      <c r="I259" s="112">
        <v>4320000</v>
      </c>
      <c r="J259" s="99" t="s">
        <v>2693</v>
      </c>
      <c r="K259" s="99" t="s">
        <v>127</v>
      </c>
      <c r="N259" s="99" t="s">
        <v>2290</v>
      </c>
      <c r="O259" s="99" t="s">
        <v>8</v>
      </c>
      <c r="P259" s="100">
        <f t="shared" si="31"/>
        <v>45831</v>
      </c>
      <c r="Q259" s="101">
        <f t="shared" si="30"/>
        <v>192</v>
      </c>
      <c r="R259" s="99">
        <f t="shared" si="32"/>
        <v>1</v>
      </c>
      <c r="S259" s="101">
        <f t="shared" si="33"/>
        <v>275000</v>
      </c>
      <c r="T259" s="99" t="str">
        <f t="shared" si="34"/>
        <v>Low</v>
      </c>
      <c r="U259" s="99" t="str">
        <f t="shared" si="35"/>
        <v>Low</v>
      </c>
      <c r="V259" s="99" t="str">
        <f t="shared" si="36"/>
        <v>Low</v>
      </c>
      <c r="W259" s="99" t="str">
        <f t="shared" si="37"/>
        <v>LLL</v>
      </c>
      <c r="X259" s="99" t="str">
        <f>VLOOKUP(W259,rfm[],2,FALSE)</f>
        <v>💤 Lost / Low Value</v>
      </c>
      <c r="AA259" s="99" t="s">
        <v>2290</v>
      </c>
      <c r="AB259" s="99" t="s">
        <v>8</v>
      </c>
      <c r="AC259" s="100">
        <v>45831</v>
      </c>
      <c r="AD259" s="101">
        <v>192</v>
      </c>
      <c r="AE259" s="101">
        <v>1</v>
      </c>
      <c r="AF259" s="101">
        <v>275000</v>
      </c>
      <c r="AG259" s="99" t="str">
        <f>VLOOKUP(AA259,recency!$K$6:$P$818,6,0)</f>
        <v>Low</v>
      </c>
      <c r="AH259" s="132" t="str">
        <f>VLOOKUP(AA259,frequency!$F$6:$H$818,3,FALSE)</f>
        <v>Low</v>
      </c>
      <c r="AI259" s="129" t="str">
        <f>VLOOKUP(AA259,monetary!$B$5:$F$817,5,0)</f>
        <v>Low</v>
      </c>
      <c r="AJ259" s="99" t="str">
        <f t="shared" si="38"/>
        <v>LLL</v>
      </c>
      <c r="AK259" s="99" t="str">
        <f>VLOOKUP(AJ259,rfm[],2,0)</f>
        <v>💤 Lost / Low Value</v>
      </c>
      <c r="AN259" s="99" t="b">
        <f t="shared" si="39"/>
        <v>1</v>
      </c>
    </row>
    <row r="260" spans="2:40" x14ac:dyDescent="0.3">
      <c r="B260" s="99" t="s">
        <v>1791</v>
      </c>
      <c r="C260" s="100">
        <v>45701</v>
      </c>
      <c r="D260" s="99" t="s">
        <v>31</v>
      </c>
      <c r="E260" s="99" t="s">
        <v>32</v>
      </c>
      <c r="F260" s="99" t="s">
        <v>20</v>
      </c>
      <c r="G260" s="99">
        <v>48</v>
      </c>
      <c r="H260" s="112">
        <v>180000</v>
      </c>
      <c r="I260" s="112">
        <v>8640000</v>
      </c>
      <c r="J260" s="99" t="s">
        <v>2569</v>
      </c>
      <c r="K260" s="99" t="s">
        <v>127</v>
      </c>
      <c r="N260" s="99" t="s">
        <v>2291</v>
      </c>
      <c r="O260" s="99" t="s">
        <v>127</v>
      </c>
      <c r="P260" s="100">
        <f t="shared" si="31"/>
        <v>46017</v>
      </c>
      <c r="Q260" s="101">
        <f t="shared" si="30"/>
        <v>6</v>
      </c>
      <c r="R260" s="99">
        <f t="shared" si="32"/>
        <v>5</v>
      </c>
      <c r="S260" s="101">
        <f t="shared" si="33"/>
        <v>910250000</v>
      </c>
      <c r="T260" s="99" t="str">
        <f t="shared" si="34"/>
        <v>High</v>
      </c>
      <c r="U260" s="99" t="str">
        <f t="shared" si="35"/>
        <v>High</v>
      </c>
      <c r="V260" s="99" t="str">
        <f t="shared" si="36"/>
        <v>High</v>
      </c>
      <c r="W260" s="99" t="str">
        <f t="shared" si="37"/>
        <v>HHH</v>
      </c>
      <c r="X260" s="99" t="str">
        <f>VLOOKUP(W260,rfm[],2,FALSE)</f>
        <v>🥇 Champions</v>
      </c>
      <c r="AA260" s="99" t="s">
        <v>2291</v>
      </c>
      <c r="AB260" s="99" t="s">
        <v>127</v>
      </c>
      <c r="AC260" s="100">
        <v>46017</v>
      </c>
      <c r="AD260" s="101">
        <v>6</v>
      </c>
      <c r="AE260" s="101">
        <v>5</v>
      </c>
      <c r="AF260" s="101">
        <v>910250000</v>
      </c>
      <c r="AG260" s="99" t="str">
        <f>VLOOKUP(AA260,recency!$K$6:$P$818,6,0)</f>
        <v>High</v>
      </c>
      <c r="AH260" s="132" t="str">
        <f>VLOOKUP(AA260,frequency!$F$6:$H$818,3,FALSE)</f>
        <v>High</v>
      </c>
      <c r="AI260" s="129" t="str">
        <f>VLOOKUP(AA260,monetary!$B$5:$F$817,5,0)</f>
        <v>High</v>
      </c>
      <c r="AJ260" s="99" t="str">
        <f t="shared" si="38"/>
        <v>HHH</v>
      </c>
      <c r="AK260" s="99" t="str">
        <f>VLOOKUP(AJ260,rfm[],2,0)</f>
        <v>🥇 Champions</v>
      </c>
      <c r="AN260" s="99" t="b">
        <f t="shared" si="39"/>
        <v>1</v>
      </c>
    </row>
    <row r="261" spans="2:40" x14ac:dyDescent="0.3">
      <c r="B261" s="99" t="s">
        <v>1792</v>
      </c>
      <c r="C261" s="100">
        <v>45701</v>
      </c>
      <c r="D261" s="99" t="s">
        <v>28</v>
      </c>
      <c r="E261" s="99" t="s">
        <v>29</v>
      </c>
      <c r="F261" s="99" t="s">
        <v>20</v>
      </c>
      <c r="G261" s="99">
        <v>42</v>
      </c>
      <c r="H261" s="112">
        <v>450000</v>
      </c>
      <c r="I261" s="112">
        <v>18900000</v>
      </c>
      <c r="J261" s="99" t="s">
        <v>2356</v>
      </c>
      <c r="K261" s="99" t="s">
        <v>8</v>
      </c>
      <c r="N261" s="99" t="s">
        <v>2292</v>
      </c>
      <c r="O261" s="99" t="s">
        <v>127</v>
      </c>
      <c r="P261" s="100">
        <f t="shared" si="31"/>
        <v>45896</v>
      </c>
      <c r="Q261" s="101">
        <f t="shared" si="30"/>
        <v>127</v>
      </c>
      <c r="R261" s="99">
        <f t="shared" si="32"/>
        <v>3</v>
      </c>
      <c r="S261" s="101">
        <f t="shared" si="33"/>
        <v>62950000</v>
      </c>
      <c r="T261" s="99" t="str">
        <f t="shared" si="34"/>
        <v>Low</v>
      </c>
      <c r="U261" s="99" t="str">
        <f t="shared" si="35"/>
        <v>High</v>
      </c>
      <c r="V261" s="99" t="str">
        <f t="shared" si="36"/>
        <v>High</v>
      </c>
      <c r="W261" s="99" t="str">
        <f t="shared" si="37"/>
        <v>LHH</v>
      </c>
      <c r="X261" s="99" t="str">
        <f>VLOOKUP(W261,rfm[],2,FALSE)</f>
        <v>⚠️ At Risk High Value</v>
      </c>
      <c r="AA261" s="99" t="s">
        <v>2292</v>
      </c>
      <c r="AB261" s="99" t="s">
        <v>127</v>
      </c>
      <c r="AC261" s="100">
        <v>45896</v>
      </c>
      <c r="AD261" s="101">
        <v>127</v>
      </c>
      <c r="AE261" s="101">
        <v>3</v>
      </c>
      <c r="AF261" s="101">
        <v>62950000</v>
      </c>
      <c r="AG261" s="99" t="str">
        <f>VLOOKUP(AA261,recency!$K$6:$P$818,6,0)</f>
        <v>Low</v>
      </c>
      <c r="AH261" s="132" t="str">
        <f>VLOOKUP(AA261,frequency!$F$6:$H$818,3,FALSE)</f>
        <v>High</v>
      </c>
      <c r="AI261" s="129" t="str">
        <f>VLOOKUP(AA261,monetary!$B$5:$F$817,5,0)</f>
        <v>High</v>
      </c>
      <c r="AJ261" s="99" t="str">
        <f t="shared" si="38"/>
        <v>LHH</v>
      </c>
      <c r="AK261" s="99" t="str">
        <f>VLOOKUP(AJ261,rfm[],2,0)</f>
        <v>⚠️ At Risk High Value</v>
      </c>
      <c r="AN261" s="99" t="b">
        <f t="shared" si="39"/>
        <v>1</v>
      </c>
    </row>
    <row r="262" spans="2:40" x14ac:dyDescent="0.3">
      <c r="B262" s="99" t="s">
        <v>1793</v>
      </c>
      <c r="C262" s="100">
        <v>45712</v>
      </c>
      <c r="D262" s="99" t="s">
        <v>38</v>
      </c>
      <c r="E262" s="99" t="s">
        <v>39</v>
      </c>
      <c r="F262" s="99" t="s">
        <v>16</v>
      </c>
      <c r="G262" s="99">
        <v>34</v>
      </c>
      <c r="H262" s="112">
        <v>200000</v>
      </c>
      <c r="I262" s="112">
        <v>6800000</v>
      </c>
      <c r="J262" s="99" t="s">
        <v>2330</v>
      </c>
      <c r="K262" s="99" t="s">
        <v>69</v>
      </c>
      <c r="N262" s="99" t="s">
        <v>2293</v>
      </c>
      <c r="O262" s="99" t="s">
        <v>47</v>
      </c>
      <c r="P262" s="100">
        <f t="shared" si="31"/>
        <v>46007</v>
      </c>
      <c r="Q262" s="101">
        <f t="shared" ref="Q262:Q325" si="40">analysis_date-P262</f>
        <v>16</v>
      </c>
      <c r="R262" s="99">
        <f t="shared" si="32"/>
        <v>3</v>
      </c>
      <c r="S262" s="101">
        <f t="shared" si="33"/>
        <v>26125000</v>
      </c>
      <c r="T262" s="99" t="str">
        <f t="shared" si="34"/>
        <v>High</v>
      </c>
      <c r="U262" s="99" t="str">
        <f t="shared" si="35"/>
        <v>High</v>
      </c>
      <c r="V262" s="99" t="str">
        <f t="shared" si="36"/>
        <v>High</v>
      </c>
      <c r="W262" s="99" t="str">
        <f t="shared" si="37"/>
        <v>HHH</v>
      </c>
      <c r="X262" s="99" t="str">
        <f>VLOOKUP(W262,rfm[],2,FALSE)</f>
        <v>🥇 Champions</v>
      </c>
      <c r="AA262" s="99" t="s">
        <v>2293</v>
      </c>
      <c r="AB262" s="99" t="s">
        <v>47</v>
      </c>
      <c r="AC262" s="100">
        <v>46007</v>
      </c>
      <c r="AD262" s="101">
        <v>16</v>
      </c>
      <c r="AE262" s="101">
        <v>3</v>
      </c>
      <c r="AF262" s="101">
        <v>26125000</v>
      </c>
      <c r="AG262" s="99" t="str">
        <f>VLOOKUP(AA262,recency!$K$6:$P$818,6,0)</f>
        <v>High</v>
      </c>
      <c r="AH262" s="132" t="str">
        <f>VLOOKUP(AA262,frequency!$F$6:$H$818,3,FALSE)</f>
        <v>High</v>
      </c>
      <c r="AI262" s="129" t="str">
        <f>VLOOKUP(AA262,monetary!$B$5:$F$817,5,0)</f>
        <v>Low</v>
      </c>
      <c r="AJ262" s="99" t="str">
        <f t="shared" si="38"/>
        <v>HHL</v>
      </c>
      <c r="AK262" s="99" t="str">
        <f>VLOOKUP(AJ262,rfm[],2,0)</f>
        <v>💎 Loyal High Value</v>
      </c>
      <c r="AN262" s="99" t="b">
        <f t="shared" si="39"/>
        <v>0</v>
      </c>
    </row>
    <row r="263" spans="2:40" x14ac:dyDescent="0.3">
      <c r="B263" s="99" t="s">
        <v>1794</v>
      </c>
      <c r="C263" s="100">
        <v>45712</v>
      </c>
      <c r="D263" s="99" t="s">
        <v>40</v>
      </c>
      <c r="E263" s="99" t="s">
        <v>41</v>
      </c>
      <c r="F263" s="99" t="s">
        <v>16</v>
      </c>
      <c r="G263" s="99">
        <v>42</v>
      </c>
      <c r="H263" s="112">
        <v>950000</v>
      </c>
      <c r="I263" s="112">
        <v>39900000</v>
      </c>
      <c r="J263" s="99" t="s">
        <v>2772</v>
      </c>
      <c r="K263" s="99" t="s">
        <v>47</v>
      </c>
      <c r="N263" s="99" t="s">
        <v>2294</v>
      </c>
      <c r="O263" s="99" t="s">
        <v>60</v>
      </c>
      <c r="P263" s="100">
        <f t="shared" ref="P263:P326" si="41">_xlfn.MAXIFS($C$6:$C$2005,$J$6:$J$2005,N263)</f>
        <v>45905</v>
      </c>
      <c r="Q263" s="101">
        <f t="shared" si="40"/>
        <v>118</v>
      </c>
      <c r="R263" s="99">
        <f t="shared" ref="R263:R326" si="42">COUNTIFS($J$6:$J$2005,N263)</f>
        <v>1</v>
      </c>
      <c r="S263" s="101">
        <f t="shared" ref="S263:S326" si="43">SUMIFS($I$6:$I$2005,$J$6:$J$2005,N263)</f>
        <v>12600000</v>
      </c>
      <c r="T263" s="99" t="str">
        <f t="shared" ref="T263:T326" si="44">IF(Q263&lt;MEDIAN($Q$6:$Q$817),"High","Low")</f>
        <v>Low</v>
      </c>
      <c r="U263" s="99" t="str">
        <f t="shared" ref="U263:U326" si="45">IF(R263&gt;MEDIAN($R$6:$R$817),"High","Low")</f>
        <v>Low</v>
      </c>
      <c r="V263" s="99" t="str">
        <f t="shared" ref="V263:V326" si="46">IF(S263&gt;MEDIAN($S$6:$S$817),"High","Low")</f>
        <v>Low</v>
      </c>
      <c r="W263" s="99" t="str">
        <f t="shared" ref="W263:W326" si="47">_xlfn.CONCAT(LEFT(T263,1),LEFT(U263,1),LEFT(V263,1))</f>
        <v>LLL</v>
      </c>
      <c r="X263" s="99" t="str">
        <f>VLOOKUP(W263,rfm[],2,FALSE)</f>
        <v>💤 Lost / Low Value</v>
      </c>
      <c r="AA263" s="99" t="s">
        <v>2294</v>
      </c>
      <c r="AB263" s="99" t="s">
        <v>60</v>
      </c>
      <c r="AC263" s="100">
        <v>45905</v>
      </c>
      <c r="AD263" s="101">
        <v>118</v>
      </c>
      <c r="AE263" s="101">
        <v>1</v>
      </c>
      <c r="AF263" s="101">
        <v>12600000</v>
      </c>
      <c r="AG263" s="99" t="str">
        <f>VLOOKUP(AA263,recency!$K$6:$P$818,6,0)</f>
        <v>Low</v>
      </c>
      <c r="AH263" s="132" t="str">
        <f>VLOOKUP(AA263,frequency!$F$6:$H$818,3,FALSE)</f>
        <v>Low</v>
      </c>
      <c r="AI263" s="129" t="str">
        <f>VLOOKUP(AA263,monetary!$B$5:$F$817,5,0)</f>
        <v>Low</v>
      </c>
      <c r="AJ263" s="99" t="str">
        <f t="shared" ref="AJ263:AJ326" si="48">_xlfn.CONCAT(LEFT(AG263,1),LEFT(AH263,1),LEFT(AI263,1))</f>
        <v>LLL</v>
      </c>
      <c r="AK263" s="99" t="str">
        <f>VLOOKUP(AJ263,rfm[],2,0)</f>
        <v>💤 Lost / Low Value</v>
      </c>
      <c r="AN263" s="99" t="b">
        <f t="shared" ref="AN263:AN326" si="49">AJ263=W263</f>
        <v>1</v>
      </c>
    </row>
    <row r="264" spans="2:40" x14ac:dyDescent="0.3">
      <c r="B264" s="99" t="s">
        <v>1795</v>
      </c>
      <c r="C264" s="100">
        <v>45712</v>
      </c>
      <c r="D264" s="99" t="s">
        <v>42</v>
      </c>
      <c r="E264" s="99" t="s">
        <v>43</v>
      </c>
      <c r="F264" s="99" t="s">
        <v>16</v>
      </c>
      <c r="G264" s="99">
        <v>26</v>
      </c>
      <c r="H264" s="112">
        <v>1200000</v>
      </c>
      <c r="I264" s="112">
        <v>31200000</v>
      </c>
      <c r="J264" s="99" t="s">
        <v>2515</v>
      </c>
      <c r="K264" s="99" t="s">
        <v>60</v>
      </c>
      <c r="N264" s="99" t="s">
        <v>2295</v>
      </c>
      <c r="O264" s="99" t="s">
        <v>127</v>
      </c>
      <c r="P264" s="100">
        <f t="shared" si="41"/>
        <v>45910</v>
      </c>
      <c r="Q264" s="101">
        <f t="shared" si="40"/>
        <v>113</v>
      </c>
      <c r="R264" s="99">
        <f t="shared" si="42"/>
        <v>2</v>
      </c>
      <c r="S264" s="101">
        <f t="shared" si="43"/>
        <v>12025000</v>
      </c>
      <c r="T264" s="99" t="str">
        <f t="shared" si="44"/>
        <v>Low</v>
      </c>
      <c r="U264" s="99" t="str">
        <f t="shared" si="45"/>
        <v>Low</v>
      </c>
      <c r="V264" s="99" t="str">
        <f t="shared" si="46"/>
        <v>Low</v>
      </c>
      <c r="W264" s="99" t="str">
        <f t="shared" si="47"/>
        <v>LLL</v>
      </c>
      <c r="X264" s="99" t="str">
        <f>VLOOKUP(W264,rfm[],2,FALSE)</f>
        <v>💤 Lost / Low Value</v>
      </c>
      <c r="AA264" s="99" t="s">
        <v>2295</v>
      </c>
      <c r="AB264" s="99" t="s">
        <v>127</v>
      </c>
      <c r="AC264" s="100">
        <v>45910</v>
      </c>
      <c r="AD264" s="101">
        <v>113</v>
      </c>
      <c r="AE264" s="101">
        <v>2</v>
      </c>
      <c r="AF264" s="101">
        <v>12025000</v>
      </c>
      <c r="AG264" s="99" t="str">
        <f>VLOOKUP(AA264,recency!$K$6:$P$818,6,0)</f>
        <v>Low</v>
      </c>
      <c r="AH264" s="132" t="str">
        <f>VLOOKUP(AA264,frequency!$F$6:$H$818,3,FALSE)</f>
        <v>Low</v>
      </c>
      <c r="AI264" s="129" t="str">
        <f>VLOOKUP(AA264,monetary!$B$5:$F$817,5,0)</f>
        <v>Low</v>
      </c>
      <c r="AJ264" s="99" t="str">
        <f t="shared" si="48"/>
        <v>LLL</v>
      </c>
      <c r="AK264" s="99" t="str">
        <f>VLOOKUP(AJ264,rfm[],2,0)</f>
        <v>💤 Lost / Low Value</v>
      </c>
      <c r="AN264" s="99" t="b">
        <f t="shared" si="49"/>
        <v>1</v>
      </c>
    </row>
    <row r="265" spans="2:40" x14ac:dyDescent="0.3">
      <c r="B265" s="99" t="s">
        <v>1826</v>
      </c>
      <c r="C265" s="100">
        <v>45712</v>
      </c>
      <c r="D265" s="99" t="s">
        <v>42</v>
      </c>
      <c r="E265" s="99" t="s">
        <v>43</v>
      </c>
      <c r="F265" s="99" t="s">
        <v>16</v>
      </c>
      <c r="G265" s="99">
        <v>8</v>
      </c>
      <c r="H265" s="112">
        <v>1200000</v>
      </c>
      <c r="I265" s="112">
        <v>9600000</v>
      </c>
      <c r="J265" s="99" t="s">
        <v>2483</v>
      </c>
      <c r="K265" s="99" t="s">
        <v>8</v>
      </c>
      <c r="N265" s="99" t="s">
        <v>2296</v>
      </c>
      <c r="O265" s="99" t="s">
        <v>8</v>
      </c>
      <c r="P265" s="100">
        <f t="shared" si="41"/>
        <v>45978</v>
      </c>
      <c r="Q265" s="101">
        <f t="shared" si="40"/>
        <v>45</v>
      </c>
      <c r="R265" s="99">
        <f t="shared" si="42"/>
        <v>3</v>
      </c>
      <c r="S265" s="101">
        <f t="shared" si="43"/>
        <v>41350000</v>
      </c>
      <c r="T265" s="99" t="str">
        <f t="shared" si="44"/>
        <v>High</v>
      </c>
      <c r="U265" s="99" t="str">
        <f t="shared" si="45"/>
        <v>High</v>
      </c>
      <c r="V265" s="99" t="str">
        <f t="shared" si="46"/>
        <v>High</v>
      </c>
      <c r="W265" s="99" t="str">
        <f t="shared" si="47"/>
        <v>HHH</v>
      </c>
      <c r="X265" s="99" t="str">
        <f>VLOOKUP(W265,rfm[],2,FALSE)</f>
        <v>🥇 Champions</v>
      </c>
      <c r="AA265" s="99" t="s">
        <v>2296</v>
      </c>
      <c r="AB265" s="99" t="s">
        <v>8</v>
      </c>
      <c r="AC265" s="100">
        <v>45978</v>
      </c>
      <c r="AD265" s="101">
        <v>45</v>
      </c>
      <c r="AE265" s="101">
        <v>3</v>
      </c>
      <c r="AF265" s="101">
        <v>41350000</v>
      </c>
      <c r="AG265" s="99" t="str">
        <f>VLOOKUP(AA265,recency!$K$6:$P$818,6,0)</f>
        <v>High</v>
      </c>
      <c r="AH265" s="132" t="str">
        <f>VLOOKUP(AA265,frequency!$F$6:$H$818,3,FALSE)</f>
        <v>High</v>
      </c>
      <c r="AI265" s="129" t="str">
        <f>VLOOKUP(AA265,monetary!$B$5:$F$817,5,0)</f>
        <v>Low</v>
      </c>
      <c r="AJ265" s="99" t="str">
        <f t="shared" si="48"/>
        <v>HHL</v>
      </c>
      <c r="AK265" s="99" t="str">
        <f>VLOOKUP(AJ265,rfm[],2,0)</f>
        <v>💎 Loyal High Value</v>
      </c>
      <c r="AN265" s="99" t="b">
        <f t="shared" si="49"/>
        <v>0</v>
      </c>
    </row>
    <row r="266" spans="2:40" x14ac:dyDescent="0.3">
      <c r="B266" s="99" t="s">
        <v>1827</v>
      </c>
      <c r="C266" s="100">
        <v>45712</v>
      </c>
      <c r="D266" s="99" t="s">
        <v>18</v>
      </c>
      <c r="E266" s="99" t="s">
        <v>19</v>
      </c>
      <c r="F266" s="99" t="s">
        <v>20</v>
      </c>
      <c r="G266" s="99">
        <v>41</v>
      </c>
      <c r="H266" s="112">
        <v>500000</v>
      </c>
      <c r="I266" s="112">
        <v>20500000</v>
      </c>
      <c r="J266" s="99" t="s">
        <v>2275</v>
      </c>
      <c r="K266" s="99" t="s">
        <v>60</v>
      </c>
      <c r="N266" s="99" t="s">
        <v>2297</v>
      </c>
      <c r="O266" s="99" t="s">
        <v>69</v>
      </c>
      <c r="P266" s="100">
        <f t="shared" si="41"/>
        <v>45890</v>
      </c>
      <c r="Q266" s="101">
        <f t="shared" si="40"/>
        <v>133</v>
      </c>
      <c r="R266" s="99">
        <f t="shared" si="42"/>
        <v>3</v>
      </c>
      <c r="S266" s="101">
        <f t="shared" si="43"/>
        <v>14590000</v>
      </c>
      <c r="T266" s="99" t="str">
        <f t="shared" si="44"/>
        <v>Low</v>
      </c>
      <c r="U266" s="99" t="str">
        <f t="shared" si="45"/>
        <v>High</v>
      </c>
      <c r="V266" s="99" t="str">
        <f t="shared" si="46"/>
        <v>Low</v>
      </c>
      <c r="W266" s="99" t="str">
        <f t="shared" si="47"/>
        <v>LHL</v>
      </c>
      <c r="X266" s="99" t="str">
        <f>VLOOKUP(W266,rfm[],2,FALSE)</f>
        <v>🔁 Former Loyal Low Spend</v>
      </c>
      <c r="AA266" s="99" t="s">
        <v>2297</v>
      </c>
      <c r="AB266" s="99" t="s">
        <v>69</v>
      </c>
      <c r="AC266" s="100">
        <v>45890</v>
      </c>
      <c r="AD266" s="101">
        <v>133</v>
      </c>
      <c r="AE266" s="101">
        <v>3</v>
      </c>
      <c r="AF266" s="101">
        <v>14590000</v>
      </c>
      <c r="AG266" s="99" t="str">
        <f>VLOOKUP(AA266,recency!$K$6:$P$818,6,0)</f>
        <v>Low</v>
      </c>
      <c r="AH266" s="132" t="str">
        <f>VLOOKUP(AA266,frequency!$F$6:$H$818,3,FALSE)</f>
        <v>High</v>
      </c>
      <c r="AI266" s="129" t="str">
        <f>VLOOKUP(AA266,monetary!$B$5:$F$817,5,0)</f>
        <v>Low</v>
      </c>
      <c r="AJ266" s="99" t="str">
        <f t="shared" si="48"/>
        <v>LHL</v>
      </c>
      <c r="AK266" s="99" t="str">
        <f>VLOOKUP(AJ266,rfm[],2,0)</f>
        <v>🔁 Former Loyal Low Spend</v>
      </c>
      <c r="AN266" s="99" t="b">
        <f t="shared" si="49"/>
        <v>1</v>
      </c>
    </row>
    <row r="267" spans="2:40" x14ac:dyDescent="0.3">
      <c r="B267" s="99" t="s">
        <v>1828</v>
      </c>
      <c r="C267" s="100">
        <v>45712</v>
      </c>
      <c r="D267" s="99" t="s">
        <v>18</v>
      </c>
      <c r="E267" s="99" t="s">
        <v>19</v>
      </c>
      <c r="F267" s="99" t="s">
        <v>20</v>
      </c>
      <c r="G267" s="99">
        <v>39</v>
      </c>
      <c r="H267" s="112">
        <v>500000</v>
      </c>
      <c r="I267" s="112">
        <v>19500000</v>
      </c>
      <c r="J267" s="99" t="s">
        <v>2164</v>
      </c>
      <c r="K267" s="99" t="s">
        <v>127</v>
      </c>
      <c r="N267" s="99" t="s">
        <v>2298</v>
      </c>
      <c r="O267" s="99" t="s">
        <v>60</v>
      </c>
      <c r="P267" s="100">
        <f t="shared" si="41"/>
        <v>45894</v>
      </c>
      <c r="Q267" s="101">
        <f t="shared" si="40"/>
        <v>129</v>
      </c>
      <c r="R267" s="99">
        <f t="shared" si="42"/>
        <v>2</v>
      </c>
      <c r="S267" s="101">
        <f t="shared" si="43"/>
        <v>13700000</v>
      </c>
      <c r="T267" s="99" t="str">
        <f t="shared" si="44"/>
        <v>Low</v>
      </c>
      <c r="U267" s="99" t="str">
        <f t="shared" si="45"/>
        <v>Low</v>
      </c>
      <c r="V267" s="99" t="str">
        <f t="shared" si="46"/>
        <v>Low</v>
      </c>
      <c r="W267" s="99" t="str">
        <f t="shared" si="47"/>
        <v>LLL</v>
      </c>
      <c r="X267" s="99" t="str">
        <f>VLOOKUP(W267,rfm[],2,FALSE)</f>
        <v>💤 Lost / Low Value</v>
      </c>
      <c r="AA267" s="99" t="s">
        <v>2298</v>
      </c>
      <c r="AB267" s="99" t="s">
        <v>60</v>
      </c>
      <c r="AC267" s="100">
        <v>45894</v>
      </c>
      <c r="AD267" s="101">
        <v>129</v>
      </c>
      <c r="AE267" s="101">
        <v>2</v>
      </c>
      <c r="AF267" s="101">
        <v>13700000</v>
      </c>
      <c r="AG267" s="99" t="str">
        <f>VLOOKUP(AA267,recency!$K$6:$P$818,6,0)</f>
        <v>Low</v>
      </c>
      <c r="AH267" s="132" t="str">
        <f>VLOOKUP(AA267,frequency!$F$6:$H$818,3,FALSE)</f>
        <v>Low</v>
      </c>
      <c r="AI267" s="129" t="str">
        <f>VLOOKUP(AA267,monetary!$B$5:$F$817,5,0)</f>
        <v>Low</v>
      </c>
      <c r="AJ267" s="99" t="str">
        <f t="shared" si="48"/>
        <v>LLL</v>
      </c>
      <c r="AK267" s="99" t="str">
        <f>VLOOKUP(AJ267,rfm[],2,0)</f>
        <v>💤 Lost / Low Value</v>
      </c>
      <c r="AN267" s="99" t="b">
        <f t="shared" si="49"/>
        <v>1</v>
      </c>
    </row>
    <row r="268" spans="2:40" x14ac:dyDescent="0.3">
      <c r="B268" s="99" t="s">
        <v>1856</v>
      </c>
      <c r="C268" s="100">
        <v>45712</v>
      </c>
      <c r="D268" s="99" t="s">
        <v>40</v>
      </c>
      <c r="E268" s="99" t="s">
        <v>41</v>
      </c>
      <c r="F268" s="99" t="s">
        <v>16</v>
      </c>
      <c r="G268" s="99">
        <v>6</v>
      </c>
      <c r="H268" s="112">
        <v>950000</v>
      </c>
      <c r="I268" s="112">
        <v>5700000</v>
      </c>
      <c r="J268" s="99" t="s">
        <v>2469</v>
      </c>
      <c r="K268" s="99" t="s">
        <v>69</v>
      </c>
      <c r="N268" s="99" t="s">
        <v>2299</v>
      </c>
      <c r="O268" s="99" t="s">
        <v>127</v>
      </c>
      <c r="P268" s="100">
        <f t="shared" si="41"/>
        <v>45924</v>
      </c>
      <c r="Q268" s="101">
        <f t="shared" si="40"/>
        <v>99</v>
      </c>
      <c r="R268" s="99">
        <f t="shared" si="42"/>
        <v>6</v>
      </c>
      <c r="S268" s="101">
        <f t="shared" si="43"/>
        <v>817500000</v>
      </c>
      <c r="T268" s="99" t="str">
        <f t="shared" si="44"/>
        <v>Low</v>
      </c>
      <c r="U268" s="99" t="str">
        <f t="shared" si="45"/>
        <v>High</v>
      </c>
      <c r="V268" s="99" t="str">
        <f t="shared" si="46"/>
        <v>High</v>
      </c>
      <c r="W268" s="99" t="str">
        <f t="shared" si="47"/>
        <v>LHH</v>
      </c>
      <c r="X268" s="99" t="str">
        <f>VLOOKUP(W268,rfm[],2,FALSE)</f>
        <v>⚠️ At Risk High Value</v>
      </c>
      <c r="AA268" s="99" t="s">
        <v>2299</v>
      </c>
      <c r="AB268" s="99" t="s">
        <v>127</v>
      </c>
      <c r="AC268" s="100">
        <v>45924</v>
      </c>
      <c r="AD268" s="101">
        <v>99</v>
      </c>
      <c r="AE268" s="101">
        <v>6</v>
      </c>
      <c r="AF268" s="101">
        <v>817500000</v>
      </c>
      <c r="AG268" s="99" t="str">
        <f>VLOOKUP(AA268,recency!$K$6:$P$818,6,0)</f>
        <v>Low</v>
      </c>
      <c r="AH268" s="132" t="str">
        <f>VLOOKUP(AA268,frequency!$F$6:$H$818,3,FALSE)</f>
        <v>High</v>
      </c>
      <c r="AI268" s="129" t="str">
        <f>VLOOKUP(AA268,monetary!$B$5:$F$817,5,0)</f>
        <v>High</v>
      </c>
      <c r="AJ268" s="99" t="str">
        <f t="shared" si="48"/>
        <v>LHH</v>
      </c>
      <c r="AK268" s="99" t="str">
        <f>VLOOKUP(AJ268,rfm[],2,0)</f>
        <v>⚠️ At Risk High Value</v>
      </c>
      <c r="AN268" s="99" t="b">
        <f t="shared" si="49"/>
        <v>1</v>
      </c>
    </row>
    <row r="269" spans="2:40" x14ac:dyDescent="0.3">
      <c r="B269" s="99" t="s">
        <v>1857</v>
      </c>
      <c r="C269" s="100">
        <v>45712</v>
      </c>
      <c r="D269" s="99" t="s">
        <v>22</v>
      </c>
      <c r="E269" s="99" t="s">
        <v>23</v>
      </c>
      <c r="F269" s="99" t="s">
        <v>12</v>
      </c>
      <c r="G269" s="99">
        <v>23</v>
      </c>
      <c r="H269" s="112">
        <v>25000</v>
      </c>
      <c r="I269" s="112">
        <v>575000</v>
      </c>
      <c r="J269" s="99" t="s">
        <v>2482</v>
      </c>
      <c r="K269" s="99" t="s">
        <v>127</v>
      </c>
      <c r="N269" s="99" t="s">
        <v>2300</v>
      </c>
      <c r="O269" s="99" t="s">
        <v>60</v>
      </c>
      <c r="P269" s="100">
        <f t="shared" si="41"/>
        <v>45847</v>
      </c>
      <c r="Q269" s="101">
        <f t="shared" si="40"/>
        <v>176</v>
      </c>
      <c r="R269" s="99">
        <f t="shared" si="42"/>
        <v>2</v>
      </c>
      <c r="S269" s="101">
        <f t="shared" si="43"/>
        <v>30650000</v>
      </c>
      <c r="T269" s="99" t="str">
        <f t="shared" si="44"/>
        <v>Low</v>
      </c>
      <c r="U269" s="99" t="str">
        <f t="shared" si="45"/>
        <v>Low</v>
      </c>
      <c r="V269" s="99" t="str">
        <f t="shared" si="46"/>
        <v>High</v>
      </c>
      <c r="W269" s="99" t="str">
        <f t="shared" si="47"/>
        <v>LLH</v>
      </c>
      <c r="X269" s="99" t="str">
        <f>VLOOKUP(W269,rfm[],2,FALSE)</f>
        <v>💸 Lost High Spenders</v>
      </c>
      <c r="AA269" s="99" t="s">
        <v>2300</v>
      </c>
      <c r="AB269" s="99" t="s">
        <v>60</v>
      </c>
      <c r="AC269" s="100">
        <v>45847</v>
      </c>
      <c r="AD269" s="101">
        <v>176</v>
      </c>
      <c r="AE269" s="101">
        <v>2</v>
      </c>
      <c r="AF269" s="101">
        <v>30650000</v>
      </c>
      <c r="AG269" s="99" t="str">
        <f>VLOOKUP(AA269,recency!$K$6:$P$818,6,0)</f>
        <v>Low</v>
      </c>
      <c r="AH269" s="132" t="str">
        <f>VLOOKUP(AA269,frequency!$F$6:$H$818,3,FALSE)</f>
        <v>Low</v>
      </c>
      <c r="AI269" s="129" t="str">
        <f>VLOOKUP(AA269,monetary!$B$5:$F$817,5,0)</f>
        <v>Low</v>
      </c>
      <c r="AJ269" s="99" t="str">
        <f t="shared" si="48"/>
        <v>LLL</v>
      </c>
      <c r="AK269" s="99" t="str">
        <f>VLOOKUP(AJ269,rfm[],2,0)</f>
        <v>💤 Lost / Low Value</v>
      </c>
      <c r="AN269" s="99" t="b">
        <f t="shared" si="49"/>
        <v>0</v>
      </c>
    </row>
    <row r="270" spans="2:40" x14ac:dyDescent="0.3">
      <c r="B270" s="99" t="s">
        <v>1858</v>
      </c>
      <c r="C270" s="100">
        <v>45712</v>
      </c>
      <c r="D270" s="99" t="s">
        <v>38</v>
      </c>
      <c r="E270" s="99" t="s">
        <v>39</v>
      </c>
      <c r="F270" s="99" t="s">
        <v>16</v>
      </c>
      <c r="G270" s="99">
        <v>13</v>
      </c>
      <c r="H270" s="112">
        <v>200000</v>
      </c>
      <c r="I270" s="112">
        <v>2600000</v>
      </c>
      <c r="J270" s="99" t="s">
        <v>2363</v>
      </c>
      <c r="K270" s="99" t="s">
        <v>8</v>
      </c>
      <c r="N270" s="99" t="s">
        <v>2301</v>
      </c>
      <c r="O270" s="99" t="s">
        <v>8</v>
      </c>
      <c r="P270" s="100">
        <f t="shared" si="41"/>
        <v>45999</v>
      </c>
      <c r="Q270" s="101">
        <f t="shared" si="40"/>
        <v>24</v>
      </c>
      <c r="R270" s="99">
        <f t="shared" si="42"/>
        <v>6</v>
      </c>
      <c r="S270" s="101">
        <f t="shared" si="43"/>
        <v>32730000</v>
      </c>
      <c r="T270" s="99" t="str">
        <f t="shared" si="44"/>
        <v>High</v>
      </c>
      <c r="U270" s="99" t="str">
        <f t="shared" si="45"/>
        <v>High</v>
      </c>
      <c r="V270" s="99" t="str">
        <f t="shared" si="46"/>
        <v>High</v>
      </c>
      <c r="W270" s="99" t="str">
        <f t="shared" si="47"/>
        <v>HHH</v>
      </c>
      <c r="X270" s="99" t="str">
        <f>VLOOKUP(W270,rfm[],2,FALSE)</f>
        <v>🥇 Champions</v>
      </c>
      <c r="AA270" s="99" t="s">
        <v>2301</v>
      </c>
      <c r="AB270" s="99" t="s">
        <v>8</v>
      </c>
      <c r="AC270" s="100">
        <v>45999</v>
      </c>
      <c r="AD270" s="101">
        <v>24</v>
      </c>
      <c r="AE270" s="101">
        <v>6</v>
      </c>
      <c r="AF270" s="101">
        <v>32730000</v>
      </c>
      <c r="AG270" s="99" t="str">
        <f>VLOOKUP(AA270,recency!$K$6:$P$818,6,0)</f>
        <v>High</v>
      </c>
      <c r="AH270" s="132" t="str">
        <f>VLOOKUP(AA270,frequency!$F$6:$H$818,3,FALSE)</f>
        <v>High</v>
      </c>
      <c r="AI270" s="129" t="str">
        <f>VLOOKUP(AA270,monetary!$B$5:$F$817,5,0)</f>
        <v>Low</v>
      </c>
      <c r="AJ270" s="99" t="str">
        <f t="shared" si="48"/>
        <v>HHL</v>
      </c>
      <c r="AK270" s="99" t="str">
        <f>VLOOKUP(AJ270,rfm[],2,0)</f>
        <v>💎 Loyal High Value</v>
      </c>
      <c r="AN270" s="99" t="b">
        <f t="shared" si="49"/>
        <v>0</v>
      </c>
    </row>
    <row r="271" spans="2:40" x14ac:dyDescent="0.3">
      <c r="B271" s="99" t="s">
        <v>1859</v>
      </c>
      <c r="C271" s="100">
        <v>45712</v>
      </c>
      <c r="D271" s="99" t="s">
        <v>18</v>
      </c>
      <c r="E271" s="99" t="s">
        <v>19</v>
      </c>
      <c r="F271" s="99" t="s">
        <v>20</v>
      </c>
      <c r="G271" s="99">
        <v>49</v>
      </c>
      <c r="H271" s="112">
        <v>500000</v>
      </c>
      <c r="I271" s="112">
        <v>24500000</v>
      </c>
      <c r="J271" s="99" t="s">
        <v>2296</v>
      </c>
      <c r="K271" s="99" t="s">
        <v>8</v>
      </c>
      <c r="N271" s="99" t="s">
        <v>2302</v>
      </c>
      <c r="O271" s="99" t="s">
        <v>8</v>
      </c>
      <c r="P271" s="100">
        <f t="shared" si="41"/>
        <v>45961</v>
      </c>
      <c r="Q271" s="101">
        <f t="shared" si="40"/>
        <v>62</v>
      </c>
      <c r="R271" s="99">
        <f t="shared" si="42"/>
        <v>4</v>
      </c>
      <c r="S271" s="101">
        <f t="shared" si="43"/>
        <v>53550000</v>
      </c>
      <c r="T271" s="99" t="str">
        <f t="shared" si="44"/>
        <v>High</v>
      </c>
      <c r="U271" s="99" t="str">
        <f t="shared" si="45"/>
        <v>High</v>
      </c>
      <c r="V271" s="99" t="str">
        <f t="shared" si="46"/>
        <v>High</v>
      </c>
      <c r="W271" s="99" t="str">
        <f t="shared" si="47"/>
        <v>HHH</v>
      </c>
      <c r="X271" s="99" t="str">
        <f>VLOOKUP(W271,rfm[],2,FALSE)</f>
        <v>🥇 Champions</v>
      </c>
      <c r="AA271" s="99" t="s">
        <v>2302</v>
      </c>
      <c r="AB271" s="99" t="s">
        <v>8</v>
      </c>
      <c r="AC271" s="100">
        <v>45961</v>
      </c>
      <c r="AD271" s="101">
        <v>62</v>
      </c>
      <c r="AE271" s="101">
        <v>4</v>
      </c>
      <c r="AF271" s="101">
        <v>53550000</v>
      </c>
      <c r="AG271" s="99" t="str">
        <f>VLOOKUP(AA271,recency!$K$6:$P$818,6,0)</f>
        <v>Low</v>
      </c>
      <c r="AH271" s="132" t="str">
        <f>VLOOKUP(AA271,frequency!$F$6:$H$818,3,FALSE)</f>
        <v>High</v>
      </c>
      <c r="AI271" s="129" t="str">
        <f>VLOOKUP(AA271,monetary!$B$5:$F$817,5,0)</f>
        <v>High</v>
      </c>
      <c r="AJ271" s="99" t="str">
        <f t="shared" si="48"/>
        <v>LHH</v>
      </c>
      <c r="AK271" s="99" t="str">
        <f>VLOOKUP(AJ271,rfm[],2,0)</f>
        <v>⚠️ At Risk High Value</v>
      </c>
      <c r="AN271" s="99" t="b">
        <f t="shared" si="49"/>
        <v>0</v>
      </c>
    </row>
    <row r="272" spans="2:40" x14ac:dyDescent="0.3">
      <c r="B272" s="99" t="s">
        <v>1886</v>
      </c>
      <c r="C272" s="100">
        <v>45714</v>
      </c>
      <c r="D272" s="99" t="s">
        <v>18</v>
      </c>
      <c r="E272" s="99" t="s">
        <v>19</v>
      </c>
      <c r="F272" s="99" t="s">
        <v>20</v>
      </c>
      <c r="G272" s="99">
        <v>34</v>
      </c>
      <c r="H272" s="112">
        <v>500000</v>
      </c>
      <c r="I272" s="112">
        <v>17000000</v>
      </c>
      <c r="J272" s="99" t="s">
        <v>2817</v>
      </c>
      <c r="K272" s="99" t="s">
        <v>127</v>
      </c>
      <c r="N272" s="99" t="s">
        <v>2303</v>
      </c>
      <c r="O272" s="99" t="s">
        <v>127</v>
      </c>
      <c r="P272" s="100">
        <f t="shared" si="41"/>
        <v>46003</v>
      </c>
      <c r="Q272" s="101">
        <f t="shared" si="40"/>
        <v>20</v>
      </c>
      <c r="R272" s="99">
        <f t="shared" si="42"/>
        <v>3</v>
      </c>
      <c r="S272" s="101">
        <f t="shared" si="43"/>
        <v>25975000</v>
      </c>
      <c r="T272" s="99" t="str">
        <f t="shared" si="44"/>
        <v>High</v>
      </c>
      <c r="U272" s="99" t="str">
        <f t="shared" si="45"/>
        <v>High</v>
      </c>
      <c r="V272" s="99" t="str">
        <f t="shared" si="46"/>
        <v>High</v>
      </c>
      <c r="W272" s="99" t="str">
        <f t="shared" si="47"/>
        <v>HHH</v>
      </c>
      <c r="X272" s="99" t="str">
        <f>VLOOKUP(W272,rfm[],2,FALSE)</f>
        <v>🥇 Champions</v>
      </c>
      <c r="AA272" s="99" t="s">
        <v>2303</v>
      </c>
      <c r="AB272" s="99" t="s">
        <v>127</v>
      </c>
      <c r="AC272" s="100">
        <v>46003</v>
      </c>
      <c r="AD272" s="101">
        <v>20</v>
      </c>
      <c r="AE272" s="101">
        <v>3</v>
      </c>
      <c r="AF272" s="101">
        <v>25975000</v>
      </c>
      <c r="AG272" s="99" t="str">
        <f>VLOOKUP(AA272,recency!$K$6:$P$818,6,0)</f>
        <v>High</v>
      </c>
      <c r="AH272" s="132" t="str">
        <f>VLOOKUP(AA272,frequency!$F$6:$H$818,3,FALSE)</f>
        <v>High</v>
      </c>
      <c r="AI272" s="129" t="str">
        <f>VLOOKUP(AA272,monetary!$B$5:$F$817,5,0)</f>
        <v>Low</v>
      </c>
      <c r="AJ272" s="99" t="str">
        <f t="shared" si="48"/>
        <v>HHL</v>
      </c>
      <c r="AK272" s="99" t="str">
        <f>VLOOKUP(AJ272,rfm[],2,0)</f>
        <v>💎 Loyal High Value</v>
      </c>
      <c r="AN272" s="99" t="b">
        <f t="shared" si="49"/>
        <v>0</v>
      </c>
    </row>
    <row r="273" spans="2:40" x14ac:dyDescent="0.3">
      <c r="B273" s="99" t="s">
        <v>1900</v>
      </c>
      <c r="C273" s="100">
        <v>45714</v>
      </c>
      <c r="D273" s="99" t="s">
        <v>31</v>
      </c>
      <c r="E273" s="99" t="s">
        <v>32</v>
      </c>
      <c r="F273" s="99" t="s">
        <v>20</v>
      </c>
      <c r="G273" s="99">
        <v>45</v>
      </c>
      <c r="H273" s="112">
        <v>180000</v>
      </c>
      <c r="I273" s="112">
        <v>8100000</v>
      </c>
      <c r="J273" s="99" t="s">
        <v>2168</v>
      </c>
      <c r="K273" s="99" t="s">
        <v>127</v>
      </c>
      <c r="N273" s="99" t="s">
        <v>2304</v>
      </c>
      <c r="O273" s="99" t="s">
        <v>8</v>
      </c>
      <c r="P273" s="100">
        <f t="shared" si="41"/>
        <v>45888</v>
      </c>
      <c r="Q273" s="101">
        <f t="shared" si="40"/>
        <v>135</v>
      </c>
      <c r="R273" s="99">
        <f t="shared" si="42"/>
        <v>2</v>
      </c>
      <c r="S273" s="101">
        <f t="shared" si="43"/>
        <v>19200000</v>
      </c>
      <c r="T273" s="99" t="str">
        <f t="shared" si="44"/>
        <v>Low</v>
      </c>
      <c r="U273" s="99" t="str">
        <f t="shared" si="45"/>
        <v>Low</v>
      </c>
      <c r="V273" s="99" t="str">
        <f t="shared" si="46"/>
        <v>High</v>
      </c>
      <c r="W273" s="99" t="str">
        <f t="shared" si="47"/>
        <v>LLH</v>
      </c>
      <c r="X273" s="99" t="str">
        <f>VLOOKUP(W273,rfm[],2,FALSE)</f>
        <v>💸 Lost High Spenders</v>
      </c>
      <c r="AA273" s="99" t="s">
        <v>2304</v>
      </c>
      <c r="AB273" s="99" t="s">
        <v>8</v>
      </c>
      <c r="AC273" s="100">
        <v>45888</v>
      </c>
      <c r="AD273" s="101">
        <v>135</v>
      </c>
      <c r="AE273" s="101">
        <v>2</v>
      </c>
      <c r="AF273" s="101">
        <v>19200000</v>
      </c>
      <c r="AG273" s="99" t="str">
        <f>VLOOKUP(AA273,recency!$K$6:$P$818,6,0)</f>
        <v>Low</v>
      </c>
      <c r="AH273" s="132" t="str">
        <f>VLOOKUP(AA273,frequency!$F$6:$H$818,3,FALSE)</f>
        <v>Low</v>
      </c>
      <c r="AI273" s="129" t="str">
        <f>VLOOKUP(AA273,monetary!$B$5:$F$817,5,0)</f>
        <v>Low</v>
      </c>
      <c r="AJ273" s="99" t="str">
        <f t="shared" si="48"/>
        <v>LLL</v>
      </c>
      <c r="AK273" s="99" t="str">
        <f>VLOOKUP(AJ273,rfm[],2,0)</f>
        <v>💤 Lost / Low Value</v>
      </c>
      <c r="AN273" s="99" t="b">
        <f t="shared" si="49"/>
        <v>0</v>
      </c>
    </row>
    <row r="274" spans="2:40" x14ac:dyDescent="0.3">
      <c r="B274" s="99" t="s">
        <v>1914</v>
      </c>
      <c r="C274" s="100">
        <v>45714</v>
      </c>
      <c r="D274" s="99" t="s">
        <v>22</v>
      </c>
      <c r="E274" s="99" t="s">
        <v>23</v>
      </c>
      <c r="F274" s="99" t="s">
        <v>12</v>
      </c>
      <c r="G274" s="99">
        <v>26</v>
      </c>
      <c r="H274" s="112">
        <v>25000</v>
      </c>
      <c r="I274" s="112">
        <v>650000</v>
      </c>
      <c r="J274" s="99" t="s">
        <v>2709</v>
      </c>
      <c r="K274" s="99" t="s">
        <v>69</v>
      </c>
      <c r="N274" s="99" t="s">
        <v>2305</v>
      </c>
      <c r="O274" s="99" t="s">
        <v>8</v>
      </c>
      <c r="P274" s="100">
        <f t="shared" si="41"/>
        <v>45912</v>
      </c>
      <c r="Q274" s="101">
        <f t="shared" si="40"/>
        <v>111</v>
      </c>
      <c r="R274" s="99">
        <f t="shared" si="42"/>
        <v>3</v>
      </c>
      <c r="S274" s="101">
        <f t="shared" si="43"/>
        <v>18625000</v>
      </c>
      <c r="T274" s="99" t="str">
        <f t="shared" si="44"/>
        <v>Low</v>
      </c>
      <c r="U274" s="99" t="str">
        <f t="shared" si="45"/>
        <v>High</v>
      </c>
      <c r="V274" s="99" t="str">
        <f t="shared" si="46"/>
        <v>High</v>
      </c>
      <c r="W274" s="99" t="str">
        <f t="shared" si="47"/>
        <v>LHH</v>
      </c>
      <c r="X274" s="99" t="str">
        <f>VLOOKUP(W274,rfm[],2,FALSE)</f>
        <v>⚠️ At Risk High Value</v>
      </c>
      <c r="AA274" s="99" t="s">
        <v>2305</v>
      </c>
      <c r="AB274" s="99" t="s">
        <v>8</v>
      </c>
      <c r="AC274" s="100">
        <v>45912</v>
      </c>
      <c r="AD274" s="101">
        <v>111</v>
      </c>
      <c r="AE274" s="101">
        <v>3</v>
      </c>
      <c r="AF274" s="101">
        <v>18625000</v>
      </c>
      <c r="AG274" s="99" t="str">
        <f>VLOOKUP(AA274,recency!$K$6:$P$818,6,0)</f>
        <v>Low</v>
      </c>
      <c r="AH274" s="132" t="str">
        <f>VLOOKUP(AA274,frequency!$F$6:$H$818,3,FALSE)</f>
        <v>High</v>
      </c>
      <c r="AI274" s="129" t="str">
        <f>VLOOKUP(AA274,monetary!$B$5:$F$817,5,0)</f>
        <v>Low</v>
      </c>
      <c r="AJ274" s="99" t="str">
        <f t="shared" si="48"/>
        <v>LHL</v>
      </c>
      <c r="AK274" s="99" t="str">
        <f>VLOOKUP(AJ274,rfm[],2,0)</f>
        <v>🔁 Former Loyal Low Spend</v>
      </c>
      <c r="AN274" s="99" t="b">
        <f t="shared" si="49"/>
        <v>0</v>
      </c>
    </row>
    <row r="275" spans="2:40" x14ac:dyDescent="0.3">
      <c r="B275" s="99" t="s">
        <v>1915</v>
      </c>
      <c r="C275" s="100">
        <v>45714</v>
      </c>
      <c r="D275" s="99" t="s">
        <v>28</v>
      </c>
      <c r="E275" s="99" t="s">
        <v>29</v>
      </c>
      <c r="F275" s="99" t="s">
        <v>20</v>
      </c>
      <c r="G275" s="99">
        <v>41</v>
      </c>
      <c r="H275" s="112">
        <v>450000</v>
      </c>
      <c r="I275" s="112">
        <v>18450000</v>
      </c>
      <c r="J275" s="99" t="s">
        <v>2400</v>
      </c>
      <c r="K275" s="99" t="s">
        <v>127</v>
      </c>
      <c r="N275" s="99" t="s">
        <v>2306</v>
      </c>
      <c r="O275" s="99" t="s">
        <v>47</v>
      </c>
      <c r="P275" s="100">
        <f t="shared" si="41"/>
        <v>45988</v>
      </c>
      <c r="Q275" s="101">
        <f t="shared" si="40"/>
        <v>35</v>
      </c>
      <c r="R275" s="99">
        <f t="shared" si="42"/>
        <v>1</v>
      </c>
      <c r="S275" s="101">
        <f t="shared" si="43"/>
        <v>2400000</v>
      </c>
      <c r="T275" s="99" t="str">
        <f t="shared" si="44"/>
        <v>High</v>
      </c>
      <c r="U275" s="99" t="str">
        <f t="shared" si="45"/>
        <v>Low</v>
      </c>
      <c r="V275" s="99" t="str">
        <f t="shared" si="46"/>
        <v>Low</v>
      </c>
      <c r="W275" s="99" t="str">
        <f t="shared" si="47"/>
        <v>HLL</v>
      </c>
      <c r="X275" s="99" t="str">
        <f>VLOOKUP(W275,rfm[],2,FALSE)</f>
        <v>🌱 Potential Loyalists</v>
      </c>
      <c r="AA275" s="99" t="s">
        <v>2306</v>
      </c>
      <c r="AB275" s="99" t="s">
        <v>47</v>
      </c>
      <c r="AC275" s="100">
        <v>45988</v>
      </c>
      <c r="AD275" s="101">
        <v>35</v>
      </c>
      <c r="AE275" s="101">
        <v>1</v>
      </c>
      <c r="AF275" s="101">
        <v>2400000</v>
      </c>
      <c r="AG275" s="99" t="str">
        <f>VLOOKUP(AA275,recency!$K$6:$P$818,6,0)</f>
        <v>High</v>
      </c>
      <c r="AH275" s="132" t="str">
        <f>VLOOKUP(AA275,frequency!$F$6:$H$818,3,FALSE)</f>
        <v>Low</v>
      </c>
      <c r="AI275" s="129" t="str">
        <f>VLOOKUP(AA275,monetary!$B$5:$F$817,5,0)</f>
        <v>Low</v>
      </c>
      <c r="AJ275" s="99" t="str">
        <f t="shared" si="48"/>
        <v>HLL</v>
      </c>
      <c r="AK275" s="99" t="str">
        <f>VLOOKUP(AJ275,rfm[],2,0)</f>
        <v>🌱 Potential Loyalists</v>
      </c>
      <c r="AN275" s="99" t="b">
        <f t="shared" si="49"/>
        <v>1</v>
      </c>
    </row>
    <row r="276" spans="2:40" x14ac:dyDescent="0.3">
      <c r="B276" s="99" t="s">
        <v>1916</v>
      </c>
      <c r="C276" s="100">
        <v>45714</v>
      </c>
      <c r="D276" s="99" t="s">
        <v>42</v>
      </c>
      <c r="E276" s="99" t="s">
        <v>43</v>
      </c>
      <c r="F276" s="99" t="s">
        <v>16</v>
      </c>
      <c r="G276" s="99">
        <v>50</v>
      </c>
      <c r="H276" s="112">
        <v>1200000</v>
      </c>
      <c r="I276" s="112">
        <v>60000000</v>
      </c>
      <c r="J276" s="99" t="s">
        <v>2523</v>
      </c>
      <c r="K276" s="99" t="s">
        <v>127</v>
      </c>
      <c r="N276" s="99" t="s">
        <v>2307</v>
      </c>
      <c r="O276" s="99" t="s">
        <v>127</v>
      </c>
      <c r="P276" s="100">
        <f t="shared" si="41"/>
        <v>45890</v>
      </c>
      <c r="Q276" s="101">
        <f t="shared" si="40"/>
        <v>133</v>
      </c>
      <c r="R276" s="99">
        <f t="shared" si="42"/>
        <v>2</v>
      </c>
      <c r="S276" s="101">
        <f t="shared" si="43"/>
        <v>24050000</v>
      </c>
      <c r="T276" s="99" t="str">
        <f t="shared" si="44"/>
        <v>Low</v>
      </c>
      <c r="U276" s="99" t="str">
        <f t="shared" si="45"/>
        <v>Low</v>
      </c>
      <c r="V276" s="99" t="str">
        <f t="shared" si="46"/>
        <v>High</v>
      </c>
      <c r="W276" s="99" t="str">
        <f t="shared" si="47"/>
        <v>LLH</v>
      </c>
      <c r="X276" s="99" t="str">
        <f>VLOOKUP(W276,rfm[],2,FALSE)</f>
        <v>💸 Lost High Spenders</v>
      </c>
      <c r="AA276" s="99" t="s">
        <v>2307</v>
      </c>
      <c r="AB276" s="99" t="s">
        <v>127</v>
      </c>
      <c r="AC276" s="100">
        <v>45890</v>
      </c>
      <c r="AD276" s="101">
        <v>133</v>
      </c>
      <c r="AE276" s="101">
        <v>2</v>
      </c>
      <c r="AF276" s="101">
        <v>24050000</v>
      </c>
      <c r="AG276" s="99" t="str">
        <f>VLOOKUP(AA276,recency!$K$6:$P$818,6,0)</f>
        <v>Low</v>
      </c>
      <c r="AH276" s="132" t="str">
        <f>VLOOKUP(AA276,frequency!$F$6:$H$818,3,FALSE)</f>
        <v>Low</v>
      </c>
      <c r="AI276" s="129" t="str">
        <f>VLOOKUP(AA276,monetary!$B$5:$F$817,5,0)</f>
        <v>Low</v>
      </c>
      <c r="AJ276" s="99" t="str">
        <f t="shared" si="48"/>
        <v>LLL</v>
      </c>
      <c r="AK276" s="99" t="str">
        <f>VLOOKUP(AJ276,rfm[],2,0)</f>
        <v>💤 Lost / Low Value</v>
      </c>
      <c r="AN276" s="99" t="b">
        <f t="shared" si="49"/>
        <v>0</v>
      </c>
    </row>
    <row r="277" spans="2:40" x14ac:dyDescent="0.3">
      <c r="B277" s="99" t="s">
        <v>1927</v>
      </c>
      <c r="C277" s="100">
        <v>45714</v>
      </c>
      <c r="D277" s="99" t="s">
        <v>31</v>
      </c>
      <c r="E277" s="99" t="s">
        <v>32</v>
      </c>
      <c r="F277" s="99" t="s">
        <v>20</v>
      </c>
      <c r="G277" s="99">
        <v>40</v>
      </c>
      <c r="H277" s="112">
        <v>180000</v>
      </c>
      <c r="I277" s="112">
        <v>7200000</v>
      </c>
      <c r="J277" s="99" t="s">
        <v>2374</v>
      </c>
      <c r="K277" s="99" t="s">
        <v>47</v>
      </c>
      <c r="N277" s="99" t="s">
        <v>2308</v>
      </c>
      <c r="O277" s="99" t="s">
        <v>60</v>
      </c>
      <c r="P277" s="100">
        <f t="shared" si="41"/>
        <v>45673</v>
      </c>
      <c r="Q277" s="101">
        <f t="shared" si="40"/>
        <v>350</v>
      </c>
      <c r="R277" s="99">
        <f t="shared" si="42"/>
        <v>1</v>
      </c>
      <c r="S277" s="101">
        <f t="shared" si="43"/>
        <v>11200000</v>
      </c>
      <c r="T277" s="99" t="str">
        <f t="shared" si="44"/>
        <v>Low</v>
      </c>
      <c r="U277" s="99" t="str">
        <f t="shared" si="45"/>
        <v>Low</v>
      </c>
      <c r="V277" s="99" t="str">
        <f t="shared" si="46"/>
        <v>Low</v>
      </c>
      <c r="W277" s="99" t="str">
        <f t="shared" si="47"/>
        <v>LLL</v>
      </c>
      <c r="X277" s="99" t="str">
        <f>VLOOKUP(W277,rfm[],2,FALSE)</f>
        <v>💤 Lost / Low Value</v>
      </c>
      <c r="AA277" s="99" t="s">
        <v>2308</v>
      </c>
      <c r="AB277" s="99" t="s">
        <v>60</v>
      </c>
      <c r="AC277" s="100">
        <v>45673</v>
      </c>
      <c r="AD277" s="101">
        <v>350</v>
      </c>
      <c r="AE277" s="101">
        <v>1</v>
      </c>
      <c r="AF277" s="101">
        <v>11200000</v>
      </c>
      <c r="AG277" s="99" t="str">
        <f>VLOOKUP(AA277,recency!$K$6:$P$818,6,0)</f>
        <v>Low</v>
      </c>
      <c r="AH277" s="132" t="str">
        <f>VLOOKUP(AA277,frequency!$F$6:$H$818,3,FALSE)</f>
        <v>Low</v>
      </c>
      <c r="AI277" s="129" t="str">
        <f>VLOOKUP(AA277,monetary!$B$5:$F$817,5,0)</f>
        <v>Low</v>
      </c>
      <c r="AJ277" s="99" t="str">
        <f t="shared" si="48"/>
        <v>LLL</v>
      </c>
      <c r="AK277" s="99" t="str">
        <f>VLOOKUP(AJ277,rfm[],2,0)</f>
        <v>💤 Lost / Low Value</v>
      </c>
      <c r="AN277" s="99" t="b">
        <f t="shared" si="49"/>
        <v>1</v>
      </c>
    </row>
    <row r="278" spans="2:40" x14ac:dyDescent="0.3">
      <c r="B278" s="99" t="s">
        <v>1928</v>
      </c>
      <c r="C278" s="100">
        <v>45714</v>
      </c>
      <c r="D278" s="99" t="s">
        <v>14</v>
      </c>
      <c r="E278" s="99" t="s">
        <v>15</v>
      </c>
      <c r="F278" s="99" t="s">
        <v>16</v>
      </c>
      <c r="G278" s="99">
        <v>47</v>
      </c>
      <c r="H278" s="112">
        <v>350000</v>
      </c>
      <c r="I278" s="112">
        <v>16450000</v>
      </c>
      <c r="J278" s="99" t="s">
        <v>2598</v>
      </c>
      <c r="K278" s="99" t="s">
        <v>127</v>
      </c>
      <c r="N278" s="99" t="s">
        <v>2309</v>
      </c>
      <c r="O278" s="99" t="s">
        <v>8</v>
      </c>
      <c r="P278" s="100">
        <f t="shared" si="41"/>
        <v>45896</v>
      </c>
      <c r="Q278" s="101">
        <f t="shared" si="40"/>
        <v>127</v>
      </c>
      <c r="R278" s="99">
        <f t="shared" si="42"/>
        <v>4</v>
      </c>
      <c r="S278" s="101">
        <f t="shared" si="43"/>
        <v>44690000</v>
      </c>
      <c r="T278" s="99" t="str">
        <f t="shared" si="44"/>
        <v>Low</v>
      </c>
      <c r="U278" s="99" t="str">
        <f t="shared" si="45"/>
        <v>High</v>
      </c>
      <c r="V278" s="99" t="str">
        <f t="shared" si="46"/>
        <v>High</v>
      </c>
      <c r="W278" s="99" t="str">
        <f t="shared" si="47"/>
        <v>LHH</v>
      </c>
      <c r="X278" s="99" t="str">
        <f>VLOOKUP(W278,rfm[],2,FALSE)</f>
        <v>⚠️ At Risk High Value</v>
      </c>
      <c r="AA278" s="99" t="s">
        <v>2309</v>
      </c>
      <c r="AB278" s="99" t="s">
        <v>8</v>
      </c>
      <c r="AC278" s="100">
        <v>45896</v>
      </c>
      <c r="AD278" s="101">
        <v>127</v>
      </c>
      <c r="AE278" s="101">
        <v>4</v>
      </c>
      <c r="AF278" s="101">
        <v>44690000</v>
      </c>
      <c r="AG278" s="99" t="str">
        <f>VLOOKUP(AA278,recency!$K$6:$P$818,6,0)</f>
        <v>Low</v>
      </c>
      <c r="AH278" s="132" t="str">
        <f>VLOOKUP(AA278,frequency!$F$6:$H$818,3,FALSE)</f>
        <v>High</v>
      </c>
      <c r="AI278" s="129" t="str">
        <f>VLOOKUP(AA278,monetary!$B$5:$F$817,5,0)</f>
        <v>Low</v>
      </c>
      <c r="AJ278" s="99" t="str">
        <f t="shared" si="48"/>
        <v>LHL</v>
      </c>
      <c r="AK278" s="99" t="str">
        <f>VLOOKUP(AJ278,rfm[],2,0)</f>
        <v>🔁 Former Loyal Low Spend</v>
      </c>
      <c r="AN278" s="99" t="b">
        <f t="shared" si="49"/>
        <v>0</v>
      </c>
    </row>
    <row r="279" spans="2:40" x14ac:dyDescent="0.3">
      <c r="B279" s="99" t="s">
        <v>1929</v>
      </c>
      <c r="C279" s="100">
        <v>45714</v>
      </c>
      <c r="D279" s="99" t="s">
        <v>42</v>
      </c>
      <c r="E279" s="99" t="s">
        <v>43</v>
      </c>
      <c r="F279" s="99" t="s">
        <v>16</v>
      </c>
      <c r="G279" s="99">
        <v>42</v>
      </c>
      <c r="H279" s="112">
        <v>1200000</v>
      </c>
      <c r="I279" s="112">
        <v>50400000</v>
      </c>
      <c r="J279" s="99" t="s">
        <v>2641</v>
      </c>
      <c r="K279" s="99" t="s">
        <v>47</v>
      </c>
      <c r="N279" s="99" t="s">
        <v>2310</v>
      </c>
      <c r="O279" s="99" t="s">
        <v>8</v>
      </c>
      <c r="P279" s="100">
        <f t="shared" si="41"/>
        <v>45988</v>
      </c>
      <c r="Q279" s="101">
        <f t="shared" si="40"/>
        <v>35</v>
      </c>
      <c r="R279" s="99">
        <f t="shared" si="42"/>
        <v>3</v>
      </c>
      <c r="S279" s="101">
        <f t="shared" si="43"/>
        <v>16700000</v>
      </c>
      <c r="T279" s="99" t="str">
        <f t="shared" si="44"/>
        <v>High</v>
      </c>
      <c r="U279" s="99" t="str">
        <f t="shared" si="45"/>
        <v>High</v>
      </c>
      <c r="V279" s="99" t="str">
        <f t="shared" si="46"/>
        <v>Low</v>
      </c>
      <c r="W279" s="99" t="str">
        <f t="shared" si="47"/>
        <v>HHL</v>
      </c>
      <c r="X279" s="99" t="str">
        <f>VLOOKUP(W279,rfm[],2,FALSE)</f>
        <v>💎 Loyal High Value</v>
      </c>
      <c r="AA279" s="99" t="s">
        <v>2310</v>
      </c>
      <c r="AB279" s="99" t="s">
        <v>8</v>
      </c>
      <c r="AC279" s="100">
        <v>45988</v>
      </c>
      <c r="AD279" s="101">
        <v>35</v>
      </c>
      <c r="AE279" s="101">
        <v>3</v>
      </c>
      <c r="AF279" s="101">
        <v>16700000</v>
      </c>
      <c r="AG279" s="99" t="str">
        <f>VLOOKUP(AA279,recency!$K$6:$P$818,6,0)</f>
        <v>High</v>
      </c>
      <c r="AH279" s="132" t="str">
        <f>VLOOKUP(AA279,frequency!$F$6:$H$818,3,FALSE)</f>
        <v>High</v>
      </c>
      <c r="AI279" s="129" t="str">
        <f>VLOOKUP(AA279,monetary!$B$5:$F$817,5,0)</f>
        <v>Low</v>
      </c>
      <c r="AJ279" s="99" t="str">
        <f t="shared" si="48"/>
        <v>HHL</v>
      </c>
      <c r="AK279" s="99" t="str">
        <f>VLOOKUP(AJ279,rfm[],2,0)</f>
        <v>💎 Loyal High Value</v>
      </c>
      <c r="AN279" s="99" t="b">
        <f t="shared" si="49"/>
        <v>1</v>
      </c>
    </row>
    <row r="280" spans="2:40" x14ac:dyDescent="0.3">
      <c r="B280" s="99" t="s">
        <v>1930</v>
      </c>
      <c r="C280" s="100">
        <v>45714</v>
      </c>
      <c r="D280" s="99" t="s">
        <v>14</v>
      </c>
      <c r="E280" s="99" t="s">
        <v>15</v>
      </c>
      <c r="F280" s="99" t="s">
        <v>16</v>
      </c>
      <c r="G280" s="99">
        <v>10</v>
      </c>
      <c r="H280" s="112">
        <v>350000</v>
      </c>
      <c r="I280" s="112">
        <v>3500000</v>
      </c>
      <c r="J280" s="99" t="s">
        <v>2359</v>
      </c>
      <c r="K280" s="99" t="s">
        <v>127</v>
      </c>
      <c r="N280" s="99" t="s">
        <v>2311</v>
      </c>
      <c r="O280" s="99" t="s">
        <v>60</v>
      </c>
      <c r="P280" s="100">
        <f t="shared" si="41"/>
        <v>45678</v>
      </c>
      <c r="Q280" s="101">
        <f t="shared" si="40"/>
        <v>345</v>
      </c>
      <c r="R280" s="99">
        <f t="shared" si="42"/>
        <v>2</v>
      </c>
      <c r="S280" s="101">
        <f t="shared" si="43"/>
        <v>17500000</v>
      </c>
      <c r="T280" s="99" t="str">
        <f t="shared" si="44"/>
        <v>Low</v>
      </c>
      <c r="U280" s="99" t="str">
        <f t="shared" si="45"/>
        <v>Low</v>
      </c>
      <c r="V280" s="99" t="str">
        <f t="shared" si="46"/>
        <v>Low</v>
      </c>
      <c r="W280" s="99" t="str">
        <f t="shared" si="47"/>
        <v>LLL</v>
      </c>
      <c r="X280" s="99" t="str">
        <f>VLOOKUP(W280,rfm[],2,FALSE)</f>
        <v>💤 Lost / Low Value</v>
      </c>
      <c r="AA280" s="99" t="s">
        <v>2311</v>
      </c>
      <c r="AB280" s="99" t="s">
        <v>60</v>
      </c>
      <c r="AC280" s="100">
        <v>45678</v>
      </c>
      <c r="AD280" s="101">
        <v>345</v>
      </c>
      <c r="AE280" s="101">
        <v>2</v>
      </c>
      <c r="AF280" s="101">
        <v>17500000</v>
      </c>
      <c r="AG280" s="99" t="str">
        <f>VLOOKUP(AA280,recency!$K$6:$P$818,6,0)</f>
        <v>Low</v>
      </c>
      <c r="AH280" s="132" t="str">
        <f>VLOOKUP(AA280,frequency!$F$6:$H$818,3,FALSE)</f>
        <v>Low</v>
      </c>
      <c r="AI280" s="129" t="str">
        <f>VLOOKUP(AA280,monetary!$B$5:$F$817,5,0)</f>
        <v>Low</v>
      </c>
      <c r="AJ280" s="99" t="str">
        <f t="shared" si="48"/>
        <v>LLL</v>
      </c>
      <c r="AK280" s="99" t="str">
        <f>VLOOKUP(AJ280,rfm[],2,0)</f>
        <v>💤 Lost / Low Value</v>
      </c>
      <c r="AN280" s="99" t="b">
        <f t="shared" si="49"/>
        <v>1</v>
      </c>
    </row>
    <row r="281" spans="2:40" x14ac:dyDescent="0.3">
      <c r="B281" s="99" t="s">
        <v>1940</v>
      </c>
      <c r="C281" s="100">
        <v>45714</v>
      </c>
      <c r="D281" s="99" t="s">
        <v>38</v>
      </c>
      <c r="E281" s="99" t="s">
        <v>39</v>
      </c>
      <c r="F281" s="99" t="s">
        <v>16</v>
      </c>
      <c r="G281" s="99">
        <v>430</v>
      </c>
      <c r="H281" s="112">
        <v>200000</v>
      </c>
      <c r="I281" s="112">
        <v>86000000</v>
      </c>
      <c r="J281" s="99" t="s">
        <v>2684</v>
      </c>
      <c r="K281" s="99" t="s">
        <v>127</v>
      </c>
      <c r="N281" s="99" t="s">
        <v>2312</v>
      </c>
      <c r="O281" s="99" t="s">
        <v>127</v>
      </c>
      <c r="P281" s="100">
        <f t="shared" si="41"/>
        <v>46010</v>
      </c>
      <c r="Q281" s="101">
        <f t="shared" si="40"/>
        <v>13</v>
      </c>
      <c r="R281" s="99">
        <f t="shared" si="42"/>
        <v>5</v>
      </c>
      <c r="S281" s="101">
        <f t="shared" si="43"/>
        <v>55330000</v>
      </c>
      <c r="T281" s="99" t="str">
        <f t="shared" si="44"/>
        <v>High</v>
      </c>
      <c r="U281" s="99" t="str">
        <f t="shared" si="45"/>
        <v>High</v>
      </c>
      <c r="V281" s="99" t="str">
        <f t="shared" si="46"/>
        <v>High</v>
      </c>
      <c r="W281" s="99" t="str">
        <f t="shared" si="47"/>
        <v>HHH</v>
      </c>
      <c r="X281" s="99" t="str">
        <f>VLOOKUP(W281,rfm[],2,FALSE)</f>
        <v>🥇 Champions</v>
      </c>
      <c r="AA281" s="99" t="s">
        <v>2312</v>
      </c>
      <c r="AB281" s="99" t="s">
        <v>127</v>
      </c>
      <c r="AC281" s="100">
        <v>46010</v>
      </c>
      <c r="AD281" s="101">
        <v>13</v>
      </c>
      <c r="AE281" s="101">
        <v>5</v>
      </c>
      <c r="AF281" s="101">
        <v>55330000</v>
      </c>
      <c r="AG281" s="99" t="str">
        <f>VLOOKUP(AA281,recency!$K$6:$P$818,6,0)</f>
        <v>High</v>
      </c>
      <c r="AH281" s="132" t="str">
        <f>VLOOKUP(AA281,frequency!$F$6:$H$818,3,FALSE)</f>
        <v>High</v>
      </c>
      <c r="AI281" s="129" t="str">
        <f>VLOOKUP(AA281,monetary!$B$5:$F$817,5,0)</f>
        <v>High</v>
      </c>
      <c r="AJ281" s="99" t="str">
        <f t="shared" si="48"/>
        <v>HHH</v>
      </c>
      <c r="AK281" s="99" t="str">
        <f>VLOOKUP(AJ281,rfm[],2,0)</f>
        <v>🥇 Champions</v>
      </c>
      <c r="AN281" s="99" t="b">
        <f t="shared" si="49"/>
        <v>1</v>
      </c>
    </row>
    <row r="282" spans="2:40" x14ac:dyDescent="0.3">
      <c r="B282" s="99" t="s">
        <v>1941</v>
      </c>
      <c r="C282" s="100">
        <v>45714</v>
      </c>
      <c r="D282" s="99" t="s">
        <v>44</v>
      </c>
      <c r="E282" s="99" t="s">
        <v>45</v>
      </c>
      <c r="F282" s="99" t="s">
        <v>16</v>
      </c>
      <c r="G282" s="99">
        <v>22</v>
      </c>
      <c r="H282" s="112">
        <v>250000</v>
      </c>
      <c r="I282" s="112">
        <v>5500000</v>
      </c>
      <c r="J282" s="99" t="s">
        <v>2703</v>
      </c>
      <c r="K282" s="99" t="s">
        <v>127</v>
      </c>
      <c r="N282" s="99" t="s">
        <v>2313</v>
      </c>
      <c r="O282" s="99" t="s">
        <v>127</v>
      </c>
      <c r="P282" s="100">
        <f t="shared" si="41"/>
        <v>45966</v>
      </c>
      <c r="Q282" s="101">
        <f t="shared" si="40"/>
        <v>57</v>
      </c>
      <c r="R282" s="99">
        <f t="shared" si="42"/>
        <v>1</v>
      </c>
      <c r="S282" s="101">
        <f t="shared" si="43"/>
        <v>4000000</v>
      </c>
      <c r="T282" s="99" t="str">
        <f t="shared" si="44"/>
        <v>High</v>
      </c>
      <c r="U282" s="99" t="str">
        <f t="shared" si="45"/>
        <v>Low</v>
      </c>
      <c r="V282" s="99" t="str">
        <f t="shared" si="46"/>
        <v>Low</v>
      </c>
      <c r="W282" s="99" t="str">
        <f t="shared" si="47"/>
        <v>HLL</v>
      </c>
      <c r="X282" s="99" t="str">
        <f>VLOOKUP(W282,rfm[],2,FALSE)</f>
        <v>🌱 Potential Loyalists</v>
      </c>
      <c r="AA282" s="99" t="s">
        <v>2313</v>
      </c>
      <c r="AB282" s="99" t="s">
        <v>127</v>
      </c>
      <c r="AC282" s="100">
        <v>45966</v>
      </c>
      <c r="AD282" s="101">
        <v>57</v>
      </c>
      <c r="AE282" s="101">
        <v>1</v>
      </c>
      <c r="AF282" s="101">
        <v>4000000</v>
      </c>
      <c r="AG282" s="99" t="str">
        <f>VLOOKUP(AA282,recency!$K$6:$P$818,6,0)</f>
        <v>High</v>
      </c>
      <c r="AH282" s="132" t="str">
        <f>VLOOKUP(AA282,frequency!$F$6:$H$818,3,FALSE)</f>
        <v>Low</v>
      </c>
      <c r="AI282" s="129" t="str">
        <f>VLOOKUP(AA282,monetary!$B$5:$F$817,5,0)</f>
        <v>Low</v>
      </c>
      <c r="AJ282" s="99" t="str">
        <f t="shared" si="48"/>
        <v>HLL</v>
      </c>
      <c r="AK282" s="99" t="str">
        <f>VLOOKUP(AJ282,rfm[],2,0)</f>
        <v>🌱 Potential Loyalists</v>
      </c>
      <c r="AN282" s="99" t="b">
        <f t="shared" si="49"/>
        <v>1</v>
      </c>
    </row>
    <row r="283" spans="2:40" x14ac:dyDescent="0.3">
      <c r="B283" s="99" t="s">
        <v>1952</v>
      </c>
      <c r="C283" s="100">
        <v>45714</v>
      </c>
      <c r="D283" s="99" t="s">
        <v>14</v>
      </c>
      <c r="E283" s="99" t="s">
        <v>15</v>
      </c>
      <c r="F283" s="99" t="s">
        <v>16</v>
      </c>
      <c r="G283" s="99">
        <v>40</v>
      </c>
      <c r="H283" s="112">
        <v>350000</v>
      </c>
      <c r="I283" s="112">
        <v>14000000</v>
      </c>
      <c r="J283" s="99" t="s">
        <v>2422</v>
      </c>
      <c r="K283" s="99" t="s">
        <v>8</v>
      </c>
      <c r="N283" s="99" t="s">
        <v>2314</v>
      </c>
      <c r="O283" s="99" t="s">
        <v>8</v>
      </c>
      <c r="P283" s="100">
        <f t="shared" si="41"/>
        <v>45959</v>
      </c>
      <c r="Q283" s="101">
        <f t="shared" si="40"/>
        <v>64</v>
      </c>
      <c r="R283" s="99">
        <f t="shared" si="42"/>
        <v>2</v>
      </c>
      <c r="S283" s="101">
        <f t="shared" si="43"/>
        <v>51720000</v>
      </c>
      <c r="T283" s="99" t="str">
        <f t="shared" si="44"/>
        <v>High</v>
      </c>
      <c r="U283" s="99" t="str">
        <f t="shared" si="45"/>
        <v>Low</v>
      </c>
      <c r="V283" s="99" t="str">
        <f t="shared" si="46"/>
        <v>High</v>
      </c>
      <c r="W283" s="99" t="str">
        <f t="shared" si="47"/>
        <v>HLH</v>
      </c>
      <c r="X283" s="99" t="str">
        <f>VLOOKUP(W283,rfm[],2,FALSE)</f>
        <v>🛒 Big Spenders (Occasional)</v>
      </c>
      <c r="AA283" s="99" t="s">
        <v>2314</v>
      </c>
      <c r="AB283" s="99" t="s">
        <v>8</v>
      </c>
      <c r="AC283" s="100">
        <v>45959</v>
      </c>
      <c r="AD283" s="101">
        <v>64</v>
      </c>
      <c r="AE283" s="101">
        <v>2</v>
      </c>
      <c r="AF283" s="101">
        <v>51720000</v>
      </c>
      <c r="AG283" s="99" t="str">
        <f>VLOOKUP(AA283,recency!$K$6:$P$818,6,0)</f>
        <v>Low</v>
      </c>
      <c r="AH283" s="132" t="str">
        <f>VLOOKUP(AA283,frequency!$F$6:$H$818,3,FALSE)</f>
        <v>Low</v>
      </c>
      <c r="AI283" s="129" t="str">
        <f>VLOOKUP(AA283,monetary!$B$5:$F$817,5,0)</f>
        <v>High</v>
      </c>
      <c r="AJ283" s="99" t="str">
        <f t="shared" si="48"/>
        <v>LLH</v>
      </c>
      <c r="AK283" s="99" t="str">
        <f>VLOOKUP(AJ283,rfm[],2,0)</f>
        <v>💸 Lost High Spenders</v>
      </c>
      <c r="AN283" s="99" t="b">
        <f t="shared" si="49"/>
        <v>0</v>
      </c>
    </row>
    <row r="284" spans="2:40" x14ac:dyDescent="0.3">
      <c r="B284" s="99" t="s">
        <v>1953</v>
      </c>
      <c r="C284" s="100">
        <v>45714</v>
      </c>
      <c r="D284" s="99" t="s">
        <v>28</v>
      </c>
      <c r="E284" s="99" t="s">
        <v>29</v>
      </c>
      <c r="F284" s="99" t="s">
        <v>20</v>
      </c>
      <c r="G284" s="99">
        <v>25</v>
      </c>
      <c r="H284" s="112">
        <v>450000</v>
      </c>
      <c r="I284" s="112">
        <v>11250000</v>
      </c>
      <c r="J284" s="99" t="s">
        <v>2360</v>
      </c>
      <c r="K284" s="99" t="s">
        <v>60</v>
      </c>
      <c r="N284" s="99" t="s">
        <v>2315</v>
      </c>
      <c r="O284" s="99" t="s">
        <v>127</v>
      </c>
      <c r="P284" s="100">
        <f t="shared" si="41"/>
        <v>45848</v>
      </c>
      <c r="Q284" s="101">
        <f t="shared" si="40"/>
        <v>175</v>
      </c>
      <c r="R284" s="99">
        <f t="shared" si="42"/>
        <v>1</v>
      </c>
      <c r="S284" s="101">
        <f t="shared" si="43"/>
        <v>11700000</v>
      </c>
      <c r="T284" s="99" t="str">
        <f t="shared" si="44"/>
        <v>Low</v>
      </c>
      <c r="U284" s="99" t="str">
        <f t="shared" si="45"/>
        <v>Low</v>
      </c>
      <c r="V284" s="99" t="str">
        <f t="shared" si="46"/>
        <v>Low</v>
      </c>
      <c r="W284" s="99" t="str">
        <f t="shared" si="47"/>
        <v>LLL</v>
      </c>
      <c r="X284" s="99" t="str">
        <f>VLOOKUP(W284,rfm[],2,FALSE)</f>
        <v>💤 Lost / Low Value</v>
      </c>
      <c r="AA284" s="99" t="s">
        <v>2315</v>
      </c>
      <c r="AB284" s="99" t="s">
        <v>127</v>
      </c>
      <c r="AC284" s="100">
        <v>45848</v>
      </c>
      <c r="AD284" s="101">
        <v>175</v>
      </c>
      <c r="AE284" s="101">
        <v>1</v>
      </c>
      <c r="AF284" s="101">
        <v>11700000</v>
      </c>
      <c r="AG284" s="99" t="str">
        <f>VLOOKUP(AA284,recency!$K$6:$P$818,6,0)</f>
        <v>Low</v>
      </c>
      <c r="AH284" s="132" t="str">
        <f>VLOOKUP(AA284,frequency!$F$6:$H$818,3,FALSE)</f>
        <v>Low</v>
      </c>
      <c r="AI284" s="129" t="str">
        <f>VLOOKUP(AA284,monetary!$B$5:$F$817,5,0)</f>
        <v>Low</v>
      </c>
      <c r="AJ284" s="99" t="str">
        <f t="shared" si="48"/>
        <v>LLL</v>
      </c>
      <c r="AK284" s="99" t="str">
        <f>VLOOKUP(AJ284,rfm[],2,0)</f>
        <v>💤 Lost / Low Value</v>
      </c>
      <c r="AN284" s="99" t="b">
        <f t="shared" si="49"/>
        <v>1</v>
      </c>
    </row>
    <row r="285" spans="2:40" x14ac:dyDescent="0.3">
      <c r="B285" s="99" t="s">
        <v>1960</v>
      </c>
      <c r="C285" s="100">
        <v>45714</v>
      </c>
      <c r="D285" s="99" t="s">
        <v>10</v>
      </c>
      <c r="E285" s="99" t="s">
        <v>11</v>
      </c>
      <c r="F285" s="99" t="s">
        <v>12</v>
      </c>
      <c r="G285" s="99">
        <v>20</v>
      </c>
      <c r="H285" s="112">
        <v>120000</v>
      </c>
      <c r="I285" s="112">
        <v>2400000</v>
      </c>
      <c r="J285" s="99" t="s">
        <v>2815</v>
      </c>
      <c r="K285" s="99" t="s">
        <v>127</v>
      </c>
      <c r="N285" s="99" t="s">
        <v>2316</v>
      </c>
      <c r="O285" s="99" t="s">
        <v>60</v>
      </c>
      <c r="P285" s="100">
        <f t="shared" si="41"/>
        <v>45890</v>
      </c>
      <c r="Q285" s="101">
        <f t="shared" si="40"/>
        <v>133</v>
      </c>
      <c r="R285" s="99">
        <f t="shared" si="42"/>
        <v>2</v>
      </c>
      <c r="S285" s="101">
        <f t="shared" si="43"/>
        <v>54250000</v>
      </c>
      <c r="T285" s="99" t="str">
        <f t="shared" si="44"/>
        <v>Low</v>
      </c>
      <c r="U285" s="99" t="str">
        <f t="shared" si="45"/>
        <v>Low</v>
      </c>
      <c r="V285" s="99" t="str">
        <f t="shared" si="46"/>
        <v>High</v>
      </c>
      <c r="W285" s="99" t="str">
        <f t="shared" si="47"/>
        <v>LLH</v>
      </c>
      <c r="X285" s="99" t="str">
        <f>VLOOKUP(W285,rfm[],2,FALSE)</f>
        <v>💸 Lost High Spenders</v>
      </c>
      <c r="AA285" s="99" t="s">
        <v>2316</v>
      </c>
      <c r="AB285" s="99" t="s">
        <v>60</v>
      </c>
      <c r="AC285" s="100">
        <v>45890</v>
      </c>
      <c r="AD285" s="101">
        <v>133</v>
      </c>
      <c r="AE285" s="101">
        <v>2</v>
      </c>
      <c r="AF285" s="101">
        <v>54250000</v>
      </c>
      <c r="AG285" s="99" t="str">
        <f>VLOOKUP(AA285,recency!$K$6:$P$818,6,0)</f>
        <v>Low</v>
      </c>
      <c r="AH285" s="132" t="str">
        <f>VLOOKUP(AA285,frequency!$F$6:$H$818,3,FALSE)</f>
        <v>Low</v>
      </c>
      <c r="AI285" s="129" t="str">
        <f>VLOOKUP(AA285,monetary!$B$5:$F$817,5,0)</f>
        <v>High</v>
      </c>
      <c r="AJ285" s="99" t="str">
        <f t="shared" si="48"/>
        <v>LLH</v>
      </c>
      <c r="AK285" s="99" t="str">
        <f>VLOOKUP(AJ285,rfm[],2,0)</f>
        <v>💸 Lost High Spenders</v>
      </c>
      <c r="AN285" s="99" t="b">
        <f t="shared" si="49"/>
        <v>1</v>
      </c>
    </row>
    <row r="286" spans="2:40" x14ac:dyDescent="0.3">
      <c r="B286" s="99" t="s">
        <v>1971</v>
      </c>
      <c r="C286" s="100">
        <v>45714</v>
      </c>
      <c r="D286" s="99" t="s">
        <v>18</v>
      </c>
      <c r="E286" s="99" t="s">
        <v>19</v>
      </c>
      <c r="F286" s="99" t="s">
        <v>20</v>
      </c>
      <c r="G286" s="99">
        <v>470</v>
      </c>
      <c r="H286" s="112">
        <v>500000</v>
      </c>
      <c r="I286" s="112">
        <v>235000000</v>
      </c>
      <c r="J286" s="99" t="s">
        <v>2149</v>
      </c>
      <c r="K286" s="99" t="s">
        <v>127</v>
      </c>
      <c r="N286" s="99" t="s">
        <v>2317</v>
      </c>
      <c r="O286" s="99" t="s">
        <v>47</v>
      </c>
      <c r="P286" s="100">
        <f t="shared" si="41"/>
        <v>45912</v>
      </c>
      <c r="Q286" s="101">
        <f t="shared" si="40"/>
        <v>111</v>
      </c>
      <c r="R286" s="99">
        <f t="shared" si="42"/>
        <v>1</v>
      </c>
      <c r="S286" s="101">
        <f t="shared" si="43"/>
        <v>1225000</v>
      </c>
      <c r="T286" s="99" t="str">
        <f t="shared" si="44"/>
        <v>Low</v>
      </c>
      <c r="U286" s="99" t="str">
        <f t="shared" si="45"/>
        <v>Low</v>
      </c>
      <c r="V286" s="99" t="str">
        <f t="shared" si="46"/>
        <v>Low</v>
      </c>
      <c r="W286" s="99" t="str">
        <f t="shared" si="47"/>
        <v>LLL</v>
      </c>
      <c r="X286" s="99" t="str">
        <f>VLOOKUP(W286,rfm[],2,FALSE)</f>
        <v>💤 Lost / Low Value</v>
      </c>
      <c r="AA286" s="99" t="s">
        <v>2317</v>
      </c>
      <c r="AB286" s="99" t="s">
        <v>47</v>
      </c>
      <c r="AC286" s="100">
        <v>45912</v>
      </c>
      <c r="AD286" s="101">
        <v>111</v>
      </c>
      <c r="AE286" s="101">
        <v>1</v>
      </c>
      <c r="AF286" s="101">
        <v>1225000</v>
      </c>
      <c r="AG286" s="99" t="str">
        <f>VLOOKUP(AA286,recency!$K$6:$P$818,6,0)</f>
        <v>Low</v>
      </c>
      <c r="AH286" s="132" t="str">
        <f>VLOOKUP(AA286,frequency!$F$6:$H$818,3,FALSE)</f>
        <v>Low</v>
      </c>
      <c r="AI286" s="129" t="str">
        <f>VLOOKUP(AA286,monetary!$B$5:$F$817,5,0)</f>
        <v>Low</v>
      </c>
      <c r="AJ286" s="99" t="str">
        <f t="shared" si="48"/>
        <v>LLL</v>
      </c>
      <c r="AK286" s="99" t="str">
        <f>VLOOKUP(AJ286,rfm[],2,0)</f>
        <v>💤 Lost / Low Value</v>
      </c>
      <c r="AN286" s="99" t="b">
        <f t="shared" si="49"/>
        <v>1</v>
      </c>
    </row>
    <row r="287" spans="2:40" x14ac:dyDescent="0.3">
      <c r="B287" s="99" t="s">
        <v>1972</v>
      </c>
      <c r="C287" s="100">
        <v>45714</v>
      </c>
      <c r="D287" s="99" t="s">
        <v>42</v>
      </c>
      <c r="E287" s="99" t="s">
        <v>43</v>
      </c>
      <c r="F287" s="99" t="s">
        <v>16</v>
      </c>
      <c r="G287" s="99">
        <v>340</v>
      </c>
      <c r="H287" s="112">
        <v>1200000</v>
      </c>
      <c r="I287" s="112">
        <v>408000000</v>
      </c>
      <c r="J287" s="99" t="s">
        <v>2686</v>
      </c>
      <c r="K287" s="99" t="s">
        <v>8</v>
      </c>
      <c r="N287" s="99" t="s">
        <v>2318</v>
      </c>
      <c r="O287" s="99" t="s">
        <v>47</v>
      </c>
      <c r="P287" s="100">
        <f t="shared" si="41"/>
        <v>45978</v>
      </c>
      <c r="Q287" s="101">
        <f t="shared" si="40"/>
        <v>45</v>
      </c>
      <c r="R287" s="99">
        <f t="shared" si="42"/>
        <v>2</v>
      </c>
      <c r="S287" s="101">
        <f t="shared" si="43"/>
        <v>8660000</v>
      </c>
      <c r="T287" s="99" t="str">
        <f t="shared" si="44"/>
        <v>High</v>
      </c>
      <c r="U287" s="99" t="str">
        <f t="shared" si="45"/>
        <v>Low</v>
      </c>
      <c r="V287" s="99" t="str">
        <f t="shared" si="46"/>
        <v>Low</v>
      </c>
      <c r="W287" s="99" t="str">
        <f t="shared" si="47"/>
        <v>HLL</v>
      </c>
      <c r="X287" s="99" t="str">
        <f>VLOOKUP(W287,rfm[],2,FALSE)</f>
        <v>🌱 Potential Loyalists</v>
      </c>
      <c r="AA287" s="99" t="s">
        <v>2318</v>
      </c>
      <c r="AB287" s="99" t="s">
        <v>47</v>
      </c>
      <c r="AC287" s="100">
        <v>45978</v>
      </c>
      <c r="AD287" s="101">
        <v>45</v>
      </c>
      <c r="AE287" s="101">
        <v>2</v>
      </c>
      <c r="AF287" s="101">
        <v>8660000</v>
      </c>
      <c r="AG287" s="99" t="str">
        <f>VLOOKUP(AA287,recency!$K$6:$P$818,6,0)</f>
        <v>High</v>
      </c>
      <c r="AH287" s="132" t="str">
        <f>VLOOKUP(AA287,frequency!$F$6:$H$818,3,FALSE)</f>
        <v>Low</v>
      </c>
      <c r="AI287" s="129" t="str">
        <f>VLOOKUP(AA287,monetary!$B$5:$F$817,5,0)</f>
        <v>Low</v>
      </c>
      <c r="AJ287" s="99" t="str">
        <f t="shared" si="48"/>
        <v>HLL</v>
      </c>
      <c r="AK287" s="99" t="str">
        <f>VLOOKUP(AJ287,rfm[],2,0)</f>
        <v>🌱 Potential Loyalists</v>
      </c>
      <c r="AN287" s="99" t="b">
        <f t="shared" si="49"/>
        <v>1</v>
      </c>
    </row>
    <row r="288" spans="2:40" x14ac:dyDescent="0.3">
      <c r="B288" s="99" t="s">
        <v>1973</v>
      </c>
      <c r="C288" s="100">
        <v>45714</v>
      </c>
      <c r="D288" s="99" t="s">
        <v>44</v>
      </c>
      <c r="E288" s="99" t="s">
        <v>45</v>
      </c>
      <c r="F288" s="99" t="s">
        <v>16</v>
      </c>
      <c r="G288" s="99">
        <v>24</v>
      </c>
      <c r="H288" s="112">
        <v>250000</v>
      </c>
      <c r="I288" s="112">
        <v>6000000</v>
      </c>
      <c r="J288" s="99" t="s">
        <v>2248</v>
      </c>
      <c r="K288" s="99" t="s">
        <v>60</v>
      </c>
      <c r="N288" s="99" t="s">
        <v>2319</v>
      </c>
      <c r="O288" s="99" t="s">
        <v>60</v>
      </c>
      <c r="P288" s="100">
        <f t="shared" si="41"/>
        <v>46022</v>
      </c>
      <c r="Q288" s="101">
        <f t="shared" si="40"/>
        <v>1</v>
      </c>
      <c r="R288" s="99">
        <f t="shared" si="42"/>
        <v>3</v>
      </c>
      <c r="S288" s="101">
        <f t="shared" si="43"/>
        <v>14490000</v>
      </c>
      <c r="T288" s="99" t="str">
        <f t="shared" si="44"/>
        <v>High</v>
      </c>
      <c r="U288" s="99" t="str">
        <f t="shared" si="45"/>
        <v>High</v>
      </c>
      <c r="V288" s="99" t="str">
        <f t="shared" si="46"/>
        <v>Low</v>
      </c>
      <c r="W288" s="99" t="str">
        <f t="shared" si="47"/>
        <v>HHL</v>
      </c>
      <c r="X288" s="99" t="str">
        <f>VLOOKUP(W288,rfm[],2,FALSE)</f>
        <v>💎 Loyal High Value</v>
      </c>
      <c r="AA288" s="99" t="s">
        <v>2319</v>
      </c>
      <c r="AB288" s="99" t="s">
        <v>60</v>
      </c>
      <c r="AC288" s="100">
        <v>46022</v>
      </c>
      <c r="AD288" s="101">
        <v>1</v>
      </c>
      <c r="AE288" s="101">
        <v>3</v>
      </c>
      <c r="AF288" s="101">
        <v>14490000</v>
      </c>
      <c r="AG288" s="99" t="str">
        <f>VLOOKUP(AA288,recency!$K$6:$P$818,6,0)</f>
        <v>High</v>
      </c>
      <c r="AH288" s="132" t="str">
        <f>VLOOKUP(AA288,frequency!$F$6:$H$818,3,FALSE)</f>
        <v>High</v>
      </c>
      <c r="AI288" s="129" t="str">
        <f>VLOOKUP(AA288,monetary!$B$5:$F$817,5,0)</f>
        <v>Low</v>
      </c>
      <c r="AJ288" s="99" t="str">
        <f t="shared" si="48"/>
        <v>HHL</v>
      </c>
      <c r="AK288" s="99" t="str">
        <f>VLOOKUP(AJ288,rfm[],2,0)</f>
        <v>💎 Loyal High Value</v>
      </c>
      <c r="AN288" s="99" t="b">
        <f t="shared" si="49"/>
        <v>1</v>
      </c>
    </row>
    <row r="289" spans="2:40" x14ac:dyDescent="0.3">
      <c r="B289" s="99" t="s">
        <v>1978</v>
      </c>
      <c r="C289" s="100">
        <v>45714</v>
      </c>
      <c r="D289" s="99" t="s">
        <v>22</v>
      </c>
      <c r="E289" s="99" t="s">
        <v>23</v>
      </c>
      <c r="F289" s="99" t="s">
        <v>12</v>
      </c>
      <c r="G289" s="99">
        <v>470</v>
      </c>
      <c r="H289" s="112">
        <v>25000</v>
      </c>
      <c r="I289" s="112">
        <v>11750000</v>
      </c>
      <c r="J289" s="99" t="s">
        <v>2291</v>
      </c>
      <c r="K289" s="99" t="s">
        <v>127</v>
      </c>
      <c r="N289" s="99" t="s">
        <v>2320</v>
      </c>
      <c r="O289" s="99" t="s">
        <v>47</v>
      </c>
      <c r="P289" s="100">
        <f t="shared" si="41"/>
        <v>45820</v>
      </c>
      <c r="Q289" s="101">
        <f t="shared" si="40"/>
        <v>203</v>
      </c>
      <c r="R289" s="99">
        <f t="shared" si="42"/>
        <v>2</v>
      </c>
      <c r="S289" s="101">
        <f t="shared" si="43"/>
        <v>5940000</v>
      </c>
      <c r="T289" s="99" t="str">
        <f t="shared" si="44"/>
        <v>Low</v>
      </c>
      <c r="U289" s="99" t="str">
        <f t="shared" si="45"/>
        <v>Low</v>
      </c>
      <c r="V289" s="99" t="str">
        <f t="shared" si="46"/>
        <v>Low</v>
      </c>
      <c r="W289" s="99" t="str">
        <f t="shared" si="47"/>
        <v>LLL</v>
      </c>
      <c r="X289" s="99" t="str">
        <f>VLOOKUP(W289,rfm[],2,FALSE)</f>
        <v>💤 Lost / Low Value</v>
      </c>
      <c r="AA289" s="99" t="s">
        <v>2320</v>
      </c>
      <c r="AB289" s="99" t="s">
        <v>47</v>
      </c>
      <c r="AC289" s="100">
        <v>45820</v>
      </c>
      <c r="AD289" s="101">
        <v>203</v>
      </c>
      <c r="AE289" s="101">
        <v>2</v>
      </c>
      <c r="AF289" s="101">
        <v>5940000</v>
      </c>
      <c r="AG289" s="99" t="str">
        <f>VLOOKUP(AA289,recency!$K$6:$P$818,6,0)</f>
        <v>Low</v>
      </c>
      <c r="AH289" s="132" t="str">
        <f>VLOOKUP(AA289,frequency!$F$6:$H$818,3,FALSE)</f>
        <v>Low</v>
      </c>
      <c r="AI289" s="129" t="str">
        <f>VLOOKUP(AA289,monetary!$B$5:$F$817,5,0)</f>
        <v>Low</v>
      </c>
      <c r="AJ289" s="99" t="str">
        <f t="shared" si="48"/>
        <v>LLL</v>
      </c>
      <c r="AK289" s="99" t="str">
        <f>VLOOKUP(AJ289,rfm[],2,0)</f>
        <v>💤 Lost / Low Value</v>
      </c>
      <c r="AN289" s="99" t="b">
        <f t="shared" si="49"/>
        <v>1</v>
      </c>
    </row>
    <row r="290" spans="2:40" x14ac:dyDescent="0.3">
      <c r="B290" s="99" t="s">
        <v>1987</v>
      </c>
      <c r="C290" s="100">
        <v>45714</v>
      </c>
      <c r="D290" s="99" t="s">
        <v>22</v>
      </c>
      <c r="E290" s="99" t="s">
        <v>23</v>
      </c>
      <c r="F290" s="99" t="s">
        <v>12</v>
      </c>
      <c r="G290" s="99">
        <v>27</v>
      </c>
      <c r="H290" s="112">
        <v>25000</v>
      </c>
      <c r="I290" s="112">
        <v>675000</v>
      </c>
      <c r="J290" s="99" t="s">
        <v>2841</v>
      </c>
      <c r="K290" s="99" t="s">
        <v>8</v>
      </c>
      <c r="N290" s="99" t="s">
        <v>2321</v>
      </c>
      <c r="O290" s="99" t="s">
        <v>127</v>
      </c>
      <c r="P290" s="100">
        <f t="shared" si="41"/>
        <v>45666</v>
      </c>
      <c r="Q290" s="101">
        <f t="shared" si="40"/>
        <v>357</v>
      </c>
      <c r="R290" s="99">
        <f t="shared" si="42"/>
        <v>1</v>
      </c>
      <c r="S290" s="101">
        <f t="shared" si="43"/>
        <v>10800000</v>
      </c>
      <c r="T290" s="99" t="str">
        <f t="shared" si="44"/>
        <v>Low</v>
      </c>
      <c r="U290" s="99" t="str">
        <f t="shared" si="45"/>
        <v>Low</v>
      </c>
      <c r="V290" s="99" t="str">
        <f t="shared" si="46"/>
        <v>Low</v>
      </c>
      <c r="W290" s="99" t="str">
        <f t="shared" si="47"/>
        <v>LLL</v>
      </c>
      <c r="X290" s="99" t="str">
        <f>VLOOKUP(W290,rfm[],2,FALSE)</f>
        <v>💤 Lost / Low Value</v>
      </c>
      <c r="AA290" s="99" t="s">
        <v>2321</v>
      </c>
      <c r="AB290" s="99" t="s">
        <v>127</v>
      </c>
      <c r="AC290" s="100">
        <v>45666</v>
      </c>
      <c r="AD290" s="101">
        <v>357</v>
      </c>
      <c r="AE290" s="101">
        <v>1</v>
      </c>
      <c r="AF290" s="101">
        <v>10800000</v>
      </c>
      <c r="AG290" s="99" t="str">
        <f>VLOOKUP(AA290,recency!$K$6:$P$818,6,0)</f>
        <v>Low</v>
      </c>
      <c r="AH290" s="132" t="str">
        <f>VLOOKUP(AA290,frequency!$F$6:$H$818,3,FALSE)</f>
        <v>Low</v>
      </c>
      <c r="AI290" s="129" t="str">
        <f>VLOOKUP(AA290,monetary!$B$5:$F$817,5,0)</f>
        <v>Low</v>
      </c>
      <c r="AJ290" s="99" t="str">
        <f t="shared" si="48"/>
        <v>LLL</v>
      </c>
      <c r="AK290" s="99" t="str">
        <f>VLOOKUP(AJ290,rfm[],2,0)</f>
        <v>💤 Lost / Low Value</v>
      </c>
      <c r="AN290" s="99" t="b">
        <f t="shared" si="49"/>
        <v>1</v>
      </c>
    </row>
    <row r="291" spans="2:40" x14ac:dyDescent="0.3">
      <c r="B291" s="99" t="s">
        <v>1988</v>
      </c>
      <c r="C291" s="100">
        <v>45715</v>
      </c>
      <c r="D291" s="99" t="s">
        <v>14</v>
      </c>
      <c r="E291" s="99" t="s">
        <v>15</v>
      </c>
      <c r="F291" s="99" t="s">
        <v>16</v>
      </c>
      <c r="G291" s="99">
        <v>34</v>
      </c>
      <c r="H291" s="112">
        <v>350000</v>
      </c>
      <c r="I291" s="112">
        <v>11900000</v>
      </c>
      <c r="J291" s="99" t="s">
        <v>2601</v>
      </c>
      <c r="K291" s="99" t="s">
        <v>127</v>
      </c>
      <c r="N291" s="99" t="s">
        <v>2322</v>
      </c>
      <c r="O291" s="99" t="s">
        <v>8</v>
      </c>
      <c r="P291" s="100">
        <f t="shared" si="41"/>
        <v>45919</v>
      </c>
      <c r="Q291" s="101">
        <f t="shared" si="40"/>
        <v>104</v>
      </c>
      <c r="R291" s="99">
        <f t="shared" si="42"/>
        <v>1</v>
      </c>
      <c r="S291" s="101">
        <f t="shared" si="43"/>
        <v>2450000</v>
      </c>
      <c r="T291" s="99" t="str">
        <f t="shared" si="44"/>
        <v>Low</v>
      </c>
      <c r="U291" s="99" t="str">
        <f t="shared" si="45"/>
        <v>Low</v>
      </c>
      <c r="V291" s="99" t="str">
        <f t="shared" si="46"/>
        <v>Low</v>
      </c>
      <c r="W291" s="99" t="str">
        <f t="shared" si="47"/>
        <v>LLL</v>
      </c>
      <c r="X291" s="99" t="str">
        <f>VLOOKUP(W291,rfm[],2,FALSE)</f>
        <v>💤 Lost / Low Value</v>
      </c>
      <c r="AA291" s="99" t="s">
        <v>2322</v>
      </c>
      <c r="AB291" s="99" t="s">
        <v>8</v>
      </c>
      <c r="AC291" s="100">
        <v>45919</v>
      </c>
      <c r="AD291" s="101">
        <v>104</v>
      </c>
      <c r="AE291" s="101">
        <v>1</v>
      </c>
      <c r="AF291" s="101">
        <v>2450000</v>
      </c>
      <c r="AG291" s="99" t="str">
        <f>VLOOKUP(AA291,recency!$K$6:$P$818,6,0)</f>
        <v>Low</v>
      </c>
      <c r="AH291" s="132" t="str">
        <f>VLOOKUP(AA291,frequency!$F$6:$H$818,3,FALSE)</f>
        <v>Low</v>
      </c>
      <c r="AI291" s="129" t="str">
        <f>VLOOKUP(AA291,monetary!$B$5:$F$817,5,0)</f>
        <v>Low</v>
      </c>
      <c r="AJ291" s="99" t="str">
        <f t="shared" si="48"/>
        <v>LLL</v>
      </c>
      <c r="AK291" s="99" t="str">
        <f>VLOOKUP(AJ291,rfm[],2,0)</f>
        <v>💤 Lost / Low Value</v>
      </c>
      <c r="AN291" s="99" t="b">
        <f t="shared" si="49"/>
        <v>1</v>
      </c>
    </row>
    <row r="292" spans="2:40" x14ac:dyDescent="0.3">
      <c r="B292" s="99" t="s">
        <v>2004</v>
      </c>
      <c r="C292" s="100">
        <v>45715</v>
      </c>
      <c r="D292" s="99" t="s">
        <v>14</v>
      </c>
      <c r="E292" s="99" t="s">
        <v>15</v>
      </c>
      <c r="F292" s="99" t="s">
        <v>16</v>
      </c>
      <c r="G292" s="99">
        <v>30</v>
      </c>
      <c r="H292" s="112">
        <v>350000</v>
      </c>
      <c r="I292" s="112">
        <v>10500000</v>
      </c>
      <c r="J292" s="99" t="s">
        <v>2456</v>
      </c>
      <c r="K292" s="99" t="s">
        <v>69</v>
      </c>
      <c r="N292" s="99" t="s">
        <v>2323</v>
      </c>
      <c r="O292" s="99" t="s">
        <v>47</v>
      </c>
      <c r="P292" s="100">
        <f t="shared" si="41"/>
        <v>45764</v>
      </c>
      <c r="Q292" s="101">
        <f t="shared" si="40"/>
        <v>259</v>
      </c>
      <c r="R292" s="99">
        <f t="shared" si="42"/>
        <v>3</v>
      </c>
      <c r="S292" s="101">
        <f t="shared" si="43"/>
        <v>24700000</v>
      </c>
      <c r="T292" s="99" t="str">
        <f t="shared" si="44"/>
        <v>Low</v>
      </c>
      <c r="U292" s="99" t="str">
        <f t="shared" si="45"/>
        <v>High</v>
      </c>
      <c r="V292" s="99" t="str">
        <f t="shared" si="46"/>
        <v>High</v>
      </c>
      <c r="W292" s="99" t="str">
        <f t="shared" si="47"/>
        <v>LHH</v>
      </c>
      <c r="X292" s="99" t="str">
        <f>VLOOKUP(W292,rfm[],2,FALSE)</f>
        <v>⚠️ At Risk High Value</v>
      </c>
      <c r="AA292" s="99" t="s">
        <v>2323</v>
      </c>
      <c r="AB292" s="99" t="s">
        <v>47</v>
      </c>
      <c r="AC292" s="100">
        <v>45764</v>
      </c>
      <c r="AD292" s="101">
        <v>259</v>
      </c>
      <c r="AE292" s="101">
        <v>3</v>
      </c>
      <c r="AF292" s="101">
        <v>24700000</v>
      </c>
      <c r="AG292" s="99" t="str">
        <f>VLOOKUP(AA292,recency!$K$6:$P$818,6,0)</f>
        <v>Low</v>
      </c>
      <c r="AH292" s="132" t="str">
        <f>VLOOKUP(AA292,frequency!$F$6:$H$818,3,FALSE)</f>
        <v>High</v>
      </c>
      <c r="AI292" s="129" t="str">
        <f>VLOOKUP(AA292,monetary!$B$5:$F$817,5,0)</f>
        <v>Low</v>
      </c>
      <c r="AJ292" s="99" t="str">
        <f t="shared" si="48"/>
        <v>LHL</v>
      </c>
      <c r="AK292" s="99" t="str">
        <f>VLOOKUP(AJ292,rfm[],2,0)</f>
        <v>🔁 Former Loyal Low Spend</v>
      </c>
      <c r="AN292" s="99" t="b">
        <f t="shared" si="49"/>
        <v>0</v>
      </c>
    </row>
    <row r="293" spans="2:40" x14ac:dyDescent="0.3">
      <c r="B293" s="99" t="s">
        <v>2013</v>
      </c>
      <c r="C293" s="100">
        <v>45715</v>
      </c>
      <c r="D293" s="99" t="s">
        <v>10</v>
      </c>
      <c r="E293" s="99" t="s">
        <v>11</v>
      </c>
      <c r="F293" s="99" t="s">
        <v>12</v>
      </c>
      <c r="G293" s="99">
        <v>37</v>
      </c>
      <c r="H293" s="112">
        <v>120000</v>
      </c>
      <c r="I293" s="112">
        <v>4440000</v>
      </c>
      <c r="J293" s="99" t="s">
        <v>2762</v>
      </c>
      <c r="K293" s="99" t="s">
        <v>127</v>
      </c>
      <c r="N293" s="99" t="s">
        <v>2324</v>
      </c>
      <c r="O293" s="99" t="s">
        <v>8</v>
      </c>
      <c r="P293" s="100">
        <f t="shared" si="41"/>
        <v>45771</v>
      </c>
      <c r="Q293" s="101">
        <f t="shared" si="40"/>
        <v>252</v>
      </c>
      <c r="R293" s="99">
        <f t="shared" si="42"/>
        <v>1</v>
      </c>
      <c r="S293" s="101">
        <f t="shared" si="43"/>
        <v>7200000</v>
      </c>
      <c r="T293" s="99" t="str">
        <f t="shared" si="44"/>
        <v>Low</v>
      </c>
      <c r="U293" s="99" t="str">
        <f t="shared" si="45"/>
        <v>Low</v>
      </c>
      <c r="V293" s="99" t="str">
        <f t="shared" si="46"/>
        <v>Low</v>
      </c>
      <c r="W293" s="99" t="str">
        <f t="shared" si="47"/>
        <v>LLL</v>
      </c>
      <c r="X293" s="99" t="str">
        <f>VLOOKUP(W293,rfm[],2,FALSE)</f>
        <v>💤 Lost / Low Value</v>
      </c>
      <c r="AA293" s="99" t="s">
        <v>2324</v>
      </c>
      <c r="AB293" s="99" t="s">
        <v>8</v>
      </c>
      <c r="AC293" s="100">
        <v>45771</v>
      </c>
      <c r="AD293" s="101">
        <v>252</v>
      </c>
      <c r="AE293" s="101">
        <v>1</v>
      </c>
      <c r="AF293" s="101">
        <v>7200000</v>
      </c>
      <c r="AG293" s="99" t="str">
        <f>VLOOKUP(AA293,recency!$K$6:$P$818,6,0)</f>
        <v>Low</v>
      </c>
      <c r="AH293" s="132" t="str">
        <f>VLOOKUP(AA293,frequency!$F$6:$H$818,3,FALSE)</f>
        <v>Low</v>
      </c>
      <c r="AI293" s="129" t="str">
        <f>VLOOKUP(AA293,monetary!$B$5:$F$817,5,0)</f>
        <v>Low</v>
      </c>
      <c r="AJ293" s="99" t="str">
        <f t="shared" si="48"/>
        <v>LLL</v>
      </c>
      <c r="AK293" s="99" t="str">
        <f>VLOOKUP(AJ293,rfm[],2,0)</f>
        <v>💤 Lost / Low Value</v>
      </c>
      <c r="AN293" s="99" t="b">
        <f t="shared" si="49"/>
        <v>1</v>
      </c>
    </row>
    <row r="294" spans="2:40" x14ac:dyDescent="0.3">
      <c r="B294" s="99" t="s">
        <v>2014</v>
      </c>
      <c r="C294" s="100">
        <v>45715</v>
      </c>
      <c r="D294" s="99" t="s">
        <v>14</v>
      </c>
      <c r="E294" s="99" t="s">
        <v>15</v>
      </c>
      <c r="F294" s="99" t="s">
        <v>16</v>
      </c>
      <c r="G294" s="99">
        <v>13</v>
      </c>
      <c r="H294" s="112">
        <v>350000</v>
      </c>
      <c r="I294" s="112">
        <v>4550000</v>
      </c>
      <c r="J294" s="99" t="s">
        <v>824</v>
      </c>
      <c r="K294" s="99" t="s">
        <v>60</v>
      </c>
      <c r="N294" s="99" t="s">
        <v>2325</v>
      </c>
      <c r="O294" s="99" t="s">
        <v>8</v>
      </c>
      <c r="P294" s="100">
        <f t="shared" si="41"/>
        <v>45910</v>
      </c>
      <c r="Q294" s="101">
        <f t="shared" si="40"/>
        <v>113</v>
      </c>
      <c r="R294" s="99">
        <f t="shared" si="42"/>
        <v>3</v>
      </c>
      <c r="S294" s="101">
        <f t="shared" si="43"/>
        <v>14000000</v>
      </c>
      <c r="T294" s="99" t="str">
        <f t="shared" si="44"/>
        <v>Low</v>
      </c>
      <c r="U294" s="99" t="str">
        <f t="shared" si="45"/>
        <v>High</v>
      </c>
      <c r="V294" s="99" t="str">
        <f t="shared" si="46"/>
        <v>Low</v>
      </c>
      <c r="W294" s="99" t="str">
        <f t="shared" si="47"/>
        <v>LHL</v>
      </c>
      <c r="X294" s="99" t="str">
        <f>VLOOKUP(W294,rfm[],2,FALSE)</f>
        <v>🔁 Former Loyal Low Spend</v>
      </c>
      <c r="AA294" s="99" t="s">
        <v>2325</v>
      </c>
      <c r="AB294" s="99" t="s">
        <v>8</v>
      </c>
      <c r="AC294" s="100">
        <v>45910</v>
      </c>
      <c r="AD294" s="101">
        <v>113</v>
      </c>
      <c r="AE294" s="101">
        <v>3</v>
      </c>
      <c r="AF294" s="101">
        <v>14000000</v>
      </c>
      <c r="AG294" s="99" t="str">
        <f>VLOOKUP(AA294,recency!$K$6:$P$818,6,0)</f>
        <v>Low</v>
      </c>
      <c r="AH294" s="132" t="str">
        <f>VLOOKUP(AA294,frequency!$F$6:$H$818,3,FALSE)</f>
        <v>High</v>
      </c>
      <c r="AI294" s="129" t="str">
        <f>VLOOKUP(AA294,monetary!$B$5:$F$817,5,0)</f>
        <v>Low</v>
      </c>
      <c r="AJ294" s="99" t="str">
        <f t="shared" si="48"/>
        <v>LHL</v>
      </c>
      <c r="AK294" s="99" t="str">
        <f>VLOOKUP(AJ294,rfm[],2,0)</f>
        <v>🔁 Former Loyal Low Spend</v>
      </c>
      <c r="AN294" s="99" t="b">
        <f t="shared" si="49"/>
        <v>1</v>
      </c>
    </row>
    <row r="295" spans="2:40" x14ac:dyDescent="0.3">
      <c r="B295" s="99" t="s">
        <v>2015</v>
      </c>
      <c r="C295" s="100">
        <v>45715</v>
      </c>
      <c r="D295" s="99" t="s">
        <v>18</v>
      </c>
      <c r="E295" s="99" t="s">
        <v>19</v>
      </c>
      <c r="F295" s="99" t="s">
        <v>20</v>
      </c>
      <c r="G295" s="99">
        <v>18</v>
      </c>
      <c r="H295" s="112">
        <v>500000</v>
      </c>
      <c r="I295" s="112">
        <v>9000000</v>
      </c>
      <c r="J295" s="99" t="s">
        <v>2523</v>
      </c>
      <c r="K295" s="99" t="s">
        <v>127</v>
      </c>
      <c r="N295" s="99" t="s">
        <v>2326</v>
      </c>
      <c r="O295" s="99" t="s">
        <v>69</v>
      </c>
      <c r="P295" s="100">
        <f t="shared" si="41"/>
        <v>46022</v>
      </c>
      <c r="Q295" s="101">
        <f t="shared" si="40"/>
        <v>1</v>
      </c>
      <c r="R295" s="99">
        <f t="shared" si="42"/>
        <v>3</v>
      </c>
      <c r="S295" s="101">
        <f t="shared" si="43"/>
        <v>26050000</v>
      </c>
      <c r="T295" s="99" t="str">
        <f t="shared" si="44"/>
        <v>High</v>
      </c>
      <c r="U295" s="99" t="str">
        <f t="shared" si="45"/>
        <v>High</v>
      </c>
      <c r="V295" s="99" t="str">
        <f t="shared" si="46"/>
        <v>High</v>
      </c>
      <c r="W295" s="99" t="str">
        <f t="shared" si="47"/>
        <v>HHH</v>
      </c>
      <c r="X295" s="99" t="str">
        <f>VLOOKUP(W295,rfm[],2,FALSE)</f>
        <v>🥇 Champions</v>
      </c>
      <c r="AA295" s="99" t="s">
        <v>2326</v>
      </c>
      <c r="AB295" s="99" t="s">
        <v>69</v>
      </c>
      <c r="AC295" s="100">
        <v>46022</v>
      </c>
      <c r="AD295" s="101">
        <v>1</v>
      </c>
      <c r="AE295" s="101">
        <v>3</v>
      </c>
      <c r="AF295" s="101">
        <v>26050000</v>
      </c>
      <c r="AG295" s="99" t="str">
        <f>VLOOKUP(AA295,recency!$K$6:$P$818,6,0)</f>
        <v>High</v>
      </c>
      <c r="AH295" s="132" t="str">
        <f>VLOOKUP(AA295,frequency!$F$6:$H$818,3,FALSE)</f>
        <v>High</v>
      </c>
      <c r="AI295" s="129" t="str">
        <f>VLOOKUP(AA295,monetary!$B$5:$F$817,5,0)</f>
        <v>Low</v>
      </c>
      <c r="AJ295" s="99" t="str">
        <f t="shared" si="48"/>
        <v>HHL</v>
      </c>
      <c r="AK295" s="99" t="str">
        <f>VLOOKUP(AJ295,rfm[],2,0)</f>
        <v>💎 Loyal High Value</v>
      </c>
      <c r="AN295" s="99" t="b">
        <f t="shared" si="49"/>
        <v>0</v>
      </c>
    </row>
    <row r="296" spans="2:40" x14ac:dyDescent="0.3">
      <c r="B296" s="99" t="s">
        <v>2016</v>
      </c>
      <c r="C296" s="100">
        <v>45715</v>
      </c>
      <c r="D296" s="99" t="s">
        <v>10</v>
      </c>
      <c r="E296" s="99" t="s">
        <v>11</v>
      </c>
      <c r="F296" s="99" t="s">
        <v>12</v>
      </c>
      <c r="G296" s="99">
        <v>5</v>
      </c>
      <c r="H296" s="112">
        <v>120000</v>
      </c>
      <c r="I296" s="112">
        <v>600000</v>
      </c>
      <c r="J296" s="99" t="s">
        <v>2346</v>
      </c>
      <c r="K296" s="99" t="s">
        <v>127</v>
      </c>
      <c r="N296" s="99" t="s">
        <v>2327</v>
      </c>
      <c r="O296" s="99" t="s">
        <v>127</v>
      </c>
      <c r="P296" s="100">
        <f t="shared" si="41"/>
        <v>45996</v>
      </c>
      <c r="Q296" s="101">
        <f t="shared" si="40"/>
        <v>27</v>
      </c>
      <c r="R296" s="99">
        <f t="shared" si="42"/>
        <v>4</v>
      </c>
      <c r="S296" s="101">
        <f t="shared" si="43"/>
        <v>29770000</v>
      </c>
      <c r="T296" s="99" t="str">
        <f t="shared" si="44"/>
        <v>High</v>
      </c>
      <c r="U296" s="99" t="str">
        <f t="shared" si="45"/>
        <v>High</v>
      </c>
      <c r="V296" s="99" t="str">
        <f t="shared" si="46"/>
        <v>High</v>
      </c>
      <c r="W296" s="99" t="str">
        <f t="shared" si="47"/>
        <v>HHH</v>
      </c>
      <c r="X296" s="99" t="str">
        <f>VLOOKUP(W296,rfm[],2,FALSE)</f>
        <v>🥇 Champions</v>
      </c>
      <c r="AA296" s="99" t="s">
        <v>2327</v>
      </c>
      <c r="AB296" s="99" t="s">
        <v>127</v>
      </c>
      <c r="AC296" s="100">
        <v>45996</v>
      </c>
      <c r="AD296" s="101">
        <v>27</v>
      </c>
      <c r="AE296" s="101">
        <v>4</v>
      </c>
      <c r="AF296" s="101">
        <v>29770000</v>
      </c>
      <c r="AG296" s="99" t="str">
        <f>VLOOKUP(AA296,recency!$K$6:$P$818,6,0)</f>
        <v>High</v>
      </c>
      <c r="AH296" s="132" t="str">
        <f>VLOOKUP(AA296,frequency!$F$6:$H$818,3,FALSE)</f>
        <v>High</v>
      </c>
      <c r="AI296" s="129" t="str">
        <f>VLOOKUP(AA296,monetary!$B$5:$F$817,5,0)</f>
        <v>Low</v>
      </c>
      <c r="AJ296" s="99" t="str">
        <f t="shared" si="48"/>
        <v>HHL</v>
      </c>
      <c r="AK296" s="99" t="str">
        <f>VLOOKUP(AJ296,rfm[],2,0)</f>
        <v>💎 Loyal High Value</v>
      </c>
      <c r="AN296" s="99" t="b">
        <f t="shared" si="49"/>
        <v>0</v>
      </c>
    </row>
    <row r="297" spans="2:40" x14ac:dyDescent="0.3">
      <c r="B297" s="99" t="s">
        <v>2017</v>
      </c>
      <c r="C297" s="100">
        <v>45715</v>
      </c>
      <c r="D297" s="99" t="s">
        <v>38</v>
      </c>
      <c r="E297" s="99" t="s">
        <v>39</v>
      </c>
      <c r="F297" s="99" t="s">
        <v>16</v>
      </c>
      <c r="G297" s="99">
        <v>6</v>
      </c>
      <c r="H297" s="112">
        <v>200000</v>
      </c>
      <c r="I297" s="112">
        <v>1200000</v>
      </c>
      <c r="J297" s="99" t="s">
        <v>2647</v>
      </c>
      <c r="K297" s="99" t="s">
        <v>8</v>
      </c>
      <c r="N297" s="99" t="s">
        <v>2328</v>
      </c>
      <c r="O297" s="99" t="s">
        <v>8</v>
      </c>
      <c r="P297" s="100">
        <f t="shared" si="41"/>
        <v>45994</v>
      </c>
      <c r="Q297" s="101">
        <f t="shared" si="40"/>
        <v>29</v>
      </c>
      <c r="R297" s="99">
        <f t="shared" si="42"/>
        <v>3</v>
      </c>
      <c r="S297" s="101">
        <f t="shared" si="43"/>
        <v>20875000</v>
      </c>
      <c r="T297" s="99" t="str">
        <f t="shared" si="44"/>
        <v>High</v>
      </c>
      <c r="U297" s="99" t="str">
        <f t="shared" si="45"/>
        <v>High</v>
      </c>
      <c r="V297" s="99" t="str">
        <f t="shared" si="46"/>
        <v>High</v>
      </c>
      <c r="W297" s="99" t="str">
        <f t="shared" si="47"/>
        <v>HHH</v>
      </c>
      <c r="X297" s="99" t="str">
        <f>VLOOKUP(W297,rfm[],2,FALSE)</f>
        <v>🥇 Champions</v>
      </c>
      <c r="AA297" s="99" t="s">
        <v>2328</v>
      </c>
      <c r="AB297" s="99" t="s">
        <v>8</v>
      </c>
      <c r="AC297" s="100">
        <v>45994</v>
      </c>
      <c r="AD297" s="101">
        <v>29</v>
      </c>
      <c r="AE297" s="101">
        <v>3</v>
      </c>
      <c r="AF297" s="101">
        <v>20875000</v>
      </c>
      <c r="AG297" s="99" t="str">
        <f>VLOOKUP(AA297,recency!$K$6:$P$818,6,0)</f>
        <v>High</v>
      </c>
      <c r="AH297" s="132" t="str">
        <f>VLOOKUP(AA297,frequency!$F$6:$H$818,3,FALSE)</f>
        <v>High</v>
      </c>
      <c r="AI297" s="129" t="str">
        <f>VLOOKUP(AA297,monetary!$B$5:$F$817,5,0)</f>
        <v>Low</v>
      </c>
      <c r="AJ297" s="99" t="str">
        <f t="shared" si="48"/>
        <v>HHL</v>
      </c>
      <c r="AK297" s="99" t="str">
        <f>VLOOKUP(AJ297,rfm[],2,0)</f>
        <v>💎 Loyal High Value</v>
      </c>
      <c r="AN297" s="99" t="b">
        <f t="shared" si="49"/>
        <v>0</v>
      </c>
    </row>
    <row r="298" spans="2:40" x14ac:dyDescent="0.3">
      <c r="B298" s="99" t="s">
        <v>2027</v>
      </c>
      <c r="C298" s="100">
        <v>45715</v>
      </c>
      <c r="D298" s="99" t="s">
        <v>40</v>
      </c>
      <c r="E298" s="99" t="s">
        <v>41</v>
      </c>
      <c r="F298" s="99" t="s">
        <v>16</v>
      </c>
      <c r="G298" s="99">
        <v>42</v>
      </c>
      <c r="H298" s="112">
        <v>950000</v>
      </c>
      <c r="I298" s="112">
        <v>39900000</v>
      </c>
      <c r="J298" s="99" t="s">
        <v>2810</v>
      </c>
      <c r="K298" s="99" t="s">
        <v>69</v>
      </c>
      <c r="N298" s="99" t="s">
        <v>2329</v>
      </c>
      <c r="O298" s="99" t="s">
        <v>69</v>
      </c>
      <c r="P298" s="100">
        <f t="shared" si="41"/>
        <v>46022</v>
      </c>
      <c r="Q298" s="101">
        <f t="shared" si="40"/>
        <v>1</v>
      </c>
      <c r="R298" s="99">
        <f t="shared" si="42"/>
        <v>2</v>
      </c>
      <c r="S298" s="101">
        <f t="shared" si="43"/>
        <v>12000000</v>
      </c>
      <c r="T298" s="99" t="str">
        <f t="shared" si="44"/>
        <v>High</v>
      </c>
      <c r="U298" s="99" t="str">
        <f t="shared" si="45"/>
        <v>Low</v>
      </c>
      <c r="V298" s="99" t="str">
        <f t="shared" si="46"/>
        <v>Low</v>
      </c>
      <c r="W298" s="99" t="str">
        <f t="shared" si="47"/>
        <v>HLL</v>
      </c>
      <c r="X298" s="99" t="str">
        <f>VLOOKUP(W298,rfm[],2,FALSE)</f>
        <v>🌱 Potential Loyalists</v>
      </c>
      <c r="AA298" s="99" t="s">
        <v>2329</v>
      </c>
      <c r="AB298" s="99" t="s">
        <v>69</v>
      </c>
      <c r="AC298" s="100">
        <v>46022</v>
      </c>
      <c r="AD298" s="101">
        <v>1</v>
      </c>
      <c r="AE298" s="101">
        <v>2</v>
      </c>
      <c r="AF298" s="101">
        <v>12000000</v>
      </c>
      <c r="AG298" s="99" t="str">
        <f>VLOOKUP(AA298,recency!$K$6:$P$818,6,0)</f>
        <v>High</v>
      </c>
      <c r="AH298" s="132" t="str">
        <f>VLOOKUP(AA298,frequency!$F$6:$H$818,3,FALSE)</f>
        <v>Low</v>
      </c>
      <c r="AI298" s="129" t="str">
        <f>VLOOKUP(AA298,monetary!$B$5:$F$817,5,0)</f>
        <v>Low</v>
      </c>
      <c r="AJ298" s="99" t="str">
        <f t="shared" si="48"/>
        <v>HLL</v>
      </c>
      <c r="AK298" s="99" t="str">
        <f>VLOOKUP(AJ298,rfm[],2,0)</f>
        <v>🌱 Potential Loyalists</v>
      </c>
      <c r="AN298" s="99" t="b">
        <f t="shared" si="49"/>
        <v>1</v>
      </c>
    </row>
    <row r="299" spans="2:40" x14ac:dyDescent="0.3">
      <c r="B299" s="99" t="s">
        <v>2041</v>
      </c>
      <c r="C299" s="100">
        <v>45715</v>
      </c>
      <c r="D299" s="99" t="s">
        <v>14</v>
      </c>
      <c r="E299" s="99" t="s">
        <v>15</v>
      </c>
      <c r="F299" s="99" t="s">
        <v>16</v>
      </c>
      <c r="G299" s="99">
        <v>20</v>
      </c>
      <c r="H299" s="112">
        <v>350000</v>
      </c>
      <c r="I299" s="112">
        <v>7000000</v>
      </c>
      <c r="J299" s="99" t="s">
        <v>2284</v>
      </c>
      <c r="K299" s="99" t="s">
        <v>8</v>
      </c>
      <c r="N299" s="99" t="s">
        <v>2330</v>
      </c>
      <c r="O299" s="99" t="s">
        <v>69</v>
      </c>
      <c r="P299" s="100">
        <f t="shared" si="41"/>
        <v>45750</v>
      </c>
      <c r="Q299" s="101">
        <f t="shared" si="40"/>
        <v>273</v>
      </c>
      <c r="R299" s="99">
        <f t="shared" si="42"/>
        <v>3</v>
      </c>
      <c r="S299" s="101">
        <f t="shared" si="43"/>
        <v>17420000</v>
      </c>
      <c r="T299" s="99" t="str">
        <f t="shared" si="44"/>
        <v>Low</v>
      </c>
      <c r="U299" s="99" t="str">
        <f t="shared" si="45"/>
        <v>High</v>
      </c>
      <c r="V299" s="99" t="str">
        <f t="shared" si="46"/>
        <v>Low</v>
      </c>
      <c r="W299" s="99" t="str">
        <f t="shared" si="47"/>
        <v>LHL</v>
      </c>
      <c r="X299" s="99" t="str">
        <f>VLOOKUP(W299,rfm[],2,FALSE)</f>
        <v>🔁 Former Loyal Low Spend</v>
      </c>
      <c r="AA299" s="99" t="s">
        <v>2330</v>
      </c>
      <c r="AB299" s="99" t="s">
        <v>69</v>
      </c>
      <c r="AC299" s="100">
        <v>45750</v>
      </c>
      <c r="AD299" s="101">
        <v>273</v>
      </c>
      <c r="AE299" s="101">
        <v>3</v>
      </c>
      <c r="AF299" s="101">
        <v>17420000</v>
      </c>
      <c r="AG299" s="99" t="str">
        <f>VLOOKUP(AA299,recency!$K$6:$P$818,6,0)</f>
        <v>Low</v>
      </c>
      <c r="AH299" s="132" t="str">
        <f>VLOOKUP(AA299,frequency!$F$6:$H$818,3,FALSE)</f>
        <v>High</v>
      </c>
      <c r="AI299" s="129" t="str">
        <f>VLOOKUP(AA299,monetary!$B$5:$F$817,5,0)</f>
        <v>Low</v>
      </c>
      <c r="AJ299" s="99" t="str">
        <f t="shared" si="48"/>
        <v>LHL</v>
      </c>
      <c r="AK299" s="99" t="str">
        <f>VLOOKUP(AJ299,rfm[],2,0)</f>
        <v>🔁 Former Loyal Low Spend</v>
      </c>
      <c r="AN299" s="99" t="b">
        <f t="shared" si="49"/>
        <v>1</v>
      </c>
    </row>
    <row r="300" spans="2:40" x14ac:dyDescent="0.3">
      <c r="B300" s="99" t="s">
        <v>2062</v>
      </c>
      <c r="C300" s="100">
        <v>45715</v>
      </c>
      <c r="D300" s="99" t="s">
        <v>40</v>
      </c>
      <c r="E300" s="99" t="s">
        <v>41</v>
      </c>
      <c r="F300" s="99" t="s">
        <v>16</v>
      </c>
      <c r="G300" s="99">
        <v>8</v>
      </c>
      <c r="H300" s="112">
        <v>950000</v>
      </c>
      <c r="I300" s="112">
        <v>7600000</v>
      </c>
      <c r="J300" s="99" t="s">
        <v>2582</v>
      </c>
      <c r="K300" s="99" t="s">
        <v>69</v>
      </c>
      <c r="N300" s="99" t="s">
        <v>2331</v>
      </c>
      <c r="O300" s="99" t="s">
        <v>47</v>
      </c>
      <c r="P300" s="100">
        <f t="shared" si="41"/>
        <v>45912</v>
      </c>
      <c r="Q300" s="101">
        <f t="shared" si="40"/>
        <v>111</v>
      </c>
      <c r="R300" s="99">
        <f t="shared" si="42"/>
        <v>1</v>
      </c>
      <c r="S300" s="101">
        <f t="shared" si="43"/>
        <v>14000000</v>
      </c>
      <c r="T300" s="99" t="str">
        <f t="shared" si="44"/>
        <v>Low</v>
      </c>
      <c r="U300" s="99" t="str">
        <f t="shared" si="45"/>
        <v>Low</v>
      </c>
      <c r="V300" s="99" t="str">
        <f t="shared" si="46"/>
        <v>Low</v>
      </c>
      <c r="W300" s="99" t="str">
        <f t="shared" si="47"/>
        <v>LLL</v>
      </c>
      <c r="X300" s="99" t="str">
        <f>VLOOKUP(W300,rfm[],2,FALSE)</f>
        <v>💤 Lost / Low Value</v>
      </c>
      <c r="AA300" s="99" t="s">
        <v>2331</v>
      </c>
      <c r="AB300" s="99" t="s">
        <v>47</v>
      </c>
      <c r="AC300" s="100">
        <v>45912</v>
      </c>
      <c r="AD300" s="101">
        <v>111</v>
      </c>
      <c r="AE300" s="101">
        <v>1</v>
      </c>
      <c r="AF300" s="101">
        <v>14000000</v>
      </c>
      <c r="AG300" s="99" t="str">
        <f>VLOOKUP(AA300,recency!$K$6:$P$818,6,0)</f>
        <v>Low</v>
      </c>
      <c r="AH300" s="132" t="str">
        <f>VLOOKUP(AA300,frequency!$F$6:$H$818,3,FALSE)</f>
        <v>Low</v>
      </c>
      <c r="AI300" s="129" t="str">
        <f>VLOOKUP(AA300,monetary!$B$5:$F$817,5,0)</f>
        <v>Low</v>
      </c>
      <c r="AJ300" s="99" t="str">
        <f t="shared" si="48"/>
        <v>LLL</v>
      </c>
      <c r="AK300" s="99" t="str">
        <f>VLOOKUP(AJ300,rfm[],2,0)</f>
        <v>💤 Lost / Low Value</v>
      </c>
      <c r="AN300" s="99" t="b">
        <f t="shared" si="49"/>
        <v>1</v>
      </c>
    </row>
    <row r="301" spans="2:40" x14ac:dyDescent="0.3">
      <c r="B301" s="99" t="s">
        <v>2063</v>
      </c>
      <c r="C301" s="100">
        <v>45716</v>
      </c>
      <c r="D301" s="99" t="s">
        <v>10</v>
      </c>
      <c r="E301" s="99" t="s">
        <v>11</v>
      </c>
      <c r="F301" s="99" t="s">
        <v>12</v>
      </c>
      <c r="G301" s="99">
        <v>39</v>
      </c>
      <c r="H301" s="112">
        <v>120000</v>
      </c>
      <c r="I301" s="112">
        <v>4680000</v>
      </c>
      <c r="J301" s="99" t="s">
        <v>2537</v>
      </c>
      <c r="K301" s="99" t="s">
        <v>127</v>
      </c>
      <c r="N301" s="99" t="s">
        <v>2332</v>
      </c>
      <c r="O301" s="99" t="s">
        <v>8</v>
      </c>
      <c r="P301" s="100">
        <f t="shared" si="41"/>
        <v>45672</v>
      </c>
      <c r="Q301" s="101">
        <f t="shared" si="40"/>
        <v>351</v>
      </c>
      <c r="R301" s="99">
        <f t="shared" si="42"/>
        <v>1</v>
      </c>
      <c r="S301" s="101">
        <f t="shared" si="43"/>
        <v>11200000</v>
      </c>
      <c r="T301" s="99" t="str">
        <f t="shared" si="44"/>
        <v>Low</v>
      </c>
      <c r="U301" s="99" t="str">
        <f t="shared" si="45"/>
        <v>Low</v>
      </c>
      <c r="V301" s="99" t="str">
        <f t="shared" si="46"/>
        <v>Low</v>
      </c>
      <c r="W301" s="99" t="str">
        <f t="shared" si="47"/>
        <v>LLL</v>
      </c>
      <c r="X301" s="99" t="str">
        <f>VLOOKUP(W301,rfm[],2,FALSE)</f>
        <v>💤 Lost / Low Value</v>
      </c>
      <c r="AA301" s="99" t="s">
        <v>2332</v>
      </c>
      <c r="AB301" s="99" t="s">
        <v>8</v>
      </c>
      <c r="AC301" s="100">
        <v>45672</v>
      </c>
      <c r="AD301" s="101">
        <v>351</v>
      </c>
      <c r="AE301" s="101">
        <v>1</v>
      </c>
      <c r="AF301" s="101">
        <v>11200000</v>
      </c>
      <c r="AG301" s="99" t="str">
        <f>VLOOKUP(AA301,recency!$K$6:$P$818,6,0)</f>
        <v>Low</v>
      </c>
      <c r="AH301" s="132" t="str">
        <f>VLOOKUP(AA301,frequency!$F$6:$H$818,3,FALSE)</f>
        <v>Low</v>
      </c>
      <c r="AI301" s="129" t="str">
        <f>VLOOKUP(AA301,monetary!$B$5:$F$817,5,0)</f>
        <v>Low</v>
      </c>
      <c r="AJ301" s="99" t="str">
        <f t="shared" si="48"/>
        <v>LLL</v>
      </c>
      <c r="AK301" s="99" t="str">
        <f>VLOOKUP(AJ301,rfm[],2,0)</f>
        <v>💤 Lost / Low Value</v>
      </c>
      <c r="AN301" s="99" t="b">
        <f t="shared" si="49"/>
        <v>1</v>
      </c>
    </row>
    <row r="302" spans="2:40" x14ac:dyDescent="0.3">
      <c r="B302" s="99" t="s">
        <v>2064</v>
      </c>
      <c r="C302" s="100">
        <v>45716</v>
      </c>
      <c r="D302" s="99" t="s">
        <v>38</v>
      </c>
      <c r="E302" s="99" t="s">
        <v>39</v>
      </c>
      <c r="F302" s="99" t="s">
        <v>16</v>
      </c>
      <c r="G302" s="99">
        <v>17</v>
      </c>
      <c r="H302" s="112">
        <v>200000</v>
      </c>
      <c r="I302" s="112">
        <v>3400000</v>
      </c>
      <c r="J302" s="99" t="s">
        <v>1683</v>
      </c>
      <c r="K302" s="99" t="s">
        <v>47</v>
      </c>
      <c r="N302" s="99" t="s">
        <v>2333</v>
      </c>
      <c r="O302" s="99" t="s">
        <v>60</v>
      </c>
      <c r="P302" s="100">
        <f t="shared" si="41"/>
        <v>45848</v>
      </c>
      <c r="Q302" s="101">
        <f t="shared" si="40"/>
        <v>175</v>
      </c>
      <c r="R302" s="99">
        <f t="shared" si="42"/>
        <v>3</v>
      </c>
      <c r="S302" s="101">
        <f t="shared" si="43"/>
        <v>46400000</v>
      </c>
      <c r="T302" s="99" t="str">
        <f t="shared" si="44"/>
        <v>Low</v>
      </c>
      <c r="U302" s="99" t="str">
        <f t="shared" si="45"/>
        <v>High</v>
      </c>
      <c r="V302" s="99" t="str">
        <f t="shared" si="46"/>
        <v>High</v>
      </c>
      <c r="W302" s="99" t="str">
        <f t="shared" si="47"/>
        <v>LHH</v>
      </c>
      <c r="X302" s="99" t="str">
        <f>VLOOKUP(W302,rfm[],2,FALSE)</f>
        <v>⚠️ At Risk High Value</v>
      </c>
      <c r="AA302" s="99" t="s">
        <v>2333</v>
      </c>
      <c r="AB302" s="99" t="s">
        <v>60</v>
      </c>
      <c r="AC302" s="100">
        <v>45848</v>
      </c>
      <c r="AD302" s="101">
        <v>175</v>
      </c>
      <c r="AE302" s="101">
        <v>3</v>
      </c>
      <c r="AF302" s="101">
        <v>46400000</v>
      </c>
      <c r="AG302" s="99" t="str">
        <f>VLOOKUP(AA302,recency!$K$6:$P$818,6,0)</f>
        <v>Low</v>
      </c>
      <c r="AH302" s="132" t="str">
        <f>VLOOKUP(AA302,frequency!$F$6:$H$818,3,FALSE)</f>
        <v>High</v>
      </c>
      <c r="AI302" s="129" t="str">
        <f>VLOOKUP(AA302,monetary!$B$5:$F$817,5,0)</f>
        <v>Low</v>
      </c>
      <c r="AJ302" s="99" t="str">
        <f t="shared" si="48"/>
        <v>LHL</v>
      </c>
      <c r="AK302" s="99" t="str">
        <f>VLOOKUP(AJ302,rfm[],2,0)</f>
        <v>🔁 Former Loyal Low Spend</v>
      </c>
      <c r="AN302" s="99" t="b">
        <f t="shared" si="49"/>
        <v>0</v>
      </c>
    </row>
    <row r="303" spans="2:40" x14ac:dyDescent="0.3">
      <c r="B303" s="99" t="s">
        <v>2065</v>
      </c>
      <c r="C303" s="100">
        <v>45716</v>
      </c>
      <c r="D303" s="99" t="s">
        <v>18</v>
      </c>
      <c r="E303" s="99" t="s">
        <v>19</v>
      </c>
      <c r="F303" s="99" t="s">
        <v>20</v>
      </c>
      <c r="G303" s="99">
        <v>400</v>
      </c>
      <c r="H303" s="112">
        <v>500000</v>
      </c>
      <c r="I303" s="112">
        <v>200000000</v>
      </c>
      <c r="J303" s="99" t="s">
        <v>2740</v>
      </c>
      <c r="K303" s="99" t="s">
        <v>127</v>
      </c>
      <c r="N303" s="99" t="s">
        <v>2334</v>
      </c>
      <c r="O303" s="99" t="s">
        <v>127</v>
      </c>
      <c r="P303" s="100">
        <f t="shared" si="41"/>
        <v>45987</v>
      </c>
      <c r="Q303" s="101">
        <f t="shared" si="40"/>
        <v>36</v>
      </c>
      <c r="R303" s="99">
        <f t="shared" si="42"/>
        <v>3</v>
      </c>
      <c r="S303" s="101">
        <f t="shared" si="43"/>
        <v>6960000</v>
      </c>
      <c r="T303" s="99" t="str">
        <f t="shared" si="44"/>
        <v>High</v>
      </c>
      <c r="U303" s="99" t="str">
        <f t="shared" si="45"/>
        <v>High</v>
      </c>
      <c r="V303" s="99" t="str">
        <f t="shared" si="46"/>
        <v>Low</v>
      </c>
      <c r="W303" s="99" t="str">
        <f t="shared" si="47"/>
        <v>HHL</v>
      </c>
      <c r="X303" s="99" t="str">
        <f>VLOOKUP(W303,rfm[],2,FALSE)</f>
        <v>💎 Loyal High Value</v>
      </c>
      <c r="AA303" s="99" t="s">
        <v>2334</v>
      </c>
      <c r="AB303" s="99" t="s">
        <v>127</v>
      </c>
      <c r="AC303" s="100">
        <v>45987</v>
      </c>
      <c r="AD303" s="101">
        <v>36</v>
      </c>
      <c r="AE303" s="101">
        <v>3</v>
      </c>
      <c r="AF303" s="101">
        <v>6960000</v>
      </c>
      <c r="AG303" s="99" t="str">
        <f>VLOOKUP(AA303,recency!$K$6:$P$818,6,0)</f>
        <v>High</v>
      </c>
      <c r="AH303" s="132" t="str">
        <f>VLOOKUP(AA303,frequency!$F$6:$H$818,3,FALSE)</f>
        <v>High</v>
      </c>
      <c r="AI303" s="129" t="str">
        <f>VLOOKUP(AA303,monetary!$B$5:$F$817,5,0)</f>
        <v>Low</v>
      </c>
      <c r="AJ303" s="99" t="str">
        <f t="shared" si="48"/>
        <v>HHL</v>
      </c>
      <c r="AK303" s="99" t="str">
        <f>VLOOKUP(AJ303,rfm[],2,0)</f>
        <v>💎 Loyal High Value</v>
      </c>
      <c r="AN303" s="99" t="b">
        <f t="shared" si="49"/>
        <v>1</v>
      </c>
    </row>
    <row r="304" spans="2:40" x14ac:dyDescent="0.3">
      <c r="B304" s="99" t="s">
        <v>2066</v>
      </c>
      <c r="C304" s="100">
        <v>45716</v>
      </c>
      <c r="D304" s="99" t="s">
        <v>28</v>
      </c>
      <c r="E304" s="99" t="s">
        <v>29</v>
      </c>
      <c r="F304" s="99" t="s">
        <v>20</v>
      </c>
      <c r="G304" s="99">
        <v>12</v>
      </c>
      <c r="H304" s="112">
        <v>450000</v>
      </c>
      <c r="I304" s="112">
        <v>5400000</v>
      </c>
      <c r="J304" s="99" t="s">
        <v>2207</v>
      </c>
      <c r="K304" s="99" t="s">
        <v>8</v>
      </c>
      <c r="N304" s="99" t="s">
        <v>2335</v>
      </c>
      <c r="O304" s="99" t="s">
        <v>47</v>
      </c>
      <c r="P304" s="100">
        <f t="shared" si="41"/>
        <v>45778</v>
      </c>
      <c r="Q304" s="101">
        <f t="shared" si="40"/>
        <v>245</v>
      </c>
      <c r="R304" s="99">
        <f t="shared" si="42"/>
        <v>2</v>
      </c>
      <c r="S304" s="101">
        <f t="shared" si="43"/>
        <v>32100000</v>
      </c>
      <c r="T304" s="99" t="str">
        <f t="shared" si="44"/>
        <v>Low</v>
      </c>
      <c r="U304" s="99" t="str">
        <f t="shared" si="45"/>
        <v>Low</v>
      </c>
      <c r="V304" s="99" t="str">
        <f t="shared" si="46"/>
        <v>High</v>
      </c>
      <c r="W304" s="99" t="str">
        <f t="shared" si="47"/>
        <v>LLH</v>
      </c>
      <c r="X304" s="99" t="str">
        <f>VLOOKUP(W304,rfm[],2,FALSE)</f>
        <v>💸 Lost High Spenders</v>
      </c>
      <c r="AA304" s="99" t="s">
        <v>2335</v>
      </c>
      <c r="AB304" s="99" t="s">
        <v>47</v>
      </c>
      <c r="AC304" s="100">
        <v>45778</v>
      </c>
      <c r="AD304" s="101">
        <v>245</v>
      </c>
      <c r="AE304" s="101">
        <v>2</v>
      </c>
      <c r="AF304" s="101">
        <v>32100000</v>
      </c>
      <c r="AG304" s="99" t="str">
        <f>VLOOKUP(AA304,recency!$K$6:$P$818,6,0)</f>
        <v>Low</v>
      </c>
      <c r="AH304" s="132" t="str">
        <f>VLOOKUP(AA304,frequency!$F$6:$H$818,3,FALSE)</f>
        <v>Low</v>
      </c>
      <c r="AI304" s="129" t="str">
        <f>VLOOKUP(AA304,monetary!$B$5:$F$817,5,0)</f>
        <v>Low</v>
      </c>
      <c r="AJ304" s="99" t="str">
        <f t="shared" si="48"/>
        <v>LLL</v>
      </c>
      <c r="AK304" s="99" t="str">
        <f>VLOOKUP(AJ304,rfm[],2,0)</f>
        <v>💤 Lost / Low Value</v>
      </c>
      <c r="AN304" s="99" t="b">
        <f t="shared" si="49"/>
        <v>0</v>
      </c>
    </row>
    <row r="305" spans="2:40" x14ac:dyDescent="0.3">
      <c r="B305" s="99" t="s">
        <v>2074</v>
      </c>
      <c r="C305" s="100">
        <v>45716</v>
      </c>
      <c r="D305" s="99" t="s">
        <v>31</v>
      </c>
      <c r="E305" s="99" t="s">
        <v>32</v>
      </c>
      <c r="F305" s="99" t="s">
        <v>20</v>
      </c>
      <c r="G305" s="99">
        <v>27</v>
      </c>
      <c r="H305" s="112">
        <v>180000</v>
      </c>
      <c r="I305" s="112">
        <v>4860000</v>
      </c>
      <c r="J305" s="99" t="s">
        <v>2755</v>
      </c>
      <c r="K305" s="99" t="s">
        <v>8</v>
      </c>
      <c r="N305" s="99" t="s">
        <v>2336</v>
      </c>
      <c r="O305" s="99" t="s">
        <v>69</v>
      </c>
      <c r="P305" s="100">
        <f t="shared" si="41"/>
        <v>45923</v>
      </c>
      <c r="Q305" s="101">
        <f t="shared" si="40"/>
        <v>100</v>
      </c>
      <c r="R305" s="99">
        <f t="shared" si="42"/>
        <v>1</v>
      </c>
      <c r="S305" s="101">
        <f t="shared" si="43"/>
        <v>5000000</v>
      </c>
      <c r="T305" s="99" t="str">
        <f t="shared" si="44"/>
        <v>Low</v>
      </c>
      <c r="U305" s="99" t="str">
        <f t="shared" si="45"/>
        <v>Low</v>
      </c>
      <c r="V305" s="99" t="str">
        <f t="shared" si="46"/>
        <v>Low</v>
      </c>
      <c r="W305" s="99" t="str">
        <f t="shared" si="47"/>
        <v>LLL</v>
      </c>
      <c r="X305" s="99" t="str">
        <f>VLOOKUP(W305,rfm[],2,FALSE)</f>
        <v>💤 Lost / Low Value</v>
      </c>
      <c r="AA305" s="99" t="s">
        <v>2336</v>
      </c>
      <c r="AB305" s="99" t="s">
        <v>69</v>
      </c>
      <c r="AC305" s="100">
        <v>45923</v>
      </c>
      <c r="AD305" s="101">
        <v>100</v>
      </c>
      <c r="AE305" s="101">
        <v>1</v>
      </c>
      <c r="AF305" s="101">
        <v>5000000</v>
      </c>
      <c r="AG305" s="99" t="str">
        <f>VLOOKUP(AA305,recency!$K$6:$P$818,6,0)</f>
        <v>Low</v>
      </c>
      <c r="AH305" s="132" t="str">
        <f>VLOOKUP(AA305,frequency!$F$6:$H$818,3,FALSE)</f>
        <v>Low</v>
      </c>
      <c r="AI305" s="129" t="str">
        <f>VLOOKUP(AA305,monetary!$B$5:$F$817,5,0)</f>
        <v>Low</v>
      </c>
      <c r="AJ305" s="99" t="str">
        <f t="shared" si="48"/>
        <v>LLL</v>
      </c>
      <c r="AK305" s="99" t="str">
        <f>VLOOKUP(AJ305,rfm[],2,0)</f>
        <v>💤 Lost / Low Value</v>
      </c>
      <c r="AN305" s="99" t="b">
        <f t="shared" si="49"/>
        <v>1</v>
      </c>
    </row>
    <row r="306" spans="2:40" x14ac:dyDescent="0.3">
      <c r="B306" s="99" t="s">
        <v>2075</v>
      </c>
      <c r="C306" s="100">
        <v>45716</v>
      </c>
      <c r="D306" s="99" t="s">
        <v>44</v>
      </c>
      <c r="E306" s="99" t="s">
        <v>45</v>
      </c>
      <c r="F306" s="99" t="s">
        <v>16</v>
      </c>
      <c r="G306" s="99">
        <v>34</v>
      </c>
      <c r="H306" s="112">
        <v>250000</v>
      </c>
      <c r="I306" s="112">
        <v>8500000</v>
      </c>
      <c r="J306" s="99" t="s">
        <v>2234</v>
      </c>
      <c r="K306" s="99" t="s">
        <v>60</v>
      </c>
      <c r="N306" s="99" t="s">
        <v>2337</v>
      </c>
      <c r="O306" s="99" t="s">
        <v>127</v>
      </c>
      <c r="P306" s="100">
        <f t="shared" si="41"/>
        <v>45729</v>
      </c>
      <c r="Q306" s="101">
        <f t="shared" si="40"/>
        <v>294</v>
      </c>
      <c r="R306" s="99">
        <f t="shared" si="42"/>
        <v>1</v>
      </c>
      <c r="S306" s="101">
        <f t="shared" si="43"/>
        <v>9900000</v>
      </c>
      <c r="T306" s="99" t="str">
        <f t="shared" si="44"/>
        <v>Low</v>
      </c>
      <c r="U306" s="99" t="str">
        <f t="shared" si="45"/>
        <v>Low</v>
      </c>
      <c r="V306" s="99" t="str">
        <f t="shared" si="46"/>
        <v>Low</v>
      </c>
      <c r="W306" s="99" t="str">
        <f t="shared" si="47"/>
        <v>LLL</v>
      </c>
      <c r="X306" s="99" t="str">
        <f>VLOOKUP(W306,rfm[],2,FALSE)</f>
        <v>💤 Lost / Low Value</v>
      </c>
      <c r="AA306" s="99" t="s">
        <v>2337</v>
      </c>
      <c r="AB306" s="99" t="s">
        <v>127</v>
      </c>
      <c r="AC306" s="100">
        <v>45729</v>
      </c>
      <c r="AD306" s="101">
        <v>294</v>
      </c>
      <c r="AE306" s="101">
        <v>1</v>
      </c>
      <c r="AF306" s="101">
        <v>9900000</v>
      </c>
      <c r="AG306" s="99" t="str">
        <f>VLOOKUP(AA306,recency!$K$6:$P$818,6,0)</f>
        <v>Low</v>
      </c>
      <c r="AH306" s="132" t="str">
        <f>VLOOKUP(AA306,frequency!$F$6:$H$818,3,FALSE)</f>
        <v>Low</v>
      </c>
      <c r="AI306" s="129" t="str">
        <f>VLOOKUP(AA306,monetary!$B$5:$F$817,5,0)</f>
        <v>Low</v>
      </c>
      <c r="AJ306" s="99" t="str">
        <f t="shared" si="48"/>
        <v>LLL</v>
      </c>
      <c r="AK306" s="99" t="str">
        <f>VLOOKUP(AJ306,rfm[],2,0)</f>
        <v>💤 Lost / Low Value</v>
      </c>
      <c r="AN306" s="99" t="b">
        <f t="shared" si="49"/>
        <v>1</v>
      </c>
    </row>
    <row r="307" spans="2:40" x14ac:dyDescent="0.3">
      <c r="B307" s="99" t="s">
        <v>2088</v>
      </c>
      <c r="C307" s="100">
        <v>45716</v>
      </c>
      <c r="D307" s="99" t="s">
        <v>28</v>
      </c>
      <c r="E307" s="99" t="s">
        <v>29</v>
      </c>
      <c r="F307" s="99" t="s">
        <v>20</v>
      </c>
      <c r="G307" s="99">
        <v>25</v>
      </c>
      <c r="H307" s="112">
        <v>450000</v>
      </c>
      <c r="I307" s="112">
        <v>11250000</v>
      </c>
      <c r="J307" s="99" t="s">
        <v>2327</v>
      </c>
      <c r="K307" s="99" t="s">
        <v>127</v>
      </c>
      <c r="N307" s="99" t="s">
        <v>2338</v>
      </c>
      <c r="O307" s="99" t="s">
        <v>69</v>
      </c>
      <c r="P307" s="100">
        <f t="shared" si="41"/>
        <v>46010</v>
      </c>
      <c r="Q307" s="101">
        <f t="shared" si="40"/>
        <v>13</v>
      </c>
      <c r="R307" s="99">
        <f t="shared" si="42"/>
        <v>1</v>
      </c>
      <c r="S307" s="101">
        <f t="shared" si="43"/>
        <v>400000</v>
      </c>
      <c r="T307" s="99" t="str">
        <f t="shared" si="44"/>
        <v>High</v>
      </c>
      <c r="U307" s="99" t="str">
        <f t="shared" si="45"/>
        <v>Low</v>
      </c>
      <c r="V307" s="99" t="str">
        <f t="shared" si="46"/>
        <v>Low</v>
      </c>
      <c r="W307" s="99" t="str">
        <f t="shared" si="47"/>
        <v>HLL</v>
      </c>
      <c r="X307" s="99" t="str">
        <f>VLOOKUP(W307,rfm[],2,FALSE)</f>
        <v>🌱 Potential Loyalists</v>
      </c>
      <c r="AA307" s="99" t="s">
        <v>2338</v>
      </c>
      <c r="AB307" s="99" t="s">
        <v>69</v>
      </c>
      <c r="AC307" s="100">
        <v>46010</v>
      </c>
      <c r="AD307" s="101">
        <v>13</v>
      </c>
      <c r="AE307" s="101">
        <v>1</v>
      </c>
      <c r="AF307" s="101">
        <v>400000</v>
      </c>
      <c r="AG307" s="99" t="str">
        <f>VLOOKUP(AA307,recency!$K$6:$P$818,6,0)</f>
        <v>High</v>
      </c>
      <c r="AH307" s="132" t="str">
        <f>VLOOKUP(AA307,frequency!$F$6:$H$818,3,FALSE)</f>
        <v>Low</v>
      </c>
      <c r="AI307" s="129" t="str">
        <f>VLOOKUP(AA307,monetary!$B$5:$F$817,5,0)</f>
        <v>Low</v>
      </c>
      <c r="AJ307" s="99" t="str">
        <f t="shared" si="48"/>
        <v>HLL</v>
      </c>
      <c r="AK307" s="99" t="str">
        <f>VLOOKUP(AJ307,rfm[],2,0)</f>
        <v>🌱 Potential Loyalists</v>
      </c>
      <c r="AN307" s="99" t="b">
        <f t="shared" si="49"/>
        <v>1</v>
      </c>
    </row>
    <row r="308" spans="2:40" x14ac:dyDescent="0.3">
      <c r="B308" s="99" t="s">
        <v>2096</v>
      </c>
      <c r="C308" s="100">
        <v>45716</v>
      </c>
      <c r="D308" s="99" t="s">
        <v>22</v>
      </c>
      <c r="E308" s="99" t="s">
        <v>23</v>
      </c>
      <c r="F308" s="99" t="s">
        <v>12</v>
      </c>
      <c r="G308" s="99">
        <v>40</v>
      </c>
      <c r="H308" s="112">
        <v>25000</v>
      </c>
      <c r="I308" s="112">
        <v>1000000</v>
      </c>
      <c r="J308" s="99" t="s">
        <v>2208</v>
      </c>
      <c r="K308" s="99" t="s">
        <v>127</v>
      </c>
      <c r="N308" s="99" t="s">
        <v>2339</v>
      </c>
      <c r="O308" s="99" t="s">
        <v>69</v>
      </c>
      <c r="P308" s="100">
        <f t="shared" si="41"/>
        <v>45979</v>
      </c>
      <c r="Q308" s="101">
        <f t="shared" si="40"/>
        <v>44</v>
      </c>
      <c r="R308" s="99">
        <f t="shared" si="42"/>
        <v>2</v>
      </c>
      <c r="S308" s="101">
        <f t="shared" si="43"/>
        <v>29740000</v>
      </c>
      <c r="T308" s="99" t="str">
        <f t="shared" si="44"/>
        <v>High</v>
      </c>
      <c r="U308" s="99" t="str">
        <f t="shared" si="45"/>
        <v>Low</v>
      </c>
      <c r="V308" s="99" t="str">
        <f t="shared" si="46"/>
        <v>High</v>
      </c>
      <c r="W308" s="99" t="str">
        <f t="shared" si="47"/>
        <v>HLH</v>
      </c>
      <c r="X308" s="99" t="str">
        <f>VLOOKUP(W308,rfm[],2,FALSE)</f>
        <v>🛒 Big Spenders (Occasional)</v>
      </c>
      <c r="AA308" s="99" t="s">
        <v>2339</v>
      </c>
      <c r="AB308" s="99" t="s">
        <v>69</v>
      </c>
      <c r="AC308" s="100">
        <v>45979</v>
      </c>
      <c r="AD308" s="101">
        <v>44</v>
      </c>
      <c r="AE308" s="101">
        <v>2</v>
      </c>
      <c r="AF308" s="101">
        <v>29740000</v>
      </c>
      <c r="AG308" s="99" t="str">
        <f>VLOOKUP(AA308,recency!$K$6:$P$818,6,0)</f>
        <v>High</v>
      </c>
      <c r="AH308" s="132" t="str">
        <f>VLOOKUP(AA308,frequency!$F$6:$H$818,3,FALSE)</f>
        <v>Low</v>
      </c>
      <c r="AI308" s="129" t="str">
        <f>VLOOKUP(AA308,monetary!$B$5:$F$817,5,0)</f>
        <v>Low</v>
      </c>
      <c r="AJ308" s="99" t="str">
        <f t="shared" si="48"/>
        <v>HLL</v>
      </c>
      <c r="AK308" s="99" t="str">
        <f>VLOOKUP(AJ308,rfm[],2,0)</f>
        <v>🌱 Potential Loyalists</v>
      </c>
      <c r="AN308" s="99" t="b">
        <f t="shared" si="49"/>
        <v>0</v>
      </c>
    </row>
    <row r="309" spans="2:40" x14ac:dyDescent="0.3">
      <c r="B309" s="99" t="s">
        <v>2097</v>
      </c>
      <c r="C309" s="100">
        <v>45716</v>
      </c>
      <c r="D309" s="99" t="s">
        <v>38</v>
      </c>
      <c r="E309" s="99" t="s">
        <v>39</v>
      </c>
      <c r="F309" s="99" t="s">
        <v>16</v>
      </c>
      <c r="G309" s="99">
        <v>50</v>
      </c>
      <c r="H309" s="112">
        <v>200000</v>
      </c>
      <c r="I309" s="112">
        <v>10000000</v>
      </c>
      <c r="J309" s="99" t="s">
        <v>1470</v>
      </c>
      <c r="K309" s="99" t="s">
        <v>69</v>
      </c>
      <c r="N309" s="99" t="s">
        <v>2340</v>
      </c>
      <c r="O309" s="99" t="s">
        <v>127</v>
      </c>
      <c r="P309" s="100">
        <f t="shared" si="41"/>
        <v>45842</v>
      </c>
      <c r="Q309" s="101">
        <f t="shared" si="40"/>
        <v>181</v>
      </c>
      <c r="R309" s="99">
        <f t="shared" si="42"/>
        <v>1</v>
      </c>
      <c r="S309" s="101">
        <f t="shared" si="43"/>
        <v>45600000</v>
      </c>
      <c r="T309" s="99" t="str">
        <f t="shared" si="44"/>
        <v>Low</v>
      </c>
      <c r="U309" s="99" t="str">
        <f t="shared" si="45"/>
        <v>Low</v>
      </c>
      <c r="V309" s="99" t="str">
        <f t="shared" si="46"/>
        <v>High</v>
      </c>
      <c r="W309" s="99" t="str">
        <f t="shared" si="47"/>
        <v>LLH</v>
      </c>
      <c r="X309" s="99" t="str">
        <f>VLOOKUP(W309,rfm[],2,FALSE)</f>
        <v>💸 Lost High Spenders</v>
      </c>
      <c r="AA309" s="99" t="s">
        <v>2340</v>
      </c>
      <c r="AB309" s="99" t="s">
        <v>127</v>
      </c>
      <c r="AC309" s="100">
        <v>45842</v>
      </c>
      <c r="AD309" s="101">
        <v>181</v>
      </c>
      <c r="AE309" s="101">
        <v>1</v>
      </c>
      <c r="AF309" s="101">
        <v>45600000</v>
      </c>
      <c r="AG309" s="99" t="str">
        <f>VLOOKUP(AA309,recency!$K$6:$P$818,6,0)</f>
        <v>Low</v>
      </c>
      <c r="AH309" s="132" t="str">
        <f>VLOOKUP(AA309,frequency!$F$6:$H$818,3,FALSE)</f>
        <v>Low</v>
      </c>
      <c r="AI309" s="129" t="str">
        <f>VLOOKUP(AA309,monetary!$B$5:$F$817,5,0)</f>
        <v>Low</v>
      </c>
      <c r="AJ309" s="99" t="str">
        <f t="shared" si="48"/>
        <v>LLL</v>
      </c>
      <c r="AK309" s="99" t="str">
        <f>VLOOKUP(AJ309,rfm[],2,0)</f>
        <v>💤 Lost / Low Value</v>
      </c>
      <c r="AN309" s="99" t="b">
        <f t="shared" si="49"/>
        <v>0</v>
      </c>
    </row>
    <row r="310" spans="2:40" x14ac:dyDescent="0.3">
      <c r="B310" s="99" t="s">
        <v>2103</v>
      </c>
      <c r="C310" s="100">
        <v>45716</v>
      </c>
      <c r="D310" s="99" t="s">
        <v>40</v>
      </c>
      <c r="E310" s="99" t="s">
        <v>41</v>
      </c>
      <c r="F310" s="99" t="s">
        <v>16</v>
      </c>
      <c r="G310" s="99">
        <v>490</v>
      </c>
      <c r="H310" s="112">
        <v>950000</v>
      </c>
      <c r="I310" s="112">
        <v>465500000</v>
      </c>
      <c r="J310" s="99" t="s">
        <v>2291</v>
      </c>
      <c r="K310" s="99" t="s">
        <v>127</v>
      </c>
      <c r="N310" s="99" t="s">
        <v>2341</v>
      </c>
      <c r="O310" s="99" t="s">
        <v>47</v>
      </c>
      <c r="P310" s="100">
        <f t="shared" si="41"/>
        <v>45779</v>
      </c>
      <c r="Q310" s="101">
        <f t="shared" si="40"/>
        <v>244</v>
      </c>
      <c r="R310" s="99">
        <f t="shared" si="42"/>
        <v>1</v>
      </c>
      <c r="S310" s="101">
        <f t="shared" si="43"/>
        <v>20400000</v>
      </c>
      <c r="T310" s="99" t="str">
        <f t="shared" si="44"/>
        <v>Low</v>
      </c>
      <c r="U310" s="99" t="str">
        <f t="shared" si="45"/>
        <v>Low</v>
      </c>
      <c r="V310" s="99" t="str">
        <f t="shared" si="46"/>
        <v>High</v>
      </c>
      <c r="W310" s="99" t="str">
        <f t="shared" si="47"/>
        <v>LLH</v>
      </c>
      <c r="X310" s="99" t="str">
        <f>VLOOKUP(W310,rfm[],2,FALSE)</f>
        <v>💸 Lost High Spenders</v>
      </c>
      <c r="AA310" s="99" t="s">
        <v>2341</v>
      </c>
      <c r="AB310" s="99" t="s">
        <v>47</v>
      </c>
      <c r="AC310" s="100">
        <v>45779</v>
      </c>
      <c r="AD310" s="101">
        <v>244</v>
      </c>
      <c r="AE310" s="101">
        <v>1</v>
      </c>
      <c r="AF310" s="101">
        <v>20400000</v>
      </c>
      <c r="AG310" s="99" t="str">
        <f>VLOOKUP(AA310,recency!$K$6:$P$818,6,0)</f>
        <v>Low</v>
      </c>
      <c r="AH310" s="132" t="str">
        <f>VLOOKUP(AA310,frequency!$F$6:$H$818,3,FALSE)</f>
        <v>Low</v>
      </c>
      <c r="AI310" s="129" t="str">
        <f>VLOOKUP(AA310,monetary!$B$5:$F$817,5,0)</f>
        <v>Low</v>
      </c>
      <c r="AJ310" s="99" t="str">
        <f t="shared" si="48"/>
        <v>LLL</v>
      </c>
      <c r="AK310" s="99" t="str">
        <f>VLOOKUP(AJ310,rfm[],2,0)</f>
        <v>💤 Lost / Low Value</v>
      </c>
      <c r="AN310" s="99" t="b">
        <f t="shared" si="49"/>
        <v>0</v>
      </c>
    </row>
    <row r="311" spans="2:40" x14ac:dyDescent="0.3">
      <c r="B311" s="99" t="s">
        <v>2104</v>
      </c>
      <c r="C311" s="100">
        <v>45716</v>
      </c>
      <c r="D311" s="99" t="s">
        <v>40</v>
      </c>
      <c r="E311" s="99" t="s">
        <v>41</v>
      </c>
      <c r="F311" s="99" t="s">
        <v>16</v>
      </c>
      <c r="G311" s="99">
        <v>16</v>
      </c>
      <c r="H311" s="112">
        <v>950000</v>
      </c>
      <c r="I311" s="112">
        <v>15200000</v>
      </c>
      <c r="J311" s="99" t="s">
        <v>2648</v>
      </c>
      <c r="K311" s="99" t="s">
        <v>60</v>
      </c>
      <c r="N311" s="99" t="s">
        <v>2342</v>
      </c>
      <c r="O311" s="99" t="s">
        <v>127</v>
      </c>
      <c r="P311" s="100">
        <f t="shared" si="41"/>
        <v>45874</v>
      </c>
      <c r="Q311" s="101">
        <f t="shared" si="40"/>
        <v>149</v>
      </c>
      <c r="R311" s="99">
        <f t="shared" si="42"/>
        <v>2</v>
      </c>
      <c r="S311" s="101">
        <f t="shared" si="43"/>
        <v>47700000</v>
      </c>
      <c r="T311" s="99" t="str">
        <f t="shared" si="44"/>
        <v>Low</v>
      </c>
      <c r="U311" s="99" t="str">
        <f t="shared" si="45"/>
        <v>Low</v>
      </c>
      <c r="V311" s="99" t="str">
        <f t="shared" si="46"/>
        <v>High</v>
      </c>
      <c r="W311" s="99" t="str">
        <f t="shared" si="47"/>
        <v>LLH</v>
      </c>
      <c r="X311" s="99" t="str">
        <f>VLOOKUP(W311,rfm[],2,FALSE)</f>
        <v>💸 Lost High Spenders</v>
      </c>
      <c r="AA311" s="99" t="s">
        <v>2342</v>
      </c>
      <c r="AB311" s="99" t="s">
        <v>127</v>
      </c>
      <c r="AC311" s="100">
        <v>45874</v>
      </c>
      <c r="AD311" s="101">
        <v>149</v>
      </c>
      <c r="AE311" s="101">
        <v>2</v>
      </c>
      <c r="AF311" s="101">
        <v>47700000</v>
      </c>
      <c r="AG311" s="99" t="str">
        <f>VLOOKUP(AA311,recency!$K$6:$P$818,6,0)</f>
        <v>Low</v>
      </c>
      <c r="AH311" s="132" t="str">
        <f>VLOOKUP(AA311,frequency!$F$6:$H$818,3,FALSE)</f>
        <v>Low</v>
      </c>
      <c r="AI311" s="129" t="str">
        <f>VLOOKUP(AA311,monetary!$B$5:$F$817,5,0)</f>
        <v>Low</v>
      </c>
      <c r="AJ311" s="99" t="str">
        <f t="shared" si="48"/>
        <v>LLL</v>
      </c>
      <c r="AK311" s="99" t="str">
        <f>VLOOKUP(AJ311,rfm[],2,0)</f>
        <v>💤 Lost / Low Value</v>
      </c>
      <c r="AN311" s="99" t="b">
        <f t="shared" si="49"/>
        <v>0</v>
      </c>
    </row>
    <row r="312" spans="2:40" x14ac:dyDescent="0.3">
      <c r="B312" s="99" t="s">
        <v>2105</v>
      </c>
      <c r="C312" s="100">
        <v>45716</v>
      </c>
      <c r="D312" s="99" t="s">
        <v>14</v>
      </c>
      <c r="E312" s="99" t="s">
        <v>15</v>
      </c>
      <c r="F312" s="99" t="s">
        <v>16</v>
      </c>
      <c r="G312" s="99">
        <v>47</v>
      </c>
      <c r="H312" s="112">
        <v>350000</v>
      </c>
      <c r="I312" s="112">
        <v>16450000</v>
      </c>
      <c r="J312" s="99" t="s">
        <v>2628</v>
      </c>
      <c r="K312" s="99" t="s">
        <v>47</v>
      </c>
      <c r="N312" s="99" t="s">
        <v>2343</v>
      </c>
      <c r="O312" s="99" t="s">
        <v>8</v>
      </c>
      <c r="P312" s="100">
        <f t="shared" si="41"/>
        <v>45912</v>
      </c>
      <c r="Q312" s="101">
        <f t="shared" si="40"/>
        <v>111</v>
      </c>
      <c r="R312" s="99">
        <f t="shared" si="42"/>
        <v>2</v>
      </c>
      <c r="S312" s="101">
        <f t="shared" si="43"/>
        <v>7380000</v>
      </c>
      <c r="T312" s="99" t="str">
        <f t="shared" si="44"/>
        <v>Low</v>
      </c>
      <c r="U312" s="99" t="str">
        <f t="shared" si="45"/>
        <v>Low</v>
      </c>
      <c r="V312" s="99" t="str">
        <f t="shared" si="46"/>
        <v>Low</v>
      </c>
      <c r="W312" s="99" t="str">
        <f t="shared" si="47"/>
        <v>LLL</v>
      </c>
      <c r="X312" s="99" t="str">
        <f>VLOOKUP(W312,rfm[],2,FALSE)</f>
        <v>💤 Lost / Low Value</v>
      </c>
      <c r="AA312" s="99" t="s">
        <v>2343</v>
      </c>
      <c r="AB312" s="99" t="s">
        <v>8</v>
      </c>
      <c r="AC312" s="100">
        <v>45912</v>
      </c>
      <c r="AD312" s="101">
        <v>111</v>
      </c>
      <c r="AE312" s="101">
        <v>2</v>
      </c>
      <c r="AF312" s="101">
        <v>7380000</v>
      </c>
      <c r="AG312" s="99" t="str">
        <f>VLOOKUP(AA312,recency!$K$6:$P$818,6,0)</f>
        <v>Low</v>
      </c>
      <c r="AH312" s="132" t="str">
        <f>VLOOKUP(AA312,frequency!$F$6:$H$818,3,FALSE)</f>
        <v>Low</v>
      </c>
      <c r="AI312" s="129" t="str">
        <f>VLOOKUP(AA312,monetary!$B$5:$F$817,5,0)</f>
        <v>Low</v>
      </c>
      <c r="AJ312" s="99" t="str">
        <f t="shared" si="48"/>
        <v>LLL</v>
      </c>
      <c r="AK312" s="99" t="str">
        <f>VLOOKUP(AJ312,rfm[],2,0)</f>
        <v>💤 Lost / Low Value</v>
      </c>
      <c r="AN312" s="99" t="b">
        <f t="shared" si="49"/>
        <v>1</v>
      </c>
    </row>
    <row r="313" spans="2:40" x14ac:dyDescent="0.3">
      <c r="B313" s="99" t="s">
        <v>24</v>
      </c>
      <c r="C313" s="100">
        <v>45716</v>
      </c>
      <c r="D313" s="99" t="s">
        <v>22</v>
      </c>
      <c r="E313" s="99" t="s">
        <v>23</v>
      </c>
      <c r="F313" s="99" t="s">
        <v>12</v>
      </c>
      <c r="G313" s="99">
        <v>22</v>
      </c>
      <c r="H313" s="112">
        <v>25000</v>
      </c>
      <c r="I313" s="112">
        <v>550000</v>
      </c>
      <c r="J313" s="99" t="s">
        <v>2410</v>
      </c>
      <c r="K313" s="99" t="s">
        <v>8</v>
      </c>
      <c r="N313" s="99" t="s">
        <v>2344</v>
      </c>
      <c r="O313" s="99" t="s">
        <v>47</v>
      </c>
      <c r="P313" s="100">
        <f t="shared" si="41"/>
        <v>46017</v>
      </c>
      <c r="Q313" s="101">
        <f t="shared" si="40"/>
        <v>6</v>
      </c>
      <c r="R313" s="99">
        <f t="shared" si="42"/>
        <v>1</v>
      </c>
      <c r="S313" s="101">
        <f t="shared" si="43"/>
        <v>3780000</v>
      </c>
      <c r="T313" s="99" t="str">
        <f t="shared" si="44"/>
        <v>High</v>
      </c>
      <c r="U313" s="99" t="str">
        <f t="shared" si="45"/>
        <v>Low</v>
      </c>
      <c r="V313" s="99" t="str">
        <f t="shared" si="46"/>
        <v>Low</v>
      </c>
      <c r="W313" s="99" t="str">
        <f t="shared" si="47"/>
        <v>HLL</v>
      </c>
      <c r="X313" s="99" t="str">
        <f>VLOOKUP(W313,rfm[],2,FALSE)</f>
        <v>🌱 Potential Loyalists</v>
      </c>
      <c r="AA313" s="99" t="s">
        <v>2344</v>
      </c>
      <c r="AB313" s="99" t="s">
        <v>47</v>
      </c>
      <c r="AC313" s="100">
        <v>46017</v>
      </c>
      <c r="AD313" s="101">
        <v>6</v>
      </c>
      <c r="AE313" s="101">
        <v>1</v>
      </c>
      <c r="AF313" s="101">
        <v>3780000</v>
      </c>
      <c r="AG313" s="99" t="str">
        <f>VLOOKUP(AA313,recency!$K$6:$P$818,6,0)</f>
        <v>High</v>
      </c>
      <c r="AH313" s="132" t="str">
        <f>VLOOKUP(AA313,frequency!$F$6:$H$818,3,FALSE)</f>
        <v>Low</v>
      </c>
      <c r="AI313" s="129" t="str">
        <f>VLOOKUP(AA313,monetary!$B$5:$F$817,5,0)</f>
        <v>Low</v>
      </c>
      <c r="AJ313" s="99" t="str">
        <f t="shared" si="48"/>
        <v>HLL</v>
      </c>
      <c r="AK313" s="99" t="str">
        <f>VLOOKUP(AJ313,rfm[],2,0)</f>
        <v>🌱 Potential Loyalists</v>
      </c>
      <c r="AN313" s="99" t="b">
        <f t="shared" si="49"/>
        <v>1</v>
      </c>
    </row>
    <row r="314" spans="2:40" x14ac:dyDescent="0.3">
      <c r="B314" s="99" t="s">
        <v>62</v>
      </c>
      <c r="C314" s="100">
        <v>45716</v>
      </c>
      <c r="D314" s="99" t="s">
        <v>22</v>
      </c>
      <c r="E314" s="99" t="s">
        <v>23</v>
      </c>
      <c r="F314" s="99" t="s">
        <v>12</v>
      </c>
      <c r="G314" s="99">
        <v>12</v>
      </c>
      <c r="H314" s="112">
        <v>25000</v>
      </c>
      <c r="I314" s="112">
        <v>300000</v>
      </c>
      <c r="J314" s="99" t="s">
        <v>2305</v>
      </c>
      <c r="K314" s="99" t="s">
        <v>8</v>
      </c>
      <c r="N314" s="99" t="s">
        <v>2345</v>
      </c>
      <c r="O314" s="99" t="s">
        <v>8</v>
      </c>
      <c r="P314" s="100">
        <f t="shared" si="41"/>
        <v>45875</v>
      </c>
      <c r="Q314" s="101">
        <f t="shared" si="40"/>
        <v>148</v>
      </c>
      <c r="R314" s="99">
        <f t="shared" si="42"/>
        <v>6</v>
      </c>
      <c r="S314" s="101">
        <f t="shared" si="43"/>
        <v>25385000</v>
      </c>
      <c r="T314" s="99" t="str">
        <f t="shared" si="44"/>
        <v>Low</v>
      </c>
      <c r="U314" s="99" t="str">
        <f t="shared" si="45"/>
        <v>High</v>
      </c>
      <c r="V314" s="99" t="str">
        <f t="shared" si="46"/>
        <v>High</v>
      </c>
      <c r="W314" s="99" t="str">
        <f t="shared" si="47"/>
        <v>LHH</v>
      </c>
      <c r="X314" s="99" t="str">
        <f>VLOOKUP(W314,rfm[],2,FALSE)</f>
        <v>⚠️ At Risk High Value</v>
      </c>
      <c r="AA314" s="99" t="s">
        <v>2345</v>
      </c>
      <c r="AB314" s="99" t="s">
        <v>8</v>
      </c>
      <c r="AC314" s="100">
        <v>45875</v>
      </c>
      <c r="AD314" s="101">
        <v>148</v>
      </c>
      <c r="AE314" s="101">
        <v>6</v>
      </c>
      <c r="AF314" s="101">
        <v>25385000</v>
      </c>
      <c r="AG314" s="99" t="str">
        <f>VLOOKUP(AA314,recency!$K$6:$P$818,6,0)</f>
        <v>Low</v>
      </c>
      <c r="AH314" s="132" t="str">
        <f>VLOOKUP(AA314,frequency!$F$6:$H$818,3,FALSE)</f>
        <v>High</v>
      </c>
      <c r="AI314" s="129" t="str">
        <f>VLOOKUP(AA314,monetary!$B$5:$F$817,5,0)</f>
        <v>Low</v>
      </c>
      <c r="AJ314" s="99" t="str">
        <f t="shared" si="48"/>
        <v>LHL</v>
      </c>
      <c r="AK314" s="99" t="str">
        <f>VLOOKUP(AJ314,rfm[],2,0)</f>
        <v>🔁 Former Loyal Low Spend</v>
      </c>
      <c r="AN314" s="99" t="b">
        <f t="shared" si="49"/>
        <v>0</v>
      </c>
    </row>
    <row r="315" spans="2:40" x14ac:dyDescent="0.3">
      <c r="B315" s="99" t="s">
        <v>79</v>
      </c>
      <c r="C315" s="100">
        <v>45716</v>
      </c>
      <c r="D315" s="99" t="s">
        <v>31</v>
      </c>
      <c r="E315" s="99" t="s">
        <v>32</v>
      </c>
      <c r="F315" s="99" t="s">
        <v>20</v>
      </c>
      <c r="G315" s="99">
        <v>43</v>
      </c>
      <c r="H315" s="112">
        <v>180000</v>
      </c>
      <c r="I315" s="112">
        <v>7740000</v>
      </c>
      <c r="J315" s="99" t="s">
        <v>2836</v>
      </c>
      <c r="K315" s="99" t="s">
        <v>69</v>
      </c>
      <c r="N315" s="99" t="s">
        <v>2346</v>
      </c>
      <c r="O315" s="99" t="s">
        <v>127</v>
      </c>
      <c r="P315" s="100">
        <f t="shared" si="41"/>
        <v>46007</v>
      </c>
      <c r="Q315" s="101">
        <f t="shared" si="40"/>
        <v>16</v>
      </c>
      <c r="R315" s="99">
        <f t="shared" si="42"/>
        <v>4</v>
      </c>
      <c r="S315" s="101">
        <f t="shared" si="43"/>
        <v>28950000</v>
      </c>
      <c r="T315" s="99" t="str">
        <f t="shared" si="44"/>
        <v>High</v>
      </c>
      <c r="U315" s="99" t="str">
        <f t="shared" si="45"/>
        <v>High</v>
      </c>
      <c r="V315" s="99" t="str">
        <f t="shared" si="46"/>
        <v>High</v>
      </c>
      <c r="W315" s="99" t="str">
        <f t="shared" si="47"/>
        <v>HHH</v>
      </c>
      <c r="X315" s="99" t="str">
        <f>VLOOKUP(W315,rfm[],2,FALSE)</f>
        <v>🥇 Champions</v>
      </c>
      <c r="AA315" s="99" t="s">
        <v>2346</v>
      </c>
      <c r="AB315" s="99" t="s">
        <v>127</v>
      </c>
      <c r="AC315" s="100">
        <v>46007</v>
      </c>
      <c r="AD315" s="101">
        <v>16</v>
      </c>
      <c r="AE315" s="101">
        <v>4</v>
      </c>
      <c r="AF315" s="101">
        <v>28950000</v>
      </c>
      <c r="AG315" s="99" t="str">
        <f>VLOOKUP(AA315,recency!$K$6:$P$818,6,0)</f>
        <v>High</v>
      </c>
      <c r="AH315" s="132" t="str">
        <f>VLOOKUP(AA315,frequency!$F$6:$H$818,3,FALSE)</f>
        <v>High</v>
      </c>
      <c r="AI315" s="129" t="str">
        <f>VLOOKUP(AA315,monetary!$B$5:$F$817,5,0)</f>
        <v>Low</v>
      </c>
      <c r="AJ315" s="99" t="str">
        <f t="shared" si="48"/>
        <v>HHL</v>
      </c>
      <c r="AK315" s="99" t="str">
        <f>VLOOKUP(AJ315,rfm[],2,0)</f>
        <v>💎 Loyal High Value</v>
      </c>
      <c r="AN315" s="99" t="b">
        <f t="shared" si="49"/>
        <v>0</v>
      </c>
    </row>
    <row r="316" spans="2:40" x14ac:dyDescent="0.3">
      <c r="B316" s="99" t="s">
        <v>80</v>
      </c>
      <c r="C316" s="100">
        <v>45716</v>
      </c>
      <c r="D316" s="99" t="s">
        <v>42</v>
      </c>
      <c r="E316" s="99" t="s">
        <v>43</v>
      </c>
      <c r="F316" s="99" t="s">
        <v>16</v>
      </c>
      <c r="G316" s="99">
        <v>36</v>
      </c>
      <c r="H316" s="112">
        <v>1200000</v>
      </c>
      <c r="I316" s="112">
        <v>43200000</v>
      </c>
      <c r="J316" s="99" t="s">
        <v>2251</v>
      </c>
      <c r="K316" s="99" t="s">
        <v>127</v>
      </c>
      <c r="N316" s="99" t="s">
        <v>2347</v>
      </c>
      <c r="O316" s="99" t="s">
        <v>69</v>
      </c>
      <c r="P316" s="100">
        <f t="shared" si="41"/>
        <v>46014</v>
      </c>
      <c r="Q316" s="101">
        <f t="shared" si="40"/>
        <v>9</v>
      </c>
      <c r="R316" s="99">
        <f t="shared" si="42"/>
        <v>3</v>
      </c>
      <c r="S316" s="101">
        <f t="shared" si="43"/>
        <v>66170000</v>
      </c>
      <c r="T316" s="99" t="str">
        <f t="shared" si="44"/>
        <v>High</v>
      </c>
      <c r="U316" s="99" t="str">
        <f t="shared" si="45"/>
        <v>High</v>
      </c>
      <c r="V316" s="99" t="str">
        <f t="shared" si="46"/>
        <v>High</v>
      </c>
      <c r="W316" s="99" t="str">
        <f t="shared" si="47"/>
        <v>HHH</v>
      </c>
      <c r="X316" s="99" t="str">
        <f>VLOOKUP(W316,rfm[],2,FALSE)</f>
        <v>🥇 Champions</v>
      </c>
      <c r="AA316" s="99" t="s">
        <v>2347</v>
      </c>
      <c r="AB316" s="99" t="s">
        <v>69</v>
      </c>
      <c r="AC316" s="100">
        <v>46014</v>
      </c>
      <c r="AD316" s="101">
        <v>9</v>
      </c>
      <c r="AE316" s="101">
        <v>3</v>
      </c>
      <c r="AF316" s="101">
        <v>66170000</v>
      </c>
      <c r="AG316" s="99" t="str">
        <f>VLOOKUP(AA316,recency!$K$6:$P$818,6,0)</f>
        <v>High</v>
      </c>
      <c r="AH316" s="132" t="str">
        <f>VLOOKUP(AA316,frequency!$F$6:$H$818,3,FALSE)</f>
        <v>High</v>
      </c>
      <c r="AI316" s="129" t="str">
        <f>VLOOKUP(AA316,monetary!$B$5:$F$817,5,0)</f>
        <v>High</v>
      </c>
      <c r="AJ316" s="99" t="str">
        <f t="shared" si="48"/>
        <v>HHH</v>
      </c>
      <c r="AK316" s="99" t="str">
        <f>VLOOKUP(AJ316,rfm[],2,0)</f>
        <v>🥇 Champions</v>
      </c>
      <c r="AN316" s="99" t="b">
        <f t="shared" si="49"/>
        <v>1</v>
      </c>
    </row>
    <row r="317" spans="2:40" x14ac:dyDescent="0.3">
      <c r="B317" s="99" t="s">
        <v>81</v>
      </c>
      <c r="C317" s="100">
        <v>45720</v>
      </c>
      <c r="D317" s="99" t="s">
        <v>28</v>
      </c>
      <c r="E317" s="99" t="s">
        <v>29</v>
      </c>
      <c r="F317" s="99" t="s">
        <v>20</v>
      </c>
      <c r="G317" s="99">
        <v>33</v>
      </c>
      <c r="H317" s="112">
        <v>450000</v>
      </c>
      <c r="I317" s="112">
        <v>14850000</v>
      </c>
      <c r="J317" s="99" t="s">
        <v>2768</v>
      </c>
      <c r="K317" s="99" t="s">
        <v>60</v>
      </c>
      <c r="N317" s="99" t="s">
        <v>2348</v>
      </c>
      <c r="O317" s="99" t="s">
        <v>47</v>
      </c>
      <c r="P317" s="100">
        <f t="shared" si="41"/>
        <v>45910</v>
      </c>
      <c r="Q317" s="101">
        <f t="shared" si="40"/>
        <v>113</v>
      </c>
      <c r="R317" s="99">
        <f t="shared" si="42"/>
        <v>1</v>
      </c>
      <c r="S317" s="101">
        <f t="shared" si="43"/>
        <v>7200000</v>
      </c>
      <c r="T317" s="99" t="str">
        <f t="shared" si="44"/>
        <v>Low</v>
      </c>
      <c r="U317" s="99" t="str">
        <f t="shared" si="45"/>
        <v>Low</v>
      </c>
      <c r="V317" s="99" t="str">
        <f t="shared" si="46"/>
        <v>Low</v>
      </c>
      <c r="W317" s="99" t="str">
        <f t="shared" si="47"/>
        <v>LLL</v>
      </c>
      <c r="X317" s="99" t="str">
        <f>VLOOKUP(W317,rfm[],2,FALSE)</f>
        <v>💤 Lost / Low Value</v>
      </c>
      <c r="AA317" s="99" t="s">
        <v>2348</v>
      </c>
      <c r="AB317" s="99" t="s">
        <v>47</v>
      </c>
      <c r="AC317" s="100">
        <v>45910</v>
      </c>
      <c r="AD317" s="101">
        <v>113</v>
      </c>
      <c r="AE317" s="101">
        <v>1</v>
      </c>
      <c r="AF317" s="101">
        <v>7200000</v>
      </c>
      <c r="AG317" s="99" t="str">
        <f>VLOOKUP(AA317,recency!$K$6:$P$818,6,0)</f>
        <v>Low</v>
      </c>
      <c r="AH317" s="132" t="str">
        <f>VLOOKUP(AA317,frequency!$F$6:$H$818,3,FALSE)</f>
        <v>Low</v>
      </c>
      <c r="AI317" s="129" t="str">
        <f>VLOOKUP(AA317,monetary!$B$5:$F$817,5,0)</f>
        <v>Low</v>
      </c>
      <c r="AJ317" s="99" t="str">
        <f t="shared" si="48"/>
        <v>LLL</v>
      </c>
      <c r="AK317" s="99" t="str">
        <f>VLOOKUP(AJ317,rfm[],2,0)</f>
        <v>💤 Lost / Low Value</v>
      </c>
      <c r="AN317" s="99" t="b">
        <f t="shared" si="49"/>
        <v>1</v>
      </c>
    </row>
    <row r="318" spans="2:40" x14ac:dyDescent="0.3">
      <c r="B318" s="99" t="s">
        <v>82</v>
      </c>
      <c r="C318" s="100">
        <v>45720</v>
      </c>
      <c r="D318" s="99" t="s">
        <v>31</v>
      </c>
      <c r="E318" s="99" t="s">
        <v>32</v>
      </c>
      <c r="F318" s="99" t="s">
        <v>20</v>
      </c>
      <c r="G318" s="99">
        <v>16</v>
      </c>
      <c r="H318" s="112">
        <v>180000</v>
      </c>
      <c r="I318" s="112">
        <v>2880000</v>
      </c>
      <c r="J318" s="99" t="s">
        <v>2435</v>
      </c>
      <c r="K318" s="99" t="s">
        <v>127</v>
      </c>
      <c r="N318" s="99" t="s">
        <v>2349</v>
      </c>
      <c r="O318" s="99" t="s">
        <v>127</v>
      </c>
      <c r="P318" s="100">
        <f t="shared" si="41"/>
        <v>45909</v>
      </c>
      <c r="Q318" s="101">
        <f t="shared" si="40"/>
        <v>114</v>
      </c>
      <c r="R318" s="99">
        <f t="shared" si="42"/>
        <v>2</v>
      </c>
      <c r="S318" s="101">
        <f t="shared" si="43"/>
        <v>8250000</v>
      </c>
      <c r="T318" s="99" t="str">
        <f t="shared" si="44"/>
        <v>Low</v>
      </c>
      <c r="U318" s="99" t="str">
        <f t="shared" si="45"/>
        <v>Low</v>
      </c>
      <c r="V318" s="99" t="str">
        <f t="shared" si="46"/>
        <v>Low</v>
      </c>
      <c r="W318" s="99" t="str">
        <f t="shared" si="47"/>
        <v>LLL</v>
      </c>
      <c r="X318" s="99" t="str">
        <f>VLOOKUP(W318,rfm[],2,FALSE)</f>
        <v>💤 Lost / Low Value</v>
      </c>
      <c r="AA318" s="99" t="s">
        <v>2349</v>
      </c>
      <c r="AB318" s="99" t="s">
        <v>127</v>
      </c>
      <c r="AC318" s="100">
        <v>45909</v>
      </c>
      <c r="AD318" s="101">
        <v>114</v>
      </c>
      <c r="AE318" s="101">
        <v>2</v>
      </c>
      <c r="AF318" s="101">
        <v>8250000</v>
      </c>
      <c r="AG318" s="99" t="str">
        <f>VLOOKUP(AA318,recency!$K$6:$P$818,6,0)</f>
        <v>Low</v>
      </c>
      <c r="AH318" s="132" t="str">
        <f>VLOOKUP(AA318,frequency!$F$6:$H$818,3,FALSE)</f>
        <v>Low</v>
      </c>
      <c r="AI318" s="129" t="str">
        <f>VLOOKUP(AA318,monetary!$B$5:$F$817,5,0)</f>
        <v>Low</v>
      </c>
      <c r="AJ318" s="99" t="str">
        <f t="shared" si="48"/>
        <v>LLL</v>
      </c>
      <c r="AK318" s="99" t="str">
        <f>VLOOKUP(AJ318,rfm[],2,0)</f>
        <v>💤 Lost / Low Value</v>
      </c>
      <c r="AN318" s="99" t="b">
        <f t="shared" si="49"/>
        <v>1</v>
      </c>
    </row>
    <row r="319" spans="2:40" x14ac:dyDescent="0.3">
      <c r="B319" s="99" t="s">
        <v>92</v>
      </c>
      <c r="C319" s="100">
        <v>45720</v>
      </c>
      <c r="D319" s="99" t="s">
        <v>40</v>
      </c>
      <c r="E319" s="99" t="s">
        <v>41</v>
      </c>
      <c r="F319" s="99" t="s">
        <v>16</v>
      </c>
      <c r="G319" s="99">
        <v>210</v>
      </c>
      <c r="H319" s="112">
        <v>950000</v>
      </c>
      <c r="I319" s="112">
        <v>199500000</v>
      </c>
      <c r="J319" s="99" t="s">
        <v>2233</v>
      </c>
      <c r="K319" s="99" t="s">
        <v>8</v>
      </c>
      <c r="N319" s="99" t="s">
        <v>2350</v>
      </c>
      <c r="O319" s="99" t="s">
        <v>47</v>
      </c>
      <c r="P319" s="100">
        <f t="shared" si="41"/>
        <v>45687</v>
      </c>
      <c r="Q319" s="101">
        <f t="shared" si="40"/>
        <v>336</v>
      </c>
      <c r="R319" s="99">
        <f t="shared" si="42"/>
        <v>1</v>
      </c>
      <c r="S319" s="101">
        <f t="shared" si="43"/>
        <v>18450000</v>
      </c>
      <c r="T319" s="99" t="str">
        <f t="shared" si="44"/>
        <v>Low</v>
      </c>
      <c r="U319" s="99" t="str">
        <f t="shared" si="45"/>
        <v>Low</v>
      </c>
      <c r="V319" s="99" t="str">
        <f t="shared" si="46"/>
        <v>High</v>
      </c>
      <c r="W319" s="99" t="str">
        <f t="shared" si="47"/>
        <v>LLH</v>
      </c>
      <c r="X319" s="99" t="str">
        <f>VLOOKUP(W319,rfm[],2,FALSE)</f>
        <v>💸 Lost High Spenders</v>
      </c>
      <c r="AA319" s="99" t="s">
        <v>2350</v>
      </c>
      <c r="AB319" s="99" t="s">
        <v>47</v>
      </c>
      <c r="AC319" s="100">
        <v>45687</v>
      </c>
      <c r="AD319" s="101">
        <v>336</v>
      </c>
      <c r="AE319" s="101">
        <v>1</v>
      </c>
      <c r="AF319" s="101">
        <v>18450000</v>
      </c>
      <c r="AG319" s="99" t="str">
        <f>VLOOKUP(AA319,recency!$K$6:$P$818,6,0)</f>
        <v>Low</v>
      </c>
      <c r="AH319" s="132" t="str">
        <f>VLOOKUP(AA319,frequency!$F$6:$H$818,3,FALSE)</f>
        <v>Low</v>
      </c>
      <c r="AI319" s="129" t="str">
        <f>VLOOKUP(AA319,monetary!$B$5:$F$817,5,0)</f>
        <v>Low</v>
      </c>
      <c r="AJ319" s="99" t="str">
        <f t="shared" si="48"/>
        <v>LLL</v>
      </c>
      <c r="AK319" s="99" t="str">
        <f>VLOOKUP(AJ319,rfm[],2,0)</f>
        <v>💤 Lost / Low Value</v>
      </c>
      <c r="AN319" s="99" t="b">
        <f t="shared" si="49"/>
        <v>0</v>
      </c>
    </row>
    <row r="320" spans="2:40" x14ac:dyDescent="0.3">
      <c r="B320" s="99" t="s">
        <v>105</v>
      </c>
      <c r="C320" s="100">
        <v>45720</v>
      </c>
      <c r="D320" s="99" t="s">
        <v>44</v>
      </c>
      <c r="E320" s="99" t="s">
        <v>45</v>
      </c>
      <c r="F320" s="99" t="s">
        <v>16</v>
      </c>
      <c r="G320" s="99">
        <v>34</v>
      </c>
      <c r="H320" s="112">
        <v>250000</v>
      </c>
      <c r="I320" s="112">
        <v>8500000</v>
      </c>
      <c r="J320" s="99" t="s">
        <v>2626</v>
      </c>
      <c r="K320" s="99" t="s">
        <v>8</v>
      </c>
      <c r="N320" s="99" t="s">
        <v>2351</v>
      </c>
      <c r="O320" s="99" t="s">
        <v>47</v>
      </c>
      <c r="P320" s="100">
        <f t="shared" si="41"/>
        <v>45874</v>
      </c>
      <c r="Q320" s="101">
        <f t="shared" si="40"/>
        <v>149</v>
      </c>
      <c r="R320" s="99">
        <f t="shared" si="42"/>
        <v>3</v>
      </c>
      <c r="S320" s="101">
        <f t="shared" si="43"/>
        <v>23000000</v>
      </c>
      <c r="T320" s="99" t="str">
        <f t="shared" si="44"/>
        <v>Low</v>
      </c>
      <c r="U320" s="99" t="str">
        <f t="shared" si="45"/>
        <v>High</v>
      </c>
      <c r="V320" s="99" t="str">
        <f t="shared" si="46"/>
        <v>High</v>
      </c>
      <c r="W320" s="99" t="str">
        <f t="shared" si="47"/>
        <v>LHH</v>
      </c>
      <c r="X320" s="99" t="str">
        <f>VLOOKUP(W320,rfm[],2,FALSE)</f>
        <v>⚠️ At Risk High Value</v>
      </c>
      <c r="AA320" s="99" t="s">
        <v>2351</v>
      </c>
      <c r="AB320" s="99" t="s">
        <v>47</v>
      </c>
      <c r="AC320" s="100">
        <v>45874</v>
      </c>
      <c r="AD320" s="101">
        <v>149</v>
      </c>
      <c r="AE320" s="101">
        <v>3</v>
      </c>
      <c r="AF320" s="101">
        <v>23000000</v>
      </c>
      <c r="AG320" s="99" t="str">
        <f>VLOOKUP(AA320,recency!$K$6:$P$818,6,0)</f>
        <v>Low</v>
      </c>
      <c r="AH320" s="132" t="str">
        <f>VLOOKUP(AA320,frequency!$F$6:$H$818,3,FALSE)</f>
        <v>High</v>
      </c>
      <c r="AI320" s="129" t="str">
        <f>VLOOKUP(AA320,monetary!$B$5:$F$817,5,0)</f>
        <v>Low</v>
      </c>
      <c r="AJ320" s="99" t="str">
        <f t="shared" si="48"/>
        <v>LHL</v>
      </c>
      <c r="AK320" s="99" t="str">
        <f>VLOOKUP(AJ320,rfm[],2,0)</f>
        <v>🔁 Former Loyal Low Spend</v>
      </c>
      <c r="AN320" s="99" t="b">
        <f t="shared" si="49"/>
        <v>0</v>
      </c>
    </row>
    <row r="321" spans="2:40" x14ac:dyDescent="0.3">
      <c r="B321" s="99" t="s">
        <v>106</v>
      </c>
      <c r="C321" s="100">
        <v>45720</v>
      </c>
      <c r="D321" s="99" t="s">
        <v>28</v>
      </c>
      <c r="E321" s="99" t="s">
        <v>29</v>
      </c>
      <c r="F321" s="99" t="s">
        <v>20</v>
      </c>
      <c r="G321" s="99">
        <v>48</v>
      </c>
      <c r="H321" s="112">
        <v>450000</v>
      </c>
      <c r="I321" s="112">
        <v>21600000</v>
      </c>
      <c r="J321" s="99" t="s">
        <v>2788</v>
      </c>
      <c r="K321" s="99" t="s">
        <v>69</v>
      </c>
      <c r="N321" s="99" t="s">
        <v>2352</v>
      </c>
      <c r="O321" s="99" t="s">
        <v>8</v>
      </c>
      <c r="P321" s="100">
        <f t="shared" si="41"/>
        <v>45922</v>
      </c>
      <c r="Q321" s="101">
        <f t="shared" si="40"/>
        <v>101</v>
      </c>
      <c r="R321" s="99">
        <f t="shared" si="42"/>
        <v>1</v>
      </c>
      <c r="S321" s="101">
        <f t="shared" si="43"/>
        <v>7000000</v>
      </c>
      <c r="T321" s="99" t="str">
        <f t="shared" si="44"/>
        <v>Low</v>
      </c>
      <c r="U321" s="99" t="str">
        <f t="shared" si="45"/>
        <v>Low</v>
      </c>
      <c r="V321" s="99" t="str">
        <f t="shared" si="46"/>
        <v>Low</v>
      </c>
      <c r="W321" s="99" t="str">
        <f t="shared" si="47"/>
        <v>LLL</v>
      </c>
      <c r="X321" s="99" t="str">
        <f>VLOOKUP(W321,rfm[],2,FALSE)</f>
        <v>💤 Lost / Low Value</v>
      </c>
      <c r="AA321" s="99" t="s">
        <v>2352</v>
      </c>
      <c r="AB321" s="99" t="s">
        <v>8</v>
      </c>
      <c r="AC321" s="100">
        <v>45922</v>
      </c>
      <c r="AD321" s="101">
        <v>101</v>
      </c>
      <c r="AE321" s="101">
        <v>1</v>
      </c>
      <c r="AF321" s="101">
        <v>7000000</v>
      </c>
      <c r="AG321" s="99" t="str">
        <f>VLOOKUP(AA321,recency!$K$6:$P$818,6,0)</f>
        <v>Low</v>
      </c>
      <c r="AH321" s="132" t="str">
        <f>VLOOKUP(AA321,frequency!$F$6:$H$818,3,FALSE)</f>
        <v>Low</v>
      </c>
      <c r="AI321" s="129" t="str">
        <f>VLOOKUP(AA321,monetary!$B$5:$F$817,5,0)</f>
        <v>Low</v>
      </c>
      <c r="AJ321" s="99" t="str">
        <f t="shared" si="48"/>
        <v>LLL</v>
      </c>
      <c r="AK321" s="99" t="str">
        <f>VLOOKUP(AJ321,rfm[],2,0)</f>
        <v>💤 Lost / Low Value</v>
      </c>
      <c r="AN321" s="99" t="b">
        <f t="shared" si="49"/>
        <v>1</v>
      </c>
    </row>
    <row r="322" spans="2:40" x14ac:dyDescent="0.3">
      <c r="B322" s="99" t="s">
        <v>107</v>
      </c>
      <c r="C322" s="100">
        <v>45720</v>
      </c>
      <c r="D322" s="99" t="s">
        <v>40</v>
      </c>
      <c r="E322" s="99" t="s">
        <v>41</v>
      </c>
      <c r="F322" s="99" t="s">
        <v>16</v>
      </c>
      <c r="G322" s="99">
        <v>160</v>
      </c>
      <c r="H322" s="112">
        <v>950000</v>
      </c>
      <c r="I322" s="112">
        <v>152000000</v>
      </c>
      <c r="J322" s="99" t="s">
        <v>853</v>
      </c>
      <c r="K322" s="99" t="s">
        <v>47</v>
      </c>
      <c r="N322" s="99" t="s">
        <v>2353</v>
      </c>
      <c r="O322" s="99" t="s">
        <v>69</v>
      </c>
      <c r="P322" s="100">
        <f t="shared" si="41"/>
        <v>45967</v>
      </c>
      <c r="Q322" s="101">
        <f t="shared" si="40"/>
        <v>56</v>
      </c>
      <c r="R322" s="99">
        <f t="shared" si="42"/>
        <v>3</v>
      </c>
      <c r="S322" s="101">
        <f t="shared" si="43"/>
        <v>15275000</v>
      </c>
      <c r="T322" s="99" t="str">
        <f t="shared" si="44"/>
        <v>High</v>
      </c>
      <c r="U322" s="99" t="str">
        <f t="shared" si="45"/>
        <v>High</v>
      </c>
      <c r="V322" s="99" t="str">
        <f t="shared" si="46"/>
        <v>Low</v>
      </c>
      <c r="W322" s="99" t="str">
        <f t="shared" si="47"/>
        <v>HHL</v>
      </c>
      <c r="X322" s="99" t="str">
        <f>VLOOKUP(W322,rfm[],2,FALSE)</f>
        <v>💎 Loyal High Value</v>
      </c>
      <c r="AA322" s="99" t="s">
        <v>2353</v>
      </c>
      <c r="AB322" s="99" t="s">
        <v>69</v>
      </c>
      <c r="AC322" s="100">
        <v>45967</v>
      </c>
      <c r="AD322" s="101">
        <v>56</v>
      </c>
      <c r="AE322" s="101">
        <v>3</v>
      </c>
      <c r="AF322" s="101">
        <v>15275000</v>
      </c>
      <c r="AG322" s="99" t="str">
        <f>VLOOKUP(AA322,recency!$K$6:$P$818,6,0)</f>
        <v>High</v>
      </c>
      <c r="AH322" s="132" t="str">
        <f>VLOOKUP(AA322,frequency!$F$6:$H$818,3,FALSE)</f>
        <v>High</v>
      </c>
      <c r="AI322" s="129" t="str">
        <f>VLOOKUP(AA322,monetary!$B$5:$F$817,5,0)</f>
        <v>Low</v>
      </c>
      <c r="AJ322" s="99" t="str">
        <f t="shared" si="48"/>
        <v>HHL</v>
      </c>
      <c r="AK322" s="99" t="str">
        <f>VLOOKUP(AJ322,rfm[],2,0)</f>
        <v>💎 Loyal High Value</v>
      </c>
      <c r="AN322" s="99" t="b">
        <f t="shared" si="49"/>
        <v>1</v>
      </c>
    </row>
    <row r="323" spans="2:40" x14ac:dyDescent="0.3">
      <c r="B323" s="99" t="s">
        <v>108</v>
      </c>
      <c r="C323" s="100">
        <v>45720</v>
      </c>
      <c r="D323" s="99" t="s">
        <v>14</v>
      </c>
      <c r="E323" s="99" t="s">
        <v>15</v>
      </c>
      <c r="F323" s="99" t="s">
        <v>16</v>
      </c>
      <c r="G323" s="99">
        <v>190</v>
      </c>
      <c r="H323" s="112">
        <v>350000</v>
      </c>
      <c r="I323" s="112">
        <v>66500000</v>
      </c>
      <c r="J323" s="99" t="s">
        <v>2266</v>
      </c>
      <c r="K323" s="99" t="s">
        <v>8</v>
      </c>
      <c r="N323" s="99" t="s">
        <v>2354</v>
      </c>
      <c r="O323" s="99" t="s">
        <v>47</v>
      </c>
      <c r="P323" s="100">
        <f t="shared" si="41"/>
        <v>46022</v>
      </c>
      <c r="Q323" s="101">
        <f t="shared" si="40"/>
        <v>1</v>
      </c>
      <c r="R323" s="99">
        <f t="shared" si="42"/>
        <v>1</v>
      </c>
      <c r="S323" s="101">
        <f t="shared" si="43"/>
        <v>19350000</v>
      </c>
      <c r="T323" s="99" t="str">
        <f t="shared" si="44"/>
        <v>High</v>
      </c>
      <c r="U323" s="99" t="str">
        <f t="shared" si="45"/>
        <v>Low</v>
      </c>
      <c r="V323" s="99" t="str">
        <f t="shared" si="46"/>
        <v>High</v>
      </c>
      <c r="W323" s="99" t="str">
        <f t="shared" si="47"/>
        <v>HLH</v>
      </c>
      <c r="X323" s="99" t="str">
        <f>VLOOKUP(W323,rfm[],2,FALSE)</f>
        <v>🛒 Big Spenders (Occasional)</v>
      </c>
      <c r="AA323" s="99" t="s">
        <v>2354</v>
      </c>
      <c r="AB323" s="99" t="s">
        <v>47</v>
      </c>
      <c r="AC323" s="100">
        <v>46022</v>
      </c>
      <c r="AD323" s="101">
        <v>1</v>
      </c>
      <c r="AE323" s="101">
        <v>1</v>
      </c>
      <c r="AF323" s="101">
        <v>19350000</v>
      </c>
      <c r="AG323" s="99" t="str">
        <f>VLOOKUP(AA323,recency!$K$6:$P$818,6,0)</f>
        <v>High</v>
      </c>
      <c r="AH323" s="132" t="str">
        <f>VLOOKUP(AA323,frequency!$F$6:$H$818,3,FALSE)</f>
        <v>Low</v>
      </c>
      <c r="AI323" s="129" t="str">
        <f>VLOOKUP(AA323,monetary!$B$5:$F$817,5,0)</f>
        <v>Low</v>
      </c>
      <c r="AJ323" s="99" t="str">
        <f t="shared" si="48"/>
        <v>HLL</v>
      </c>
      <c r="AK323" s="99" t="str">
        <f>VLOOKUP(AJ323,rfm[],2,0)</f>
        <v>🌱 Potential Loyalists</v>
      </c>
      <c r="AN323" s="99" t="b">
        <f t="shared" si="49"/>
        <v>0</v>
      </c>
    </row>
    <row r="324" spans="2:40" x14ac:dyDescent="0.3">
      <c r="B324" s="99" t="s">
        <v>120</v>
      </c>
      <c r="C324" s="100">
        <v>45720</v>
      </c>
      <c r="D324" s="99" t="s">
        <v>31</v>
      </c>
      <c r="E324" s="99" t="s">
        <v>32</v>
      </c>
      <c r="F324" s="99" t="s">
        <v>20</v>
      </c>
      <c r="G324" s="99">
        <v>43</v>
      </c>
      <c r="H324" s="112">
        <v>180000</v>
      </c>
      <c r="I324" s="112">
        <v>7740000</v>
      </c>
      <c r="J324" s="99" t="s">
        <v>2173</v>
      </c>
      <c r="K324" s="99" t="s">
        <v>8</v>
      </c>
      <c r="N324" s="99" t="s">
        <v>2355</v>
      </c>
      <c r="O324" s="99" t="s">
        <v>47</v>
      </c>
      <c r="P324" s="100">
        <f t="shared" si="41"/>
        <v>45972</v>
      </c>
      <c r="Q324" s="101">
        <f t="shared" si="40"/>
        <v>51</v>
      </c>
      <c r="R324" s="99">
        <f t="shared" si="42"/>
        <v>3</v>
      </c>
      <c r="S324" s="101">
        <f t="shared" si="43"/>
        <v>15475000</v>
      </c>
      <c r="T324" s="99" t="str">
        <f t="shared" si="44"/>
        <v>High</v>
      </c>
      <c r="U324" s="99" t="str">
        <f t="shared" si="45"/>
        <v>High</v>
      </c>
      <c r="V324" s="99" t="str">
        <f t="shared" si="46"/>
        <v>Low</v>
      </c>
      <c r="W324" s="99" t="str">
        <f t="shared" si="47"/>
        <v>HHL</v>
      </c>
      <c r="X324" s="99" t="str">
        <f>VLOOKUP(W324,rfm[],2,FALSE)</f>
        <v>💎 Loyal High Value</v>
      </c>
      <c r="AA324" s="99" t="s">
        <v>2355</v>
      </c>
      <c r="AB324" s="99" t="s">
        <v>47</v>
      </c>
      <c r="AC324" s="100">
        <v>45972</v>
      </c>
      <c r="AD324" s="101">
        <v>51</v>
      </c>
      <c r="AE324" s="101">
        <v>3</v>
      </c>
      <c r="AF324" s="101">
        <v>15475000</v>
      </c>
      <c r="AG324" s="99" t="str">
        <f>VLOOKUP(AA324,recency!$K$6:$P$818,6,0)</f>
        <v>High</v>
      </c>
      <c r="AH324" s="132" t="str">
        <f>VLOOKUP(AA324,frequency!$F$6:$H$818,3,FALSE)</f>
        <v>High</v>
      </c>
      <c r="AI324" s="129" t="str">
        <f>VLOOKUP(AA324,monetary!$B$5:$F$817,5,0)</f>
        <v>Low</v>
      </c>
      <c r="AJ324" s="99" t="str">
        <f t="shared" si="48"/>
        <v>HHL</v>
      </c>
      <c r="AK324" s="99" t="str">
        <f>VLOOKUP(AJ324,rfm[],2,0)</f>
        <v>💎 Loyal High Value</v>
      </c>
      <c r="AN324" s="99" t="b">
        <f t="shared" si="49"/>
        <v>1</v>
      </c>
    </row>
    <row r="325" spans="2:40" x14ac:dyDescent="0.3">
      <c r="B325" s="99" t="s">
        <v>129</v>
      </c>
      <c r="C325" s="100">
        <v>45720</v>
      </c>
      <c r="D325" s="99" t="s">
        <v>38</v>
      </c>
      <c r="E325" s="99" t="s">
        <v>39</v>
      </c>
      <c r="F325" s="99" t="s">
        <v>16</v>
      </c>
      <c r="G325" s="99">
        <v>32</v>
      </c>
      <c r="H325" s="112">
        <v>200000</v>
      </c>
      <c r="I325" s="112">
        <v>6400000</v>
      </c>
      <c r="J325" s="99" t="s">
        <v>2411</v>
      </c>
      <c r="K325" s="99" t="s">
        <v>47</v>
      </c>
      <c r="N325" s="99" t="s">
        <v>2356</v>
      </c>
      <c r="O325" s="99" t="s">
        <v>8</v>
      </c>
      <c r="P325" s="100">
        <f t="shared" si="41"/>
        <v>45918</v>
      </c>
      <c r="Q325" s="101">
        <f t="shared" si="40"/>
        <v>105</v>
      </c>
      <c r="R325" s="99">
        <f t="shared" si="42"/>
        <v>5</v>
      </c>
      <c r="S325" s="101">
        <f t="shared" si="43"/>
        <v>61350000</v>
      </c>
      <c r="T325" s="99" t="str">
        <f t="shared" si="44"/>
        <v>Low</v>
      </c>
      <c r="U325" s="99" t="str">
        <f t="shared" si="45"/>
        <v>High</v>
      </c>
      <c r="V325" s="99" t="str">
        <f t="shared" si="46"/>
        <v>High</v>
      </c>
      <c r="W325" s="99" t="str">
        <f t="shared" si="47"/>
        <v>LHH</v>
      </c>
      <c r="X325" s="99" t="str">
        <f>VLOOKUP(W325,rfm[],2,FALSE)</f>
        <v>⚠️ At Risk High Value</v>
      </c>
      <c r="AA325" s="99" t="s">
        <v>2356</v>
      </c>
      <c r="AB325" s="99" t="s">
        <v>8</v>
      </c>
      <c r="AC325" s="100">
        <v>45918</v>
      </c>
      <c r="AD325" s="101">
        <v>105</v>
      </c>
      <c r="AE325" s="101">
        <v>5</v>
      </c>
      <c r="AF325" s="101">
        <v>61350000</v>
      </c>
      <c r="AG325" s="99" t="str">
        <f>VLOOKUP(AA325,recency!$K$6:$P$818,6,0)</f>
        <v>Low</v>
      </c>
      <c r="AH325" s="132" t="str">
        <f>VLOOKUP(AA325,frequency!$F$6:$H$818,3,FALSE)</f>
        <v>High</v>
      </c>
      <c r="AI325" s="129" t="str">
        <f>VLOOKUP(AA325,monetary!$B$5:$F$817,5,0)</f>
        <v>High</v>
      </c>
      <c r="AJ325" s="99" t="str">
        <f t="shared" si="48"/>
        <v>LHH</v>
      </c>
      <c r="AK325" s="99" t="str">
        <f>VLOOKUP(AJ325,rfm[],2,0)</f>
        <v>⚠️ At Risk High Value</v>
      </c>
      <c r="AN325" s="99" t="b">
        <f t="shared" si="49"/>
        <v>1</v>
      </c>
    </row>
    <row r="326" spans="2:40" x14ac:dyDescent="0.3">
      <c r="B326" s="99" t="s">
        <v>130</v>
      </c>
      <c r="C326" s="100">
        <v>45721</v>
      </c>
      <c r="D326" s="99" t="s">
        <v>22</v>
      </c>
      <c r="E326" s="99" t="s">
        <v>23</v>
      </c>
      <c r="F326" s="99" t="s">
        <v>12</v>
      </c>
      <c r="G326" s="99">
        <v>49</v>
      </c>
      <c r="H326" s="112">
        <v>25000</v>
      </c>
      <c r="I326" s="112">
        <v>1225000</v>
      </c>
      <c r="J326" s="99" t="s">
        <v>2305</v>
      </c>
      <c r="K326" s="99" t="s">
        <v>8</v>
      </c>
      <c r="N326" s="99" t="s">
        <v>2357</v>
      </c>
      <c r="O326" s="99" t="s">
        <v>127</v>
      </c>
      <c r="P326" s="100">
        <f t="shared" si="41"/>
        <v>45875</v>
      </c>
      <c r="Q326" s="101">
        <f t="shared" ref="Q326:Q389" si="50">analysis_date-P326</f>
        <v>148</v>
      </c>
      <c r="R326" s="99">
        <f t="shared" si="42"/>
        <v>1</v>
      </c>
      <c r="S326" s="101">
        <f t="shared" si="43"/>
        <v>1000000</v>
      </c>
      <c r="T326" s="99" t="str">
        <f t="shared" si="44"/>
        <v>Low</v>
      </c>
      <c r="U326" s="99" t="str">
        <f t="shared" si="45"/>
        <v>Low</v>
      </c>
      <c r="V326" s="99" t="str">
        <f t="shared" si="46"/>
        <v>Low</v>
      </c>
      <c r="W326" s="99" t="str">
        <f t="shared" si="47"/>
        <v>LLL</v>
      </c>
      <c r="X326" s="99" t="str">
        <f>VLOOKUP(W326,rfm[],2,FALSE)</f>
        <v>💤 Lost / Low Value</v>
      </c>
      <c r="AA326" s="99" t="s">
        <v>2357</v>
      </c>
      <c r="AB326" s="99" t="s">
        <v>127</v>
      </c>
      <c r="AC326" s="100">
        <v>45875</v>
      </c>
      <c r="AD326" s="101">
        <v>148</v>
      </c>
      <c r="AE326" s="101">
        <v>1</v>
      </c>
      <c r="AF326" s="101">
        <v>1000000</v>
      </c>
      <c r="AG326" s="99" t="str">
        <f>VLOOKUP(AA326,recency!$K$6:$P$818,6,0)</f>
        <v>Low</v>
      </c>
      <c r="AH326" s="132" t="str">
        <f>VLOOKUP(AA326,frequency!$F$6:$H$818,3,FALSE)</f>
        <v>Low</v>
      </c>
      <c r="AI326" s="129" t="str">
        <f>VLOOKUP(AA326,monetary!$B$5:$F$817,5,0)</f>
        <v>Low</v>
      </c>
      <c r="AJ326" s="99" t="str">
        <f t="shared" si="48"/>
        <v>LLL</v>
      </c>
      <c r="AK326" s="99" t="str">
        <f>VLOOKUP(AJ326,rfm[],2,0)</f>
        <v>💤 Lost / Low Value</v>
      </c>
      <c r="AN326" s="99" t="b">
        <f t="shared" si="49"/>
        <v>1</v>
      </c>
    </row>
    <row r="327" spans="2:40" x14ac:dyDescent="0.3">
      <c r="B327" s="99" t="s">
        <v>131</v>
      </c>
      <c r="C327" s="100">
        <v>45721</v>
      </c>
      <c r="D327" s="99" t="s">
        <v>31</v>
      </c>
      <c r="E327" s="99" t="s">
        <v>32</v>
      </c>
      <c r="F327" s="99" t="s">
        <v>20</v>
      </c>
      <c r="G327" s="99">
        <v>31</v>
      </c>
      <c r="H327" s="112">
        <v>180000</v>
      </c>
      <c r="I327" s="112">
        <v>5580000</v>
      </c>
      <c r="J327" s="99" t="s">
        <v>2591</v>
      </c>
      <c r="K327" s="99" t="s">
        <v>127</v>
      </c>
      <c r="N327" s="99" t="s">
        <v>2358</v>
      </c>
      <c r="O327" s="99" t="s">
        <v>127</v>
      </c>
      <c r="P327" s="100">
        <f t="shared" ref="P327:P390" si="51">_xlfn.MAXIFS($C$6:$C$2005,$J$6:$J$2005,N327)</f>
        <v>45699</v>
      </c>
      <c r="Q327" s="101">
        <f t="shared" si="50"/>
        <v>324</v>
      </c>
      <c r="R327" s="99">
        <f t="shared" ref="R327:R390" si="52">COUNTIFS($J$6:$J$2005,N327)</f>
        <v>1</v>
      </c>
      <c r="S327" s="101">
        <f t="shared" ref="S327:S390" si="53">SUMIFS($I$6:$I$2005,$J$6:$J$2005,N327)</f>
        <v>7200000</v>
      </c>
      <c r="T327" s="99" t="str">
        <f t="shared" ref="T327:T390" si="54">IF(Q327&lt;MEDIAN($Q$6:$Q$817),"High","Low")</f>
        <v>Low</v>
      </c>
      <c r="U327" s="99" t="str">
        <f t="shared" ref="U327:U390" si="55">IF(R327&gt;MEDIAN($R$6:$R$817),"High","Low")</f>
        <v>Low</v>
      </c>
      <c r="V327" s="99" t="str">
        <f t="shared" ref="V327:V390" si="56">IF(S327&gt;MEDIAN($S$6:$S$817),"High","Low")</f>
        <v>Low</v>
      </c>
      <c r="W327" s="99" t="str">
        <f t="shared" ref="W327:W390" si="57">_xlfn.CONCAT(LEFT(T327,1),LEFT(U327,1),LEFT(V327,1))</f>
        <v>LLL</v>
      </c>
      <c r="X327" s="99" t="str">
        <f>VLOOKUP(W327,rfm[],2,FALSE)</f>
        <v>💤 Lost / Low Value</v>
      </c>
      <c r="AA327" s="99" t="s">
        <v>2358</v>
      </c>
      <c r="AB327" s="99" t="s">
        <v>127</v>
      </c>
      <c r="AC327" s="100">
        <v>45699</v>
      </c>
      <c r="AD327" s="101">
        <v>324</v>
      </c>
      <c r="AE327" s="101">
        <v>1</v>
      </c>
      <c r="AF327" s="101">
        <v>7200000</v>
      </c>
      <c r="AG327" s="99" t="str">
        <f>VLOOKUP(AA327,recency!$K$6:$P$818,6,0)</f>
        <v>Low</v>
      </c>
      <c r="AH327" s="132" t="str">
        <f>VLOOKUP(AA327,frequency!$F$6:$H$818,3,FALSE)</f>
        <v>Low</v>
      </c>
      <c r="AI327" s="129" t="str">
        <f>VLOOKUP(AA327,monetary!$B$5:$F$817,5,0)</f>
        <v>Low</v>
      </c>
      <c r="AJ327" s="99" t="str">
        <f t="shared" ref="AJ327:AJ390" si="58">_xlfn.CONCAT(LEFT(AG327,1),LEFT(AH327,1),LEFT(AI327,1))</f>
        <v>LLL</v>
      </c>
      <c r="AK327" s="99" t="str">
        <f>VLOOKUP(AJ327,rfm[],2,0)</f>
        <v>💤 Lost / Low Value</v>
      </c>
      <c r="AN327" s="99" t="b">
        <f t="shared" ref="AN327:AN390" si="59">AJ327=W327</f>
        <v>1</v>
      </c>
    </row>
    <row r="328" spans="2:40" x14ac:dyDescent="0.3">
      <c r="B328" s="99" t="s">
        <v>147</v>
      </c>
      <c r="C328" s="100">
        <v>45721</v>
      </c>
      <c r="D328" s="99" t="s">
        <v>38</v>
      </c>
      <c r="E328" s="99" t="s">
        <v>39</v>
      </c>
      <c r="F328" s="99" t="s">
        <v>16</v>
      </c>
      <c r="G328" s="99">
        <v>19</v>
      </c>
      <c r="H328" s="112">
        <v>200000</v>
      </c>
      <c r="I328" s="112">
        <v>3800000</v>
      </c>
      <c r="J328" s="99" t="s">
        <v>2444</v>
      </c>
      <c r="K328" s="99" t="s">
        <v>60</v>
      </c>
      <c r="N328" s="99" t="s">
        <v>2359</v>
      </c>
      <c r="O328" s="99" t="s">
        <v>127</v>
      </c>
      <c r="P328" s="100">
        <f t="shared" si="51"/>
        <v>46014</v>
      </c>
      <c r="Q328" s="101">
        <f t="shared" si="50"/>
        <v>9</v>
      </c>
      <c r="R328" s="99">
        <f t="shared" si="52"/>
        <v>3</v>
      </c>
      <c r="S328" s="101">
        <f t="shared" si="53"/>
        <v>23100000</v>
      </c>
      <c r="T328" s="99" t="str">
        <f t="shared" si="54"/>
        <v>High</v>
      </c>
      <c r="U328" s="99" t="str">
        <f t="shared" si="55"/>
        <v>High</v>
      </c>
      <c r="V328" s="99" t="str">
        <f t="shared" si="56"/>
        <v>High</v>
      </c>
      <c r="W328" s="99" t="str">
        <f t="shared" si="57"/>
        <v>HHH</v>
      </c>
      <c r="X328" s="99" t="str">
        <f>VLOOKUP(W328,rfm[],2,FALSE)</f>
        <v>🥇 Champions</v>
      </c>
      <c r="AA328" s="99" t="s">
        <v>2359</v>
      </c>
      <c r="AB328" s="99" t="s">
        <v>127</v>
      </c>
      <c r="AC328" s="100">
        <v>46014</v>
      </c>
      <c r="AD328" s="101">
        <v>9</v>
      </c>
      <c r="AE328" s="101">
        <v>3</v>
      </c>
      <c r="AF328" s="101">
        <v>23100000</v>
      </c>
      <c r="AG328" s="99" t="str">
        <f>VLOOKUP(AA328,recency!$K$6:$P$818,6,0)</f>
        <v>High</v>
      </c>
      <c r="AH328" s="132" t="str">
        <f>VLOOKUP(AA328,frequency!$F$6:$H$818,3,FALSE)</f>
        <v>High</v>
      </c>
      <c r="AI328" s="129" t="str">
        <f>VLOOKUP(AA328,monetary!$B$5:$F$817,5,0)</f>
        <v>Low</v>
      </c>
      <c r="AJ328" s="99" t="str">
        <f t="shared" si="58"/>
        <v>HHL</v>
      </c>
      <c r="AK328" s="99" t="str">
        <f>VLOOKUP(AJ328,rfm[],2,0)</f>
        <v>💎 Loyal High Value</v>
      </c>
      <c r="AN328" s="99" t="b">
        <f t="shared" si="59"/>
        <v>0</v>
      </c>
    </row>
    <row r="329" spans="2:40" x14ac:dyDescent="0.3">
      <c r="B329" s="99" t="s">
        <v>148</v>
      </c>
      <c r="C329" s="100">
        <v>45721</v>
      </c>
      <c r="D329" s="99" t="s">
        <v>10</v>
      </c>
      <c r="E329" s="99" t="s">
        <v>11</v>
      </c>
      <c r="F329" s="99" t="s">
        <v>12</v>
      </c>
      <c r="G329" s="99">
        <v>20</v>
      </c>
      <c r="H329" s="112">
        <v>120000</v>
      </c>
      <c r="I329" s="112">
        <v>2400000</v>
      </c>
      <c r="J329" s="99" t="s">
        <v>1584</v>
      </c>
      <c r="K329" s="99" t="s">
        <v>127</v>
      </c>
      <c r="N329" s="99" t="s">
        <v>2360</v>
      </c>
      <c r="O329" s="99" t="s">
        <v>60</v>
      </c>
      <c r="P329" s="100">
        <f t="shared" si="51"/>
        <v>45714</v>
      </c>
      <c r="Q329" s="101">
        <f t="shared" si="50"/>
        <v>309</v>
      </c>
      <c r="R329" s="99">
        <f t="shared" si="52"/>
        <v>1</v>
      </c>
      <c r="S329" s="101">
        <f t="shared" si="53"/>
        <v>11250000</v>
      </c>
      <c r="T329" s="99" t="str">
        <f t="shared" si="54"/>
        <v>Low</v>
      </c>
      <c r="U329" s="99" t="str">
        <f t="shared" si="55"/>
        <v>Low</v>
      </c>
      <c r="V329" s="99" t="str">
        <f t="shared" si="56"/>
        <v>Low</v>
      </c>
      <c r="W329" s="99" t="str">
        <f t="shared" si="57"/>
        <v>LLL</v>
      </c>
      <c r="X329" s="99" t="str">
        <f>VLOOKUP(W329,rfm[],2,FALSE)</f>
        <v>💤 Lost / Low Value</v>
      </c>
      <c r="AA329" s="99" t="s">
        <v>2360</v>
      </c>
      <c r="AB329" s="99" t="s">
        <v>60</v>
      </c>
      <c r="AC329" s="100">
        <v>45714</v>
      </c>
      <c r="AD329" s="101">
        <v>309</v>
      </c>
      <c r="AE329" s="101">
        <v>1</v>
      </c>
      <c r="AF329" s="101">
        <v>11250000</v>
      </c>
      <c r="AG329" s="99" t="str">
        <f>VLOOKUP(AA329,recency!$K$6:$P$818,6,0)</f>
        <v>Low</v>
      </c>
      <c r="AH329" s="132" t="str">
        <f>VLOOKUP(AA329,frequency!$F$6:$H$818,3,FALSE)</f>
        <v>Low</v>
      </c>
      <c r="AI329" s="129" t="str">
        <f>VLOOKUP(AA329,monetary!$B$5:$F$817,5,0)</f>
        <v>Low</v>
      </c>
      <c r="AJ329" s="99" t="str">
        <f t="shared" si="58"/>
        <v>LLL</v>
      </c>
      <c r="AK329" s="99" t="str">
        <f>VLOOKUP(AJ329,rfm[],2,0)</f>
        <v>💤 Lost / Low Value</v>
      </c>
      <c r="AN329" s="99" t="b">
        <f t="shared" si="59"/>
        <v>1</v>
      </c>
    </row>
    <row r="330" spans="2:40" x14ac:dyDescent="0.3">
      <c r="B330" s="99" t="s">
        <v>154</v>
      </c>
      <c r="C330" s="100">
        <v>45721</v>
      </c>
      <c r="D330" s="99" t="s">
        <v>42</v>
      </c>
      <c r="E330" s="99" t="s">
        <v>43</v>
      </c>
      <c r="F330" s="99" t="s">
        <v>16</v>
      </c>
      <c r="G330" s="99">
        <v>300</v>
      </c>
      <c r="H330" s="112">
        <v>1200000</v>
      </c>
      <c r="I330" s="112">
        <v>360000000</v>
      </c>
      <c r="J330" s="99" t="s">
        <v>728</v>
      </c>
      <c r="K330" s="99" t="s">
        <v>47</v>
      </c>
      <c r="N330" s="99" t="s">
        <v>2361</v>
      </c>
      <c r="O330" s="99" t="s">
        <v>8</v>
      </c>
      <c r="P330" s="100">
        <f t="shared" si="51"/>
        <v>45693</v>
      </c>
      <c r="Q330" s="101">
        <f t="shared" si="50"/>
        <v>330</v>
      </c>
      <c r="R330" s="99">
        <f t="shared" si="52"/>
        <v>1</v>
      </c>
      <c r="S330" s="101">
        <f t="shared" si="53"/>
        <v>11250000</v>
      </c>
      <c r="T330" s="99" t="str">
        <f t="shared" si="54"/>
        <v>Low</v>
      </c>
      <c r="U330" s="99" t="str">
        <f t="shared" si="55"/>
        <v>Low</v>
      </c>
      <c r="V330" s="99" t="str">
        <f t="shared" si="56"/>
        <v>Low</v>
      </c>
      <c r="W330" s="99" t="str">
        <f t="shared" si="57"/>
        <v>LLL</v>
      </c>
      <c r="X330" s="99" t="str">
        <f>VLOOKUP(W330,rfm[],2,FALSE)</f>
        <v>💤 Lost / Low Value</v>
      </c>
      <c r="AA330" s="99" t="s">
        <v>2361</v>
      </c>
      <c r="AB330" s="99" t="s">
        <v>8</v>
      </c>
      <c r="AC330" s="100">
        <v>45693</v>
      </c>
      <c r="AD330" s="101">
        <v>330</v>
      </c>
      <c r="AE330" s="101">
        <v>1</v>
      </c>
      <c r="AF330" s="101">
        <v>11250000</v>
      </c>
      <c r="AG330" s="99" t="str">
        <f>VLOOKUP(AA330,recency!$K$6:$P$818,6,0)</f>
        <v>Low</v>
      </c>
      <c r="AH330" s="132" t="str">
        <f>VLOOKUP(AA330,frequency!$F$6:$H$818,3,FALSE)</f>
        <v>Low</v>
      </c>
      <c r="AI330" s="129" t="str">
        <f>VLOOKUP(AA330,monetary!$B$5:$F$817,5,0)</f>
        <v>Low</v>
      </c>
      <c r="AJ330" s="99" t="str">
        <f t="shared" si="58"/>
        <v>LLL</v>
      </c>
      <c r="AK330" s="99" t="str">
        <f>VLOOKUP(AJ330,rfm[],2,0)</f>
        <v>💤 Lost / Low Value</v>
      </c>
      <c r="AN330" s="99" t="b">
        <f t="shared" si="59"/>
        <v>1</v>
      </c>
    </row>
    <row r="331" spans="2:40" x14ac:dyDescent="0.3">
      <c r="B331" s="99" t="s">
        <v>155</v>
      </c>
      <c r="C331" s="100">
        <v>45721</v>
      </c>
      <c r="D331" s="99" t="s">
        <v>18</v>
      </c>
      <c r="E331" s="99" t="s">
        <v>19</v>
      </c>
      <c r="F331" s="99" t="s">
        <v>20</v>
      </c>
      <c r="G331" s="99">
        <v>29</v>
      </c>
      <c r="H331" s="112">
        <v>500000</v>
      </c>
      <c r="I331" s="112">
        <v>14500000</v>
      </c>
      <c r="J331" s="99" t="s">
        <v>2662</v>
      </c>
      <c r="K331" s="99" t="s">
        <v>127</v>
      </c>
      <c r="N331" s="99" t="s">
        <v>2362</v>
      </c>
      <c r="O331" s="99" t="s">
        <v>8</v>
      </c>
      <c r="P331" s="100">
        <f t="shared" si="51"/>
        <v>45960</v>
      </c>
      <c r="Q331" s="101">
        <f t="shared" si="50"/>
        <v>63</v>
      </c>
      <c r="R331" s="99">
        <f t="shared" si="52"/>
        <v>7</v>
      </c>
      <c r="S331" s="101">
        <f t="shared" si="53"/>
        <v>1138500000</v>
      </c>
      <c r="T331" s="99" t="str">
        <f t="shared" si="54"/>
        <v>High</v>
      </c>
      <c r="U331" s="99" t="str">
        <f t="shared" si="55"/>
        <v>High</v>
      </c>
      <c r="V331" s="99" t="str">
        <f t="shared" si="56"/>
        <v>High</v>
      </c>
      <c r="W331" s="99" t="str">
        <f t="shared" si="57"/>
        <v>HHH</v>
      </c>
      <c r="X331" s="99" t="str">
        <f>VLOOKUP(W331,rfm[],2,FALSE)</f>
        <v>🥇 Champions</v>
      </c>
      <c r="AA331" s="99" t="s">
        <v>2362</v>
      </c>
      <c r="AB331" s="99" t="s">
        <v>8</v>
      </c>
      <c r="AC331" s="100">
        <v>45960</v>
      </c>
      <c r="AD331" s="101">
        <v>63</v>
      </c>
      <c r="AE331" s="101">
        <v>7</v>
      </c>
      <c r="AF331" s="101">
        <v>1138500000</v>
      </c>
      <c r="AG331" s="99" t="str">
        <f>VLOOKUP(AA331,recency!$K$6:$P$818,6,0)</f>
        <v>Low</v>
      </c>
      <c r="AH331" s="132" t="str">
        <f>VLOOKUP(AA331,frequency!$F$6:$H$818,3,FALSE)</f>
        <v>High</v>
      </c>
      <c r="AI331" s="129" t="str">
        <f>VLOOKUP(AA331,monetary!$B$5:$F$817,5,0)</f>
        <v>High</v>
      </c>
      <c r="AJ331" s="99" t="str">
        <f t="shared" si="58"/>
        <v>LHH</v>
      </c>
      <c r="AK331" s="99" t="str">
        <f>VLOOKUP(AJ331,rfm[],2,0)</f>
        <v>⚠️ At Risk High Value</v>
      </c>
      <c r="AN331" s="99" t="b">
        <f t="shared" si="59"/>
        <v>0</v>
      </c>
    </row>
    <row r="332" spans="2:40" x14ac:dyDescent="0.3">
      <c r="B332" s="99" t="s">
        <v>167</v>
      </c>
      <c r="C332" s="100">
        <v>45721</v>
      </c>
      <c r="D332" s="99" t="s">
        <v>14</v>
      </c>
      <c r="E332" s="99" t="s">
        <v>15</v>
      </c>
      <c r="F332" s="99" t="s">
        <v>16</v>
      </c>
      <c r="G332" s="99">
        <v>14</v>
      </c>
      <c r="H332" s="112">
        <v>350000</v>
      </c>
      <c r="I332" s="112">
        <v>4900000</v>
      </c>
      <c r="J332" s="99" t="s">
        <v>359</v>
      </c>
      <c r="K332" s="99" t="s">
        <v>60</v>
      </c>
      <c r="N332" s="99" t="s">
        <v>2363</v>
      </c>
      <c r="O332" s="99" t="s">
        <v>8</v>
      </c>
      <c r="P332" s="100">
        <f t="shared" si="51"/>
        <v>45974</v>
      </c>
      <c r="Q332" s="101">
        <f t="shared" si="50"/>
        <v>49</v>
      </c>
      <c r="R332" s="99">
        <f t="shared" si="52"/>
        <v>4</v>
      </c>
      <c r="S332" s="101">
        <f t="shared" si="53"/>
        <v>13490000</v>
      </c>
      <c r="T332" s="99" t="str">
        <f t="shared" si="54"/>
        <v>High</v>
      </c>
      <c r="U332" s="99" t="str">
        <f t="shared" si="55"/>
        <v>High</v>
      </c>
      <c r="V332" s="99" t="str">
        <f t="shared" si="56"/>
        <v>Low</v>
      </c>
      <c r="W332" s="99" t="str">
        <f t="shared" si="57"/>
        <v>HHL</v>
      </c>
      <c r="X332" s="99" t="str">
        <f>VLOOKUP(W332,rfm[],2,FALSE)</f>
        <v>💎 Loyal High Value</v>
      </c>
      <c r="AA332" s="99" t="s">
        <v>2363</v>
      </c>
      <c r="AB332" s="99" t="s">
        <v>8</v>
      </c>
      <c r="AC332" s="100">
        <v>45974</v>
      </c>
      <c r="AD332" s="101">
        <v>49</v>
      </c>
      <c r="AE332" s="101">
        <v>4</v>
      </c>
      <c r="AF332" s="101">
        <v>13490000</v>
      </c>
      <c r="AG332" s="99" t="str">
        <f>VLOOKUP(AA332,recency!$K$6:$P$818,6,0)</f>
        <v>High</v>
      </c>
      <c r="AH332" s="132" t="str">
        <f>VLOOKUP(AA332,frequency!$F$6:$H$818,3,FALSE)</f>
        <v>High</v>
      </c>
      <c r="AI332" s="129" t="str">
        <f>VLOOKUP(AA332,monetary!$B$5:$F$817,5,0)</f>
        <v>Low</v>
      </c>
      <c r="AJ332" s="99" t="str">
        <f t="shared" si="58"/>
        <v>HHL</v>
      </c>
      <c r="AK332" s="99" t="str">
        <f>VLOOKUP(AJ332,rfm[],2,0)</f>
        <v>💎 Loyal High Value</v>
      </c>
      <c r="AN332" s="99" t="b">
        <f t="shared" si="59"/>
        <v>1</v>
      </c>
    </row>
    <row r="333" spans="2:40" x14ac:dyDescent="0.3">
      <c r="B333" s="99" t="s">
        <v>168</v>
      </c>
      <c r="C333" s="100">
        <v>45721</v>
      </c>
      <c r="D333" s="99" t="s">
        <v>22</v>
      </c>
      <c r="E333" s="99" t="s">
        <v>23</v>
      </c>
      <c r="F333" s="99" t="s">
        <v>12</v>
      </c>
      <c r="G333" s="99">
        <v>40</v>
      </c>
      <c r="H333" s="112">
        <v>25000</v>
      </c>
      <c r="I333" s="112">
        <v>1000000</v>
      </c>
      <c r="J333" s="99" t="s">
        <v>2561</v>
      </c>
      <c r="K333" s="99" t="s">
        <v>8</v>
      </c>
      <c r="N333" s="99" t="s">
        <v>2364</v>
      </c>
      <c r="O333" s="99" t="s">
        <v>127</v>
      </c>
      <c r="P333" s="100">
        <f t="shared" si="51"/>
        <v>45937</v>
      </c>
      <c r="Q333" s="101">
        <f t="shared" si="50"/>
        <v>86</v>
      </c>
      <c r="R333" s="99">
        <f t="shared" si="52"/>
        <v>4</v>
      </c>
      <c r="S333" s="101">
        <f t="shared" si="53"/>
        <v>46100000</v>
      </c>
      <c r="T333" s="99" t="str">
        <f t="shared" si="54"/>
        <v>High</v>
      </c>
      <c r="U333" s="99" t="str">
        <f t="shared" si="55"/>
        <v>High</v>
      </c>
      <c r="V333" s="99" t="str">
        <f t="shared" si="56"/>
        <v>High</v>
      </c>
      <c r="W333" s="99" t="str">
        <f t="shared" si="57"/>
        <v>HHH</v>
      </c>
      <c r="X333" s="99" t="str">
        <f>VLOOKUP(W333,rfm[],2,FALSE)</f>
        <v>🥇 Champions</v>
      </c>
      <c r="AA333" s="99" t="s">
        <v>2364</v>
      </c>
      <c r="AB333" s="99" t="s">
        <v>127</v>
      </c>
      <c r="AC333" s="100">
        <v>45937</v>
      </c>
      <c r="AD333" s="101">
        <v>86</v>
      </c>
      <c r="AE333" s="101">
        <v>4</v>
      </c>
      <c r="AF333" s="101">
        <v>46100000</v>
      </c>
      <c r="AG333" s="99" t="str">
        <f>VLOOKUP(AA333,recency!$K$6:$P$818,6,0)</f>
        <v>Low</v>
      </c>
      <c r="AH333" s="132" t="str">
        <f>VLOOKUP(AA333,frequency!$F$6:$H$818,3,FALSE)</f>
        <v>High</v>
      </c>
      <c r="AI333" s="129" t="str">
        <f>VLOOKUP(AA333,monetary!$B$5:$F$817,5,0)</f>
        <v>Low</v>
      </c>
      <c r="AJ333" s="99" t="str">
        <f t="shared" si="58"/>
        <v>LHL</v>
      </c>
      <c r="AK333" s="99" t="str">
        <f>VLOOKUP(AJ333,rfm[],2,0)</f>
        <v>🔁 Former Loyal Low Spend</v>
      </c>
      <c r="AN333" s="99" t="b">
        <f t="shared" si="59"/>
        <v>0</v>
      </c>
    </row>
    <row r="334" spans="2:40" x14ac:dyDescent="0.3">
      <c r="B334" s="99" t="s">
        <v>187</v>
      </c>
      <c r="C334" s="100">
        <v>45721</v>
      </c>
      <c r="D334" s="99" t="s">
        <v>22</v>
      </c>
      <c r="E334" s="99" t="s">
        <v>23</v>
      </c>
      <c r="F334" s="99" t="s">
        <v>12</v>
      </c>
      <c r="G334" s="99">
        <v>24</v>
      </c>
      <c r="H334" s="112">
        <v>25000</v>
      </c>
      <c r="I334" s="112">
        <v>600000</v>
      </c>
      <c r="J334" s="99" t="s">
        <v>2448</v>
      </c>
      <c r="K334" s="99" t="s">
        <v>60</v>
      </c>
      <c r="N334" s="99" t="s">
        <v>2365</v>
      </c>
      <c r="O334" s="99" t="s">
        <v>60</v>
      </c>
      <c r="P334" s="100">
        <f t="shared" si="51"/>
        <v>45978</v>
      </c>
      <c r="Q334" s="101">
        <f t="shared" si="50"/>
        <v>45</v>
      </c>
      <c r="R334" s="99">
        <f t="shared" si="52"/>
        <v>4</v>
      </c>
      <c r="S334" s="101">
        <f t="shared" si="53"/>
        <v>23010000</v>
      </c>
      <c r="T334" s="99" t="str">
        <f t="shared" si="54"/>
        <v>High</v>
      </c>
      <c r="U334" s="99" t="str">
        <f t="shared" si="55"/>
        <v>High</v>
      </c>
      <c r="V334" s="99" t="str">
        <f t="shared" si="56"/>
        <v>High</v>
      </c>
      <c r="W334" s="99" t="str">
        <f t="shared" si="57"/>
        <v>HHH</v>
      </c>
      <c r="X334" s="99" t="str">
        <f>VLOOKUP(W334,rfm[],2,FALSE)</f>
        <v>🥇 Champions</v>
      </c>
      <c r="AA334" s="99" t="s">
        <v>2365</v>
      </c>
      <c r="AB334" s="99" t="s">
        <v>60</v>
      </c>
      <c r="AC334" s="100">
        <v>45978</v>
      </c>
      <c r="AD334" s="101">
        <v>45</v>
      </c>
      <c r="AE334" s="101">
        <v>4</v>
      </c>
      <c r="AF334" s="101">
        <v>23010000</v>
      </c>
      <c r="AG334" s="99" t="str">
        <f>VLOOKUP(AA334,recency!$K$6:$P$818,6,0)</f>
        <v>High</v>
      </c>
      <c r="AH334" s="132" t="str">
        <f>VLOOKUP(AA334,frequency!$F$6:$H$818,3,FALSE)</f>
        <v>High</v>
      </c>
      <c r="AI334" s="129" t="str">
        <f>VLOOKUP(AA334,monetary!$B$5:$F$817,5,0)</f>
        <v>Low</v>
      </c>
      <c r="AJ334" s="99" t="str">
        <f t="shared" si="58"/>
        <v>HHL</v>
      </c>
      <c r="AK334" s="99" t="str">
        <f>VLOOKUP(AJ334,rfm[],2,0)</f>
        <v>💎 Loyal High Value</v>
      </c>
      <c r="AN334" s="99" t="b">
        <f t="shared" si="59"/>
        <v>0</v>
      </c>
    </row>
    <row r="335" spans="2:40" x14ac:dyDescent="0.3">
      <c r="B335" s="99" t="s">
        <v>188</v>
      </c>
      <c r="C335" s="100">
        <v>45721</v>
      </c>
      <c r="D335" s="99" t="s">
        <v>18</v>
      </c>
      <c r="E335" s="99" t="s">
        <v>19</v>
      </c>
      <c r="F335" s="99" t="s">
        <v>20</v>
      </c>
      <c r="G335" s="99">
        <v>8</v>
      </c>
      <c r="H335" s="112">
        <v>500000</v>
      </c>
      <c r="I335" s="112">
        <v>4000000</v>
      </c>
      <c r="J335" s="99" t="s">
        <v>2638</v>
      </c>
      <c r="K335" s="99" t="s">
        <v>127</v>
      </c>
      <c r="N335" s="99" t="s">
        <v>2366</v>
      </c>
      <c r="O335" s="99" t="s">
        <v>8</v>
      </c>
      <c r="P335" s="100">
        <f t="shared" si="51"/>
        <v>46003</v>
      </c>
      <c r="Q335" s="101">
        <f t="shared" si="50"/>
        <v>20</v>
      </c>
      <c r="R335" s="99">
        <f t="shared" si="52"/>
        <v>2</v>
      </c>
      <c r="S335" s="101">
        <f t="shared" si="53"/>
        <v>22680000</v>
      </c>
      <c r="T335" s="99" t="str">
        <f t="shared" si="54"/>
        <v>High</v>
      </c>
      <c r="U335" s="99" t="str">
        <f t="shared" si="55"/>
        <v>Low</v>
      </c>
      <c r="V335" s="99" t="str">
        <f t="shared" si="56"/>
        <v>High</v>
      </c>
      <c r="W335" s="99" t="str">
        <f t="shared" si="57"/>
        <v>HLH</v>
      </c>
      <c r="X335" s="99" t="str">
        <f>VLOOKUP(W335,rfm[],2,FALSE)</f>
        <v>🛒 Big Spenders (Occasional)</v>
      </c>
      <c r="AA335" s="99" t="s">
        <v>2366</v>
      </c>
      <c r="AB335" s="99" t="s">
        <v>8</v>
      </c>
      <c r="AC335" s="100">
        <v>46003</v>
      </c>
      <c r="AD335" s="101">
        <v>20</v>
      </c>
      <c r="AE335" s="101">
        <v>2</v>
      </c>
      <c r="AF335" s="101">
        <v>22680000</v>
      </c>
      <c r="AG335" s="99" t="str">
        <f>VLOOKUP(AA335,recency!$K$6:$P$818,6,0)</f>
        <v>High</v>
      </c>
      <c r="AH335" s="132" t="str">
        <f>VLOOKUP(AA335,frequency!$F$6:$H$818,3,FALSE)</f>
        <v>Low</v>
      </c>
      <c r="AI335" s="129" t="str">
        <f>VLOOKUP(AA335,monetary!$B$5:$F$817,5,0)</f>
        <v>Low</v>
      </c>
      <c r="AJ335" s="99" t="str">
        <f t="shared" si="58"/>
        <v>HLL</v>
      </c>
      <c r="AK335" s="99" t="str">
        <f>VLOOKUP(AJ335,rfm[],2,0)</f>
        <v>🌱 Potential Loyalists</v>
      </c>
      <c r="AN335" s="99" t="b">
        <f t="shared" si="59"/>
        <v>0</v>
      </c>
    </row>
    <row r="336" spans="2:40" x14ac:dyDescent="0.3">
      <c r="B336" s="99" t="s">
        <v>189</v>
      </c>
      <c r="C336" s="100">
        <v>45721</v>
      </c>
      <c r="D336" s="99" t="s">
        <v>18</v>
      </c>
      <c r="E336" s="99" t="s">
        <v>19</v>
      </c>
      <c r="F336" s="99" t="s">
        <v>20</v>
      </c>
      <c r="G336" s="99">
        <v>14</v>
      </c>
      <c r="H336" s="112">
        <v>500000</v>
      </c>
      <c r="I336" s="112">
        <v>7000000</v>
      </c>
      <c r="J336" s="99" t="s">
        <v>2440</v>
      </c>
      <c r="K336" s="99" t="s">
        <v>127</v>
      </c>
      <c r="N336" s="99" t="s">
        <v>2367</v>
      </c>
      <c r="O336" s="99" t="s">
        <v>127</v>
      </c>
      <c r="P336" s="100">
        <f t="shared" si="51"/>
        <v>45793</v>
      </c>
      <c r="Q336" s="101">
        <f t="shared" si="50"/>
        <v>230</v>
      </c>
      <c r="R336" s="99">
        <f t="shared" si="52"/>
        <v>2</v>
      </c>
      <c r="S336" s="101">
        <f t="shared" si="53"/>
        <v>24150000</v>
      </c>
      <c r="T336" s="99" t="str">
        <f t="shared" si="54"/>
        <v>Low</v>
      </c>
      <c r="U336" s="99" t="str">
        <f t="shared" si="55"/>
        <v>Low</v>
      </c>
      <c r="V336" s="99" t="str">
        <f t="shared" si="56"/>
        <v>High</v>
      </c>
      <c r="W336" s="99" t="str">
        <f t="shared" si="57"/>
        <v>LLH</v>
      </c>
      <c r="X336" s="99" t="str">
        <f>VLOOKUP(W336,rfm[],2,FALSE)</f>
        <v>💸 Lost High Spenders</v>
      </c>
      <c r="AA336" s="99" t="s">
        <v>2367</v>
      </c>
      <c r="AB336" s="99" t="s">
        <v>127</v>
      </c>
      <c r="AC336" s="100">
        <v>45793</v>
      </c>
      <c r="AD336" s="101">
        <v>230</v>
      </c>
      <c r="AE336" s="101">
        <v>2</v>
      </c>
      <c r="AF336" s="101">
        <v>24150000</v>
      </c>
      <c r="AG336" s="99" t="str">
        <f>VLOOKUP(AA336,recency!$K$6:$P$818,6,0)</f>
        <v>Low</v>
      </c>
      <c r="AH336" s="132" t="str">
        <f>VLOOKUP(AA336,frequency!$F$6:$H$818,3,FALSE)</f>
        <v>Low</v>
      </c>
      <c r="AI336" s="129" t="str">
        <f>VLOOKUP(AA336,monetary!$B$5:$F$817,5,0)</f>
        <v>Low</v>
      </c>
      <c r="AJ336" s="99" t="str">
        <f t="shared" si="58"/>
        <v>LLL</v>
      </c>
      <c r="AK336" s="99" t="str">
        <f>VLOOKUP(AJ336,rfm[],2,0)</f>
        <v>💤 Lost / Low Value</v>
      </c>
      <c r="AN336" s="99" t="b">
        <f t="shared" si="59"/>
        <v>0</v>
      </c>
    </row>
    <row r="337" spans="2:40" x14ac:dyDescent="0.3">
      <c r="B337" s="99" t="s">
        <v>220</v>
      </c>
      <c r="C337" s="100">
        <v>45721</v>
      </c>
      <c r="D337" s="99" t="s">
        <v>14</v>
      </c>
      <c r="E337" s="99" t="s">
        <v>15</v>
      </c>
      <c r="F337" s="99" t="s">
        <v>16</v>
      </c>
      <c r="G337" s="99">
        <v>5</v>
      </c>
      <c r="H337" s="112">
        <v>350000</v>
      </c>
      <c r="I337" s="112">
        <v>1750000</v>
      </c>
      <c r="J337" s="99" t="s">
        <v>2124</v>
      </c>
      <c r="K337" s="99" t="s">
        <v>8</v>
      </c>
      <c r="N337" s="99" t="s">
        <v>2368</v>
      </c>
      <c r="O337" s="99" t="s">
        <v>8</v>
      </c>
      <c r="P337" s="100">
        <f t="shared" si="51"/>
        <v>45931</v>
      </c>
      <c r="Q337" s="101">
        <f t="shared" si="50"/>
        <v>92</v>
      </c>
      <c r="R337" s="99">
        <f t="shared" si="52"/>
        <v>1</v>
      </c>
      <c r="S337" s="101">
        <f t="shared" si="53"/>
        <v>3250000</v>
      </c>
      <c r="T337" s="99" t="str">
        <f t="shared" si="54"/>
        <v>High</v>
      </c>
      <c r="U337" s="99" t="str">
        <f t="shared" si="55"/>
        <v>Low</v>
      </c>
      <c r="V337" s="99" t="str">
        <f t="shared" si="56"/>
        <v>Low</v>
      </c>
      <c r="W337" s="99" t="str">
        <f t="shared" si="57"/>
        <v>HLL</v>
      </c>
      <c r="X337" s="99" t="str">
        <f>VLOOKUP(W337,rfm[],2,FALSE)</f>
        <v>🌱 Potential Loyalists</v>
      </c>
      <c r="AA337" s="99" t="s">
        <v>2368</v>
      </c>
      <c r="AB337" s="99" t="s">
        <v>8</v>
      </c>
      <c r="AC337" s="100">
        <v>45931</v>
      </c>
      <c r="AD337" s="101">
        <v>92</v>
      </c>
      <c r="AE337" s="101">
        <v>1</v>
      </c>
      <c r="AF337" s="101">
        <v>3250000</v>
      </c>
      <c r="AG337" s="99" t="str">
        <f>VLOOKUP(AA337,recency!$K$6:$P$818,6,0)</f>
        <v>Low</v>
      </c>
      <c r="AH337" s="132" t="str">
        <f>VLOOKUP(AA337,frequency!$F$6:$H$818,3,FALSE)</f>
        <v>Low</v>
      </c>
      <c r="AI337" s="129" t="str">
        <f>VLOOKUP(AA337,monetary!$B$5:$F$817,5,0)</f>
        <v>Low</v>
      </c>
      <c r="AJ337" s="99" t="str">
        <f t="shared" si="58"/>
        <v>LLL</v>
      </c>
      <c r="AK337" s="99" t="str">
        <f>VLOOKUP(AJ337,rfm[],2,0)</f>
        <v>💤 Lost / Low Value</v>
      </c>
      <c r="AN337" s="99" t="b">
        <f t="shared" si="59"/>
        <v>0</v>
      </c>
    </row>
    <row r="338" spans="2:40" x14ac:dyDescent="0.3">
      <c r="B338" s="99" t="s">
        <v>221</v>
      </c>
      <c r="C338" s="100">
        <v>45721</v>
      </c>
      <c r="D338" s="99" t="s">
        <v>42</v>
      </c>
      <c r="E338" s="99" t="s">
        <v>43</v>
      </c>
      <c r="F338" s="99" t="s">
        <v>16</v>
      </c>
      <c r="G338" s="99">
        <v>16</v>
      </c>
      <c r="H338" s="112">
        <v>1200000</v>
      </c>
      <c r="I338" s="112">
        <v>19200000</v>
      </c>
      <c r="J338" s="99" t="s">
        <v>2191</v>
      </c>
      <c r="K338" s="99" t="s">
        <v>69</v>
      </c>
      <c r="N338" s="99" t="s">
        <v>2369</v>
      </c>
      <c r="O338" s="99" t="s">
        <v>127</v>
      </c>
      <c r="P338" s="100">
        <f t="shared" si="51"/>
        <v>45769</v>
      </c>
      <c r="Q338" s="101">
        <f t="shared" si="50"/>
        <v>254</v>
      </c>
      <c r="R338" s="99">
        <f t="shared" si="52"/>
        <v>1</v>
      </c>
      <c r="S338" s="101">
        <f t="shared" si="53"/>
        <v>9500000</v>
      </c>
      <c r="T338" s="99" t="str">
        <f t="shared" si="54"/>
        <v>Low</v>
      </c>
      <c r="U338" s="99" t="str">
        <f t="shared" si="55"/>
        <v>Low</v>
      </c>
      <c r="V338" s="99" t="str">
        <f t="shared" si="56"/>
        <v>Low</v>
      </c>
      <c r="W338" s="99" t="str">
        <f t="shared" si="57"/>
        <v>LLL</v>
      </c>
      <c r="X338" s="99" t="str">
        <f>VLOOKUP(W338,rfm[],2,FALSE)</f>
        <v>💤 Lost / Low Value</v>
      </c>
      <c r="AA338" s="99" t="s">
        <v>2369</v>
      </c>
      <c r="AB338" s="99" t="s">
        <v>127</v>
      </c>
      <c r="AC338" s="100">
        <v>45769</v>
      </c>
      <c r="AD338" s="101">
        <v>254</v>
      </c>
      <c r="AE338" s="101">
        <v>1</v>
      </c>
      <c r="AF338" s="101">
        <v>9500000</v>
      </c>
      <c r="AG338" s="99" t="str">
        <f>VLOOKUP(AA338,recency!$K$6:$P$818,6,0)</f>
        <v>Low</v>
      </c>
      <c r="AH338" s="132" t="str">
        <f>VLOOKUP(AA338,frequency!$F$6:$H$818,3,FALSE)</f>
        <v>Low</v>
      </c>
      <c r="AI338" s="129" t="str">
        <f>VLOOKUP(AA338,monetary!$B$5:$F$817,5,0)</f>
        <v>Low</v>
      </c>
      <c r="AJ338" s="99" t="str">
        <f t="shared" si="58"/>
        <v>LLL</v>
      </c>
      <c r="AK338" s="99" t="str">
        <f>VLOOKUP(AJ338,rfm[],2,0)</f>
        <v>💤 Lost / Low Value</v>
      </c>
      <c r="AN338" s="99" t="b">
        <f t="shared" si="59"/>
        <v>1</v>
      </c>
    </row>
    <row r="339" spans="2:40" x14ac:dyDescent="0.3">
      <c r="B339" s="99" t="s">
        <v>230</v>
      </c>
      <c r="C339" s="100">
        <v>45721</v>
      </c>
      <c r="D339" s="99" t="s">
        <v>40</v>
      </c>
      <c r="E339" s="99" t="s">
        <v>41</v>
      </c>
      <c r="F339" s="99" t="s">
        <v>16</v>
      </c>
      <c r="G339" s="99">
        <v>24</v>
      </c>
      <c r="H339" s="112">
        <v>950000</v>
      </c>
      <c r="I339" s="112">
        <v>22800000</v>
      </c>
      <c r="J339" s="99" t="s">
        <v>2475</v>
      </c>
      <c r="K339" s="99" t="s">
        <v>47</v>
      </c>
      <c r="N339" s="99" t="s">
        <v>2370</v>
      </c>
      <c r="O339" s="99" t="s">
        <v>60</v>
      </c>
      <c r="P339" s="100">
        <f t="shared" si="51"/>
        <v>45994</v>
      </c>
      <c r="Q339" s="101">
        <f t="shared" si="50"/>
        <v>29</v>
      </c>
      <c r="R339" s="99">
        <f t="shared" si="52"/>
        <v>2</v>
      </c>
      <c r="S339" s="101">
        <f t="shared" si="53"/>
        <v>15820000</v>
      </c>
      <c r="T339" s="99" t="str">
        <f t="shared" si="54"/>
        <v>High</v>
      </c>
      <c r="U339" s="99" t="str">
        <f t="shared" si="55"/>
        <v>Low</v>
      </c>
      <c r="V339" s="99" t="str">
        <f t="shared" si="56"/>
        <v>Low</v>
      </c>
      <c r="W339" s="99" t="str">
        <f t="shared" si="57"/>
        <v>HLL</v>
      </c>
      <c r="X339" s="99" t="str">
        <f>VLOOKUP(W339,rfm[],2,FALSE)</f>
        <v>🌱 Potential Loyalists</v>
      </c>
      <c r="AA339" s="99" t="s">
        <v>2370</v>
      </c>
      <c r="AB339" s="99" t="s">
        <v>60</v>
      </c>
      <c r="AC339" s="100">
        <v>45994</v>
      </c>
      <c r="AD339" s="101">
        <v>29</v>
      </c>
      <c r="AE339" s="101">
        <v>2</v>
      </c>
      <c r="AF339" s="101">
        <v>15820000</v>
      </c>
      <c r="AG339" s="99" t="str">
        <f>VLOOKUP(AA339,recency!$K$6:$P$818,6,0)</f>
        <v>High</v>
      </c>
      <c r="AH339" s="132" t="str">
        <f>VLOOKUP(AA339,frequency!$F$6:$H$818,3,FALSE)</f>
        <v>Low</v>
      </c>
      <c r="AI339" s="129" t="str">
        <f>VLOOKUP(AA339,monetary!$B$5:$F$817,5,0)</f>
        <v>Low</v>
      </c>
      <c r="AJ339" s="99" t="str">
        <f t="shared" si="58"/>
        <v>HLL</v>
      </c>
      <c r="AK339" s="99" t="str">
        <f>VLOOKUP(AJ339,rfm[],2,0)</f>
        <v>🌱 Potential Loyalists</v>
      </c>
      <c r="AN339" s="99" t="b">
        <f t="shared" si="59"/>
        <v>1</v>
      </c>
    </row>
    <row r="340" spans="2:40" x14ac:dyDescent="0.3">
      <c r="B340" s="99" t="s">
        <v>231</v>
      </c>
      <c r="C340" s="100">
        <v>45722</v>
      </c>
      <c r="D340" s="99" t="s">
        <v>40</v>
      </c>
      <c r="E340" s="99" t="s">
        <v>41</v>
      </c>
      <c r="F340" s="99" t="s">
        <v>16</v>
      </c>
      <c r="G340" s="99">
        <v>290</v>
      </c>
      <c r="H340" s="112">
        <v>950000</v>
      </c>
      <c r="I340" s="112">
        <v>275500000</v>
      </c>
      <c r="J340" s="99" t="s">
        <v>2533</v>
      </c>
      <c r="K340" s="99" t="s">
        <v>8</v>
      </c>
      <c r="N340" s="99" t="s">
        <v>2371</v>
      </c>
      <c r="O340" s="99" t="s">
        <v>8</v>
      </c>
      <c r="P340" s="100">
        <f t="shared" si="51"/>
        <v>45974</v>
      </c>
      <c r="Q340" s="101">
        <f t="shared" si="50"/>
        <v>49</v>
      </c>
      <c r="R340" s="99">
        <f t="shared" si="52"/>
        <v>2</v>
      </c>
      <c r="S340" s="101">
        <f t="shared" si="53"/>
        <v>4260000</v>
      </c>
      <c r="T340" s="99" t="str">
        <f t="shared" si="54"/>
        <v>High</v>
      </c>
      <c r="U340" s="99" t="str">
        <f t="shared" si="55"/>
        <v>Low</v>
      </c>
      <c r="V340" s="99" t="str">
        <f t="shared" si="56"/>
        <v>Low</v>
      </c>
      <c r="W340" s="99" t="str">
        <f t="shared" si="57"/>
        <v>HLL</v>
      </c>
      <c r="X340" s="99" t="str">
        <f>VLOOKUP(W340,rfm[],2,FALSE)</f>
        <v>🌱 Potential Loyalists</v>
      </c>
      <c r="AA340" s="99" t="s">
        <v>2371</v>
      </c>
      <c r="AB340" s="99" t="s">
        <v>8</v>
      </c>
      <c r="AC340" s="100">
        <v>45974</v>
      </c>
      <c r="AD340" s="101">
        <v>49</v>
      </c>
      <c r="AE340" s="101">
        <v>2</v>
      </c>
      <c r="AF340" s="101">
        <v>4260000</v>
      </c>
      <c r="AG340" s="99" t="str">
        <f>VLOOKUP(AA340,recency!$K$6:$P$818,6,0)</f>
        <v>High</v>
      </c>
      <c r="AH340" s="132" t="str">
        <f>VLOOKUP(AA340,frequency!$F$6:$H$818,3,FALSE)</f>
        <v>Low</v>
      </c>
      <c r="AI340" s="129" t="str">
        <f>VLOOKUP(AA340,monetary!$B$5:$F$817,5,0)</f>
        <v>Low</v>
      </c>
      <c r="AJ340" s="99" t="str">
        <f t="shared" si="58"/>
        <v>HLL</v>
      </c>
      <c r="AK340" s="99" t="str">
        <f>VLOOKUP(AJ340,rfm[],2,0)</f>
        <v>🌱 Potential Loyalists</v>
      </c>
      <c r="AN340" s="99" t="b">
        <f t="shared" si="59"/>
        <v>1</v>
      </c>
    </row>
    <row r="341" spans="2:40" x14ac:dyDescent="0.3">
      <c r="B341" s="99" t="s">
        <v>242</v>
      </c>
      <c r="C341" s="100">
        <v>45722</v>
      </c>
      <c r="D341" s="99" t="s">
        <v>22</v>
      </c>
      <c r="E341" s="99" t="s">
        <v>23</v>
      </c>
      <c r="F341" s="99" t="s">
        <v>12</v>
      </c>
      <c r="G341" s="99">
        <v>39</v>
      </c>
      <c r="H341" s="112">
        <v>25000</v>
      </c>
      <c r="I341" s="112">
        <v>975000</v>
      </c>
      <c r="J341" s="99" t="s">
        <v>2593</v>
      </c>
      <c r="K341" s="99" t="s">
        <v>69</v>
      </c>
      <c r="N341" s="99" t="s">
        <v>2372</v>
      </c>
      <c r="O341" s="99" t="s">
        <v>8</v>
      </c>
      <c r="P341" s="100">
        <f t="shared" si="51"/>
        <v>45945</v>
      </c>
      <c r="Q341" s="101">
        <f t="shared" si="50"/>
        <v>78</v>
      </c>
      <c r="R341" s="99">
        <f t="shared" si="52"/>
        <v>2</v>
      </c>
      <c r="S341" s="101">
        <f t="shared" si="53"/>
        <v>13230000</v>
      </c>
      <c r="T341" s="99" t="str">
        <f t="shared" si="54"/>
        <v>High</v>
      </c>
      <c r="U341" s="99" t="str">
        <f t="shared" si="55"/>
        <v>Low</v>
      </c>
      <c r="V341" s="99" t="str">
        <f t="shared" si="56"/>
        <v>Low</v>
      </c>
      <c r="W341" s="99" t="str">
        <f t="shared" si="57"/>
        <v>HLL</v>
      </c>
      <c r="X341" s="99" t="str">
        <f>VLOOKUP(W341,rfm[],2,FALSE)</f>
        <v>🌱 Potential Loyalists</v>
      </c>
      <c r="AA341" s="99" t="s">
        <v>2372</v>
      </c>
      <c r="AB341" s="99" t="s">
        <v>8</v>
      </c>
      <c r="AC341" s="100">
        <v>45945</v>
      </c>
      <c r="AD341" s="101">
        <v>78</v>
      </c>
      <c r="AE341" s="101">
        <v>2</v>
      </c>
      <c r="AF341" s="101">
        <v>13230000</v>
      </c>
      <c r="AG341" s="99" t="str">
        <f>VLOOKUP(AA341,recency!$K$6:$P$818,6,0)</f>
        <v>Low</v>
      </c>
      <c r="AH341" s="132" t="str">
        <f>VLOOKUP(AA341,frequency!$F$6:$H$818,3,FALSE)</f>
        <v>Low</v>
      </c>
      <c r="AI341" s="129" t="str">
        <f>VLOOKUP(AA341,monetary!$B$5:$F$817,5,0)</f>
        <v>Low</v>
      </c>
      <c r="AJ341" s="99" t="str">
        <f t="shared" si="58"/>
        <v>LLL</v>
      </c>
      <c r="AK341" s="99" t="str">
        <f>VLOOKUP(AJ341,rfm[],2,0)</f>
        <v>💤 Lost / Low Value</v>
      </c>
      <c r="AN341" s="99" t="b">
        <f t="shared" si="59"/>
        <v>0</v>
      </c>
    </row>
    <row r="342" spans="2:40" x14ac:dyDescent="0.3">
      <c r="B342" s="99" t="s">
        <v>243</v>
      </c>
      <c r="C342" s="100">
        <v>45722</v>
      </c>
      <c r="D342" s="99" t="s">
        <v>18</v>
      </c>
      <c r="E342" s="99" t="s">
        <v>19</v>
      </c>
      <c r="F342" s="99" t="s">
        <v>20</v>
      </c>
      <c r="G342" s="99">
        <v>48</v>
      </c>
      <c r="H342" s="112">
        <v>500000</v>
      </c>
      <c r="I342" s="112">
        <v>24000000</v>
      </c>
      <c r="J342" s="99" t="s">
        <v>2756</v>
      </c>
      <c r="K342" s="99" t="s">
        <v>47</v>
      </c>
      <c r="N342" s="99" t="s">
        <v>2373</v>
      </c>
      <c r="O342" s="99" t="s">
        <v>69</v>
      </c>
      <c r="P342" s="100">
        <f t="shared" si="51"/>
        <v>45951</v>
      </c>
      <c r="Q342" s="101">
        <f t="shared" si="50"/>
        <v>72</v>
      </c>
      <c r="R342" s="99">
        <f t="shared" si="52"/>
        <v>2</v>
      </c>
      <c r="S342" s="101">
        <f t="shared" si="53"/>
        <v>20990000</v>
      </c>
      <c r="T342" s="99" t="str">
        <f t="shared" si="54"/>
        <v>High</v>
      </c>
      <c r="U342" s="99" t="str">
        <f t="shared" si="55"/>
        <v>Low</v>
      </c>
      <c r="V342" s="99" t="str">
        <f t="shared" si="56"/>
        <v>High</v>
      </c>
      <c r="W342" s="99" t="str">
        <f t="shared" si="57"/>
        <v>HLH</v>
      </c>
      <c r="X342" s="99" t="str">
        <f>VLOOKUP(W342,rfm[],2,FALSE)</f>
        <v>🛒 Big Spenders (Occasional)</v>
      </c>
      <c r="AA342" s="99" t="s">
        <v>2373</v>
      </c>
      <c r="AB342" s="99" t="s">
        <v>69</v>
      </c>
      <c r="AC342" s="100">
        <v>45951</v>
      </c>
      <c r="AD342" s="101">
        <v>72</v>
      </c>
      <c r="AE342" s="101">
        <v>2</v>
      </c>
      <c r="AF342" s="101">
        <v>20990000</v>
      </c>
      <c r="AG342" s="99" t="str">
        <f>VLOOKUP(AA342,recency!$K$6:$P$818,6,0)</f>
        <v>Low</v>
      </c>
      <c r="AH342" s="132" t="str">
        <f>VLOOKUP(AA342,frequency!$F$6:$H$818,3,FALSE)</f>
        <v>Low</v>
      </c>
      <c r="AI342" s="129" t="str">
        <f>VLOOKUP(AA342,monetary!$B$5:$F$817,5,0)</f>
        <v>Low</v>
      </c>
      <c r="AJ342" s="99" t="str">
        <f t="shared" si="58"/>
        <v>LLL</v>
      </c>
      <c r="AK342" s="99" t="str">
        <f>VLOOKUP(AJ342,rfm[],2,0)</f>
        <v>💤 Lost / Low Value</v>
      </c>
      <c r="AN342" s="99" t="b">
        <f t="shared" si="59"/>
        <v>0</v>
      </c>
    </row>
    <row r="343" spans="2:40" x14ac:dyDescent="0.3">
      <c r="B343" s="99" t="s">
        <v>244</v>
      </c>
      <c r="C343" s="100">
        <v>45722</v>
      </c>
      <c r="D343" s="99" t="s">
        <v>22</v>
      </c>
      <c r="E343" s="99" t="s">
        <v>23</v>
      </c>
      <c r="F343" s="99" t="s">
        <v>12</v>
      </c>
      <c r="G343" s="99">
        <v>29</v>
      </c>
      <c r="H343" s="112">
        <v>25000</v>
      </c>
      <c r="I343" s="112">
        <v>725000</v>
      </c>
      <c r="J343" s="99" t="s">
        <v>2274</v>
      </c>
      <c r="K343" s="99" t="s">
        <v>60</v>
      </c>
      <c r="N343" s="99" t="s">
        <v>2374</v>
      </c>
      <c r="O343" s="99" t="s">
        <v>47</v>
      </c>
      <c r="P343" s="100">
        <f t="shared" si="51"/>
        <v>45714</v>
      </c>
      <c r="Q343" s="101">
        <f t="shared" si="50"/>
        <v>309</v>
      </c>
      <c r="R343" s="99">
        <f t="shared" si="52"/>
        <v>1</v>
      </c>
      <c r="S343" s="101">
        <f t="shared" si="53"/>
        <v>7200000</v>
      </c>
      <c r="T343" s="99" t="str">
        <f t="shared" si="54"/>
        <v>Low</v>
      </c>
      <c r="U343" s="99" t="str">
        <f t="shared" si="55"/>
        <v>Low</v>
      </c>
      <c r="V343" s="99" t="str">
        <f t="shared" si="56"/>
        <v>Low</v>
      </c>
      <c r="W343" s="99" t="str">
        <f t="shared" si="57"/>
        <v>LLL</v>
      </c>
      <c r="X343" s="99" t="str">
        <f>VLOOKUP(W343,rfm[],2,FALSE)</f>
        <v>💤 Lost / Low Value</v>
      </c>
      <c r="AA343" s="99" t="s">
        <v>2374</v>
      </c>
      <c r="AB343" s="99" t="s">
        <v>47</v>
      </c>
      <c r="AC343" s="100">
        <v>45714</v>
      </c>
      <c r="AD343" s="101">
        <v>309</v>
      </c>
      <c r="AE343" s="101">
        <v>1</v>
      </c>
      <c r="AF343" s="101">
        <v>7200000</v>
      </c>
      <c r="AG343" s="99" t="str">
        <f>VLOOKUP(AA343,recency!$K$6:$P$818,6,0)</f>
        <v>Low</v>
      </c>
      <c r="AH343" s="132" t="str">
        <f>VLOOKUP(AA343,frequency!$F$6:$H$818,3,FALSE)</f>
        <v>Low</v>
      </c>
      <c r="AI343" s="129" t="str">
        <f>VLOOKUP(AA343,monetary!$B$5:$F$817,5,0)</f>
        <v>Low</v>
      </c>
      <c r="AJ343" s="99" t="str">
        <f t="shared" si="58"/>
        <v>LLL</v>
      </c>
      <c r="AK343" s="99" t="str">
        <f>VLOOKUP(AJ343,rfm[],2,0)</f>
        <v>💤 Lost / Low Value</v>
      </c>
      <c r="AN343" s="99" t="b">
        <f t="shared" si="59"/>
        <v>1</v>
      </c>
    </row>
    <row r="344" spans="2:40" x14ac:dyDescent="0.3">
      <c r="B344" s="99" t="s">
        <v>245</v>
      </c>
      <c r="C344" s="100">
        <v>45722</v>
      </c>
      <c r="D344" s="99" t="s">
        <v>28</v>
      </c>
      <c r="E344" s="99" t="s">
        <v>29</v>
      </c>
      <c r="F344" s="99" t="s">
        <v>20</v>
      </c>
      <c r="G344" s="99">
        <v>12</v>
      </c>
      <c r="H344" s="112">
        <v>450000</v>
      </c>
      <c r="I344" s="112">
        <v>5400000</v>
      </c>
      <c r="J344" s="99" t="s">
        <v>2570</v>
      </c>
      <c r="K344" s="99" t="s">
        <v>8</v>
      </c>
      <c r="N344" s="99" t="s">
        <v>2375</v>
      </c>
      <c r="O344" s="99" t="s">
        <v>127</v>
      </c>
      <c r="P344" s="100">
        <f t="shared" si="51"/>
        <v>45931</v>
      </c>
      <c r="Q344" s="101">
        <f t="shared" si="50"/>
        <v>92</v>
      </c>
      <c r="R344" s="99">
        <f t="shared" si="52"/>
        <v>1</v>
      </c>
      <c r="S344" s="101">
        <f t="shared" si="53"/>
        <v>11000000</v>
      </c>
      <c r="T344" s="99" t="str">
        <f t="shared" si="54"/>
        <v>High</v>
      </c>
      <c r="U344" s="99" t="str">
        <f t="shared" si="55"/>
        <v>Low</v>
      </c>
      <c r="V344" s="99" t="str">
        <f t="shared" si="56"/>
        <v>Low</v>
      </c>
      <c r="W344" s="99" t="str">
        <f t="shared" si="57"/>
        <v>HLL</v>
      </c>
      <c r="X344" s="99" t="str">
        <f>VLOOKUP(W344,rfm[],2,FALSE)</f>
        <v>🌱 Potential Loyalists</v>
      </c>
      <c r="AA344" s="99" t="s">
        <v>2375</v>
      </c>
      <c r="AB344" s="99" t="s">
        <v>127</v>
      </c>
      <c r="AC344" s="100">
        <v>45931</v>
      </c>
      <c r="AD344" s="101">
        <v>92</v>
      </c>
      <c r="AE344" s="101">
        <v>1</v>
      </c>
      <c r="AF344" s="101">
        <v>11000000</v>
      </c>
      <c r="AG344" s="99" t="str">
        <f>VLOOKUP(AA344,recency!$K$6:$P$818,6,0)</f>
        <v>Low</v>
      </c>
      <c r="AH344" s="132" t="str">
        <f>VLOOKUP(AA344,frequency!$F$6:$H$818,3,FALSE)</f>
        <v>Low</v>
      </c>
      <c r="AI344" s="129" t="str">
        <f>VLOOKUP(AA344,monetary!$B$5:$F$817,5,0)</f>
        <v>Low</v>
      </c>
      <c r="AJ344" s="99" t="str">
        <f t="shared" si="58"/>
        <v>LLL</v>
      </c>
      <c r="AK344" s="99" t="str">
        <f>VLOOKUP(AJ344,rfm[],2,0)</f>
        <v>💤 Lost / Low Value</v>
      </c>
      <c r="AN344" s="99" t="b">
        <f t="shared" si="59"/>
        <v>0</v>
      </c>
    </row>
    <row r="345" spans="2:40" x14ac:dyDescent="0.3">
      <c r="B345" s="99" t="s">
        <v>260</v>
      </c>
      <c r="C345" s="100">
        <v>45722</v>
      </c>
      <c r="D345" s="99" t="s">
        <v>44</v>
      </c>
      <c r="E345" s="99" t="s">
        <v>45</v>
      </c>
      <c r="F345" s="99" t="s">
        <v>16</v>
      </c>
      <c r="G345" s="99">
        <v>420</v>
      </c>
      <c r="H345" s="112">
        <v>250000</v>
      </c>
      <c r="I345" s="112">
        <v>105000000</v>
      </c>
      <c r="J345" s="99" t="s">
        <v>2686</v>
      </c>
      <c r="K345" s="99" t="s">
        <v>8</v>
      </c>
      <c r="N345" s="99" t="s">
        <v>2376</v>
      </c>
      <c r="O345" s="99" t="s">
        <v>127</v>
      </c>
      <c r="P345" s="100">
        <f t="shared" si="51"/>
        <v>46007</v>
      </c>
      <c r="Q345" s="101">
        <f t="shared" si="50"/>
        <v>16</v>
      </c>
      <c r="R345" s="99">
        <f t="shared" si="52"/>
        <v>6</v>
      </c>
      <c r="S345" s="101">
        <f t="shared" si="53"/>
        <v>58820000</v>
      </c>
      <c r="T345" s="99" t="str">
        <f t="shared" si="54"/>
        <v>High</v>
      </c>
      <c r="U345" s="99" t="str">
        <f t="shared" si="55"/>
        <v>High</v>
      </c>
      <c r="V345" s="99" t="str">
        <f t="shared" si="56"/>
        <v>High</v>
      </c>
      <c r="W345" s="99" t="str">
        <f t="shared" si="57"/>
        <v>HHH</v>
      </c>
      <c r="X345" s="99" t="str">
        <f>VLOOKUP(W345,rfm[],2,FALSE)</f>
        <v>🥇 Champions</v>
      </c>
      <c r="AA345" s="99" t="s">
        <v>2376</v>
      </c>
      <c r="AB345" s="99" t="s">
        <v>127</v>
      </c>
      <c r="AC345" s="100">
        <v>46007</v>
      </c>
      <c r="AD345" s="101">
        <v>16</v>
      </c>
      <c r="AE345" s="101">
        <v>6</v>
      </c>
      <c r="AF345" s="101">
        <v>58820000</v>
      </c>
      <c r="AG345" s="99" t="str">
        <f>VLOOKUP(AA345,recency!$K$6:$P$818,6,0)</f>
        <v>High</v>
      </c>
      <c r="AH345" s="132" t="str">
        <f>VLOOKUP(AA345,frequency!$F$6:$H$818,3,FALSE)</f>
        <v>High</v>
      </c>
      <c r="AI345" s="129" t="str">
        <f>VLOOKUP(AA345,monetary!$B$5:$F$817,5,0)</f>
        <v>High</v>
      </c>
      <c r="AJ345" s="99" t="str">
        <f t="shared" si="58"/>
        <v>HHH</v>
      </c>
      <c r="AK345" s="99" t="str">
        <f>VLOOKUP(AJ345,rfm[],2,0)</f>
        <v>🥇 Champions</v>
      </c>
      <c r="AN345" s="99" t="b">
        <f t="shared" si="59"/>
        <v>1</v>
      </c>
    </row>
    <row r="346" spans="2:40" x14ac:dyDescent="0.3">
      <c r="B346" s="99" t="s">
        <v>261</v>
      </c>
      <c r="C346" s="100">
        <v>45722</v>
      </c>
      <c r="D346" s="99" t="s">
        <v>31</v>
      </c>
      <c r="E346" s="99" t="s">
        <v>32</v>
      </c>
      <c r="F346" s="99" t="s">
        <v>20</v>
      </c>
      <c r="G346" s="99">
        <v>9</v>
      </c>
      <c r="H346" s="112">
        <v>180000</v>
      </c>
      <c r="I346" s="112">
        <v>1620000</v>
      </c>
      <c r="J346" s="99" t="s">
        <v>2447</v>
      </c>
      <c r="K346" s="99" t="s">
        <v>8</v>
      </c>
      <c r="N346" s="99" t="s">
        <v>2377</v>
      </c>
      <c r="O346" s="99" t="s">
        <v>60</v>
      </c>
      <c r="P346" s="100">
        <f t="shared" si="51"/>
        <v>45968</v>
      </c>
      <c r="Q346" s="101">
        <f t="shared" si="50"/>
        <v>55</v>
      </c>
      <c r="R346" s="99">
        <f t="shared" si="52"/>
        <v>1</v>
      </c>
      <c r="S346" s="101">
        <f t="shared" si="53"/>
        <v>22500000</v>
      </c>
      <c r="T346" s="99" t="str">
        <f t="shared" si="54"/>
        <v>High</v>
      </c>
      <c r="U346" s="99" t="str">
        <f t="shared" si="55"/>
        <v>Low</v>
      </c>
      <c r="V346" s="99" t="str">
        <f t="shared" si="56"/>
        <v>High</v>
      </c>
      <c r="W346" s="99" t="str">
        <f t="shared" si="57"/>
        <v>HLH</v>
      </c>
      <c r="X346" s="99" t="str">
        <f>VLOOKUP(W346,rfm[],2,FALSE)</f>
        <v>🛒 Big Spenders (Occasional)</v>
      </c>
      <c r="AA346" s="99" t="s">
        <v>2377</v>
      </c>
      <c r="AB346" s="99" t="s">
        <v>60</v>
      </c>
      <c r="AC346" s="100">
        <v>45968</v>
      </c>
      <c r="AD346" s="101">
        <v>55</v>
      </c>
      <c r="AE346" s="101">
        <v>1</v>
      </c>
      <c r="AF346" s="101">
        <v>22500000</v>
      </c>
      <c r="AG346" s="99" t="str">
        <f>VLOOKUP(AA346,recency!$K$6:$P$818,6,0)</f>
        <v>High</v>
      </c>
      <c r="AH346" s="132" t="str">
        <f>VLOOKUP(AA346,frequency!$F$6:$H$818,3,FALSE)</f>
        <v>Low</v>
      </c>
      <c r="AI346" s="129" t="str">
        <f>VLOOKUP(AA346,monetary!$B$5:$F$817,5,0)</f>
        <v>Low</v>
      </c>
      <c r="AJ346" s="99" t="str">
        <f t="shared" si="58"/>
        <v>HLL</v>
      </c>
      <c r="AK346" s="99" t="str">
        <f>VLOOKUP(AJ346,rfm[],2,0)</f>
        <v>🌱 Potential Loyalists</v>
      </c>
      <c r="AN346" s="99" t="b">
        <f t="shared" si="59"/>
        <v>0</v>
      </c>
    </row>
    <row r="347" spans="2:40" x14ac:dyDescent="0.3">
      <c r="B347" s="99" t="s">
        <v>262</v>
      </c>
      <c r="C347" s="100">
        <v>45722</v>
      </c>
      <c r="D347" s="99" t="s">
        <v>40</v>
      </c>
      <c r="E347" s="99" t="s">
        <v>41</v>
      </c>
      <c r="F347" s="99" t="s">
        <v>16</v>
      </c>
      <c r="G347" s="99">
        <v>42</v>
      </c>
      <c r="H347" s="112">
        <v>950000</v>
      </c>
      <c r="I347" s="112">
        <v>39900000</v>
      </c>
      <c r="J347" s="99" t="s">
        <v>89</v>
      </c>
      <c r="K347" s="99" t="s">
        <v>47</v>
      </c>
      <c r="N347" s="99" t="s">
        <v>2378</v>
      </c>
      <c r="O347" s="99" t="s">
        <v>60</v>
      </c>
      <c r="P347" s="100">
        <f t="shared" si="51"/>
        <v>46021</v>
      </c>
      <c r="Q347" s="101">
        <f t="shared" si="50"/>
        <v>2</v>
      </c>
      <c r="R347" s="99">
        <f t="shared" si="52"/>
        <v>1</v>
      </c>
      <c r="S347" s="101">
        <f t="shared" si="53"/>
        <v>50400000</v>
      </c>
      <c r="T347" s="99" t="str">
        <f t="shared" si="54"/>
        <v>High</v>
      </c>
      <c r="U347" s="99" t="str">
        <f t="shared" si="55"/>
        <v>Low</v>
      </c>
      <c r="V347" s="99" t="str">
        <f t="shared" si="56"/>
        <v>High</v>
      </c>
      <c r="W347" s="99" t="str">
        <f t="shared" si="57"/>
        <v>HLH</v>
      </c>
      <c r="X347" s="99" t="str">
        <f>VLOOKUP(W347,rfm[],2,FALSE)</f>
        <v>🛒 Big Spenders (Occasional)</v>
      </c>
      <c r="AA347" s="99" t="s">
        <v>2378</v>
      </c>
      <c r="AB347" s="99" t="s">
        <v>60</v>
      </c>
      <c r="AC347" s="100">
        <v>46021</v>
      </c>
      <c r="AD347" s="101">
        <v>2</v>
      </c>
      <c r="AE347" s="101">
        <v>1</v>
      </c>
      <c r="AF347" s="101">
        <v>50400000</v>
      </c>
      <c r="AG347" s="99" t="str">
        <f>VLOOKUP(AA347,recency!$K$6:$P$818,6,0)</f>
        <v>High</v>
      </c>
      <c r="AH347" s="132" t="str">
        <f>VLOOKUP(AA347,frequency!$F$6:$H$818,3,FALSE)</f>
        <v>Low</v>
      </c>
      <c r="AI347" s="129" t="str">
        <f>VLOOKUP(AA347,monetary!$B$5:$F$817,5,0)</f>
        <v>High</v>
      </c>
      <c r="AJ347" s="99" t="str">
        <f t="shared" si="58"/>
        <v>HLH</v>
      </c>
      <c r="AK347" s="99" t="str">
        <f>VLOOKUP(AJ347,rfm[],2,0)</f>
        <v>🛒 Big Spenders (Occasional)</v>
      </c>
      <c r="AN347" s="99" t="b">
        <f t="shared" si="59"/>
        <v>1</v>
      </c>
    </row>
    <row r="348" spans="2:40" x14ac:dyDescent="0.3">
      <c r="B348" s="99" t="s">
        <v>275</v>
      </c>
      <c r="C348" s="100">
        <v>45722</v>
      </c>
      <c r="D348" s="99" t="s">
        <v>10</v>
      </c>
      <c r="E348" s="99" t="s">
        <v>11</v>
      </c>
      <c r="F348" s="99" t="s">
        <v>12</v>
      </c>
      <c r="G348" s="99">
        <v>27</v>
      </c>
      <c r="H348" s="112">
        <v>120000</v>
      </c>
      <c r="I348" s="112">
        <v>3240000</v>
      </c>
      <c r="J348" s="99" t="s">
        <v>2484</v>
      </c>
      <c r="K348" s="99" t="s">
        <v>60</v>
      </c>
      <c r="N348" s="99" t="s">
        <v>2379</v>
      </c>
      <c r="O348" s="99" t="s">
        <v>127</v>
      </c>
      <c r="P348" s="100">
        <f t="shared" si="51"/>
        <v>45911</v>
      </c>
      <c r="Q348" s="101">
        <f t="shared" si="50"/>
        <v>112</v>
      </c>
      <c r="R348" s="99">
        <f t="shared" si="52"/>
        <v>2</v>
      </c>
      <c r="S348" s="101">
        <f t="shared" si="53"/>
        <v>7800000</v>
      </c>
      <c r="T348" s="99" t="str">
        <f t="shared" si="54"/>
        <v>Low</v>
      </c>
      <c r="U348" s="99" t="str">
        <f t="shared" si="55"/>
        <v>Low</v>
      </c>
      <c r="V348" s="99" t="str">
        <f t="shared" si="56"/>
        <v>Low</v>
      </c>
      <c r="W348" s="99" t="str">
        <f t="shared" si="57"/>
        <v>LLL</v>
      </c>
      <c r="X348" s="99" t="str">
        <f>VLOOKUP(W348,rfm[],2,FALSE)</f>
        <v>💤 Lost / Low Value</v>
      </c>
      <c r="AA348" s="99" t="s">
        <v>2379</v>
      </c>
      <c r="AB348" s="99" t="s">
        <v>127</v>
      </c>
      <c r="AC348" s="100">
        <v>45911</v>
      </c>
      <c r="AD348" s="101">
        <v>112</v>
      </c>
      <c r="AE348" s="101">
        <v>2</v>
      </c>
      <c r="AF348" s="101">
        <v>7800000</v>
      </c>
      <c r="AG348" s="99" t="str">
        <f>VLOOKUP(AA348,recency!$K$6:$P$818,6,0)</f>
        <v>Low</v>
      </c>
      <c r="AH348" s="132" t="str">
        <f>VLOOKUP(AA348,frequency!$F$6:$H$818,3,FALSE)</f>
        <v>Low</v>
      </c>
      <c r="AI348" s="129" t="str">
        <f>VLOOKUP(AA348,monetary!$B$5:$F$817,5,0)</f>
        <v>Low</v>
      </c>
      <c r="AJ348" s="99" t="str">
        <f t="shared" si="58"/>
        <v>LLL</v>
      </c>
      <c r="AK348" s="99" t="str">
        <f>VLOOKUP(AJ348,rfm[],2,0)</f>
        <v>💤 Lost / Low Value</v>
      </c>
      <c r="AN348" s="99" t="b">
        <f t="shared" si="59"/>
        <v>1</v>
      </c>
    </row>
    <row r="349" spans="2:40" x14ac:dyDescent="0.3">
      <c r="B349" s="99" t="s">
        <v>276</v>
      </c>
      <c r="C349" s="100">
        <v>45722</v>
      </c>
      <c r="D349" s="99" t="s">
        <v>18</v>
      </c>
      <c r="E349" s="99" t="s">
        <v>19</v>
      </c>
      <c r="F349" s="99" t="s">
        <v>20</v>
      </c>
      <c r="G349" s="99">
        <v>27</v>
      </c>
      <c r="H349" s="112">
        <v>500000</v>
      </c>
      <c r="I349" s="112">
        <v>13500000</v>
      </c>
      <c r="J349" s="99" t="s">
        <v>2696</v>
      </c>
      <c r="K349" s="99" t="s">
        <v>60</v>
      </c>
      <c r="N349" s="99" t="s">
        <v>2380</v>
      </c>
      <c r="O349" s="99" t="s">
        <v>69</v>
      </c>
      <c r="P349" s="100">
        <f t="shared" si="51"/>
        <v>45979</v>
      </c>
      <c r="Q349" s="101">
        <f t="shared" si="50"/>
        <v>44</v>
      </c>
      <c r="R349" s="99">
        <f t="shared" si="52"/>
        <v>2</v>
      </c>
      <c r="S349" s="101">
        <f t="shared" si="53"/>
        <v>24150000</v>
      </c>
      <c r="T349" s="99" t="str">
        <f t="shared" si="54"/>
        <v>High</v>
      </c>
      <c r="U349" s="99" t="str">
        <f t="shared" si="55"/>
        <v>Low</v>
      </c>
      <c r="V349" s="99" t="str">
        <f t="shared" si="56"/>
        <v>High</v>
      </c>
      <c r="W349" s="99" t="str">
        <f t="shared" si="57"/>
        <v>HLH</v>
      </c>
      <c r="X349" s="99" t="str">
        <f>VLOOKUP(W349,rfm[],2,FALSE)</f>
        <v>🛒 Big Spenders (Occasional)</v>
      </c>
      <c r="AA349" s="99" t="s">
        <v>2380</v>
      </c>
      <c r="AB349" s="99" t="s">
        <v>69</v>
      </c>
      <c r="AC349" s="100">
        <v>45979</v>
      </c>
      <c r="AD349" s="101">
        <v>44</v>
      </c>
      <c r="AE349" s="101">
        <v>2</v>
      </c>
      <c r="AF349" s="101">
        <v>24150000</v>
      </c>
      <c r="AG349" s="99" t="str">
        <f>VLOOKUP(AA349,recency!$K$6:$P$818,6,0)</f>
        <v>High</v>
      </c>
      <c r="AH349" s="132" t="str">
        <f>VLOOKUP(AA349,frequency!$F$6:$H$818,3,FALSE)</f>
        <v>Low</v>
      </c>
      <c r="AI349" s="129" t="str">
        <f>VLOOKUP(AA349,monetary!$B$5:$F$817,5,0)</f>
        <v>Low</v>
      </c>
      <c r="AJ349" s="99" t="str">
        <f t="shared" si="58"/>
        <v>HLL</v>
      </c>
      <c r="AK349" s="99" t="str">
        <f>VLOOKUP(AJ349,rfm[],2,0)</f>
        <v>🌱 Potential Loyalists</v>
      </c>
      <c r="AN349" s="99" t="b">
        <f t="shared" si="59"/>
        <v>0</v>
      </c>
    </row>
    <row r="350" spans="2:40" x14ac:dyDescent="0.3">
      <c r="B350" s="99" t="s">
        <v>277</v>
      </c>
      <c r="C350" s="100">
        <v>45722</v>
      </c>
      <c r="D350" s="99" t="s">
        <v>28</v>
      </c>
      <c r="E350" s="99" t="s">
        <v>29</v>
      </c>
      <c r="F350" s="99" t="s">
        <v>20</v>
      </c>
      <c r="G350" s="99">
        <v>6</v>
      </c>
      <c r="H350" s="112">
        <v>450000</v>
      </c>
      <c r="I350" s="112">
        <v>2700000</v>
      </c>
      <c r="J350" s="99" t="s">
        <v>2365</v>
      </c>
      <c r="K350" s="99" t="s">
        <v>60</v>
      </c>
      <c r="N350" s="99" t="s">
        <v>2381</v>
      </c>
      <c r="O350" s="99" t="s">
        <v>8</v>
      </c>
      <c r="P350" s="100">
        <f t="shared" si="51"/>
        <v>45925</v>
      </c>
      <c r="Q350" s="101">
        <f t="shared" si="50"/>
        <v>98</v>
      </c>
      <c r="R350" s="99">
        <f t="shared" si="52"/>
        <v>2</v>
      </c>
      <c r="S350" s="101">
        <f t="shared" si="53"/>
        <v>41400000</v>
      </c>
      <c r="T350" s="99" t="str">
        <f t="shared" si="54"/>
        <v>Low</v>
      </c>
      <c r="U350" s="99" t="str">
        <f t="shared" si="55"/>
        <v>Low</v>
      </c>
      <c r="V350" s="99" t="str">
        <f t="shared" si="56"/>
        <v>High</v>
      </c>
      <c r="W350" s="99" t="str">
        <f t="shared" si="57"/>
        <v>LLH</v>
      </c>
      <c r="X350" s="99" t="str">
        <f>VLOOKUP(W350,rfm[],2,FALSE)</f>
        <v>💸 Lost High Spenders</v>
      </c>
      <c r="AA350" s="99" t="s">
        <v>2381</v>
      </c>
      <c r="AB350" s="99" t="s">
        <v>8</v>
      </c>
      <c r="AC350" s="100">
        <v>45925</v>
      </c>
      <c r="AD350" s="101">
        <v>98</v>
      </c>
      <c r="AE350" s="101">
        <v>2</v>
      </c>
      <c r="AF350" s="101">
        <v>41400000</v>
      </c>
      <c r="AG350" s="99" t="str">
        <f>VLOOKUP(AA350,recency!$K$6:$P$818,6,0)</f>
        <v>Low</v>
      </c>
      <c r="AH350" s="132" t="str">
        <f>VLOOKUP(AA350,frequency!$F$6:$H$818,3,FALSE)</f>
        <v>Low</v>
      </c>
      <c r="AI350" s="129" t="str">
        <f>VLOOKUP(AA350,monetary!$B$5:$F$817,5,0)</f>
        <v>Low</v>
      </c>
      <c r="AJ350" s="99" t="str">
        <f t="shared" si="58"/>
        <v>LLL</v>
      </c>
      <c r="AK350" s="99" t="str">
        <f>VLOOKUP(AJ350,rfm[],2,0)</f>
        <v>💤 Lost / Low Value</v>
      </c>
      <c r="AN350" s="99" t="b">
        <f t="shared" si="59"/>
        <v>0</v>
      </c>
    </row>
    <row r="351" spans="2:40" x14ac:dyDescent="0.3">
      <c r="B351" s="99" t="s">
        <v>278</v>
      </c>
      <c r="C351" s="100">
        <v>45722</v>
      </c>
      <c r="D351" s="99" t="s">
        <v>14</v>
      </c>
      <c r="E351" s="99" t="s">
        <v>15</v>
      </c>
      <c r="F351" s="99" t="s">
        <v>16</v>
      </c>
      <c r="G351" s="99">
        <v>28</v>
      </c>
      <c r="H351" s="112">
        <v>350000</v>
      </c>
      <c r="I351" s="112">
        <v>9800000</v>
      </c>
      <c r="J351" s="99" t="s">
        <v>2292</v>
      </c>
      <c r="K351" s="99" t="s">
        <v>127</v>
      </c>
      <c r="N351" s="99" t="s">
        <v>2382</v>
      </c>
      <c r="O351" s="99" t="s">
        <v>47</v>
      </c>
      <c r="P351" s="100">
        <f t="shared" si="51"/>
        <v>45979</v>
      </c>
      <c r="Q351" s="101">
        <f t="shared" si="50"/>
        <v>44</v>
      </c>
      <c r="R351" s="99">
        <f t="shared" si="52"/>
        <v>1</v>
      </c>
      <c r="S351" s="101">
        <f t="shared" si="53"/>
        <v>57600000</v>
      </c>
      <c r="T351" s="99" t="str">
        <f t="shared" si="54"/>
        <v>High</v>
      </c>
      <c r="U351" s="99" t="str">
        <f t="shared" si="55"/>
        <v>Low</v>
      </c>
      <c r="V351" s="99" t="str">
        <f t="shared" si="56"/>
        <v>High</v>
      </c>
      <c r="W351" s="99" t="str">
        <f t="shared" si="57"/>
        <v>HLH</v>
      </c>
      <c r="X351" s="99" t="str">
        <f>VLOOKUP(W351,rfm[],2,FALSE)</f>
        <v>🛒 Big Spenders (Occasional)</v>
      </c>
      <c r="AA351" s="99" t="s">
        <v>2382</v>
      </c>
      <c r="AB351" s="99" t="s">
        <v>47</v>
      </c>
      <c r="AC351" s="100">
        <v>45979</v>
      </c>
      <c r="AD351" s="101">
        <v>44</v>
      </c>
      <c r="AE351" s="101">
        <v>1</v>
      </c>
      <c r="AF351" s="101">
        <v>57600000</v>
      </c>
      <c r="AG351" s="99" t="str">
        <f>VLOOKUP(AA351,recency!$K$6:$P$818,6,0)</f>
        <v>High</v>
      </c>
      <c r="AH351" s="132" t="str">
        <f>VLOOKUP(AA351,frequency!$F$6:$H$818,3,FALSE)</f>
        <v>Low</v>
      </c>
      <c r="AI351" s="129" t="str">
        <f>VLOOKUP(AA351,monetary!$B$5:$F$817,5,0)</f>
        <v>High</v>
      </c>
      <c r="AJ351" s="99" t="str">
        <f t="shared" si="58"/>
        <v>HLH</v>
      </c>
      <c r="AK351" s="99" t="str">
        <f>VLOOKUP(AJ351,rfm[],2,0)</f>
        <v>🛒 Big Spenders (Occasional)</v>
      </c>
      <c r="AN351" s="99" t="b">
        <f t="shared" si="59"/>
        <v>1</v>
      </c>
    </row>
    <row r="352" spans="2:40" x14ac:dyDescent="0.3">
      <c r="B352" s="99" t="s">
        <v>290</v>
      </c>
      <c r="C352" s="100">
        <v>45722</v>
      </c>
      <c r="D352" s="99" t="s">
        <v>38</v>
      </c>
      <c r="E352" s="99" t="s">
        <v>39</v>
      </c>
      <c r="F352" s="99" t="s">
        <v>16</v>
      </c>
      <c r="G352" s="99">
        <v>18</v>
      </c>
      <c r="H352" s="112">
        <v>200000</v>
      </c>
      <c r="I352" s="112">
        <v>3600000</v>
      </c>
      <c r="J352" s="99" t="s">
        <v>2602</v>
      </c>
      <c r="K352" s="99" t="s">
        <v>8</v>
      </c>
      <c r="N352" s="99" t="s">
        <v>2383</v>
      </c>
      <c r="O352" s="99" t="s">
        <v>69</v>
      </c>
      <c r="P352" s="100">
        <f t="shared" si="51"/>
        <v>45748</v>
      </c>
      <c r="Q352" s="101">
        <f t="shared" si="50"/>
        <v>275</v>
      </c>
      <c r="R352" s="99">
        <f t="shared" si="52"/>
        <v>1</v>
      </c>
      <c r="S352" s="101">
        <f t="shared" si="53"/>
        <v>9800000</v>
      </c>
      <c r="T352" s="99" t="str">
        <f t="shared" si="54"/>
        <v>Low</v>
      </c>
      <c r="U352" s="99" t="str">
        <f t="shared" si="55"/>
        <v>Low</v>
      </c>
      <c r="V352" s="99" t="str">
        <f t="shared" si="56"/>
        <v>Low</v>
      </c>
      <c r="W352" s="99" t="str">
        <f t="shared" si="57"/>
        <v>LLL</v>
      </c>
      <c r="X352" s="99" t="str">
        <f>VLOOKUP(W352,rfm[],2,FALSE)</f>
        <v>💤 Lost / Low Value</v>
      </c>
      <c r="AA352" s="99" t="s">
        <v>2383</v>
      </c>
      <c r="AB352" s="99" t="s">
        <v>69</v>
      </c>
      <c r="AC352" s="100">
        <v>45748</v>
      </c>
      <c r="AD352" s="101">
        <v>275</v>
      </c>
      <c r="AE352" s="101">
        <v>1</v>
      </c>
      <c r="AF352" s="101">
        <v>9800000</v>
      </c>
      <c r="AG352" s="99" t="str">
        <f>VLOOKUP(AA352,recency!$K$6:$P$818,6,0)</f>
        <v>Low</v>
      </c>
      <c r="AH352" s="132" t="str">
        <f>VLOOKUP(AA352,frequency!$F$6:$H$818,3,FALSE)</f>
        <v>Low</v>
      </c>
      <c r="AI352" s="129" t="str">
        <f>VLOOKUP(AA352,monetary!$B$5:$F$817,5,0)</f>
        <v>Low</v>
      </c>
      <c r="AJ352" s="99" t="str">
        <f t="shared" si="58"/>
        <v>LLL</v>
      </c>
      <c r="AK352" s="99" t="str">
        <f>VLOOKUP(AJ352,rfm[],2,0)</f>
        <v>💤 Lost / Low Value</v>
      </c>
      <c r="AN352" s="99" t="b">
        <f t="shared" si="59"/>
        <v>1</v>
      </c>
    </row>
    <row r="353" spans="2:40" x14ac:dyDescent="0.3">
      <c r="B353" s="99" t="s">
        <v>291</v>
      </c>
      <c r="C353" s="100">
        <v>45722</v>
      </c>
      <c r="D353" s="99" t="s">
        <v>40</v>
      </c>
      <c r="E353" s="99" t="s">
        <v>41</v>
      </c>
      <c r="F353" s="99" t="s">
        <v>16</v>
      </c>
      <c r="G353" s="99">
        <v>190</v>
      </c>
      <c r="H353" s="112">
        <v>950000</v>
      </c>
      <c r="I353" s="112">
        <v>180500000</v>
      </c>
      <c r="J353" s="99" t="s">
        <v>2169</v>
      </c>
      <c r="K353" s="99" t="s">
        <v>127</v>
      </c>
      <c r="N353" s="99" t="s">
        <v>2384</v>
      </c>
      <c r="O353" s="99" t="s">
        <v>69</v>
      </c>
      <c r="P353" s="100">
        <f t="shared" si="51"/>
        <v>45910</v>
      </c>
      <c r="Q353" s="101">
        <f t="shared" si="50"/>
        <v>113</v>
      </c>
      <c r="R353" s="99">
        <f t="shared" si="52"/>
        <v>1</v>
      </c>
      <c r="S353" s="101">
        <f t="shared" si="53"/>
        <v>18000000</v>
      </c>
      <c r="T353" s="99" t="str">
        <f t="shared" si="54"/>
        <v>Low</v>
      </c>
      <c r="U353" s="99" t="str">
        <f t="shared" si="55"/>
        <v>Low</v>
      </c>
      <c r="V353" s="99" t="str">
        <f t="shared" si="56"/>
        <v>Low</v>
      </c>
      <c r="W353" s="99" t="str">
        <f t="shared" si="57"/>
        <v>LLL</v>
      </c>
      <c r="X353" s="99" t="str">
        <f>VLOOKUP(W353,rfm[],2,FALSE)</f>
        <v>💤 Lost / Low Value</v>
      </c>
      <c r="AA353" s="99" t="s">
        <v>2384</v>
      </c>
      <c r="AB353" s="99" t="s">
        <v>69</v>
      </c>
      <c r="AC353" s="100">
        <v>45910</v>
      </c>
      <c r="AD353" s="101">
        <v>113</v>
      </c>
      <c r="AE353" s="101">
        <v>1</v>
      </c>
      <c r="AF353" s="101">
        <v>18000000</v>
      </c>
      <c r="AG353" s="99" t="str">
        <f>VLOOKUP(AA353,recency!$K$6:$P$818,6,0)</f>
        <v>Low</v>
      </c>
      <c r="AH353" s="132" t="str">
        <f>VLOOKUP(AA353,frequency!$F$6:$H$818,3,FALSE)</f>
        <v>Low</v>
      </c>
      <c r="AI353" s="129" t="str">
        <f>VLOOKUP(AA353,monetary!$B$5:$F$817,5,0)</f>
        <v>Low</v>
      </c>
      <c r="AJ353" s="99" t="str">
        <f t="shared" si="58"/>
        <v>LLL</v>
      </c>
      <c r="AK353" s="99" t="str">
        <f>VLOOKUP(AJ353,rfm[],2,0)</f>
        <v>💤 Lost / Low Value</v>
      </c>
      <c r="AN353" s="99" t="b">
        <f t="shared" si="59"/>
        <v>1</v>
      </c>
    </row>
    <row r="354" spans="2:40" x14ac:dyDescent="0.3">
      <c r="B354" s="99" t="s">
        <v>298</v>
      </c>
      <c r="C354" s="100">
        <v>45726</v>
      </c>
      <c r="D354" s="99" t="s">
        <v>14</v>
      </c>
      <c r="E354" s="99" t="s">
        <v>15</v>
      </c>
      <c r="F354" s="99" t="s">
        <v>16</v>
      </c>
      <c r="G354" s="99">
        <v>180</v>
      </c>
      <c r="H354" s="112">
        <v>350000</v>
      </c>
      <c r="I354" s="112">
        <v>63000000</v>
      </c>
      <c r="J354" s="99" t="s">
        <v>2604</v>
      </c>
      <c r="K354" s="99" t="s">
        <v>47</v>
      </c>
      <c r="N354" s="99" t="s">
        <v>2385</v>
      </c>
      <c r="O354" s="99" t="s">
        <v>47</v>
      </c>
      <c r="P354" s="100">
        <f t="shared" si="51"/>
        <v>46003</v>
      </c>
      <c r="Q354" s="101">
        <f t="shared" si="50"/>
        <v>20</v>
      </c>
      <c r="R354" s="99">
        <f t="shared" si="52"/>
        <v>3</v>
      </c>
      <c r="S354" s="101">
        <f t="shared" si="53"/>
        <v>13920000</v>
      </c>
      <c r="T354" s="99" t="str">
        <f t="shared" si="54"/>
        <v>High</v>
      </c>
      <c r="U354" s="99" t="str">
        <f t="shared" si="55"/>
        <v>High</v>
      </c>
      <c r="V354" s="99" t="str">
        <f t="shared" si="56"/>
        <v>Low</v>
      </c>
      <c r="W354" s="99" t="str">
        <f t="shared" si="57"/>
        <v>HHL</v>
      </c>
      <c r="X354" s="99" t="str">
        <f>VLOOKUP(W354,rfm[],2,FALSE)</f>
        <v>💎 Loyal High Value</v>
      </c>
      <c r="AA354" s="99" t="s">
        <v>2385</v>
      </c>
      <c r="AB354" s="99" t="s">
        <v>47</v>
      </c>
      <c r="AC354" s="100">
        <v>46003</v>
      </c>
      <c r="AD354" s="101">
        <v>20</v>
      </c>
      <c r="AE354" s="101">
        <v>3</v>
      </c>
      <c r="AF354" s="101">
        <v>13920000</v>
      </c>
      <c r="AG354" s="99" t="str">
        <f>VLOOKUP(AA354,recency!$K$6:$P$818,6,0)</f>
        <v>High</v>
      </c>
      <c r="AH354" s="132" t="str">
        <f>VLOOKUP(AA354,frequency!$F$6:$H$818,3,FALSE)</f>
        <v>High</v>
      </c>
      <c r="AI354" s="129" t="str">
        <f>VLOOKUP(AA354,monetary!$B$5:$F$817,5,0)</f>
        <v>Low</v>
      </c>
      <c r="AJ354" s="99" t="str">
        <f t="shared" si="58"/>
        <v>HHL</v>
      </c>
      <c r="AK354" s="99" t="str">
        <f>VLOOKUP(AJ354,rfm[],2,0)</f>
        <v>💎 Loyal High Value</v>
      </c>
      <c r="AN354" s="99" t="b">
        <f t="shared" si="59"/>
        <v>1</v>
      </c>
    </row>
    <row r="355" spans="2:40" x14ac:dyDescent="0.3">
      <c r="B355" s="99" t="s">
        <v>299</v>
      </c>
      <c r="C355" s="100">
        <v>45726</v>
      </c>
      <c r="D355" s="99" t="s">
        <v>38</v>
      </c>
      <c r="E355" s="99" t="s">
        <v>39</v>
      </c>
      <c r="F355" s="99" t="s">
        <v>16</v>
      </c>
      <c r="G355" s="99">
        <v>27</v>
      </c>
      <c r="H355" s="112">
        <v>200000</v>
      </c>
      <c r="I355" s="112">
        <v>5400000</v>
      </c>
      <c r="J355" s="99" t="s">
        <v>2271</v>
      </c>
      <c r="K355" s="99" t="s">
        <v>47</v>
      </c>
      <c r="N355" s="99" t="s">
        <v>2386</v>
      </c>
      <c r="O355" s="99" t="s">
        <v>127</v>
      </c>
      <c r="P355" s="100">
        <f t="shared" si="51"/>
        <v>45940</v>
      </c>
      <c r="Q355" s="101">
        <f t="shared" si="50"/>
        <v>83</v>
      </c>
      <c r="R355" s="99">
        <f t="shared" si="52"/>
        <v>2</v>
      </c>
      <c r="S355" s="101">
        <f t="shared" si="53"/>
        <v>21990000</v>
      </c>
      <c r="T355" s="99" t="str">
        <f t="shared" si="54"/>
        <v>High</v>
      </c>
      <c r="U355" s="99" t="str">
        <f t="shared" si="55"/>
        <v>Low</v>
      </c>
      <c r="V355" s="99" t="str">
        <f t="shared" si="56"/>
        <v>High</v>
      </c>
      <c r="W355" s="99" t="str">
        <f t="shared" si="57"/>
        <v>HLH</v>
      </c>
      <c r="X355" s="99" t="str">
        <f>VLOOKUP(W355,rfm[],2,FALSE)</f>
        <v>🛒 Big Spenders (Occasional)</v>
      </c>
      <c r="AA355" s="99" t="s">
        <v>2386</v>
      </c>
      <c r="AB355" s="99" t="s">
        <v>127</v>
      </c>
      <c r="AC355" s="100">
        <v>45940</v>
      </c>
      <c r="AD355" s="101">
        <v>83</v>
      </c>
      <c r="AE355" s="101">
        <v>2</v>
      </c>
      <c r="AF355" s="101">
        <v>21990000</v>
      </c>
      <c r="AG355" s="99" t="str">
        <f>VLOOKUP(AA355,recency!$K$6:$P$818,6,0)</f>
        <v>Low</v>
      </c>
      <c r="AH355" s="132" t="str">
        <f>VLOOKUP(AA355,frequency!$F$6:$H$818,3,FALSE)</f>
        <v>Low</v>
      </c>
      <c r="AI355" s="129" t="str">
        <f>VLOOKUP(AA355,monetary!$B$5:$F$817,5,0)</f>
        <v>Low</v>
      </c>
      <c r="AJ355" s="99" t="str">
        <f t="shared" si="58"/>
        <v>LLL</v>
      </c>
      <c r="AK355" s="99" t="str">
        <f>VLOOKUP(AJ355,rfm[],2,0)</f>
        <v>💤 Lost / Low Value</v>
      </c>
      <c r="AN355" s="99" t="b">
        <f t="shared" si="59"/>
        <v>0</v>
      </c>
    </row>
    <row r="356" spans="2:40" x14ac:dyDescent="0.3">
      <c r="B356" s="99" t="s">
        <v>311</v>
      </c>
      <c r="C356" s="100">
        <v>45726</v>
      </c>
      <c r="D356" s="99" t="s">
        <v>38</v>
      </c>
      <c r="E356" s="99" t="s">
        <v>39</v>
      </c>
      <c r="F356" s="99" t="s">
        <v>16</v>
      </c>
      <c r="G356" s="99">
        <v>36</v>
      </c>
      <c r="H356" s="112">
        <v>200000</v>
      </c>
      <c r="I356" s="112">
        <v>7200000</v>
      </c>
      <c r="J356" s="99" t="s">
        <v>2497</v>
      </c>
      <c r="K356" s="99" t="s">
        <v>127</v>
      </c>
      <c r="N356" s="99" t="s">
        <v>2387</v>
      </c>
      <c r="O356" s="99" t="s">
        <v>8</v>
      </c>
      <c r="P356" s="100">
        <f t="shared" si="51"/>
        <v>45982</v>
      </c>
      <c r="Q356" s="101">
        <f t="shared" si="50"/>
        <v>41</v>
      </c>
      <c r="R356" s="99">
        <f t="shared" si="52"/>
        <v>3</v>
      </c>
      <c r="S356" s="101">
        <f t="shared" si="53"/>
        <v>10950000</v>
      </c>
      <c r="T356" s="99" t="str">
        <f t="shared" si="54"/>
        <v>High</v>
      </c>
      <c r="U356" s="99" t="str">
        <f t="shared" si="55"/>
        <v>High</v>
      </c>
      <c r="V356" s="99" t="str">
        <f t="shared" si="56"/>
        <v>Low</v>
      </c>
      <c r="W356" s="99" t="str">
        <f t="shared" si="57"/>
        <v>HHL</v>
      </c>
      <c r="X356" s="99" t="str">
        <f>VLOOKUP(W356,rfm[],2,FALSE)</f>
        <v>💎 Loyal High Value</v>
      </c>
      <c r="AA356" s="99" t="s">
        <v>2387</v>
      </c>
      <c r="AB356" s="99" t="s">
        <v>8</v>
      </c>
      <c r="AC356" s="100">
        <v>45982</v>
      </c>
      <c r="AD356" s="101">
        <v>41</v>
      </c>
      <c r="AE356" s="101">
        <v>3</v>
      </c>
      <c r="AF356" s="101">
        <v>10950000</v>
      </c>
      <c r="AG356" s="99" t="str">
        <f>VLOOKUP(AA356,recency!$K$6:$P$818,6,0)</f>
        <v>High</v>
      </c>
      <c r="AH356" s="132" t="str">
        <f>VLOOKUP(AA356,frequency!$F$6:$H$818,3,FALSE)</f>
        <v>High</v>
      </c>
      <c r="AI356" s="129" t="str">
        <f>VLOOKUP(AA356,monetary!$B$5:$F$817,5,0)</f>
        <v>Low</v>
      </c>
      <c r="AJ356" s="99" t="str">
        <f t="shared" si="58"/>
        <v>HHL</v>
      </c>
      <c r="AK356" s="99" t="str">
        <f>VLOOKUP(AJ356,rfm[],2,0)</f>
        <v>💎 Loyal High Value</v>
      </c>
      <c r="AN356" s="99" t="b">
        <f t="shared" si="59"/>
        <v>1</v>
      </c>
    </row>
    <row r="357" spans="2:40" x14ac:dyDescent="0.3">
      <c r="B357" s="99" t="s">
        <v>342</v>
      </c>
      <c r="C357" s="100">
        <v>45726</v>
      </c>
      <c r="D357" s="99" t="s">
        <v>22</v>
      </c>
      <c r="E357" s="99" t="s">
        <v>23</v>
      </c>
      <c r="F357" s="99" t="s">
        <v>12</v>
      </c>
      <c r="G357" s="99">
        <v>49</v>
      </c>
      <c r="H357" s="112">
        <v>25000</v>
      </c>
      <c r="I357" s="112">
        <v>1225000</v>
      </c>
      <c r="J357" s="99" t="s">
        <v>2737</v>
      </c>
      <c r="K357" s="99" t="s">
        <v>60</v>
      </c>
      <c r="N357" s="99" t="s">
        <v>2388</v>
      </c>
      <c r="O357" s="99" t="s">
        <v>69</v>
      </c>
      <c r="P357" s="100">
        <f t="shared" si="51"/>
        <v>45849</v>
      </c>
      <c r="Q357" s="101">
        <f t="shared" si="50"/>
        <v>174</v>
      </c>
      <c r="R357" s="99">
        <f t="shared" si="52"/>
        <v>1</v>
      </c>
      <c r="S357" s="101">
        <f t="shared" si="53"/>
        <v>1200000</v>
      </c>
      <c r="T357" s="99" t="str">
        <f t="shared" si="54"/>
        <v>Low</v>
      </c>
      <c r="U357" s="99" t="str">
        <f t="shared" si="55"/>
        <v>Low</v>
      </c>
      <c r="V357" s="99" t="str">
        <f t="shared" si="56"/>
        <v>Low</v>
      </c>
      <c r="W357" s="99" t="str">
        <f t="shared" si="57"/>
        <v>LLL</v>
      </c>
      <c r="X357" s="99" t="str">
        <f>VLOOKUP(W357,rfm[],2,FALSE)</f>
        <v>💤 Lost / Low Value</v>
      </c>
      <c r="AA357" s="99" t="s">
        <v>2388</v>
      </c>
      <c r="AB357" s="99" t="s">
        <v>69</v>
      </c>
      <c r="AC357" s="100">
        <v>45849</v>
      </c>
      <c r="AD357" s="101">
        <v>174</v>
      </c>
      <c r="AE357" s="101">
        <v>1</v>
      </c>
      <c r="AF357" s="101">
        <v>1200000</v>
      </c>
      <c r="AG357" s="99" t="str">
        <f>VLOOKUP(AA357,recency!$K$6:$P$818,6,0)</f>
        <v>Low</v>
      </c>
      <c r="AH357" s="132" t="str">
        <f>VLOOKUP(AA357,frequency!$F$6:$H$818,3,FALSE)</f>
        <v>Low</v>
      </c>
      <c r="AI357" s="129" t="str">
        <f>VLOOKUP(AA357,monetary!$B$5:$F$817,5,0)</f>
        <v>Low</v>
      </c>
      <c r="AJ357" s="99" t="str">
        <f t="shared" si="58"/>
        <v>LLL</v>
      </c>
      <c r="AK357" s="99" t="str">
        <f>VLOOKUP(AJ357,rfm[],2,0)</f>
        <v>💤 Lost / Low Value</v>
      </c>
      <c r="AN357" s="99" t="b">
        <f t="shared" si="59"/>
        <v>1</v>
      </c>
    </row>
    <row r="358" spans="2:40" x14ac:dyDescent="0.3">
      <c r="B358" s="99" t="s">
        <v>343</v>
      </c>
      <c r="C358" s="100">
        <v>45726</v>
      </c>
      <c r="D358" s="99" t="s">
        <v>28</v>
      </c>
      <c r="E358" s="99" t="s">
        <v>29</v>
      </c>
      <c r="F358" s="99" t="s">
        <v>20</v>
      </c>
      <c r="G358" s="99">
        <v>38</v>
      </c>
      <c r="H358" s="112">
        <v>450000</v>
      </c>
      <c r="I358" s="112">
        <v>17100000</v>
      </c>
      <c r="J358" s="99" t="s">
        <v>2838</v>
      </c>
      <c r="K358" s="99" t="s">
        <v>47</v>
      </c>
      <c r="N358" s="99" t="s">
        <v>2389</v>
      </c>
      <c r="O358" s="99" t="s">
        <v>60</v>
      </c>
      <c r="P358" s="100">
        <f t="shared" si="51"/>
        <v>45931</v>
      </c>
      <c r="Q358" s="101">
        <f t="shared" si="50"/>
        <v>92</v>
      </c>
      <c r="R358" s="99">
        <f t="shared" si="52"/>
        <v>1</v>
      </c>
      <c r="S358" s="101">
        <f t="shared" si="53"/>
        <v>7200000</v>
      </c>
      <c r="T358" s="99" t="str">
        <f t="shared" si="54"/>
        <v>High</v>
      </c>
      <c r="U358" s="99" t="str">
        <f t="shared" si="55"/>
        <v>Low</v>
      </c>
      <c r="V358" s="99" t="str">
        <f t="shared" si="56"/>
        <v>Low</v>
      </c>
      <c r="W358" s="99" t="str">
        <f t="shared" si="57"/>
        <v>HLL</v>
      </c>
      <c r="X358" s="99" t="str">
        <f>VLOOKUP(W358,rfm[],2,FALSE)</f>
        <v>🌱 Potential Loyalists</v>
      </c>
      <c r="AA358" s="99" t="s">
        <v>2389</v>
      </c>
      <c r="AB358" s="99" t="s">
        <v>60</v>
      </c>
      <c r="AC358" s="100">
        <v>45931</v>
      </c>
      <c r="AD358" s="101">
        <v>92</v>
      </c>
      <c r="AE358" s="101">
        <v>1</v>
      </c>
      <c r="AF358" s="101">
        <v>7200000</v>
      </c>
      <c r="AG358" s="99" t="str">
        <f>VLOOKUP(AA358,recency!$K$6:$P$818,6,0)</f>
        <v>Low</v>
      </c>
      <c r="AH358" s="132" t="str">
        <f>VLOOKUP(AA358,frequency!$F$6:$H$818,3,FALSE)</f>
        <v>Low</v>
      </c>
      <c r="AI358" s="129" t="str">
        <f>VLOOKUP(AA358,monetary!$B$5:$F$817,5,0)</f>
        <v>Low</v>
      </c>
      <c r="AJ358" s="99" t="str">
        <f t="shared" si="58"/>
        <v>LLL</v>
      </c>
      <c r="AK358" s="99" t="str">
        <f>VLOOKUP(AJ358,rfm[],2,0)</f>
        <v>💤 Lost / Low Value</v>
      </c>
      <c r="AN358" s="99" t="b">
        <f t="shared" si="59"/>
        <v>0</v>
      </c>
    </row>
    <row r="359" spans="2:40" x14ac:dyDescent="0.3">
      <c r="B359" s="99" t="s">
        <v>363</v>
      </c>
      <c r="C359" s="100">
        <v>45726</v>
      </c>
      <c r="D359" s="99" t="s">
        <v>44</v>
      </c>
      <c r="E359" s="99" t="s">
        <v>45</v>
      </c>
      <c r="F359" s="99" t="s">
        <v>16</v>
      </c>
      <c r="G359" s="99">
        <v>17</v>
      </c>
      <c r="H359" s="112">
        <v>250000</v>
      </c>
      <c r="I359" s="112">
        <v>4250000</v>
      </c>
      <c r="J359" s="99" t="s">
        <v>2458</v>
      </c>
      <c r="K359" s="99" t="s">
        <v>8</v>
      </c>
      <c r="N359" s="99" t="s">
        <v>2390</v>
      </c>
      <c r="O359" s="99" t="s">
        <v>69</v>
      </c>
      <c r="P359" s="100">
        <f t="shared" si="51"/>
        <v>45848</v>
      </c>
      <c r="Q359" s="101">
        <f t="shared" si="50"/>
        <v>175</v>
      </c>
      <c r="R359" s="99">
        <f t="shared" si="52"/>
        <v>1</v>
      </c>
      <c r="S359" s="101">
        <f t="shared" si="53"/>
        <v>5950000</v>
      </c>
      <c r="T359" s="99" t="str">
        <f t="shared" si="54"/>
        <v>Low</v>
      </c>
      <c r="U359" s="99" t="str">
        <f t="shared" si="55"/>
        <v>Low</v>
      </c>
      <c r="V359" s="99" t="str">
        <f t="shared" si="56"/>
        <v>Low</v>
      </c>
      <c r="W359" s="99" t="str">
        <f t="shared" si="57"/>
        <v>LLL</v>
      </c>
      <c r="X359" s="99" t="str">
        <f>VLOOKUP(W359,rfm[],2,FALSE)</f>
        <v>💤 Lost / Low Value</v>
      </c>
      <c r="AA359" s="99" t="s">
        <v>2390</v>
      </c>
      <c r="AB359" s="99" t="s">
        <v>69</v>
      </c>
      <c r="AC359" s="100">
        <v>45848</v>
      </c>
      <c r="AD359" s="101">
        <v>175</v>
      </c>
      <c r="AE359" s="101">
        <v>1</v>
      </c>
      <c r="AF359" s="101">
        <v>5950000</v>
      </c>
      <c r="AG359" s="99" t="str">
        <f>VLOOKUP(AA359,recency!$K$6:$P$818,6,0)</f>
        <v>Low</v>
      </c>
      <c r="AH359" s="132" t="str">
        <f>VLOOKUP(AA359,frequency!$F$6:$H$818,3,FALSE)</f>
        <v>Low</v>
      </c>
      <c r="AI359" s="129" t="str">
        <f>VLOOKUP(AA359,monetary!$B$5:$F$817,5,0)</f>
        <v>Low</v>
      </c>
      <c r="AJ359" s="99" t="str">
        <f t="shared" si="58"/>
        <v>LLL</v>
      </c>
      <c r="AK359" s="99" t="str">
        <f>VLOOKUP(AJ359,rfm[],2,0)</f>
        <v>💤 Lost / Low Value</v>
      </c>
      <c r="AN359" s="99" t="b">
        <f t="shared" si="59"/>
        <v>1</v>
      </c>
    </row>
    <row r="360" spans="2:40" x14ac:dyDescent="0.3">
      <c r="B360" s="99" t="s">
        <v>383</v>
      </c>
      <c r="C360" s="100">
        <v>45726</v>
      </c>
      <c r="D360" s="99" t="s">
        <v>14</v>
      </c>
      <c r="E360" s="99" t="s">
        <v>15</v>
      </c>
      <c r="F360" s="99" t="s">
        <v>16</v>
      </c>
      <c r="G360" s="99">
        <v>370</v>
      </c>
      <c r="H360" s="112">
        <v>350000</v>
      </c>
      <c r="I360" s="112">
        <v>129500000</v>
      </c>
      <c r="J360" s="99" t="s">
        <v>2184</v>
      </c>
      <c r="K360" s="99" t="s">
        <v>127</v>
      </c>
      <c r="N360" s="99" t="s">
        <v>2391</v>
      </c>
      <c r="O360" s="99" t="s">
        <v>127</v>
      </c>
      <c r="P360" s="100">
        <f t="shared" si="51"/>
        <v>46016</v>
      </c>
      <c r="Q360" s="101">
        <f t="shared" si="50"/>
        <v>7</v>
      </c>
      <c r="R360" s="99">
        <f t="shared" si="52"/>
        <v>4</v>
      </c>
      <c r="S360" s="101">
        <f t="shared" si="53"/>
        <v>26025000</v>
      </c>
      <c r="T360" s="99" t="str">
        <f t="shared" si="54"/>
        <v>High</v>
      </c>
      <c r="U360" s="99" t="str">
        <f t="shared" si="55"/>
        <v>High</v>
      </c>
      <c r="V360" s="99" t="str">
        <f t="shared" si="56"/>
        <v>High</v>
      </c>
      <c r="W360" s="99" t="str">
        <f t="shared" si="57"/>
        <v>HHH</v>
      </c>
      <c r="X360" s="99" t="str">
        <f>VLOOKUP(W360,rfm[],2,FALSE)</f>
        <v>🥇 Champions</v>
      </c>
      <c r="AA360" s="99" t="s">
        <v>2391</v>
      </c>
      <c r="AB360" s="99" t="s">
        <v>127</v>
      </c>
      <c r="AC360" s="100">
        <v>46016</v>
      </c>
      <c r="AD360" s="101">
        <v>7</v>
      </c>
      <c r="AE360" s="101">
        <v>4</v>
      </c>
      <c r="AF360" s="101">
        <v>26025000</v>
      </c>
      <c r="AG360" s="99" t="str">
        <f>VLOOKUP(AA360,recency!$K$6:$P$818,6,0)</f>
        <v>High</v>
      </c>
      <c r="AH360" s="132" t="str">
        <f>VLOOKUP(AA360,frequency!$F$6:$H$818,3,FALSE)</f>
        <v>High</v>
      </c>
      <c r="AI360" s="129" t="str">
        <f>VLOOKUP(AA360,monetary!$B$5:$F$817,5,0)</f>
        <v>Low</v>
      </c>
      <c r="AJ360" s="99" t="str">
        <f t="shared" si="58"/>
        <v>HHL</v>
      </c>
      <c r="AK360" s="99" t="str">
        <f>VLOOKUP(AJ360,rfm[],2,0)</f>
        <v>💎 Loyal High Value</v>
      </c>
      <c r="AN360" s="99" t="b">
        <f t="shared" si="59"/>
        <v>0</v>
      </c>
    </row>
    <row r="361" spans="2:40" x14ac:dyDescent="0.3">
      <c r="B361" s="99" t="s">
        <v>384</v>
      </c>
      <c r="C361" s="100">
        <v>45726</v>
      </c>
      <c r="D361" s="99" t="s">
        <v>14</v>
      </c>
      <c r="E361" s="99" t="s">
        <v>15</v>
      </c>
      <c r="F361" s="99" t="s">
        <v>16</v>
      </c>
      <c r="G361" s="99">
        <v>50</v>
      </c>
      <c r="H361" s="112">
        <v>350000</v>
      </c>
      <c r="I361" s="112">
        <v>17500000</v>
      </c>
      <c r="J361" s="99" t="s">
        <v>2646</v>
      </c>
      <c r="K361" s="99" t="s">
        <v>60</v>
      </c>
      <c r="N361" s="99" t="s">
        <v>2392</v>
      </c>
      <c r="O361" s="99" t="s">
        <v>8</v>
      </c>
      <c r="P361" s="100">
        <f t="shared" si="51"/>
        <v>45968</v>
      </c>
      <c r="Q361" s="101">
        <f t="shared" si="50"/>
        <v>55</v>
      </c>
      <c r="R361" s="99">
        <f t="shared" si="52"/>
        <v>6</v>
      </c>
      <c r="S361" s="101">
        <f t="shared" si="53"/>
        <v>64800000</v>
      </c>
      <c r="T361" s="99" t="str">
        <f t="shared" si="54"/>
        <v>High</v>
      </c>
      <c r="U361" s="99" t="str">
        <f t="shared" si="55"/>
        <v>High</v>
      </c>
      <c r="V361" s="99" t="str">
        <f t="shared" si="56"/>
        <v>High</v>
      </c>
      <c r="W361" s="99" t="str">
        <f t="shared" si="57"/>
        <v>HHH</v>
      </c>
      <c r="X361" s="99" t="str">
        <f>VLOOKUP(W361,rfm[],2,FALSE)</f>
        <v>🥇 Champions</v>
      </c>
      <c r="AA361" s="99" t="s">
        <v>2392</v>
      </c>
      <c r="AB361" s="99" t="s">
        <v>8</v>
      </c>
      <c r="AC361" s="100">
        <v>45968</v>
      </c>
      <c r="AD361" s="101">
        <v>55</v>
      </c>
      <c r="AE361" s="101">
        <v>6</v>
      </c>
      <c r="AF361" s="101">
        <v>64800000</v>
      </c>
      <c r="AG361" s="99" t="str">
        <f>VLOOKUP(AA361,recency!$K$6:$P$818,6,0)</f>
        <v>High</v>
      </c>
      <c r="AH361" s="132" t="str">
        <f>VLOOKUP(AA361,frequency!$F$6:$H$818,3,FALSE)</f>
        <v>High</v>
      </c>
      <c r="AI361" s="129" t="str">
        <f>VLOOKUP(AA361,monetary!$B$5:$F$817,5,0)</f>
        <v>High</v>
      </c>
      <c r="AJ361" s="99" t="str">
        <f t="shared" si="58"/>
        <v>HHH</v>
      </c>
      <c r="AK361" s="99" t="str">
        <f>VLOOKUP(AJ361,rfm[],2,0)</f>
        <v>🥇 Champions</v>
      </c>
      <c r="AN361" s="99" t="b">
        <f t="shared" si="59"/>
        <v>1</v>
      </c>
    </row>
    <row r="362" spans="2:40" x14ac:dyDescent="0.3">
      <c r="B362" s="99" t="s">
        <v>385</v>
      </c>
      <c r="C362" s="100">
        <v>45726</v>
      </c>
      <c r="D362" s="99" t="s">
        <v>31</v>
      </c>
      <c r="E362" s="99" t="s">
        <v>32</v>
      </c>
      <c r="F362" s="99" t="s">
        <v>20</v>
      </c>
      <c r="G362" s="99">
        <v>23</v>
      </c>
      <c r="H362" s="112">
        <v>180000</v>
      </c>
      <c r="I362" s="112">
        <v>4140000</v>
      </c>
      <c r="J362" s="99" t="s">
        <v>2630</v>
      </c>
      <c r="K362" s="99" t="s">
        <v>8</v>
      </c>
      <c r="N362" s="99" t="s">
        <v>2393</v>
      </c>
      <c r="O362" s="99" t="s">
        <v>60</v>
      </c>
      <c r="P362" s="100">
        <f t="shared" si="51"/>
        <v>45663</v>
      </c>
      <c r="Q362" s="101">
        <f t="shared" si="50"/>
        <v>360</v>
      </c>
      <c r="R362" s="99">
        <f t="shared" si="52"/>
        <v>1</v>
      </c>
      <c r="S362" s="101">
        <f t="shared" si="53"/>
        <v>475000</v>
      </c>
      <c r="T362" s="99" t="str">
        <f t="shared" si="54"/>
        <v>Low</v>
      </c>
      <c r="U362" s="99" t="str">
        <f t="shared" si="55"/>
        <v>Low</v>
      </c>
      <c r="V362" s="99" t="str">
        <f t="shared" si="56"/>
        <v>Low</v>
      </c>
      <c r="W362" s="99" t="str">
        <f t="shared" si="57"/>
        <v>LLL</v>
      </c>
      <c r="X362" s="99" t="str">
        <f>VLOOKUP(W362,rfm[],2,FALSE)</f>
        <v>💤 Lost / Low Value</v>
      </c>
      <c r="AA362" s="99" t="s">
        <v>2393</v>
      </c>
      <c r="AB362" s="99" t="s">
        <v>60</v>
      </c>
      <c r="AC362" s="100">
        <v>45663</v>
      </c>
      <c r="AD362" s="101">
        <v>360</v>
      </c>
      <c r="AE362" s="101">
        <v>1</v>
      </c>
      <c r="AF362" s="101">
        <v>475000</v>
      </c>
      <c r="AG362" s="99" t="str">
        <f>VLOOKUP(AA362,recency!$K$6:$P$818,6,0)</f>
        <v>Low</v>
      </c>
      <c r="AH362" s="132" t="str">
        <f>VLOOKUP(AA362,frequency!$F$6:$H$818,3,FALSE)</f>
        <v>Low</v>
      </c>
      <c r="AI362" s="129" t="str">
        <f>VLOOKUP(AA362,monetary!$B$5:$F$817,5,0)</f>
        <v>Low</v>
      </c>
      <c r="AJ362" s="99" t="str">
        <f t="shared" si="58"/>
        <v>LLL</v>
      </c>
      <c r="AK362" s="99" t="str">
        <f>VLOOKUP(AJ362,rfm[],2,0)</f>
        <v>💤 Lost / Low Value</v>
      </c>
      <c r="AN362" s="99" t="b">
        <f t="shared" si="59"/>
        <v>1</v>
      </c>
    </row>
    <row r="363" spans="2:40" x14ac:dyDescent="0.3">
      <c r="B363" s="99" t="s">
        <v>386</v>
      </c>
      <c r="C363" s="100">
        <v>45726</v>
      </c>
      <c r="D363" s="99" t="s">
        <v>44</v>
      </c>
      <c r="E363" s="99" t="s">
        <v>45</v>
      </c>
      <c r="F363" s="99" t="s">
        <v>16</v>
      </c>
      <c r="G363" s="99">
        <v>27</v>
      </c>
      <c r="H363" s="112">
        <v>250000</v>
      </c>
      <c r="I363" s="112">
        <v>6750000</v>
      </c>
      <c r="J363" s="99" t="s">
        <v>2705</v>
      </c>
      <c r="K363" s="99" t="s">
        <v>69</v>
      </c>
      <c r="N363" s="99" t="s">
        <v>2394</v>
      </c>
      <c r="O363" s="99" t="s">
        <v>127</v>
      </c>
      <c r="P363" s="100">
        <f t="shared" si="51"/>
        <v>45883</v>
      </c>
      <c r="Q363" s="101">
        <f t="shared" si="50"/>
        <v>140</v>
      </c>
      <c r="R363" s="99">
        <f t="shared" si="52"/>
        <v>3</v>
      </c>
      <c r="S363" s="101">
        <f t="shared" si="53"/>
        <v>42025000</v>
      </c>
      <c r="T363" s="99" t="str">
        <f t="shared" si="54"/>
        <v>Low</v>
      </c>
      <c r="U363" s="99" t="str">
        <f t="shared" si="55"/>
        <v>High</v>
      </c>
      <c r="V363" s="99" t="str">
        <f t="shared" si="56"/>
        <v>High</v>
      </c>
      <c r="W363" s="99" t="str">
        <f t="shared" si="57"/>
        <v>LHH</v>
      </c>
      <c r="X363" s="99" t="str">
        <f>VLOOKUP(W363,rfm[],2,FALSE)</f>
        <v>⚠️ At Risk High Value</v>
      </c>
      <c r="AA363" s="99" t="s">
        <v>2394</v>
      </c>
      <c r="AB363" s="99" t="s">
        <v>127</v>
      </c>
      <c r="AC363" s="100">
        <v>45883</v>
      </c>
      <c r="AD363" s="101">
        <v>140</v>
      </c>
      <c r="AE363" s="101">
        <v>3</v>
      </c>
      <c r="AF363" s="101">
        <v>42025000</v>
      </c>
      <c r="AG363" s="99" t="str">
        <f>VLOOKUP(AA363,recency!$K$6:$P$818,6,0)</f>
        <v>Low</v>
      </c>
      <c r="AH363" s="132" t="str">
        <f>VLOOKUP(AA363,frequency!$F$6:$H$818,3,FALSE)</f>
        <v>High</v>
      </c>
      <c r="AI363" s="129" t="str">
        <f>VLOOKUP(AA363,monetary!$B$5:$F$817,5,0)</f>
        <v>Low</v>
      </c>
      <c r="AJ363" s="99" t="str">
        <f t="shared" si="58"/>
        <v>LHL</v>
      </c>
      <c r="AK363" s="99" t="str">
        <f>VLOOKUP(AJ363,rfm[],2,0)</f>
        <v>🔁 Former Loyal Low Spend</v>
      </c>
      <c r="AN363" s="99" t="b">
        <f t="shared" si="59"/>
        <v>0</v>
      </c>
    </row>
    <row r="364" spans="2:40" x14ac:dyDescent="0.3">
      <c r="B364" s="99" t="s">
        <v>422</v>
      </c>
      <c r="C364" s="100">
        <v>45726</v>
      </c>
      <c r="D364" s="99" t="s">
        <v>31</v>
      </c>
      <c r="E364" s="99" t="s">
        <v>32</v>
      </c>
      <c r="F364" s="99" t="s">
        <v>20</v>
      </c>
      <c r="G364" s="99">
        <v>450</v>
      </c>
      <c r="H364" s="112">
        <v>180000</v>
      </c>
      <c r="I364" s="112">
        <v>81000000</v>
      </c>
      <c r="J364" s="99" t="s">
        <v>2169</v>
      </c>
      <c r="K364" s="99" t="s">
        <v>127</v>
      </c>
      <c r="N364" s="99" t="s">
        <v>2395</v>
      </c>
      <c r="O364" s="99" t="s">
        <v>8</v>
      </c>
      <c r="P364" s="100">
        <f t="shared" si="51"/>
        <v>45777</v>
      </c>
      <c r="Q364" s="101">
        <f t="shared" si="50"/>
        <v>246</v>
      </c>
      <c r="R364" s="99">
        <f t="shared" si="52"/>
        <v>3</v>
      </c>
      <c r="S364" s="101">
        <f t="shared" si="53"/>
        <v>27450000</v>
      </c>
      <c r="T364" s="99" t="str">
        <f t="shared" si="54"/>
        <v>Low</v>
      </c>
      <c r="U364" s="99" t="str">
        <f t="shared" si="55"/>
        <v>High</v>
      </c>
      <c r="V364" s="99" t="str">
        <f t="shared" si="56"/>
        <v>High</v>
      </c>
      <c r="W364" s="99" t="str">
        <f t="shared" si="57"/>
        <v>LHH</v>
      </c>
      <c r="X364" s="99" t="str">
        <f>VLOOKUP(W364,rfm[],2,FALSE)</f>
        <v>⚠️ At Risk High Value</v>
      </c>
      <c r="AA364" s="99" t="s">
        <v>2395</v>
      </c>
      <c r="AB364" s="99" t="s">
        <v>8</v>
      </c>
      <c r="AC364" s="100">
        <v>45777</v>
      </c>
      <c r="AD364" s="101">
        <v>246</v>
      </c>
      <c r="AE364" s="101">
        <v>3</v>
      </c>
      <c r="AF364" s="101">
        <v>27450000</v>
      </c>
      <c r="AG364" s="99" t="str">
        <f>VLOOKUP(AA364,recency!$K$6:$P$818,6,0)</f>
        <v>Low</v>
      </c>
      <c r="AH364" s="132" t="str">
        <f>VLOOKUP(AA364,frequency!$F$6:$H$818,3,FALSE)</f>
        <v>High</v>
      </c>
      <c r="AI364" s="129" t="str">
        <f>VLOOKUP(AA364,monetary!$B$5:$F$817,5,0)</f>
        <v>Low</v>
      </c>
      <c r="AJ364" s="99" t="str">
        <f t="shared" si="58"/>
        <v>LHL</v>
      </c>
      <c r="AK364" s="99" t="str">
        <f>VLOOKUP(AJ364,rfm[],2,0)</f>
        <v>🔁 Former Loyal Low Spend</v>
      </c>
      <c r="AN364" s="99" t="b">
        <f t="shared" si="59"/>
        <v>0</v>
      </c>
    </row>
    <row r="365" spans="2:40" x14ac:dyDescent="0.3">
      <c r="B365" s="99" t="s">
        <v>445</v>
      </c>
      <c r="C365" s="100">
        <v>45726</v>
      </c>
      <c r="D365" s="99" t="s">
        <v>14</v>
      </c>
      <c r="E365" s="99" t="s">
        <v>15</v>
      </c>
      <c r="F365" s="99" t="s">
        <v>16</v>
      </c>
      <c r="G365" s="99">
        <v>34</v>
      </c>
      <c r="H365" s="112">
        <v>350000</v>
      </c>
      <c r="I365" s="112">
        <v>11900000</v>
      </c>
      <c r="J365" s="99" t="s">
        <v>2697</v>
      </c>
      <c r="K365" s="99" t="s">
        <v>8</v>
      </c>
      <c r="N365" s="99" t="s">
        <v>2396</v>
      </c>
      <c r="O365" s="99" t="s">
        <v>127</v>
      </c>
      <c r="P365" s="100">
        <f t="shared" si="51"/>
        <v>45799</v>
      </c>
      <c r="Q365" s="101">
        <f t="shared" si="50"/>
        <v>224</v>
      </c>
      <c r="R365" s="99">
        <f t="shared" si="52"/>
        <v>2</v>
      </c>
      <c r="S365" s="101">
        <f t="shared" si="53"/>
        <v>12500000</v>
      </c>
      <c r="T365" s="99" t="str">
        <f t="shared" si="54"/>
        <v>Low</v>
      </c>
      <c r="U365" s="99" t="str">
        <f t="shared" si="55"/>
        <v>Low</v>
      </c>
      <c r="V365" s="99" t="str">
        <f t="shared" si="56"/>
        <v>Low</v>
      </c>
      <c r="W365" s="99" t="str">
        <f t="shared" si="57"/>
        <v>LLL</v>
      </c>
      <c r="X365" s="99" t="str">
        <f>VLOOKUP(W365,rfm[],2,FALSE)</f>
        <v>💤 Lost / Low Value</v>
      </c>
      <c r="AA365" s="99" t="s">
        <v>2396</v>
      </c>
      <c r="AB365" s="99" t="s">
        <v>127</v>
      </c>
      <c r="AC365" s="100">
        <v>45799</v>
      </c>
      <c r="AD365" s="101">
        <v>224</v>
      </c>
      <c r="AE365" s="101">
        <v>2</v>
      </c>
      <c r="AF365" s="101">
        <v>12500000</v>
      </c>
      <c r="AG365" s="99" t="str">
        <f>VLOOKUP(AA365,recency!$K$6:$P$818,6,0)</f>
        <v>Low</v>
      </c>
      <c r="AH365" s="132" t="str">
        <f>VLOOKUP(AA365,frequency!$F$6:$H$818,3,FALSE)</f>
        <v>Low</v>
      </c>
      <c r="AI365" s="129" t="str">
        <f>VLOOKUP(AA365,monetary!$B$5:$F$817,5,0)</f>
        <v>Low</v>
      </c>
      <c r="AJ365" s="99" t="str">
        <f t="shared" si="58"/>
        <v>LLL</v>
      </c>
      <c r="AK365" s="99" t="str">
        <f>VLOOKUP(AJ365,rfm[],2,0)</f>
        <v>💤 Lost / Low Value</v>
      </c>
      <c r="AN365" s="99" t="b">
        <f t="shared" si="59"/>
        <v>1</v>
      </c>
    </row>
    <row r="366" spans="2:40" x14ac:dyDescent="0.3">
      <c r="B366" s="99" t="s">
        <v>446</v>
      </c>
      <c r="C366" s="100">
        <v>45727</v>
      </c>
      <c r="D366" s="99" t="s">
        <v>22</v>
      </c>
      <c r="E366" s="99" t="s">
        <v>23</v>
      </c>
      <c r="F366" s="99" t="s">
        <v>12</v>
      </c>
      <c r="G366" s="99">
        <v>26</v>
      </c>
      <c r="H366" s="112">
        <v>25000</v>
      </c>
      <c r="I366" s="112">
        <v>650000</v>
      </c>
      <c r="J366" s="99" t="s">
        <v>2629</v>
      </c>
      <c r="K366" s="99" t="s">
        <v>8</v>
      </c>
      <c r="N366" s="99" t="s">
        <v>2397</v>
      </c>
      <c r="O366" s="99" t="s">
        <v>47</v>
      </c>
      <c r="P366" s="100">
        <f t="shared" si="51"/>
        <v>45950</v>
      </c>
      <c r="Q366" s="101">
        <f t="shared" si="50"/>
        <v>73</v>
      </c>
      <c r="R366" s="99">
        <f t="shared" si="52"/>
        <v>3</v>
      </c>
      <c r="S366" s="101">
        <f t="shared" si="53"/>
        <v>37800000</v>
      </c>
      <c r="T366" s="99" t="str">
        <f t="shared" si="54"/>
        <v>High</v>
      </c>
      <c r="U366" s="99" t="str">
        <f t="shared" si="55"/>
        <v>High</v>
      </c>
      <c r="V366" s="99" t="str">
        <f t="shared" si="56"/>
        <v>High</v>
      </c>
      <c r="W366" s="99" t="str">
        <f t="shared" si="57"/>
        <v>HHH</v>
      </c>
      <c r="X366" s="99" t="str">
        <f>VLOOKUP(W366,rfm[],2,FALSE)</f>
        <v>🥇 Champions</v>
      </c>
      <c r="AA366" s="99" t="s">
        <v>2397</v>
      </c>
      <c r="AB366" s="99" t="s">
        <v>47</v>
      </c>
      <c r="AC366" s="100">
        <v>45950</v>
      </c>
      <c r="AD366" s="101">
        <v>73</v>
      </c>
      <c r="AE366" s="101">
        <v>3</v>
      </c>
      <c r="AF366" s="101">
        <v>37800000</v>
      </c>
      <c r="AG366" s="99" t="str">
        <f>VLOOKUP(AA366,recency!$K$6:$P$818,6,0)</f>
        <v>Low</v>
      </c>
      <c r="AH366" s="132" t="str">
        <f>VLOOKUP(AA366,frequency!$F$6:$H$818,3,FALSE)</f>
        <v>High</v>
      </c>
      <c r="AI366" s="129" t="str">
        <f>VLOOKUP(AA366,monetary!$B$5:$F$817,5,0)</f>
        <v>Low</v>
      </c>
      <c r="AJ366" s="99" t="str">
        <f t="shared" si="58"/>
        <v>LHL</v>
      </c>
      <c r="AK366" s="99" t="str">
        <f>VLOOKUP(AJ366,rfm[],2,0)</f>
        <v>🔁 Former Loyal Low Spend</v>
      </c>
      <c r="AN366" s="99" t="b">
        <f t="shared" si="59"/>
        <v>0</v>
      </c>
    </row>
    <row r="367" spans="2:40" x14ac:dyDescent="0.3">
      <c r="B367" s="99" t="s">
        <v>465</v>
      </c>
      <c r="C367" s="100">
        <v>45727</v>
      </c>
      <c r="D367" s="99" t="s">
        <v>44</v>
      </c>
      <c r="E367" s="99" t="s">
        <v>45</v>
      </c>
      <c r="F367" s="99" t="s">
        <v>16</v>
      </c>
      <c r="G367" s="99">
        <v>36</v>
      </c>
      <c r="H367" s="112">
        <v>250000</v>
      </c>
      <c r="I367" s="112">
        <v>9000000</v>
      </c>
      <c r="J367" s="99" t="s">
        <v>216</v>
      </c>
      <c r="K367" s="99" t="s">
        <v>69</v>
      </c>
      <c r="N367" s="99" t="s">
        <v>2398</v>
      </c>
      <c r="O367" s="99" t="s">
        <v>47</v>
      </c>
      <c r="P367" s="100">
        <f t="shared" si="51"/>
        <v>45748</v>
      </c>
      <c r="Q367" s="101">
        <f t="shared" si="50"/>
        <v>275</v>
      </c>
      <c r="R367" s="99">
        <f t="shared" si="52"/>
        <v>1</v>
      </c>
      <c r="S367" s="101">
        <f t="shared" si="53"/>
        <v>4860000</v>
      </c>
      <c r="T367" s="99" t="str">
        <f t="shared" si="54"/>
        <v>Low</v>
      </c>
      <c r="U367" s="99" t="str">
        <f t="shared" si="55"/>
        <v>Low</v>
      </c>
      <c r="V367" s="99" t="str">
        <f t="shared" si="56"/>
        <v>Low</v>
      </c>
      <c r="W367" s="99" t="str">
        <f t="shared" si="57"/>
        <v>LLL</v>
      </c>
      <c r="X367" s="99" t="str">
        <f>VLOOKUP(W367,rfm[],2,FALSE)</f>
        <v>💤 Lost / Low Value</v>
      </c>
      <c r="AA367" s="99" t="s">
        <v>2398</v>
      </c>
      <c r="AB367" s="99" t="s">
        <v>47</v>
      </c>
      <c r="AC367" s="100">
        <v>45748</v>
      </c>
      <c r="AD367" s="101">
        <v>275</v>
      </c>
      <c r="AE367" s="101">
        <v>1</v>
      </c>
      <c r="AF367" s="101">
        <v>4860000</v>
      </c>
      <c r="AG367" s="99" t="str">
        <f>VLOOKUP(AA367,recency!$K$6:$P$818,6,0)</f>
        <v>Low</v>
      </c>
      <c r="AH367" s="132" t="str">
        <f>VLOOKUP(AA367,frequency!$F$6:$H$818,3,FALSE)</f>
        <v>Low</v>
      </c>
      <c r="AI367" s="129" t="str">
        <f>VLOOKUP(AA367,monetary!$B$5:$F$817,5,0)</f>
        <v>Low</v>
      </c>
      <c r="AJ367" s="99" t="str">
        <f t="shared" si="58"/>
        <v>LLL</v>
      </c>
      <c r="AK367" s="99" t="str">
        <f>VLOOKUP(AJ367,rfm[],2,0)</f>
        <v>💤 Lost / Low Value</v>
      </c>
      <c r="AN367" s="99" t="b">
        <f t="shared" si="59"/>
        <v>1</v>
      </c>
    </row>
    <row r="368" spans="2:40" x14ac:dyDescent="0.3">
      <c r="B368" s="99" t="s">
        <v>466</v>
      </c>
      <c r="C368" s="100">
        <v>45727</v>
      </c>
      <c r="D368" s="99" t="s">
        <v>28</v>
      </c>
      <c r="E368" s="99" t="s">
        <v>29</v>
      </c>
      <c r="F368" s="99" t="s">
        <v>20</v>
      </c>
      <c r="G368" s="99">
        <v>36</v>
      </c>
      <c r="H368" s="112">
        <v>450000</v>
      </c>
      <c r="I368" s="112">
        <v>16200000</v>
      </c>
      <c r="J368" s="99" t="s">
        <v>2722</v>
      </c>
      <c r="K368" s="99" t="s">
        <v>8</v>
      </c>
      <c r="N368" s="99" t="s">
        <v>2399</v>
      </c>
      <c r="O368" s="99" t="s">
        <v>8</v>
      </c>
      <c r="P368" s="100">
        <f t="shared" si="51"/>
        <v>45667</v>
      </c>
      <c r="Q368" s="101">
        <f t="shared" si="50"/>
        <v>356</v>
      </c>
      <c r="R368" s="99">
        <f t="shared" si="52"/>
        <v>1</v>
      </c>
      <c r="S368" s="101">
        <f t="shared" si="53"/>
        <v>4320000</v>
      </c>
      <c r="T368" s="99" t="str">
        <f t="shared" si="54"/>
        <v>Low</v>
      </c>
      <c r="U368" s="99" t="str">
        <f t="shared" si="55"/>
        <v>Low</v>
      </c>
      <c r="V368" s="99" t="str">
        <f t="shared" si="56"/>
        <v>Low</v>
      </c>
      <c r="W368" s="99" t="str">
        <f t="shared" si="57"/>
        <v>LLL</v>
      </c>
      <c r="X368" s="99" t="str">
        <f>VLOOKUP(W368,rfm[],2,FALSE)</f>
        <v>💤 Lost / Low Value</v>
      </c>
      <c r="AA368" s="99" t="s">
        <v>2399</v>
      </c>
      <c r="AB368" s="99" t="s">
        <v>8</v>
      </c>
      <c r="AC368" s="100">
        <v>45667</v>
      </c>
      <c r="AD368" s="101">
        <v>356</v>
      </c>
      <c r="AE368" s="101">
        <v>1</v>
      </c>
      <c r="AF368" s="101">
        <v>4320000</v>
      </c>
      <c r="AG368" s="99" t="str">
        <f>VLOOKUP(AA368,recency!$K$6:$P$818,6,0)</f>
        <v>Low</v>
      </c>
      <c r="AH368" s="132" t="str">
        <f>VLOOKUP(AA368,frequency!$F$6:$H$818,3,FALSE)</f>
        <v>Low</v>
      </c>
      <c r="AI368" s="129" t="str">
        <f>VLOOKUP(AA368,monetary!$B$5:$F$817,5,0)</f>
        <v>Low</v>
      </c>
      <c r="AJ368" s="99" t="str">
        <f t="shared" si="58"/>
        <v>LLL</v>
      </c>
      <c r="AK368" s="99" t="str">
        <f>VLOOKUP(AJ368,rfm[],2,0)</f>
        <v>💤 Lost / Low Value</v>
      </c>
      <c r="AN368" s="99" t="b">
        <f t="shared" si="59"/>
        <v>1</v>
      </c>
    </row>
    <row r="369" spans="2:40" x14ac:dyDescent="0.3">
      <c r="B369" s="99" t="s">
        <v>467</v>
      </c>
      <c r="C369" s="100">
        <v>45727</v>
      </c>
      <c r="D369" s="99" t="s">
        <v>44</v>
      </c>
      <c r="E369" s="99" t="s">
        <v>45</v>
      </c>
      <c r="F369" s="99" t="s">
        <v>16</v>
      </c>
      <c r="G369" s="99">
        <v>23</v>
      </c>
      <c r="H369" s="112">
        <v>250000</v>
      </c>
      <c r="I369" s="112">
        <v>5750000</v>
      </c>
      <c r="J369" s="99" t="s">
        <v>2256</v>
      </c>
      <c r="K369" s="99" t="s">
        <v>60</v>
      </c>
      <c r="N369" s="99" t="s">
        <v>2400</v>
      </c>
      <c r="O369" s="99" t="s">
        <v>127</v>
      </c>
      <c r="P369" s="100">
        <f t="shared" si="51"/>
        <v>45848</v>
      </c>
      <c r="Q369" s="101">
        <f t="shared" si="50"/>
        <v>175</v>
      </c>
      <c r="R369" s="99">
        <f t="shared" si="52"/>
        <v>2</v>
      </c>
      <c r="S369" s="101">
        <f t="shared" si="53"/>
        <v>25200000</v>
      </c>
      <c r="T369" s="99" t="str">
        <f t="shared" si="54"/>
        <v>Low</v>
      </c>
      <c r="U369" s="99" t="str">
        <f t="shared" si="55"/>
        <v>Low</v>
      </c>
      <c r="V369" s="99" t="str">
        <f t="shared" si="56"/>
        <v>High</v>
      </c>
      <c r="W369" s="99" t="str">
        <f t="shared" si="57"/>
        <v>LLH</v>
      </c>
      <c r="X369" s="99" t="str">
        <f>VLOOKUP(W369,rfm[],2,FALSE)</f>
        <v>💸 Lost High Spenders</v>
      </c>
      <c r="AA369" s="99" t="s">
        <v>2400</v>
      </c>
      <c r="AB369" s="99" t="s">
        <v>127</v>
      </c>
      <c r="AC369" s="100">
        <v>45848</v>
      </c>
      <c r="AD369" s="101">
        <v>175</v>
      </c>
      <c r="AE369" s="101">
        <v>2</v>
      </c>
      <c r="AF369" s="101">
        <v>25200000</v>
      </c>
      <c r="AG369" s="99" t="str">
        <f>VLOOKUP(AA369,recency!$K$6:$P$818,6,0)</f>
        <v>Low</v>
      </c>
      <c r="AH369" s="132" t="str">
        <f>VLOOKUP(AA369,frequency!$F$6:$H$818,3,FALSE)</f>
        <v>Low</v>
      </c>
      <c r="AI369" s="129" t="str">
        <f>VLOOKUP(AA369,monetary!$B$5:$F$817,5,0)</f>
        <v>Low</v>
      </c>
      <c r="AJ369" s="99" t="str">
        <f t="shared" si="58"/>
        <v>LLL</v>
      </c>
      <c r="AK369" s="99" t="str">
        <f>VLOOKUP(AJ369,rfm[],2,0)</f>
        <v>💤 Lost / Low Value</v>
      </c>
      <c r="AN369" s="99" t="b">
        <f t="shared" si="59"/>
        <v>0</v>
      </c>
    </row>
    <row r="370" spans="2:40" x14ac:dyDescent="0.3">
      <c r="B370" s="99" t="s">
        <v>468</v>
      </c>
      <c r="C370" s="100">
        <v>45727</v>
      </c>
      <c r="D370" s="99" t="s">
        <v>18</v>
      </c>
      <c r="E370" s="99" t="s">
        <v>19</v>
      </c>
      <c r="F370" s="99" t="s">
        <v>20</v>
      </c>
      <c r="G370" s="99">
        <v>40</v>
      </c>
      <c r="H370" s="112">
        <v>500000</v>
      </c>
      <c r="I370" s="112">
        <v>20000000</v>
      </c>
      <c r="J370" s="99" t="s">
        <v>2173</v>
      </c>
      <c r="K370" s="99" t="s">
        <v>8</v>
      </c>
      <c r="N370" s="99" t="s">
        <v>2401</v>
      </c>
      <c r="O370" s="99" t="s">
        <v>47</v>
      </c>
      <c r="P370" s="100">
        <f t="shared" si="51"/>
        <v>46003</v>
      </c>
      <c r="Q370" s="101">
        <f t="shared" si="50"/>
        <v>20</v>
      </c>
      <c r="R370" s="99">
        <f t="shared" si="52"/>
        <v>1</v>
      </c>
      <c r="S370" s="101">
        <f t="shared" si="53"/>
        <v>5280000</v>
      </c>
      <c r="T370" s="99" t="str">
        <f t="shared" si="54"/>
        <v>High</v>
      </c>
      <c r="U370" s="99" t="str">
        <f t="shared" si="55"/>
        <v>Low</v>
      </c>
      <c r="V370" s="99" t="str">
        <f t="shared" si="56"/>
        <v>Low</v>
      </c>
      <c r="W370" s="99" t="str">
        <f t="shared" si="57"/>
        <v>HLL</v>
      </c>
      <c r="X370" s="99" t="str">
        <f>VLOOKUP(W370,rfm[],2,FALSE)</f>
        <v>🌱 Potential Loyalists</v>
      </c>
      <c r="AA370" s="99" t="s">
        <v>2401</v>
      </c>
      <c r="AB370" s="99" t="s">
        <v>47</v>
      </c>
      <c r="AC370" s="100">
        <v>46003</v>
      </c>
      <c r="AD370" s="101">
        <v>20</v>
      </c>
      <c r="AE370" s="101">
        <v>1</v>
      </c>
      <c r="AF370" s="101">
        <v>5280000</v>
      </c>
      <c r="AG370" s="99" t="str">
        <f>VLOOKUP(AA370,recency!$K$6:$P$818,6,0)</f>
        <v>High</v>
      </c>
      <c r="AH370" s="132" t="str">
        <f>VLOOKUP(AA370,frequency!$F$6:$H$818,3,FALSE)</f>
        <v>Low</v>
      </c>
      <c r="AI370" s="129" t="str">
        <f>VLOOKUP(AA370,monetary!$B$5:$F$817,5,0)</f>
        <v>Low</v>
      </c>
      <c r="AJ370" s="99" t="str">
        <f t="shared" si="58"/>
        <v>HLL</v>
      </c>
      <c r="AK370" s="99" t="str">
        <f>VLOOKUP(AJ370,rfm[],2,0)</f>
        <v>🌱 Potential Loyalists</v>
      </c>
      <c r="AN370" s="99" t="b">
        <f t="shared" si="59"/>
        <v>1</v>
      </c>
    </row>
    <row r="371" spans="2:40" x14ac:dyDescent="0.3">
      <c r="B371" s="99" t="s">
        <v>488</v>
      </c>
      <c r="C371" s="100">
        <v>45727</v>
      </c>
      <c r="D371" s="99" t="s">
        <v>22</v>
      </c>
      <c r="E371" s="99" t="s">
        <v>23</v>
      </c>
      <c r="F371" s="99" t="s">
        <v>12</v>
      </c>
      <c r="G371" s="99">
        <v>39</v>
      </c>
      <c r="H371" s="112">
        <v>25000</v>
      </c>
      <c r="I371" s="112">
        <v>975000</v>
      </c>
      <c r="J371" s="99" t="s">
        <v>2554</v>
      </c>
      <c r="K371" s="99" t="s">
        <v>127</v>
      </c>
      <c r="N371" s="99" t="s">
        <v>2402</v>
      </c>
      <c r="O371" s="99" t="s">
        <v>69</v>
      </c>
      <c r="P371" s="100">
        <f t="shared" si="51"/>
        <v>45961</v>
      </c>
      <c r="Q371" s="101">
        <f t="shared" si="50"/>
        <v>62</v>
      </c>
      <c r="R371" s="99">
        <f t="shared" si="52"/>
        <v>3</v>
      </c>
      <c r="S371" s="101">
        <f t="shared" si="53"/>
        <v>9825000</v>
      </c>
      <c r="T371" s="99" t="str">
        <f t="shared" si="54"/>
        <v>High</v>
      </c>
      <c r="U371" s="99" t="str">
        <f t="shared" si="55"/>
        <v>High</v>
      </c>
      <c r="V371" s="99" t="str">
        <f t="shared" si="56"/>
        <v>Low</v>
      </c>
      <c r="W371" s="99" t="str">
        <f t="shared" si="57"/>
        <v>HHL</v>
      </c>
      <c r="X371" s="99" t="str">
        <f>VLOOKUP(W371,rfm[],2,FALSE)</f>
        <v>💎 Loyal High Value</v>
      </c>
      <c r="AA371" s="99" t="s">
        <v>2402</v>
      </c>
      <c r="AB371" s="99" t="s">
        <v>69</v>
      </c>
      <c r="AC371" s="100">
        <v>45961</v>
      </c>
      <c r="AD371" s="101">
        <v>62</v>
      </c>
      <c r="AE371" s="101">
        <v>3</v>
      </c>
      <c r="AF371" s="101">
        <v>9825000</v>
      </c>
      <c r="AG371" s="99" t="str">
        <f>VLOOKUP(AA371,recency!$K$6:$P$818,6,0)</f>
        <v>Low</v>
      </c>
      <c r="AH371" s="132" t="str">
        <f>VLOOKUP(AA371,frequency!$F$6:$H$818,3,FALSE)</f>
        <v>High</v>
      </c>
      <c r="AI371" s="129" t="str">
        <f>VLOOKUP(AA371,monetary!$B$5:$F$817,5,0)</f>
        <v>Low</v>
      </c>
      <c r="AJ371" s="99" t="str">
        <f t="shared" si="58"/>
        <v>LHL</v>
      </c>
      <c r="AK371" s="99" t="str">
        <f>VLOOKUP(AJ371,rfm[],2,0)</f>
        <v>🔁 Former Loyal Low Spend</v>
      </c>
      <c r="AN371" s="99" t="b">
        <f t="shared" si="59"/>
        <v>0</v>
      </c>
    </row>
    <row r="372" spans="2:40" x14ac:dyDescent="0.3">
      <c r="B372" s="99" t="s">
        <v>489</v>
      </c>
      <c r="C372" s="100">
        <v>45727</v>
      </c>
      <c r="D372" s="99" t="s">
        <v>10</v>
      </c>
      <c r="E372" s="99" t="s">
        <v>11</v>
      </c>
      <c r="F372" s="99" t="s">
        <v>12</v>
      </c>
      <c r="G372" s="99">
        <v>40</v>
      </c>
      <c r="H372" s="112">
        <v>120000</v>
      </c>
      <c r="I372" s="112">
        <v>4800000</v>
      </c>
      <c r="J372" s="99" t="s">
        <v>2141</v>
      </c>
      <c r="K372" s="99" t="s">
        <v>8</v>
      </c>
      <c r="N372" s="99" t="s">
        <v>2403</v>
      </c>
      <c r="O372" s="99" t="s">
        <v>8</v>
      </c>
      <c r="P372" s="100">
        <f t="shared" si="51"/>
        <v>45929</v>
      </c>
      <c r="Q372" s="101">
        <f t="shared" si="50"/>
        <v>94</v>
      </c>
      <c r="R372" s="99">
        <f t="shared" si="52"/>
        <v>3</v>
      </c>
      <c r="S372" s="101">
        <f t="shared" si="53"/>
        <v>22100000</v>
      </c>
      <c r="T372" s="99" t="str">
        <f t="shared" si="54"/>
        <v>Low</v>
      </c>
      <c r="U372" s="99" t="str">
        <f t="shared" si="55"/>
        <v>High</v>
      </c>
      <c r="V372" s="99" t="str">
        <f t="shared" si="56"/>
        <v>High</v>
      </c>
      <c r="W372" s="99" t="str">
        <f t="shared" si="57"/>
        <v>LHH</v>
      </c>
      <c r="X372" s="99" t="str">
        <f>VLOOKUP(W372,rfm[],2,FALSE)</f>
        <v>⚠️ At Risk High Value</v>
      </c>
      <c r="AA372" s="99" t="s">
        <v>2403</v>
      </c>
      <c r="AB372" s="99" t="s">
        <v>8</v>
      </c>
      <c r="AC372" s="100">
        <v>45929</v>
      </c>
      <c r="AD372" s="101">
        <v>94</v>
      </c>
      <c r="AE372" s="101">
        <v>3</v>
      </c>
      <c r="AF372" s="101">
        <v>22100000</v>
      </c>
      <c r="AG372" s="99" t="str">
        <f>VLOOKUP(AA372,recency!$K$6:$P$818,6,0)</f>
        <v>Low</v>
      </c>
      <c r="AH372" s="132" t="str">
        <f>VLOOKUP(AA372,frequency!$F$6:$H$818,3,FALSE)</f>
        <v>High</v>
      </c>
      <c r="AI372" s="129" t="str">
        <f>VLOOKUP(AA372,monetary!$B$5:$F$817,5,0)</f>
        <v>Low</v>
      </c>
      <c r="AJ372" s="99" t="str">
        <f t="shared" si="58"/>
        <v>LHL</v>
      </c>
      <c r="AK372" s="99" t="str">
        <f>VLOOKUP(AJ372,rfm[],2,0)</f>
        <v>🔁 Former Loyal Low Spend</v>
      </c>
      <c r="AN372" s="99" t="b">
        <f t="shared" si="59"/>
        <v>0</v>
      </c>
    </row>
    <row r="373" spans="2:40" x14ac:dyDescent="0.3">
      <c r="B373" s="99" t="s">
        <v>513</v>
      </c>
      <c r="C373" s="100">
        <v>45727</v>
      </c>
      <c r="D373" s="99" t="s">
        <v>28</v>
      </c>
      <c r="E373" s="99" t="s">
        <v>29</v>
      </c>
      <c r="F373" s="99" t="s">
        <v>20</v>
      </c>
      <c r="G373" s="99">
        <v>34</v>
      </c>
      <c r="H373" s="112">
        <v>450000</v>
      </c>
      <c r="I373" s="112">
        <v>15300000</v>
      </c>
      <c r="J373" s="99" t="s">
        <v>2681</v>
      </c>
      <c r="K373" s="99" t="s">
        <v>47</v>
      </c>
      <c r="N373" s="99" t="s">
        <v>2404</v>
      </c>
      <c r="O373" s="99" t="s">
        <v>60</v>
      </c>
      <c r="P373" s="100">
        <f t="shared" si="51"/>
        <v>45968</v>
      </c>
      <c r="Q373" s="101">
        <f t="shared" si="50"/>
        <v>55</v>
      </c>
      <c r="R373" s="99">
        <f t="shared" si="52"/>
        <v>4</v>
      </c>
      <c r="S373" s="101">
        <f t="shared" si="53"/>
        <v>31585000</v>
      </c>
      <c r="T373" s="99" t="str">
        <f t="shared" si="54"/>
        <v>High</v>
      </c>
      <c r="U373" s="99" t="str">
        <f t="shared" si="55"/>
        <v>High</v>
      </c>
      <c r="V373" s="99" t="str">
        <f t="shared" si="56"/>
        <v>High</v>
      </c>
      <c r="W373" s="99" t="str">
        <f t="shared" si="57"/>
        <v>HHH</v>
      </c>
      <c r="X373" s="99" t="str">
        <f>VLOOKUP(W373,rfm[],2,FALSE)</f>
        <v>🥇 Champions</v>
      </c>
      <c r="AA373" s="99" t="s">
        <v>2404</v>
      </c>
      <c r="AB373" s="99" t="s">
        <v>60</v>
      </c>
      <c r="AC373" s="100">
        <v>45968</v>
      </c>
      <c r="AD373" s="101">
        <v>55</v>
      </c>
      <c r="AE373" s="101">
        <v>4</v>
      </c>
      <c r="AF373" s="101">
        <v>31585000</v>
      </c>
      <c r="AG373" s="99" t="str">
        <f>VLOOKUP(AA373,recency!$K$6:$P$818,6,0)</f>
        <v>High</v>
      </c>
      <c r="AH373" s="132" t="str">
        <f>VLOOKUP(AA373,frequency!$F$6:$H$818,3,FALSE)</f>
        <v>High</v>
      </c>
      <c r="AI373" s="129" t="str">
        <f>VLOOKUP(AA373,monetary!$B$5:$F$817,5,0)</f>
        <v>Low</v>
      </c>
      <c r="AJ373" s="99" t="str">
        <f t="shared" si="58"/>
        <v>HHL</v>
      </c>
      <c r="AK373" s="99" t="str">
        <f>VLOOKUP(AJ373,rfm[],2,0)</f>
        <v>💎 Loyal High Value</v>
      </c>
      <c r="AN373" s="99" t="b">
        <f t="shared" si="59"/>
        <v>0</v>
      </c>
    </row>
    <row r="374" spans="2:40" x14ac:dyDescent="0.3">
      <c r="B374" s="99" t="s">
        <v>514</v>
      </c>
      <c r="C374" s="100">
        <v>45727</v>
      </c>
      <c r="D374" s="99" t="s">
        <v>40</v>
      </c>
      <c r="E374" s="99" t="s">
        <v>41</v>
      </c>
      <c r="F374" s="99" t="s">
        <v>16</v>
      </c>
      <c r="G374" s="99">
        <v>20</v>
      </c>
      <c r="H374" s="112">
        <v>950000</v>
      </c>
      <c r="I374" s="112">
        <v>19000000</v>
      </c>
      <c r="J374" s="99" t="s">
        <v>117</v>
      </c>
      <c r="K374" s="99" t="s">
        <v>47</v>
      </c>
      <c r="N374" s="99" t="s">
        <v>2405</v>
      </c>
      <c r="O374" s="99" t="s">
        <v>69</v>
      </c>
      <c r="P374" s="100">
        <f t="shared" si="51"/>
        <v>45730</v>
      </c>
      <c r="Q374" s="101">
        <f t="shared" si="50"/>
        <v>293</v>
      </c>
      <c r="R374" s="99">
        <f t="shared" si="52"/>
        <v>1</v>
      </c>
      <c r="S374" s="101">
        <f t="shared" si="53"/>
        <v>5950000</v>
      </c>
      <c r="T374" s="99" t="str">
        <f t="shared" si="54"/>
        <v>Low</v>
      </c>
      <c r="U374" s="99" t="str">
        <f t="shared" si="55"/>
        <v>Low</v>
      </c>
      <c r="V374" s="99" t="str">
        <f t="shared" si="56"/>
        <v>Low</v>
      </c>
      <c r="W374" s="99" t="str">
        <f t="shared" si="57"/>
        <v>LLL</v>
      </c>
      <c r="X374" s="99" t="str">
        <f>VLOOKUP(W374,rfm[],2,FALSE)</f>
        <v>💤 Lost / Low Value</v>
      </c>
      <c r="AA374" s="99" t="s">
        <v>2405</v>
      </c>
      <c r="AB374" s="99" t="s">
        <v>69</v>
      </c>
      <c r="AC374" s="100">
        <v>45730</v>
      </c>
      <c r="AD374" s="101">
        <v>293</v>
      </c>
      <c r="AE374" s="101">
        <v>1</v>
      </c>
      <c r="AF374" s="101">
        <v>5950000</v>
      </c>
      <c r="AG374" s="99" t="str">
        <f>VLOOKUP(AA374,recency!$K$6:$P$818,6,0)</f>
        <v>Low</v>
      </c>
      <c r="AH374" s="132" t="str">
        <f>VLOOKUP(AA374,frequency!$F$6:$H$818,3,FALSE)</f>
        <v>Low</v>
      </c>
      <c r="AI374" s="129" t="str">
        <f>VLOOKUP(AA374,monetary!$B$5:$F$817,5,0)</f>
        <v>Low</v>
      </c>
      <c r="AJ374" s="99" t="str">
        <f t="shared" si="58"/>
        <v>LLL</v>
      </c>
      <c r="AK374" s="99" t="str">
        <f>VLOOKUP(AJ374,rfm[],2,0)</f>
        <v>💤 Lost / Low Value</v>
      </c>
      <c r="AN374" s="99" t="b">
        <f t="shared" si="59"/>
        <v>1</v>
      </c>
    </row>
    <row r="375" spans="2:40" x14ac:dyDescent="0.3">
      <c r="B375" s="99" t="s">
        <v>537</v>
      </c>
      <c r="C375" s="100">
        <v>45727</v>
      </c>
      <c r="D375" s="99" t="s">
        <v>28</v>
      </c>
      <c r="E375" s="99" t="s">
        <v>29</v>
      </c>
      <c r="F375" s="99" t="s">
        <v>20</v>
      </c>
      <c r="G375" s="99">
        <v>15</v>
      </c>
      <c r="H375" s="112">
        <v>450000</v>
      </c>
      <c r="I375" s="112">
        <v>6750000</v>
      </c>
      <c r="J375" s="99" t="s">
        <v>229</v>
      </c>
      <c r="K375" s="99" t="s">
        <v>8</v>
      </c>
      <c r="N375" s="99" t="s">
        <v>2406</v>
      </c>
      <c r="O375" s="99" t="s">
        <v>47</v>
      </c>
      <c r="P375" s="100">
        <f t="shared" si="51"/>
        <v>45768</v>
      </c>
      <c r="Q375" s="101">
        <f t="shared" si="50"/>
        <v>255</v>
      </c>
      <c r="R375" s="99">
        <f t="shared" si="52"/>
        <v>1</v>
      </c>
      <c r="S375" s="101">
        <f t="shared" si="53"/>
        <v>5220000</v>
      </c>
      <c r="T375" s="99" t="str">
        <f t="shared" si="54"/>
        <v>Low</v>
      </c>
      <c r="U375" s="99" t="str">
        <f t="shared" si="55"/>
        <v>Low</v>
      </c>
      <c r="V375" s="99" t="str">
        <f t="shared" si="56"/>
        <v>Low</v>
      </c>
      <c r="W375" s="99" t="str">
        <f t="shared" si="57"/>
        <v>LLL</v>
      </c>
      <c r="X375" s="99" t="str">
        <f>VLOOKUP(W375,rfm[],2,FALSE)</f>
        <v>💤 Lost / Low Value</v>
      </c>
      <c r="AA375" s="99" t="s">
        <v>2406</v>
      </c>
      <c r="AB375" s="99" t="s">
        <v>47</v>
      </c>
      <c r="AC375" s="100">
        <v>45768</v>
      </c>
      <c r="AD375" s="101">
        <v>255</v>
      </c>
      <c r="AE375" s="101">
        <v>1</v>
      </c>
      <c r="AF375" s="101">
        <v>5220000</v>
      </c>
      <c r="AG375" s="99" t="str">
        <f>VLOOKUP(AA375,recency!$K$6:$P$818,6,0)</f>
        <v>Low</v>
      </c>
      <c r="AH375" s="132" t="str">
        <f>VLOOKUP(AA375,frequency!$F$6:$H$818,3,FALSE)</f>
        <v>Low</v>
      </c>
      <c r="AI375" s="129" t="str">
        <f>VLOOKUP(AA375,monetary!$B$5:$F$817,5,0)</f>
        <v>Low</v>
      </c>
      <c r="AJ375" s="99" t="str">
        <f t="shared" si="58"/>
        <v>LLL</v>
      </c>
      <c r="AK375" s="99" t="str">
        <f>VLOOKUP(AJ375,rfm[],2,0)</f>
        <v>💤 Lost / Low Value</v>
      </c>
      <c r="AN375" s="99" t="b">
        <f t="shared" si="59"/>
        <v>1</v>
      </c>
    </row>
    <row r="376" spans="2:40" x14ac:dyDescent="0.3">
      <c r="B376" s="99" t="s">
        <v>538</v>
      </c>
      <c r="C376" s="100">
        <v>45727</v>
      </c>
      <c r="D376" s="99" t="s">
        <v>28</v>
      </c>
      <c r="E376" s="99" t="s">
        <v>29</v>
      </c>
      <c r="F376" s="99" t="s">
        <v>20</v>
      </c>
      <c r="G376" s="99">
        <v>30</v>
      </c>
      <c r="H376" s="112">
        <v>450000</v>
      </c>
      <c r="I376" s="112">
        <v>13500000</v>
      </c>
      <c r="J376" s="99" t="s">
        <v>2461</v>
      </c>
      <c r="K376" s="99" t="s">
        <v>69</v>
      </c>
      <c r="N376" s="99" t="s">
        <v>2407</v>
      </c>
      <c r="O376" s="99" t="s">
        <v>69</v>
      </c>
      <c r="P376" s="100">
        <f t="shared" si="51"/>
        <v>45896</v>
      </c>
      <c r="Q376" s="101">
        <f t="shared" si="50"/>
        <v>127</v>
      </c>
      <c r="R376" s="99">
        <f t="shared" si="52"/>
        <v>1</v>
      </c>
      <c r="S376" s="101">
        <f t="shared" si="53"/>
        <v>10500000</v>
      </c>
      <c r="T376" s="99" t="str">
        <f t="shared" si="54"/>
        <v>Low</v>
      </c>
      <c r="U376" s="99" t="str">
        <f t="shared" si="55"/>
        <v>Low</v>
      </c>
      <c r="V376" s="99" t="str">
        <f t="shared" si="56"/>
        <v>Low</v>
      </c>
      <c r="W376" s="99" t="str">
        <f t="shared" si="57"/>
        <v>LLL</v>
      </c>
      <c r="X376" s="99" t="str">
        <f>VLOOKUP(W376,rfm[],2,FALSE)</f>
        <v>💤 Lost / Low Value</v>
      </c>
      <c r="AA376" s="99" t="s">
        <v>2407</v>
      </c>
      <c r="AB376" s="99" t="s">
        <v>69</v>
      </c>
      <c r="AC376" s="100">
        <v>45896</v>
      </c>
      <c r="AD376" s="101">
        <v>127</v>
      </c>
      <c r="AE376" s="101">
        <v>1</v>
      </c>
      <c r="AF376" s="101">
        <v>10500000</v>
      </c>
      <c r="AG376" s="99" t="str">
        <f>VLOOKUP(AA376,recency!$K$6:$P$818,6,0)</f>
        <v>Low</v>
      </c>
      <c r="AH376" s="132" t="str">
        <f>VLOOKUP(AA376,frequency!$F$6:$H$818,3,FALSE)</f>
        <v>Low</v>
      </c>
      <c r="AI376" s="129" t="str">
        <f>VLOOKUP(AA376,monetary!$B$5:$F$817,5,0)</f>
        <v>Low</v>
      </c>
      <c r="AJ376" s="99" t="str">
        <f t="shared" si="58"/>
        <v>LLL</v>
      </c>
      <c r="AK376" s="99" t="str">
        <f>VLOOKUP(AJ376,rfm[],2,0)</f>
        <v>💤 Lost / Low Value</v>
      </c>
      <c r="AN376" s="99" t="b">
        <f t="shared" si="59"/>
        <v>1</v>
      </c>
    </row>
    <row r="377" spans="2:40" x14ac:dyDescent="0.3">
      <c r="B377" s="99" t="s">
        <v>539</v>
      </c>
      <c r="C377" s="100">
        <v>45728</v>
      </c>
      <c r="D377" s="99" t="s">
        <v>10</v>
      </c>
      <c r="E377" s="99" t="s">
        <v>11</v>
      </c>
      <c r="F377" s="99" t="s">
        <v>12</v>
      </c>
      <c r="G377" s="99">
        <v>430</v>
      </c>
      <c r="H377" s="112">
        <v>120000</v>
      </c>
      <c r="I377" s="112">
        <v>51600000</v>
      </c>
      <c r="J377" s="99" t="s">
        <v>2233</v>
      </c>
      <c r="K377" s="99" t="s">
        <v>8</v>
      </c>
      <c r="N377" s="99" t="s">
        <v>2408</v>
      </c>
      <c r="O377" s="99" t="s">
        <v>8</v>
      </c>
      <c r="P377" s="100">
        <f t="shared" si="51"/>
        <v>45937</v>
      </c>
      <c r="Q377" s="101">
        <f t="shared" si="50"/>
        <v>86</v>
      </c>
      <c r="R377" s="99">
        <f t="shared" si="52"/>
        <v>1</v>
      </c>
      <c r="S377" s="101">
        <f t="shared" si="53"/>
        <v>9000000</v>
      </c>
      <c r="T377" s="99" t="str">
        <f t="shared" si="54"/>
        <v>High</v>
      </c>
      <c r="U377" s="99" t="str">
        <f t="shared" si="55"/>
        <v>Low</v>
      </c>
      <c r="V377" s="99" t="str">
        <f t="shared" si="56"/>
        <v>Low</v>
      </c>
      <c r="W377" s="99" t="str">
        <f t="shared" si="57"/>
        <v>HLL</v>
      </c>
      <c r="X377" s="99" t="str">
        <f>VLOOKUP(W377,rfm[],2,FALSE)</f>
        <v>🌱 Potential Loyalists</v>
      </c>
      <c r="AA377" s="99" t="s">
        <v>2408</v>
      </c>
      <c r="AB377" s="99" t="s">
        <v>8</v>
      </c>
      <c r="AC377" s="100">
        <v>45937</v>
      </c>
      <c r="AD377" s="101">
        <v>86</v>
      </c>
      <c r="AE377" s="101">
        <v>1</v>
      </c>
      <c r="AF377" s="101">
        <v>9000000</v>
      </c>
      <c r="AG377" s="99" t="str">
        <f>VLOOKUP(AA377,recency!$K$6:$P$818,6,0)</f>
        <v>Low</v>
      </c>
      <c r="AH377" s="132" t="str">
        <f>VLOOKUP(AA377,frequency!$F$6:$H$818,3,FALSE)</f>
        <v>Low</v>
      </c>
      <c r="AI377" s="129" t="str">
        <f>VLOOKUP(AA377,monetary!$B$5:$F$817,5,0)</f>
        <v>Low</v>
      </c>
      <c r="AJ377" s="99" t="str">
        <f t="shared" si="58"/>
        <v>LLL</v>
      </c>
      <c r="AK377" s="99" t="str">
        <f>VLOOKUP(AJ377,rfm[],2,0)</f>
        <v>💤 Lost / Low Value</v>
      </c>
      <c r="AN377" s="99" t="b">
        <f t="shared" si="59"/>
        <v>0</v>
      </c>
    </row>
    <row r="378" spans="2:40" x14ac:dyDescent="0.3">
      <c r="B378" s="99" t="s">
        <v>540</v>
      </c>
      <c r="C378" s="100">
        <v>45728</v>
      </c>
      <c r="D378" s="99" t="s">
        <v>18</v>
      </c>
      <c r="E378" s="99" t="s">
        <v>19</v>
      </c>
      <c r="F378" s="99" t="s">
        <v>20</v>
      </c>
      <c r="G378" s="99">
        <v>29</v>
      </c>
      <c r="H378" s="112">
        <v>500000</v>
      </c>
      <c r="I378" s="112">
        <v>14500000</v>
      </c>
      <c r="J378" s="99" t="s">
        <v>2518</v>
      </c>
      <c r="K378" s="99" t="s">
        <v>60</v>
      </c>
      <c r="N378" s="99" t="s">
        <v>2409</v>
      </c>
      <c r="O378" s="99" t="s">
        <v>69</v>
      </c>
      <c r="P378" s="100">
        <f t="shared" si="51"/>
        <v>46003</v>
      </c>
      <c r="Q378" s="101">
        <f t="shared" si="50"/>
        <v>20</v>
      </c>
      <c r="R378" s="99">
        <f t="shared" si="52"/>
        <v>3</v>
      </c>
      <c r="S378" s="101">
        <f t="shared" si="53"/>
        <v>41940000</v>
      </c>
      <c r="T378" s="99" t="str">
        <f t="shared" si="54"/>
        <v>High</v>
      </c>
      <c r="U378" s="99" t="str">
        <f t="shared" si="55"/>
        <v>High</v>
      </c>
      <c r="V378" s="99" t="str">
        <f t="shared" si="56"/>
        <v>High</v>
      </c>
      <c r="W378" s="99" t="str">
        <f t="shared" si="57"/>
        <v>HHH</v>
      </c>
      <c r="X378" s="99" t="str">
        <f>VLOOKUP(W378,rfm[],2,FALSE)</f>
        <v>🥇 Champions</v>
      </c>
      <c r="AA378" s="99" t="s">
        <v>2409</v>
      </c>
      <c r="AB378" s="99" t="s">
        <v>69</v>
      </c>
      <c r="AC378" s="100">
        <v>46003</v>
      </c>
      <c r="AD378" s="101">
        <v>20</v>
      </c>
      <c r="AE378" s="101">
        <v>3</v>
      </c>
      <c r="AF378" s="101">
        <v>41940000</v>
      </c>
      <c r="AG378" s="99" t="str">
        <f>VLOOKUP(AA378,recency!$K$6:$P$818,6,0)</f>
        <v>High</v>
      </c>
      <c r="AH378" s="132" t="str">
        <f>VLOOKUP(AA378,frequency!$F$6:$H$818,3,FALSE)</f>
        <v>High</v>
      </c>
      <c r="AI378" s="129" t="str">
        <f>VLOOKUP(AA378,monetary!$B$5:$F$817,5,0)</f>
        <v>Low</v>
      </c>
      <c r="AJ378" s="99" t="str">
        <f t="shared" si="58"/>
        <v>HHL</v>
      </c>
      <c r="AK378" s="99" t="str">
        <f>VLOOKUP(AJ378,rfm[],2,0)</f>
        <v>💎 Loyal High Value</v>
      </c>
      <c r="AN378" s="99" t="b">
        <f t="shared" si="59"/>
        <v>0</v>
      </c>
    </row>
    <row r="379" spans="2:40" x14ac:dyDescent="0.3">
      <c r="B379" s="99" t="s">
        <v>561</v>
      </c>
      <c r="C379" s="100">
        <v>45728</v>
      </c>
      <c r="D379" s="99" t="s">
        <v>28</v>
      </c>
      <c r="E379" s="99" t="s">
        <v>29</v>
      </c>
      <c r="F379" s="99" t="s">
        <v>20</v>
      </c>
      <c r="G379" s="99">
        <v>30</v>
      </c>
      <c r="H379" s="112">
        <v>450000</v>
      </c>
      <c r="I379" s="112">
        <v>13500000</v>
      </c>
      <c r="J379" s="99" t="s">
        <v>2443</v>
      </c>
      <c r="K379" s="99" t="s">
        <v>8</v>
      </c>
      <c r="N379" s="99" t="s">
        <v>2410</v>
      </c>
      <c r="O379" s="99" t="s">
        <v>8</v>
      </c>
      <c r="P379" s="100">
        <f t="shared" si="51"/>
        <v>45947</v>
      </c>
      <c r="Q379" s="101">
        <f t="shared" si="50"/>
        <v>76</v>
      </c>
      <c r="R379" s="99">
        <f t="shared" si="52"/>
        <v>3</v>
      </c>
      <c r="S379" s="101">
        <f t="shared" si="53"/>
        <v>25150000</v>
      </c>
      <c r="T379" s="99" t="str">
        <f t="shared" si="54"/>
        <v>High</v>
      </c>
      <c r="U379" s="99" t="str">
        <f t="shared" si="55"/>
        <v>High</v>
      </c>
      <c r="V379" s="99" t="str">
        <f t="shared" si="56"/>
        <v>High</v>
      </c>
      <c r="W379" s="99" t="str">
        <f t="shared" si="57"/>
        <v>HHH</v>
      </c>
      <c r="X379" s="99" t="str">
        <f>VLOOKUP(W379,rfm[],2,FALSE)</f>
        <v>🥇 Champions</v>
      </c>
      <c r="AA379" s="99" t="s">
        <v>2410</v>
      </c>
      <c r="AB379" s="99" t="s">
        <v>8</v>
      </c>
      <c r="AC379" s="100">
        <v>45947</v>
      </c>
      <c r="AD379" s="101">
        <v>76</v>
      </c>
      <c r="AE379" s="101">
        <v>3</v>
      </c>
      <c r="AF379" s="101">
        <v>25150000</v>
      </c>
      <c r="AG379" s="99" t="str">
        <f>VLOOKUP(AA379,recency!$K$6:$P$818,6,0)</f>
        <v>Low</v>
      </c>
      <c r="AH379" s="132" t="str">
        <f>VLOOKUP(AA379,frequency!$F$6:$H$818,3,FALSE)</f>
        <v>High</v>
      </c>
      <c r="AI379" s="129" t="str">
        <f>VLOOKUP(AA379,monetary!$B$5:$F$817,5,0)</f>
        <v>Low</v>
      </c>
      <c r="AJ379" s="99" t="str">
        <f t="shared" si="58"/>
        <v>LHL</v>
      </c>
      <c r="AK379" s="99" t="str">
        <f>VLOOKUP(AJ379,rfm[],2,0)</f>
        <v>🔁 Former Loyal Low Spend</v>
      </c>
      <c r="AN379" s="99" t="b">
        <f t="shared" si="59"/>
        <v>0</v>
      </c>
    </row>
    <row r="380" spans="2:40" x14ac:dyDescent="0.3">
      <c r="B380" s="99" t="s">
        <v>562</v>
      </c>
      <c r="C380" s="100">
        <v>45728</v>
      </c>
      <c r="D380" s="99" t="s">
        <v>18</v>
      </c>
      <c r="E380" s="99" t="s">
        <v>19</v>
      </c>
      <c r="F380" s="99" t="s">
        <v>20</v>
      </c>
      <c r="G380" s="99">
        <v>29</v>
      </c>
      <c r="H380" s="112">
        <v>500000</v>
      </c>
      <c r="I380" s="112">
        <v>14500000</v>
      </c>
      <c r="J380" s="99" t="s">
        <v>2572</v>
      </c>
      <c r="K380" s="99" t="s">
        <v>8</v>
      </c>
      <c r="N380" s="99" t="s">
        <v>2411</v>
      </c>
      <c r="O380" s="99" t="s">
        <v>47</v>
      </c>
      <c r="P380" s="100">
        <f t="shared" si="51"/>
        <v>45923</v>
      </c>
      <c r="Q380" s="101">
        <f t="shared" si="50"/>
        <v>100</v>
      </c>
      <c r="R380" s="99">
        <f t="shared" si="52"/>
        <v>3</v>
      </c>
      <c r="S380" s="101">
        <f t="shared" si="53"/>
        <v>12910000</v>
      </c>
      <c r="T380" s="99" t="str">
        <f t="shared" si="54"/>
        <v>Low</v>
      </c>
      <c r="U380" s="99" t="str">
        <f t="shared" si="55"/>
        <v>High</v>
      </c>
      <c r="V380" s="99" t="str">
        <f t="shared" si="56"/>
        <v>Low</v>
      </c>
      <c r="W380" s="99" t="str">
        <f t="shared" si="57"/>
        <v>LHL</v>
      </c>
      <c r="X380" s="99" t="str">
        <f>VLOOKUP(W380,rfm[],2,FALSE)</f>
        <v>🔁 Former Loyal Low Spend</v>
      </c>
      <c r="AA380" s="99" t="s">
        <v>2411</v>
      </c>
      <c r="AB380" s="99" t="s">
        <v>47</v>
      </c>
      <c r="AC380" s="100">
        <v>45923</v>
      </c>
      <c r="AD380" s="101">
        <v>100</v>
      </c>
      <c r="AE380" s="101">
        <v>3</v>
      </c>
      <c r="AF380" s="101">
        <v>12910000</v>
      </c>
      <c r="AG380" s="99" t="str">
        <f>VLOOKUP(AA380,recency!$K$6:$P$818,6,0)</f>
        <v>Low</v>
      </c>
      <c r="AH380" s="132" t="str">
        <f>VLOOKUP(AA380,frequency!$F$6:$H$818,3,FALSE)</f>
        <v>High</v>
      </c>
      <c r="AI380" s="129" t="str">
        <f>VLOOKUP(AA380,monetary!$B$5:$F$817,5,0)</f>
        <v>Low</v>
      </c>
      <c r="AJ380" s="99" t="str">
        <f t="shared" si="58"/>
        <v>LHL</v>
      </c>
      <c r="AK380" s="99" t="str">
        <f>VLOOKUP(AJ380,rfm[],2,0)</f>
        <v>🔁 Former Loyal Low Spend</v>
      </c>
      <c r="AN380" s="99" t="b">
        <f t="shared" si="59"/>
        <v>1</v>
      </c>
    </row>
    <row r="381" spans="2:40" x14ac:dyDescent="0.3">
      <c r="B381" s="99" t="s">
        <v>578</v>
      </c>
      <c r="C381" s="100">
        <v>45728</v>
      </c>
      <c r="D381" s="99" t="s">
        <v>10</v>
      </c>
      <c r="E381" s="99" t="s">
        <v>11</v>
      </c>
      <c r="F381" s="99" t="s">
        <v>12</v>
      </c>
      <c r="G381" s="99">
        <v>32</v>
      </c>
      <c r="H381" s="112">
        <v>120000</v>
      </c>
      <c r="I381" s="112">
        <v>3840000</v>
      </c>
      <c r="J381" s="99" t="s">
        <v>2667</v>
      </c>
      <c r="K381" s="99" t="s">
        <v>8</v>
      </c>
      <c r="N381" s="99" t="s">
        <v>2412</v>
      </c>
      <c r="O381" s="99" t="s">
        <v>69</v>
      </c>
      <c r="P381" s="100">
        <f t="shared" si="51"/>
        <v>45812</v>
      </c>
      <c r="Q381" s="101">
        <f t="shared" si="50"/>
        <v>211</v>
      </c>
      <c r="R381" s="99">
        <f t="shared" si="52"/>
        <v>1</v>
      </c>
      <c r="S381" s="101">
        <f t="shared" si="53"/>
        <v>6250000</v>
      </c>
      <c r="T381" s="99" t="str">
        <f t="shared" si="54"/>
        <v>Low</v>
      </c>
      <c r="U381" s="99" t="str">
        <f t="shared" si="55"/>
        <v>Low</v>
      </c>
      <c r="V381" s="99" t="str">
        <f t="shared" si="56"/>
        <v>Low</v>
      </c>
      <c r="W381" s="99" t="str">
        <f t="shared" si="57"/>
        <v>LLL</v>
      </c>
      <c r="X381" s="99" t="str">
        <f>VLOOKUP(W381,rfm[],2,FALSE)</f>
        <v>💤 Lost / Low Value</v>
      </c>
      <c r="AA381" s="99" t="s">
        <v>2412</v>
      </c>
      <c r="AB381" s="99" t="s">
        <v>69</v>
      </c>
      <c r="AC381" s="100">
        <v>45812</v>
      </c>
      <c r="AD381" s="101">
        <v>211</v>
      </c>
      <c r="AE381" s="101">
        <v>1</v>
      </c>
      <c r="AF381" s="101">
        <v>6250000</v>
      </c>
      <c r="AG381" s="99" t="str">
        <f>VLOOKUP(AA381,recency!$K$6:$P$818,6,0)</f>
        <v>Low</v>
      </c>
      <c r="AH381" s="132" t="str">
        <f>VLOOKUP(AA381,frequency!$F$6:$H$818,3,FALSE)</f>
        <v>Low</v>
      </c>
      <c r="AI381" s="129" t="str">
        <f>VLOOKUP(AA381,monetary!$B$5:$F$817,5,0)</f>
        <v>Low</v>
      </c>
      <c r="AJ381" s="99" t="str">
        <f t="shared" si="58"/>
        <v>LLL</v>
      </c>
      <c r="AK381" s="99" t="str">
        <f>VLOOKUP(AJ381,rfm[],2,0)</f>
        <v>💤 Lost / Low Value</v>
      </c>
      <c r="AN381" s="99" t="b">
        <f t="shared" si="59"/>
        <v>1</v>
      </c>
    </row>
    <row r="382" spans="2:40" x14ac:dyDescent="0.3">
      <c r="B382" s="99" t="s">
        <v>579</v>
      </c>
      <c r="C382" s="100">
        <v>45728</v>
      </c>
      <c r="D382" s="99" t="s">
        <v>10</v>
      </c>
      <c r="E382" s="99" t="s">
        <v>11</v>
      </c>
      <c r="F382" s="99" t="s">
        <v>12</v>
      </c>
      <c r="G382" s="99">
        <v>31</v>
      </c>
      <c r="H382" s="112">
        <v>120000</v>
      </c>
      <c r="I382" s="112">
        <v>3720000</v>
      </c>
      <c r="J382" s="99" t="s">
        <v>2420</v>
      </c>
      <c r="K382" s="99" t="s">
        <v>127</v>
      </c>
      <c r="N382" s="99" t="s">
        <v>2413</v>
      </c>
      <c r="O382" s="99" t="s">
        <v>8</v>
      </c>
      <c r="P382" s="100">
        <f t="shared" si="51"/>
        <v>45995</v>
      </c>
      <c r="Q382" s="101">
        <f t="shared" si="50"/>
        <v>28</v>
      </c>
      <c r="R382" s="99">
        <f t="shared" si="52"/>
        <v>4</v>
      </c>
      <c r="S382" s="101">
        <f t="shared" si="53"/>
        <v>20450000</v>
      </c>
      <c r="T382" s="99" t="str">
        <f t="shared" si="54"/>
        <v>High</v>
      </c>
      <c r="U382" s="99" t="str">
        <f t="shared" si="55"/>
        <v>High</v>
      </c>
      <c r="V382" s="99" t="str">
        <f t="shared" si="56"/>
        <v>High</v>
      </c>
      <c r="W382" s="99" t="str">
        <f t="shared" si="57"/>
        <v>HHH</v>
      </c>
      <c r="X382" s="99" t="str">
        <f>VLOOKUP(W382,rfm[],2,FALSE)</f>
        <v>🥇 Champions</v>
      </c>
      <c r="AA382" s="99" t="s">
        <v>2413</v>
      </c>
      <c r="AB382" s="99" t="s">
        <v>8</v>
      </c>
      <c r="AC382" s="100">
        <v>45995</v>
      </c>
      <c r="AD382" s="101">
        <v>28</v>
      </c>
      <c r="AE382" s="101">
        <v>4</v>
      </c>
      <c r="AF382" s="101">
        <v>20450000</v>
      </c>
      <c r="AG382" s="99" t="str">
        <f>VLOOKUP(AA382,recency!$K$6:$P$818,6,0)</f>
        <v>High</v>
      </c>
      <c r="AH382" s="132" t="str">
        <f>VLOOKUP(AA382,frequency!$F$6:$H$818,3,FALSE)</f>
        <v>High</v>
      </c>
      <c r="AI382" s="129" t="str">
        <f>VLOOKUP(AA382,monetary!$B$5:$F$817,5,0)</f>
        <v>Low</v>
      </c>
      <c r="AJ382" s="99" t="str">
        <f t="shared" si="58"/>
        <v>HHL</v>
      </c>
      <c r="AK382" s="99" t="str">
        <f>VLOOKUP(AJ382,rfm[],2,0)</f>
        <v>💎 Loyal High Value</v>
      </c>
      <c r="AN382" s="99" t="b">
        <f t="shared" si="59"/>
        <v>0</v>
      </c>
    </row>
    <row r="383" spans="2:40" x14ac:dyDescent="0.3">
      <c r="B383" s="99" t="s">
        <v>598</v>
      </c>
      <c r="C383" s="100">
        <v>45728</v>
      </c>
      <c r="D383" s="99" t="s">
        <v>40</v>
      </c>
      <c r="E383" s="99" t="s">
        <v>41</v>
      </c>
      <c r="F383" s="99" t="s">
        <v>16</v>
      </c>
      <c r="G383" s="99">
        <v>6</v>
      </c>
      <c r="H383" s="112">
        <v>950000</v>
      </c>
      <c r="I383" s="112">
        <v>5700000</v>
      </c>
      <c r="J383" s="99" t="s">
        <v>2333</v>
      </c>
      <c r="K383" s="99" t="s">
        <v>60</v>
      </c>
      <c r="N383" s="99" t="s">
        <v>2414</v>
      </c>
      <c r="O383" s="99" t="s">
        <v>8</v>
      </c>
      <c r="P383" s="100">
        <f t="shared" si="51"/>
        <v>45992</v>
      </c>
      <c r="Q383" s="101">
        <f t="shared" si="50"/>
        <v>31</v>
      </c>
      <c r="R383" s="99">
        <f t="shared" si="52"/>
        <v>2</v>
      </c>
      <c r="S383" s="101">
        <f t="shared" si="53"/>
        <v>6450000</v>
      </c>
      <c r="T383" s="99" t="str">
        <f t="shared" si="54"/>
        <v>High</v>
      </c>
      <c r="U383" s="99" t="str">
        <f t="shared" si="55"/>
        <v>Low</v>
      </c>
      <c r="V383" s="99" t="str">
        <f t="shared" si="56"/>
        <v>Low</v>
      </c>
      <c r="W383" s="99" t="str">
        <f t="shared" si="57"/>
        <v>HLL</v>
      </c>
      <c r="X383" s="99" t="str">
        <f>VLOOKUP(W383,rfm[],2,FALSE)</f>
        <v>🌱 Potential Loyalists</v>
      </c>
      <c r="AA383" s="99" t="s">
        <v>2414</v>
      </c>
      <c r="AB383" s="99" t="s">
        <v>8</v>
      </c>
      <c r="AC383" s="100">
        <v>45992</v>
      </c>
      <c r="AD383" s="101">
        <v>31</v>
      </c>
      <c r="AE383" s="101">
        <v>2</v>
      </c>
      <c r="AF383" s="101">
        <v>6450000</v>
      </c>
      <c r="AG383" s="99" t="str">
        <f>VLOOKUP(AA383,recency!$K$6:$P$818,6,0)</f>
        <v>High</v>
      </c>
      <c r="AH383" s="132" t="str">
        <f>VLOOKUP(AA383,frequency!$F$6:$H$818,3,FALSE)</f>
        <v>Low</v>
      </c>
      <c r="AI383" s="129" t="str">
        <f>VLOOKUP(AA383,monetary!$B$5:$F$817,5,0)</f>
        <v>Low</v>
      </c>
      <c r="AJ383" s="99" t="str">
        <f t="shared" si="58"/>
        <v>HLL</v>
      </c>
      <c r="AK383" s="99" t="str">
        <f>VLOOKUP(AJ383,rfm[],2,0)</f>
        <v>🌱 Potential Loyalists</v>
      </c>
      <c r="AN383" s="99" t="b">
        <f t="shared" si="59"/>
        <v>1</v>
      </c>
    </row>
    <row r="384" spans="2:40" x14ac:dyDescent="0.3">
      <c r="B384" s="99" t="s">
        <v>599</v>
      </c>
      <c r="C384" s="100">
        <v>45728</v>
      </c>
      <c r="D384" s="99" t="s">
        <v>28</v>
      </c>
      <c r="E384" s="99" t="s">
        <v>29</v>
      </c>
      <c r="F384" s="99" t="s">
        <v>20</v>
      </c>
      <c r="G384" s="99">
        <v>37</v>
      </c>
      <c r="H384" s="112">
        <v>450000</v>
      </c>
      <c r="I384" s="112">
        <v>16650000</v>
      </c>
      <c r="J384" s="99" t="s">
        <v>2749</v>
      </c>
      <c r="K384" s="99" t="s">
        <v>47</v>
      </c>
      <c r="N384" s="99" t="s">
        <v>2415</v>
      </c>
      <c r="O384" s="99" t="s">
        <v>8</v>
      </c>
      <c r="P384" s="100">
        <f t="shared" si="51"/>
        <v>45894</v>
      </c>
      <c r="Q384" s="101">
        <f t="shared" si="50"/>
        <v>129</v>
      </c>
      <c r="R384" s="99">
        <f t="shared" si="52"/>
        <v>3</v>
      </c>
      <c r="S384" s="101">
        <f t="shared" si="53"/>
        <v>29990000</v>
      </c>
      <c r="T384" s="99" t="str">
        <f t="shared" si="54"/>
        <v>Low</v>
      </c>
      <c r="U384" s="99" t="str">
        <f t="shared" si="55"/>
        <v>High</v>
      </c>
      <c r="V384" s="99" t="str">
        <f t="shared" si="56"/>
        <v>High</v>
      </c>
      <c r="W384" s="99" t="str">
        <f t="shared" si="57"/>
        <v>LHH</v>
      </c>
      <c r="X384" s="99" t="str">
        <f>VLOOKUP(W384,rfm[],2,FALSE)</f>
        <v>⚠️ At Risk High Value</v>
      </c>
      <c r="AA384" s="99" t="s">
        <v>2415</v>
      </c>
      <c r="AB384" s="99" t="s">
        <v>8</v>
      </c>
      <c r="AC384" s="100">
        <v>45894</v>
      </c>
      <c r="AD384" s="101">
        <v>129</v>
      </c>
      <c r="AE384" s="101">
        <v>3</v>
      </c>
      <c r="AF384" s="101">
        <v>29990000</v>
      </c>
      <c r="AG384" s="99" t="str">
        <f>VLOOKUP(AA384,recency!$K$6:$P$818,6,0)</f>
        <v>Low</v>
      </c>
      <c r="AH384" s="132" t="str">
        <f>VLOOKUP(AA384,frequency!$F$6:$H$818,3,FALSE)</f>
        <v>High</v>
      </c>
      <c r="AI384" s="129" t="str">
        <f>VLOOKUP(AA384,monetary!$B$5:$F$817,5,0)</f>
        <v>Low</v>
      </c>
      <c r="AJ384" s="99" t="str">
        <f t="shared" si="58"/>
        <v>LHL</v>
      </c>
      <c r="AK384" s="99" t="str">
        <f>VLOOKUP(AJ384,rfm[],2,0)</f>
        <v>🔁 Former Loyal Low Spend</v>
      </c>
      <c r="AN384" s="99" t="b">
        <f t="shared" si="59"/>
        <v>0</v>
      </c>
    </row>
    <row r="385" spans="2:40" x14ac:dyDescent="0.3">
      <c r="B385" s="99" t="s">
        <v>617</v>
      </c>
      <c r="C385" s="100">
        <v>45728</v>
      </c>
      <c r="D385" s="99" t="s">
        <v>18</v>
      </c>
      <c r="E385" s="99" t="s">
        <v>19</v>
      </c>
      <c r="F385" s="99" t="s">
        <v>20</v>
      </c>
      <c r="G385" s="99">
        <v>49</v>
      </c>
      <c r="H385" s="112">
        <v>500000</v>
      </c>
      <c r="I385" s="112">
        <v>24500000</v>
      </c>
      <c r="J385" s="99" t="s">
        <v>2557</v>
      </c>
      <c r="K385" s="99" t="s">
        <v>127</v>
      </c>
      <c r="N385" s="99" t="s">
        <v>2416</v>
      </c>
      <c r="O385" s="99" t="s">
        <v>69</v>
      </c>
      <c r="P385" s="100">
        <f t="shared" si="51"/>
        <v>45986</v>
      </c>
      <c r="Q385" s="101">
        <f t="shared" si="50"/>
        <v>37</v>
      </c>
      <c r="R385" s="99">
        <f t="shared" si="52"/>
        <v>2</v>
      </c>
      <c r="S385" s="101">
        <f t="shared" si="53"/>
        <v>11250000</v>
      </c>
      <c r="T385" s="99" t="str">
        <f t="shared" si="54"/>
        <v>High</v>
      </c>
      <c r="U385" s="99" t="str">
        <f t="shared" si="55"/>
        <v>Low</v>
      </c>
      <c r="V385" s="99" t="str">
        <f t="shared" si="56"/>
        <v>Low</v>
      </c>
      <c r="W385" s="99" t="str">
        <f t="shared" si="57"/>
        <v>HLL</v>
      </c>
      <c r="X385" s="99" t="str">
        <f>VLOOKUP(W385,rfm[],2,FALSE)</f>
        <v>🌱 Potential Loyalists</v>
      </c>
      <c r="AA385" s="99" t="s">
        <v>2416</v>
      </c>
      <c r="AB385" s="99" t="s">
        <v>69</v>
      </c>
      <c r="AC385" s="100">
        <v>45986</v>
      </c>
      <c r="AD385" s="101">
        <v>37</v>
      </c>
      <c r="AE385" s="101">
        <v>2</v>
      </c>
      <c r="AF385" s="101">
        <v>11250000</v>
      </c>
      <c r="AG385" s="99" t="str">
        <f>VLOOKUP(AA385,recency!$K$6:$P$818,6,0)</f>
        <v>High</v>
      </c>
      <c r="AH385" s="132" t="str">
        <f>VLOOKUP(AA385,frequency!$F$6:$H$818,3,FALSE)</f>
        <v>Low</v>
      </c>
      <c r="AI385" s="129" t="str">
        <f>VLOOKUP(AA385,monetary!$B$5:$F$817,5,0)</f>
        <v>Low</v>
      </c>
      <c r="AJ385" s="99" t="str">
        <f t="shared" si="58"/>
        <v>HLL</v>
      </c>
      <c r="AK385" s="99" t="str">
        <f>VLOOKUP(AJ385,rfm[],2,0)</f>
        <v>🌱 Potential Loyalists</v>
      </c>
      <c r="AN385" s="99" t="b">
        <f t="shared" si="59"/>
        <v>1</v>
      </c>
    </row>
    <row r="386" spans="2:40" x14ac:dyDescent="0.3">
      <c r="B386" s="99" t="s">
        <v>618</v>
      </c>
      <c r="C386" s="100">
        <v>45728</v>
      </c>
      <c r="D386" s="99" t="s">
        <v>22</v>
      </c>
      <c r="E386" s="99" t="s">
        <v>23</v>
      </c>
      <c r="F386" s="99" t="s">
        <v>12</v>
      </c>
      <c r="G386" s="99">
        <v>24</v>
      </c>
      <c r="H386" s="112">
        <v>25000</v>
      </c>
      <c r="I386" s="112">
        <v>600000</v>
      </c>
      <c r="J386" s="99" t="s">
        <v>2053</v>
      </c>
      <c r="K386" s="99" t="s">
        <v>8</v>
      </c>
      <c r="N386" s="99" t="s">
        <v>2417</v>
      </c>
      <c r="O386" s="99" t="s">
        <v>60</v>
      </c>
      <c r="P386" s="100">
        <f t="shared" si="51"/>
        <v>45863</v>
      </c>
      <c r="Q386" s="101">
        <f t="shared" si="50"/>
        <v>160</v>
      </c>
      <c r="R386" s="99">
        <f t="shared" si="52"/>
        <v>1</v>
      </c>
      <c r="S386" s="101">
        <f t="shared" si="53"/>
        <v>56400000</v>
      </c>
      <c r="T386" s="99" t="str">
        <f t="shared" si="54"/>
        <v>Low</v>
      </c>
      <c r="U386" s="99" t="str">
        <f t="shared" si="55"/>
        <v>Low</v>
      </c>
      <c r="V386" s="99" t="str">
        <f t="shared" si="56"/>
        <v>High</v>
      </c>
      <c r="W386" s="99" t="str">
        <f t="shared" si="57"/>
        <v>LLH</v>
      </c>
      <c r="X386" s="99" t="str">
        <f>VLOOKUP(W386,rfm[],2,FALSE)</f>
        <v>💸 Lost High Spenders</v>
      </c>
      <c r="AA386" s="99" t="s">
        <v>2417</v>
      </c>
      <c r="AB386" s="99" t="s">
        <v>60</v>
      </c>
      <c r="AC386" s="100">
        <v>45863</v>
      </c>
      <c r="AD386" s="101">
        <v>160</v>
      </c>
      <c r="AE386" s="101">
        <v>1</v>
      </c>
      <c r="AF386" s="101">
        <v>56400000</v>
      </c>
      <c r="AG386" s="99" t="str">
        <f>VLOOKUP(AA386,recency!$K$6:$P$818,6,0)</f>
        <v>Low</v>
      </c>
      <c r="AH386" s="132" t="str">
        <f>VLOOKUP(AA386,frequency!$F$6:$H$818,3,FALSE)</f>
        <v>Low</v>
      </c>
      <c r="AI386" s="129" t="str">
        <f>VLOOKUP(AA386,monetary!$B$5:$F$817,5,0)</f>
        <v>High</v>
      </c>
      <c r="AJ386" s="99" t="str">
        <f t="shared" si="58"/>
        <v>LLH</v>
      </c>
      <c r="AK386" s="99" t="str">
        <f>VLOOKUP(AJ386,rfm[],2,0)</f>
        <v>💸 Lost High Spenders</v>
      </c>
      <c r="AN386" s="99" t="b">
        <f t="shared" si="59"/>
        <v>1</v>
      </c>
    </row>
    <row r="387" spans="2:40" x14ac:dyDescent="0.3">
      <c r="B387" s="99" t="s">
        <v>619</v>
      </c>
      <c r="C387" s="100">
        <v>45728</v>
      </c>
      <c r="D387" s="99" t="s">
        <v>22</v>
      </c>
      <c r="E387" s="99" t="s">
        <v>23</v>
      </c>
      <c r="F387" s="99" t="s">
        <v>12</v>
      </c>
      <c r="G387" s="99">
        <v>17</v>
      </c>
      <c r="H387" s="112">
        <v>25000</v>
      </c>
      <c r="I387" s="112">
        <v>425000</v>
      </c>
      <c r="J387" s="99" t="s">
        <v>2780</v>
      </c>
      <c r="K387" s="99" t="s">
        <v>127</v>
      </c>
      <c r="N387" s="99" t="s">
        <v>2418</v>
      </c>
      <c r="O387" s="99" t="s">
        <v>69</v>
      </c>
      <c r="P387" s="100">
        <f t="shared" si="51"/>
        <v>45890</v>
      </c>
      <c r="Q387" s="101">
        <f t="shared" si="50"/>
        <v>133</v>
      </c>
      <c r="R387" s="99">
        <f t="shared" si="52"/>
        <v>1</v>
      </c>
      <c r="S387" s="101">
        <f t="shared" si="53"/>
        <v>9000000</v>
      </c>
      <c r="T387" s="99" t="str">
        <f t="shared" si="54"/>
        <v>Low</v>
      </c>
      <c r="U387" s="99" t="str">
        <f t="shared" si="55"/>
        <v>Low</v>
      </c>
      <c r="V387" s="99" t="str">
        <f t="shared" si="56"/>
        <v>Low</v>
      </c>
      <c r="W387" s="99" t="str">
        <f t="shared" si="57"/>
        <v>LLL</v>
      </c>
      <c r="X387" s="99" t="str">
        <f>VLOOKUP(W387,rfm[],2,FALSE)</f>
        <v>💤 Lost / Low Value</v>
      </c>
      <c r="AA387" s="99" t="s">
        <v>2418</v>
      </c>
      <c r="AB387" s="99" t="s">
        <v>69</v>
      </c>
      <c r="AC387" s="100">
        <v>45890</v>
      </c>
      <c r="AD387" s="101">
        <v>133</v>
      </c>
      <c r="AE387" s="101">
        <v>1</v>
      </c>
      <c r="AF387" s="101">
        <v>9000000</v>
      </c>
      <c r="AG387" s="99" t="str">
        <f>VLOOKUP(AA387,recency!$K$6:$P$818,6,0)</f>
        <v>Low</v>
      </c>
      <c r="AH387" s="132" t="str">
        <f>VLOOKUP(AA387,frequency!$F$6:$H$818,3,FALSE)</f>
        <v>Low</v>
      </c>
      <c r="AI387" s="129" t="str">
        <f>VLOOKUP(AA387,monetary!$B$5:$F$817,5,0)</f>
        <v>Low</v>
      </c>
      <c r="AJ387" s="99" t="str">
        <f t="shared" si="58"/>
        <v>LLL</v>
      </c>
      <c r="AK387" s="99" t="str">
        <f>VLOOKUP(AJ387,rfm[],2,0)</f>
        <v>💤 Lost / Low Value</v>
      </c>
      <c r="AN387" s="99" t="b">
        <f t="shared" si="59"/>
        <v>1</v>
      </c>
    </row>
    <row r="388" spans="2:40" x14ac:dyDescent="0.3">
      <c r="B388" s="99" t="s">
        <v>620</v>
      </c>
      <c r="C388" s="100">
        <v>45728</v>
      </c>
      <c r="D388" s="99" t="s">
        <v>18</v>
      </c>
      <c r="E388" s="99" t="s">
        <v>19</v>
      </c>
      <c r="F388" s="99" t="s">
        <v>20</v>
      </c>
      <c r="G388" s="99">
        <v>46</v>
      </c>
      <c r="H388" s="112">
        <v>500000</v>
      </c>
      <c r="I388" s="112">
        <v>23000000</v>
      </c>
      <c r="J388" s="99" t="s">
        <v>2530</v>
      </c>
      <c r="K388" s="99" t="s">
        <v>127</v>
      </c>
      <c r="N388" s="99" t="s">
        <v>2419</v>
      </c>
      <c r="O388" s="99" t="s">
        <v>47</v>
      </c>
      <c r="P388" s="100">
        <f t="shared" si="51"/>
        <v>45952</v>
      </c>
      <c r="Q388" s="101">
        <f t="shared" si="50"/>
        <v>71</v>
      </c>
      <c r="R388" s="99">
        <f t="shared" si="52"/>
        <v>1</v>
      </c>
      <c r="S388" s="101">
        <f t="shared" si="53"/>
        <v>2500000</v>
      </c>
      <c r="T388" s="99" t="str">
        <f t="shared" si="54"/>
        <v>High</v>
      </c>
      <c r="U388" s="99" t="str">
        <f t="shared" si="55"/>
        <v>Low</v>
      </c>
      <c r="V388" s="99" t="str">
        <f t="shared" si="56"/>
        <v>Low</v>
      </c>
      <c r="W388" s="99" t="str">
        <f t="shared" si="57"/>
        <v>HLL</v>
      </c>
      <c r="X388" s="99" t="str">
        <f>VLOOKUP(W388,rfm[],2,FALSE)</f>
        <v>🌱 Potential Loyalists</v>
      </c>
      <c r="AA388" s="99" t="s">
        <v>2419</v>
      </c>
      <c r="AB388" s="99" t="s">
        <v>47</v>
      </c>
      <c r="AC388" s="100">
        <v>45952</v>
      </c>
      <c r="AD388" s="101">
        <v>71</v>
      </c>
      <c r="AE388" s="101">
        <v>1</v>
      </c>
      <c r="AF388" s="101">
        <v>2500000</v>
      </c>
      <c r="AG388" s="99" t="str">
        <f>VLOOKUP(AA388,recency!$K$6:$P$818,6,0)</f>
        <v>Low</v>
      </c>
      <c r="AH388" s="132" t="str">
        <f>VLOOKUP(AA388,frequency!$F$6:$H$818,3,FALSE)</f>
        <v>Low</v>
      </c>
      <c r="AI388" s="129" t="str">
        <f>VLOOKUP(AA388,monetary!$B$5:$F$817,5,0)</f>
        <v>Low</v>
      </c>
      <c r="AJ388" s="99" t="str">
        <f t="shared" si="58"/>
        <v>LLL</v>
      </c>
      <c r="AK388" s="99" t="str">
        <f>VLOOKUP(AJ388,rfm[],2,0)</f>
        <v>💤 Lost / Low Value</v>
      </c>
      <c r="AN388" s="99" t="b">
        <f t="shared" si="59"/>
        <v>0</v>
      </c>
    </row>
    <row r="389" spans="2:40" x14ac:dyDescent="0.3">
      <c r="B389" s="99" t="s">
        <v>621</v>
      </c>
      <c r="C389" s="100">
        <v>45729</v>
      </c>
      <c r="D389" s="99" t="s">
        <v>38</v>
      </c>
      <c r="E389" s="99" t="s">
        <v>39</v>
      </c>
      <c r="F389" s="99" t="s">
        <v>16</v>
      </c>
      <c r="G389" s="99">
        <v>35</v>
      </c>
      <c r="H389" s="112">
        <v>200000</v>
      </c>
      <c r="I389" s="112">
        <v>7000000</v>
      </c>
      <c r="J389" s="99" t="s">
        <v>2723</v>
      </c>
      <c r="K389" s="99" t="s">
        <v>8</v>
      </c>
      <c r="N389" s="99" t="s">
        <v>2420</v>
      </c>
      <c r="O389" s="99" t="s">
        <v>127</v>
      </c>
      <c r="P389" s="100">
        <f t="shared" si="51"/>
        <v>46013</v>
      </c>
      <c r="Q389" s="101">
        <f t="shared" si="50"/>
        <v>10</v>
      </c>
      <c r="R389" s="99">
        <f t="shared" si="52"/>
        <v>7</v>
      </c>
      <c r="S389" s="101">
        <f t="shared" si="53"/>
        <v>39215000</v>
      </c>
      <c r="T389" s="99" t="str">
        <f t="shared" si="54"/>
        <v>High</v>
      </c>
      <c r="U389" s="99" t="str">
        <f t="shared" si="55"/>
        <v>High</v>
      </c>
      <c r="V389" s="99" t="str">
        <f t="shared" si="56"/>
        <v>High</v>
      </c>
      <c r="W389" s="99" t="str">
        <f t="shared" si="57"/>
        <v>HHH</v>
      </c>
      <c r="X389" s="99" t="str">
        <f>VLOOKUP(W389,rfm[],2,FALSE)</f>
        <v>🥇 Champions</v>
      </c>
      <c r="AA389" s="99" t="s">
        <v>2420</v>
      </c>
      <c r="AB389" s="99" t="s">
        <v>127</v>
      </c>
      <c r="AC389" s="100">
        <v>46013</v>
      </c>
      <c r="AD389" s="101">
        <v>10</v>
      </c>
      <c r="AE389" s="101">
        <v>7</v>
      </c>
      <c r="AF389" s="101">
        <v>39215000</v>
      </c>
      <c r="AG389" s="99" t="str">
        <f>VLOOKUP(AA389,recency!$K$6:$P$818,6,0)</f>
        <v>High</v>
      </c>
      <c r="AH389" s="132" t="str">
        <f>VLOOKUP(AA389,frequency!$F$6:$H$818,3,FALSE)</f>
        <v>High</v>
      </c>
      <c r="AI389" s="129" t="str">
        <f>VLOOKUP(AA389,monetary!$B$5:$F$817,5,0)</f>
        <v>Low</v>
      </c>
      <c r="AJ389" s="99" t="str">
        <f t="shared" si="58"/>
        <v>HHL</v>
      </c>
      <c r="AK389" s="99" t="str">
        <f>VLOOKUP(AJ389,rfm[],2,0)</f>
        <v>💎 Loyal High Value</v>
      </c>
      <c r="AN389" s="99" t="b">
        <f t="shared" si="59"/>
        <v>0</v>
      </c>
    </row>
    <row r="390" spans="2:40" x14ac:dyDescent="0.3">
      <c r="B390" s="99" t="s">
        <v>622</v>
      </c>
      <c r="C390" s="100">
        <v>45729</v>
      </c>
      <c r="D390" s="99" t="s">
        <v>18</v>
      </c>
      <c r="E390" s="99" t="s">
        <v>19</v>
      </c>
      <c r="F390" s="99" t="s">
        <v>20</v>
      </c>
      <c r="G390" s="99">
        <v>11</v>
      </c>
      <c r="H390" s="112">
        <v>500000</v>
      </c>
      <c r="I390" s="112">
        <v>5500000</v>
      </c>
      <c r="J390" s="99" t="s">
        <v>2788</v>
      </c>
      <c r="K390" s="99" t="s">
        <v>69</v>
      </c>
      <c r="N390" s="99" t="s">
        <v>2421</v>
      </c>
      <c r="O390" s="99" t="s">
        <v>69</v>
      </c>
      <c r="P390" s="100">
        <f t="shared" si="51"/>
        <v>45799</v>
      </c>
      <c r="Q390" s="101">
        <f t="shared" ref="Q390:Q453" si="60">analysis_date-P390</f>
        <v>224</v>
      </c>
      <c r="R390" s="99">
        <f t="shared" si="52"/>
        <v>2</v>
      </c>
      <c r="S390" s="101">
        <f t="shared" si="53"/>
        <v>33900000</v>
      </c>
      <c r="T390" s="99" t="str">
        <f t="shared" si="54"/>
        <v>Low</v>
      </c>
      <c r="U390" s="99" t="str">
        <f t="shared" si="55"/>
        <v>Low</v>
      </c>
      <c r="V390" s="99" t="str">
        <f t="shared" si="56"/>
        <v>High</v>
      </c>
      <c r="W390" s="99" t="str">
        <f t="shared" si="57"/>
        <v>LLH</v>
      </c>
      <c r="X390" s="99" t="str">
        <f>VLOOKUP(W390,rfm[],2,FALSE)</f>
        <v>💸 Lost High Spenders</v>
      </c>
      <c r="AA390" s="99" t="s">
        <v>2421</v>
      </c>
      <c r="AB390" s="99" t="s">
        <v>69</v>
      </c>
      <c r="AC390" s="100">
        <v>45799</v>
      </c>
      <c r="AD390" s="101">
        <v>224</v>
      </c>
      <c r="AE390" s="101">
        <v>2</v>
      </c>
      <c r="AF390" s="101">
        <v>33900000</v>
      </c>
      <c r="AG390" s="99" t="str">
        <f>VLOOKUP(AA390,recency!$K$6:$P$818,6,0)</f>
        <v>Low</v>
      </c>
      <c r="AH390" s="132" t="str">
        <f>VLOOKUP(AA390,frequency!$F$6:$H$818,3,FALSE)</f>
        <v>Low</v>
      </c>
      <c r="AI390" s="129" t="str">
        <f>VLOOKUP(AA390,monetary!$B$5:$F$817,5,0)</f>
        <v>Low</v>
      </c>
      <c r="AJ390" s="99" t="str">
        <f t="shared" si="58"/>
        <v>LLL</v>
      </c>
      <c r="AK390" s="99" t="str">
        <f>VLOOKUP(AJ390,rfm[],2,0)</f>
        <v>💤 Lost / Low Value</v>
      </c>
      <c r="AN390" s="99" t="b">
        <f t="shared" si="59"/>
        <v>0</v>
      </c>
    </row>
    <row r="391" spans="2:40" x14ac:dyDescent="0.3">
      <c r="B391" s="99" t="s">
        <v>644</v>
      </c>
      <c r="C391" s="100">
        <v>45729</v>
      </c>
      <c r="D391" s="99" t="s">
        <v>42</v>
      </c>
      <c r="E391" s="99" t="s">
        <v>43</v>
      </c>
      <c r="F391" s="99" t="s">
        <v>16</v>
      </c>
      <c r="G391" s="99">
        <v>55</v>
      </c>
      <c r="H391" s="112">
        <v>1200000</v>
      </c>
      <c r="I391" s="112">
        <v>66000000</v>
      </c>
      <c r="J391" s="99" t="s">
        <v>2563</v>
      </c>
      <c r="K391" s="99" t="s">
        <v>47</v>
      </c>
      <c r="N391" s="99" t="s">
        <v>2422</v>
      </c>
      <c r="O391" s="99" t="s">
        <v>8</v>
      </c>
      <c r="P391" s="100">
        <f t="shared" ref="P391:P454" si="61">_xlfn.MAXIFS($C$6:$C$2005,$J$6:$J$2005,N391)</f>
        <v>45762</v>
      </c>
      <c r="Q391" s="101">
        <f t="shared" si="60"/>
        <v>261</v>
      </c>
      <c r="R391" s="99">
        <f t="shared" ref="R391:R454" si="62">COUNTIFS($J$6:$J$2005,N391)</f>
        <v>2</v>
      </c>
      <c r="S391" s="101">
        <f t="shared" ref="S391:S454" si="63">SUMIFS($I$6:$I$2005,$J$6:$J$2005,N391)</f>
        <v>19760000</v>
      </c>
      <c r="T391" s="99" t="str">
        <f t="shared" ref="T391:T454" si="64">IF(Q391&lt;MEDIAN($Q$6:$Q$817),"High","Low")</f>
        <v>Low</v>
      </c>
      <c r="U391" s="99" t="str">
        <f t="shared" ref="U391:U454" si="65">IF(R391&gt;MEDIAN($R$6:$R$817),"High","Low")</f>
        <v>Low</v>
      </c>
      <c r="V391" s="99" t="str">
        <f t="shared" ref="V391:V454" si="66">IF(S391&gt;MEDIAN($S$6:$S$817),"High","Low")</f>
        <v>High</v>
      </c>
      <c r="W391" s="99" t="str">
        <f t="shared" ref="W391:W454" si="67">_xlfn.CONCAT(LEFT(T391,1),LEFT(U391,1),LEFT(V391,1))</f>
        <v>LLH</v>
      </c>
      <c r="X391" s="99" t="str">
        <f>VLOOKUP(W391,rfm[],2,FALSE)</f>
        <v>💸 Lost High Spenders</v>
      </c>
      <c r="AA391" s="99" t="s">
        <v>2422</v>
      </c>
      <c r="AB391" s="99" t="s">
        <v>8</v>
      </c>
      <c r="AC391" s="100">
        <v>45762</v>
      </c>
      <c r="AD391" s="101">
        <v>261</v>
      </c>
      <c r="AE391" s="101">
        <v>2</v>
      </c>
      <c r="AF391" s="101">
        <v>19760000</v>
      </c>
      <c r="AG391" s="99" t="str">
        <f>VLOOKUP(AA391,recency!$K$6:$P$818,6,0)</f>
        <v>Low</v>
      </c>
      <c r="AH391" s="132" t="str">
        <f>VLOOKUP(AA391,frequency!$F$6:$H$818,3,FALSE)</f>
        <v>Low</v>
      </c>
      <c r="AI391" s="129" t="str">
        <f>VLOOKUP(AA391,monetary!$B$5:$F$817,5,0)</f>
        <v>Low</v>
      </c>
      <c r="AJ391" s="99" t="str">
        <f t="shared" ref="AJ391:AJ454" si="68">_xlfn.CONCAT(LEFT(AG391,1),LEFT(AH391,1),LEFT(AI391,1))</f>
        <v>LLL</v>
      </c>
      <c r="AK391" s="99" t="str">
        <f>VLOOKUP(AJ391,rfm[],2,0)</f>
        <v>💤 Lost / Low Value</v>
      </c>
      <c r="AN391" s="99" t="b">
        <f t="shared" ref="AN391:AN454" si="69">AJ391=W391</f>
        <v>0</v>
      </c>
    </row>
    <row r="392" spans="2:40" x14ac:dyDescent="0.3">
      <c r="B392" s="99" t="s">
        <v>645</v>
      </c>
      <c r="C392" s="100">
        <v>45729</v>
      </c>
      <c r="D392" s="99" t="s">
        <v>40</v>
      </c>
      <c r="E392" s="99" t="s">
        <v>41</v>
      </c>
      <c r="F392" s="99" t="s">
        <v>16</v>
      </c>
      <c r="G392" s="99">
        <v>9</v>
      </c>
      <c r="H392" s="112">
        <v>950000</v>
      </c>
      <c r="I392" s="112">
        <v>8550000</v>
      </c>
      <c r="J392" s="99" t="s">
        <v>2134</v>
      </c>
      <c r="K392" s="99" t="s">
        <v>8</v>
      </c>
      <c r="N392" s="99" t="s">
        <v>2423</v>
      </c>
      <c r="O392" s="99" t="s">
        <v>127</v>
      </c>
      <c r="P392" s="100">
        <f t="shared" si="61"/>
        <v>46010</v>
      </c>
      <c r="Q392" s="101">
        <f t="shared" si="60"/>
        <v>13</v>
      </c>
      <c r="R392" s="99">
        <f t="shared" si="62"/>
        <v>1</v>
      </c>
      <c r="S392" s="101">
        <f t="shared" si="63"/>
        <v>475000</v>
      </c>
      <c r="T392" s="99" t="str">
        <f t="shared" si="64"/>
        <v>High</v>
      </c>
      <c r="U392" s="99" t="str">
        <f t="shared" si="65"/>
        <v>Low</v>
      </c>
      <c r="V392" s="99" t="str">
        <f t="shared" si="66"/>
        <v>Low</v>
      </c>
      <c r="W392" s="99" t="str">
        <f t="shared" si="67"/>
        <v>HLL</v>
      </c>
      <c r="X392" s="99" t="str">
        <f>VLOOKUP(W392,rfm[],2,FALSE)</f>
        <v>🌱 Potential Loyalists</v>
      </c>
      <c r="AA392" s="99" t="s">
        <v>2423</v>
      </c>
      <c r="AB392" s="99" t="s">
        <v>127</v>
      </c>
      <c r="AC392" s="100">
        <v>46010</v>
      </c>
      <c r="AD392" s="101">
        <v>13</v>
      </c>
      <c r="AE392" s="101">
        <v>1</v>
      </c>
      <c r="AF392" s="101">
        <v>475000</v>
      </c>
      <c r="AG392" s="99" t="str">
        <f>VLOOKUP(AA392,recency!$K$6:$P$818,6,0)</f>
        <v>High</v>
      </c>
      <c r="AH392" s="132" t="str">
        <f>VLOOKUP(AA392,frequency!$F$6:$H$818,3,FALSE)</f>
        <v>Low</v>
      </c>
      <c r="AI392" s="129" t="str">
        <f>VLOOKUP(AA392,monetary!$B$5:$F$817,5,0)</f>
        <v>Low</v>
      </c>
      <c r="AJ392" s="99" t="str">
        <f t="shared" si="68"/>
        <v>HLL</v>
      </c>
      <c r="AK392" s="99" t="str">
        <f>VLOOKUP(AJ392,rfm[],2,0)</f>
        <v>🌱 Potential Loyalists</v>
      </c>
      <c r="AN392" s="99" t="b">
        <f t="shared" si="69"/>
        <v>1</v>
      </c>
    </row>
    <row r="393" spans="2:40" x14ac:dyDescent="0.3">
      <c r="B393" s="99" t="s">
        <v>646</v>
      </c>
      <c r="C393" s="100">
        <v>45729</v>
      </c>
      <c r="D393" s="99" t="s">
        <v>42</v>
      </c>
      <c r="E393" s="99" t="s">
        <v>43</v>
      </c>
      <c r="F393" s="99" t="s">
        <v>16</v>
      </c>
      <c r="G393" s="99">
        <v>24</v>
      </c>
      <c r="H393" s="112">
        <v>1200000</v>
      </c>
      <c r="I393" s="112">
        <v>28800000</v>
      </c>
      <c r="J393" s="99" t="s">
        <v>2487</v>
      </c>
      <c r="K393" s="99" t="s">
        <v>47</v>
      </c>
      <c r="N393" s="99" t="s">
        <v>2424</v>
      </c>
      <c r="O393" s="99" t="s">
        <v>60</v>
      </c>
      <c r="P393" s="100">
        <f t="shared" si="61"/>
        <v>46003</v>
      </c>
      <c r="Q393" s="101">
        <f t="shared" si="60"/>
        <v>20</v>
      </c>
      <c r="R393" s="99">
        <f t="shared" si="62"/>
        <v>1</v>
      </c>
      <c r="S393" s="101">
        <f t="shared" si="63"/>
        <v>52800000</v>
      </c>
      <c r="T393" s="99" t="str">
        <f t="shared" si="64"/>
        <v>High</v>
      </c>
      <c r="U393" s="99" t="str">
        <f t="shared" si="65"/>
        <v>Low</v>
      </c>
      <c r="V393" s="99" t="str">
        <f t="shared" si="66"/>
        <v>High</v>
      </c>
      <c r="W393" s="99" t="str">
        <f t="shared" si="67"/>
        <v>HLH</v>
      </c>
      <c r="X393" s="99" t="str">
        <f>VLOOKUP(W393,rfm[],2,FALSE)</f>
        <v>🛒 Big Spenders (Occasional)</v>
      </c>
      <c r="AA393" s="99" t="s">
        <v>2424</v>
      </c>
      <c r="AB393" s="99" t="s">
        <v>60</v>
      </c>
      <c r="AC393" s="100">
        <v>46003</v>
      </c>
      <c r="AD393" s="101">
        <v>20</v>
      </c>
      <c r="AE393" s="101">
        <v>1</v>
      </c>
      <c r="AF393" s="101">
        <v>52800000</v>
      </c>
      <c r="AG393" s="99" t="str">
        <f>VLOOKUP(AA393,recency!$K$6:$P$818,6,0)</f>
        <v>High</v>
      </c>
      <c r="AH393" s="132" t="str">
        <f>VLOOKUP(AA393,frequency!$F$6:$H$818,3,FALSE)</f>
        <v>Low</v>
      </c>
      <c r="AI393" s="129" t="str">
        <f>VLOOKUP(AA393,monetary!$B$5:$F$817,5,0)</f>
        <v>High</v>
      </c>
      <c r="AJ393" s="99" t="str">
        <f t="shared" si="68"/>
        <v>HLH</v>
      </c>
      <c r="AK393" s="99" t="str">
        <f>VLOOKUP(AJ393,rfm[],2,0)</f>
        <v>🛒 Big Spenders (Occasional)</v>
      </c>
      <c r="AN393" s="99" t="b">
        <f t="shared" si="69"/>
        <v>1</v>
      </c>
    </row>
    <row r="394" spans="2:40" x14ac:dyDescent="0.3">
      <c r="B394" s="99" t="s">
        <v>647</v>
      </c>
      <c r="C394" s="100">
        <v>45729</v>
      </c>
      <c r="D394" s="99" t="s">
        <v>28</v>
      </c>
      <c r="E394" s="99" t="s">
        <v>29</v>
      </c>
      <c r="F394" s="99" t="s">
        <v>20</v>
      </c>
      <c r="G394" s="99">
        <v>32</v>
      </c>
      <c r="H394" s="112">
        <v>450000</v>
      </c>
      <c r="I394" s="112">
        <v>14400000</v>
      </c>
      <c r="J394" s="99" t="s">
        <v>2647</v>
      </c>
      <c r="K394" s="99" t="s">
        <v>8</v>
      </c>
      <c r="N394" s="99" t="s">
        <v>2425</v>
      </c>
      <c r="O394" s="99" t="s">
        <v>60</v>
      </c>
      <c r="P394" s="100">
        <f t="shared" si="61"/>
        <v>45960</v>
      </c>
      <c r="Q394" s="101">
        <f t="shared" si="60"/>
        <v>63</v>
      </c>
      <c r="R394" s="99">
        <f t="shared" si="62"/>
        <v>2</v>
      </c>
      <c r="S394" s="101">
        <f t="shared" si="63"/>
        <v>11650000</v>
      </c>
      <c r="T394" s="99" t="str">
        <f t="shared" si="64"/>
        <v>High</v>
      </c>
      <c r="U394" s="99" t="str">
        <f t="shared" si="65"/>
        <v>Low</v>
      </c>
      <c r="V394" s="99" t="str">
        <f t="shared" si="66"/>
        <v>Low</v>
      </c>
      <c r="W394" s="99" t="str">
        <f t="shared" si="67"/>
        <v>HLL</v>
      </c>
      <c r="X394" s="99" t="str">
        <f>VLOOKUP(W394,rfm[],2,FALSE)</f>
        <v>🌱 Potential Loyalists</v>
      </c>
      <c r="AA394" s="99" t="s">
        <v>2425</v>
      </c>
      <c r="AB394" s="99" t="s">
        <v>60</v>
      </c>
      <c r="AC394" s="100">
        <v>45960</v>
      </c>
      <c r="AD394" s="101">
        <v>63</v>
      </c>
      <c r="AE394" s="101">
        <v>2</v>
      </c>
      <c r="AF394" s="101">
        <v>11650000</v>
      </c>
      <c r="AG394" s="99" t="str">
        <f>VLOOKUP(AA394,recency!$K$6:$P$818,6,0)</f>
        <v>Low</v>
      </c>
      <c r="AH394" s="132" t="str">
        <f>VLOOKUP(AA394,frequency!$F$6:$H$818,3,FALSE)</f>
        <v>Low</v>
      </c>
      <c r="AI394" s="129" t="str">
        <f>VLOOKUP(AA394,monetary!$B$5:$F$817,5,0)</f>
        <v>Low</v>
      </c>
      <c r="AJ394" s="99" t="str">
        <f t="shared" si="68"/>
        <v>LLL</v>
      </c>
      <c r="AK394" s="99" t="str">
        <f>VLOOKUP(AJ394,rfm[],2,0)</f>
        <v>💤 Lost / Low Value</v>
      </c>
      <c r="AN394" s="99" t="b">
        <f t="shared" si="69"/>
        <v>0</v>
      </c>
    </row>
    <row r="395" spans="2:40" x14ac:dyDescent="0.3">
      <c r="B395" s="99" t="s">
        <v>648</v>
      </c>
      <c r="C395" s="100">
        <v>45729</v>
      </c>
      <c r="D395" s="99" t="s">
        <v>22</v>
      </c>
      <c r="E395" s="99" t="s">
        <v>23</v>
      </c>
      <c r="F395" s="99" t="s">
        <v>12</v>
      </c>
      <c r="G395" s="99">
        <v>28</v>
      </c>
      <c r="H395" s="112">
        <v>25000</v>
      </c>
      <c r="I395" s="112">
        <v>700000</v>
      </c>
      <c r="J395" s="99" t="s">
        <v>2679</v>
      </c>
      <c r="K395" s="99" t="s">
        <v>69</v>
      </c>
      <c r="N395" s="99" t="s">
        <v>2426</v>
      </c>
      <c r="O395" s="99" t="s">
        <v>69</v>
      </c>
      <c r="P395" s="100">
        <f t="shared" si="61"/>
        <v>45965</v>
      </c>
      <c r="Q395" s="101">
        <f t="shared" si="60"/>
        <v>58</v>
      </c>
      <c r="R395" s="99">
        <f t="shared" si="62"/>
        <v>2</v>
      </c>
      <c r="S395" s="101">
        <f t="shared" si="63"/>
        <v>44000000</v>
      </c>
      <c r="T395" s="99" t="str">
        <f t="shared" si="64"/>
        <v>High</v>
      </c>
      <c r="U395" s="99" t="str">
        <f t="shared" si="65"/>
        <v>Low</v>
      </c>
      <c r="V395" s="99" t="str">
        <f t="shared" si="66"/>
        <v>High</v>
      </c>
      <c r="W395" s="99" t="str">
        <f t="shared" si="67"/>
        <v>HLH</v>
      </c>
      <c r="X395" s="99" t="str">
        <f>VLOOKUP(W395,rfm[],2,FALSE)</f>
        <v>🛒 Big Spenders (Occasional)</v>
      </c>
      <c r="AA395" s="99" t="s">
        <v>2426</v>
      </c>
      <c r="AB395" s="99" t="s">
        <v>69</v>
      </c>
      <c r="AC395" s="100">
        <v>45965</v>
      </c>
      <c r="AD395" s="101">
        <v>58</v>
      </c>
      <c r="AE395" s="101">
        <v>2</v>
      </c>
      <c r="AF395" s="101">
        <v>44000000</v>
      </c>
      <c r="AG395" s="99" t="str">
        <f>VLOOKUP(AA395,recency!$K$6:$P$818,6,0)</f>
        <v>High</v>
      </c>
      <c r="AH395" s="132" t="str">
        <f>VLOOKUP(AA395,frequency!$F$6:$H$818,3,FALSE)</f>
        <v>Low</v>
      </c>
      <c r="AI395" s="129" t="str">
        <f>VLOOKUP(AA395,monetary!$B$5:$F$817,5,0)</f>
        <v>Low</v>
      </c>
      <c r="AJ395" s="99" t="str">
        <f t="shared" si="68"/>
        <v>HLL</v>
      </c>
      <c r="AK395" s="99" t="str">
        <f>VLOOKUP(AJ395,rfm[],2,0)</f>
        <v>🌱 Potential Loyalists</v>
      </c>
      <c r="AN395" s="99" t="b">
        <f t="shared" si="69"/>
        <v>0</v>
      </c>
    </row>
    <row r="396" spans="2:40" x14ac:dyDescent="0.3">
      <c r="B396" s="99" t="s">
        <v>649</v>
      </c>
      <c r="C396" s="100">
        <v>45729</v>
      </c>
      <c r="D396" s="99" t="s">
        <v>42</v>
      </c>
      <c r="E396" s="99" t="s">
        <v>43</v>
      </c>
      <c r="F396" s="99" t="s">
        <v>16</v>
      </c>
      <c r="G396" s="99">
        <v>80</v>
      </c>
      <c r="H396" s="112">
        <v>1200000</v>
      </c>
      <c r="I396" s="112">
        <v>96000000</v>
      </c>
      <c r="J396" s="99" t="s">
        <v>2688</v>
      </c>
      <c r="K396" s="99" t="s">
        <v>60</v>
      </c>
      <c r="N396" s="99" t="s">
        <v>2427</v>
      </c>
      <c r="O396" s="99" t="s">
        <v>8</v>
      </c>
      <c r="P396" s="100">
        <f t="shared" si="61"/>
        <v>45924</v>
      </c>
      <c r="Q396" s="101">
        <f t="shared" si="60"/>
        <v>99</v>
      </c>
      <c r="R396" s="99">
        <f t="shared" si="62"/>
        <v>2</v>
      </c>
      <c r="S396" s="101">
        <f t="shared" si="63"/>
        <v>11350000</v>
      </c>
      <c r="T396" s="99" t="str">
        <f t="shared" si="64"/>
        <v>Low</v>
      </c>
      <c r="U396" s="99" t="str">
        <f t="shared" si="65"/>
        <v>Low</v>
      </c>
      <c r="V396" s="99" t="str">
        <f t="shared" si="66"/>
        <v>Low</v>
      </c>
      <c r="W396" s="99" t="str">
        <f t="shared" si="67"/>
        <v>LLL</v>
      </c>
      <c r="X396" s="99" t="str">
        <f>VLOOKUP(W396,rfm[],2,FALSE)</f>
        <v>💤 Lost / Low Value</v>
      </c>
      <c r="AA396" s="99" t="s">
        <v>2427</v>
      </c>
      <c r="AB396" s="99" t="s">
        <v>8</v>
      </c>
      <c r="AC396" s="100">
        <v>45924</v>
      </c>
      <c r="AD396" s="101">
        <v>99</v>
      </c>
      <c r="AE396" s="101">
        <v>2</v>
      </c>
      <c r="AF396" s="101">
        <v>11350000</v>
      </c>
      <c r="AG396" s="99" t="str">
        <f>VLOOKUP(AA396,recency!$K$6:$P$818,6,0)</f>
        <v>Low</v>
      </c>
      <c r="AH396" s="132" t="str">
        <f>VLOOKUP(AA396,frequency!$F$6:$H$818,3,FALSE)</f>
        <v>Low</v>
      </c>
      <c r="AI396" s="129" t="str">
        <f>VLOOKUP(AA396,monetary!$B$5:$F$817,5,0)</f>
        <v>Low</v>
      </c>
      <c r="AJ396" s="99" t="str">
        <f t="shared" si="68"/>
        <v>LLL</v>
      </c>
      <c r="AK396" s="99" t="str">
        <f>VLOOKUP(AJ396,rfm[],2,0)</f>
        <v>💤 Lost / Low Value</v>
      </c>
      <c r="AN396" s="99" t="b">
        <f t="shared" si="69"/>
        <v>1</v>
      </c>
    </row>
    <row r="397" spans="2:40" x14ac:dyDescent="0.3">
      <c r="B397" s="99" t="s">
        <v>650</v>
      </c>
      <c r="C397" s="100">
        <v>45729</v>
      </c>
      <c r="D397" s="99" t="s">
        <v>28</v>
      </c>
      <c r="E397" s="99" t="s">
        <v>29</v>
      </c>
      <c r="F397" s="99" t="s">
        <v>20</v>
      </c>
      <c r="G397" s="99">
        <v>22</v>
      </c>
      <c r="H397" s="112">
        <v>450000</v>
      </c>
      <c r="I397" s="112">
        <v>9900000</v>
      </c>
      <c r="J397" s="99" t="s">
        <v>2337</v>
      </c>
      <c r="K397" s="99" t="s">
        <v>127</v>
      </c>
      <c r="N397" s="99" t="s">
        <v>2428</v>
      </c>
      <c r="O397" s="99" t="s">
        <v>60</v>
      </c>
      <c r="P397" s="100">
        <f t="shared" si="61"/>
        <v>45968</v>
      </c>
      <c r="Q397" s="101">
        <f t="shared" si="60"/>
        <v>55</v>
      </c>
      <c r="R397" s="99">
        <f t="shared" si="62"/>
        <v>1</v>
      </c>
      <c r="S397" s="101">
        <f t="shared" si="63"/>
        <v>2880000</v>
      </c>
      <c r="T397" s="99" t="str">
        <f t="shared" si="64"/>
        <v>High</v>
      </c>
      <c r="U397" s="99" t="str">
        <f t="shared" si="65"/>
        <v>Low</v>
      </c>
      <c r="V397" s="99" t="str">
        <f t="shared" si="66"/>
        <v>Low</v>
      </c>
      <c r="W397" s="99" t="str">
        <f t="shared" si="67"/>
        <v>HLL</v>
      </c>
      <c r="X397" s="99" t="str">
        <f>VLOOKUP(W397,rfm[],2,FALSE)</f>
        <v>🌱 Potential Loyalists</v>
      </c>
      <c r="AA397" s="99" t="s">
        <v>2428</v>
      </c>
      <c r="AB397" s="99" t="s">
        <v>60</v>
      </c>
      <c r="AC397" s="100">
        <v>45968</v>
      </c>
      <c r="AD397" s="101">
        <v>55</v>
      </c>
      <c r="AE397" s="101">
        <v>1</v>
      </c>
      <c r="AF397" s="101">
        <v>2880000</v>
      </c>
      <c r="AG397" s="99" t="str">
        <f>VLOOKUP(AA397,recency!$K$6:$P$818,6,0)</f>
        <v>High</v>
      </c>
      <c r="AH397" s="132" t="str">
        <f>VLOOKUP(AA397,frequency!$F$6:$H$818,3,FALSE)</f>
        <v>Low</v>
      </c>
      <c r="AI397" s="129" t="str">
        <f>VLOOKUP(AA397,monetary!$B$5:$F$817,5,0)</f>
        <v>Low</v>
      </c>
      <c r="AJ397" s="99" t="str">
        <f t="shared" si="68"/>
        <v>HLL</v>
      </c>
      <c r="AK397" s="99" t="str">
        <f>VLOOKUP(AJ397,rfm[],2,0)</f>
        <v>🌱 Potential Loyalists</v>
      </c>
      <c r="AN397" s="99" t="b">
        <f t="shared" si="69"/>
        <v>1</v>
      </c>
    </row>
    <row r="398" spans="2:40" x14ac:dyDescent="0.3">
      <c r="B398" s="99" t="s">
        <v>677</v>
      </c>
      <c r="C398" s="100">
        <v>45729</v>
      </c>
      <c r="D398" s="99" t="s">
        <v>42</v>
      </c>
      <c r="E398" s="99" t="s">
        <v>43</v>
      </c>
      <c r="F398" s="99" t="s">
        <v>16</v>
      </c>
      <c r="G398" s="99">
        <v>47</v>
      </c>
      <c r="H398" s="112">
        <v>1200000</v>
      </c>
      <c r="I398" s="112">
        <v>56400000</v>
      </c>
      <c r="J398" s="99" t="s">
        <v>287</v>
      </c>
      <c r="K398" s="99" t="s">
        <v>69</v>
      </c>
      <c r="N398" s="99" t="s">
        <v>2429</v>
      </c>
      <c r="O398" s="99" t="s">
        <v>127</v>
      </c>
      <c r="P398" s="100">
        <f t="shared" si="61"/>
        <v>45979</v>
      </c>
      <c r="Q398" s="101">
        <f t="shared" si="60"/>
        <v>44</v>
      </c>
      <c r="R398" s="99">
        <f t="shared" si="62"/>
        <v>6</v>
      </c>
      <c r="S398" s="101">
        <f t="shared" si="63"/>
        <v>1137600000</v>
      </c>
      <c r="T398" s="99" t="str">
        <f t="shared" si="64"/>
        <v>High</v>
      </c>
      <c r="U398" s="99" t="str">
        <f t="shared" si="65"/>
        <v>High</v>
      </c>
      <c r="V398" s="99" t="str">
        <f t="shared" si="66"/>
        <v>High</v>
      </c>
      <c r="W398" s="99" t="str">
        <f t="shared" si="67"/>
        <v>HHH</v>
      </c>
      <c r="X398" s="99" t="str">
        <f>VLOOKUP(W398,rfm[],2,FALSE)</f>
        <v>🥇 Champions</v>
      </c>
      <c r="AA398" s="99" t="s">
        <v>2429</v>
      </c>
      <c r="AB398" s="99" t="s">
        <v>127</v>
      </c>
      <c r="AC398" s="100">
        <v>45979</v>
      </c>
      <c r="AD398" s="101">
        <v>44</v>
      </c>
      <c r="AE398" s="101">
        <v>6</v>
      </c>
      <c r="AF398" s="101">
        <v>1137600000</v>
      </c>
      <c r="AG398" s="99" t="str">
        <f>VLOOKUP(AA398,recency!$K$6:$P$818,6,0)</f>
        <v>High</v>
      </c>
      <c r="AH398" s="132" t="str">
        <f>VLOOKUP(AA398,frequency!$F$6:$H$818,3,FALSE)</f>
        <v>High</v>
      </c>
      <c r="AI398" s="129" t="str">
        <f>VLOOKUP(AA398,monetary!$B$5:$F$817,5,0)</f>
        <v>High</v>
      </c>
      <c r="AJ398" s="99" t="str">
        <f t="shared" si="68"/>
        <v>HHH</v>
      </c>
      <c r="AK398" s="99" t="str">
        <f>VLOOKUP(AJ398,rfm[],2,0)</f>
        <v>🥇 Champions</v>
      </c>
      <c r="AN398" s="99" t="b">
        <f t="shared" si="69"/>
        <v>1</v>
      </c>
    </row>
    <row r="399" spans="2:40" x14ac:dyDescent="0.3">
      <c r="B399" s="99" t="s">
        <v>678</v>
      </c>
      <c r="C399" s="100">
        <v>45729</v>
      </c>
      <c r="D399" s="99" t="s">
        <v>22</v>
      </c>
      <c r="E399" s="99" t="s">
        <v>23</v>
      </c>
      <c r="F399" s="99" t="s">
        <v>12</v>
      </c>
      <c r="G399" s="99">
        <v>250</v>
      </c>
      <c r="H399" s="112">
        <v>25000</v>
      </c>
      <c r="I399" s="112">
        <v>6250000</v>
      </c>
      <c r="J399" s="99" t="s">
        <v>2432</v>
      </c>
      <c r="K399" s="99" t="s">
        <v>8</v>
      </c>
      <c r="N399" s="99" t="s">
        <v>2430</v>
      </c>
      <c r="O399" s="99" t="s">
        <v>8</v>
      </c>
      <c r="P399" s="100">
        <f t="shared" si="61"/>
        <v>45961</v>
      </c>
      <c r="Q399" s="101">
        <f t="shared" si="60"/>
        <v>62</v>
      </c>
      <c r="R399" s="99">
        <f t="shared" si="62"/>
        <v>1</v>
      </c>
      <c r="S399" s="101">
        <f t="shared" si="63"/>
        <v>8200000</v>
      </c>
      <c r="T399" s="99" t="str">
        <f t="shared" si="64"/>
        <v>High</v>
      </c>
      <c r="U399" s="99" t="str">
        <f t="shared" si="65"/>
        <v>Low</v>
      </c>
      <c r="V399" s="99" t="str">
        <f t="shared" si="66"/>
        <v>Low</v>
      </c>
      <c r="W399" s="99" t="str">
        <f t="shared" si="67"/>
        <v>HLL</v>
      </c>
      <c r="X399" s="99" t="str">
        <f>VLOOKUP(W399,rfm[],2,FALSE)</f>
        <v>🌱 Potential Loyalists</v>
      </c>
      <c r="AA399" s="99" t="s">
        <v>2430</v>
      </c>
      <c r="AB399" s="99" t="s">
        <v>8</v>
      </c>
      <c r="AC399" s="100">
        <v>45961</v>
      </c>
      <c r="AD399" s="101">
        <v>62</v>
      </c>
      <c r="AE399" s="101">
        <v>1</v>
      </c>
      <c r="AF399" s="101">
        <v>8200000</v>
      </c>
      <c r="AG399" s="99" t="str">
        <f>VLOOKUP(AA399,recency!$K$6:$P$818,6,0)</f>
        <v>Low</v>
      </c>
      <c r="AH399" s="132" t="str">
        <f>VLOOKUP(AA399,frequency!$F$6:$H$818,3,FALSE)</f>
        <v>Low</v>
      </c>
      <c r="AI399" s="129" t="str">
        <f>VLOOKUP(AA399,monetary!$B$5:$F$817,5,0)</f>
        <v>Low</v>
      </c>
      <c r="AJ399" s="99" t="str">
        <f t="shared" si="68"/>
        <v>LLL</v>
      </c>
      <c r="AK399" s="99" t="str">
        <f>VLOOKUP(AJ399,rfm[],2,0)</f>
        <v>💤 Lost / Low Value</v>
      </c>
      <c r="AN399" s="99" t="b">
        <f t="shared" si="69"/>
        <v>0</v>
      </c>
    </row>
    <row r="400" spans="2:40" x14ac:dyDescent="0.3">
      <c r="B400" s="99" t="s">
        <v>679</v>
      </c>
      <c r="C400" s="100">
        <v>45729</v>
      </c>
      <c r="D400" s="99" t="s">
        <v>38</v>
      </c>
      <c r="E400" s="99" t="s">
        <v>39</v>
      </c>
      <c r="F400" s="99" t="s">
        <v>16</v>
      </c>
      <c r="G400" s="99">
        <v>16</v>
      </c>
      <c r="H400" s="112">
        <v>200000</v>
      </c>
      <c r="I400" s="112">
        <v>3200000</v>
      </c>
      <c r="J400" s="99" t="s">
        <v>2757</v>
      </c>
      <c r="K400" s="99" t="s">
        <v>127</v>
      </c>
      <c r="N400" s="99" t="s">
        <v>2431</v>
      </c>
      <c r="O400" s="99" t="s">
        <v>127</v>
      </c>
      <c r="P400" s="100">
        <f t="shared" si="61"/>
        <v>45910</v>
      </c>
      <c r="Q400" s="101">
        <f t="shared" si="60"/>
        <v>113</v>
      </c>
      <c r="R400" s="99">
        <f t="shared" si="62"/>
        <v>2</v>
      </c>
      <c r="S400" s="101">
        <f t="shared" si="63"/>
        <v>29050000</v>
      </c>
      <c r="T400" s="99" t="str">
        <f t="shared" si="64"/>
        <v>Low</v>
      </c>
      <c r="U400" s="99" t="str">
        <f t="shared" si="65"/>
        <v>Low</v>
      </c>
      <c r="V400" s="99" t="str">
        <f t="shared" si="66"/>
        <v>High</v>
      </c>
      <c r="W400" s="99" t="str">
        <f t="shared" si="67"/>
        <v>LLH</v>
      </c>
      <c r="X400" s="99" t="str">
        <f>VLOOKUP(W400,rfm[],2,FALSE)</f>
        <v>💸 Lost High Spenders</v>
      </c>
      <c r="AA400" s="99" t="s">
        <v>2431</v>
      </c>
      <c r="AB400" s="99" t="s">
        <v>127</v>
      </c>
      <c r="AC400" s="100">
        <v>45910</v>
      </c>
      <c r="AD400" s="101">
        <v>113</v>
      </c>
      <c r="AE400" s="101">
        <v>2</v>
      </c>
      <c r="AF400" s="101">
        <v>29050000</v>
      </c>
      <c r="AG400" s="99" t="str">
        <f>VLOOKUP(AA400,recency!$K$6:$P$818,6,0)</f>
        <v>Low</v>
      </c>
      <c r="AH400" s="132" t="str">
        <f>VLOOKUP(AA400,frequency!$F$6:$H$818,3,FALSE)</f>
        <v>Low</v>
      </c>
      <c r="AI400" s="129" t="str">
        <f>VLOOKUP(AA400,monetary!$B$5:$F$817,5,0)</f>
        <v>Low</v>
      </c>
      <c r="AJ400" s="99" t="str">
        <f t="shared" si="68"/>
        <v>LLL</v>
      </c>
      <c r="AK400" s="99" t="str">
        <f>VLOOKUP(AJ400,rfm[],2,0)</f>
        <v>💤 Lost / Low Value</v>
      </c>
      <c r="AN400" s="99" t="b">
        <f t="shared" si="69"/>
        <v>0</v>
      </c>
    </row>
    <row r="401" spans="2:40" x14ac:dyDescent="0.3">
      <c r="B401" s="99" t="s">
        <v>680</v>
      </c>
      <c r="C401" s="100">
        <v>45729</v>
      </c>
      <c r="D401" s="99" t="s">
        <v>42</v>
      </c>
      <c r="E401" s="99" t="s">
        <v>43</v>
      </c>
      <c r="F401" s="99" t="s">
        <v>16</v>
      </c>
      <c r="G401" s="99">
        <v>21</v>
      </c>
      <c r="H401" s="112">
        <v>1200000</v>
      </c>
      <c r="I401" s="112">
        <v>25200000</v>
      </c>
      <c r="J401" s="99" t="s">
        <v>863</v>
      </c>
      <c r="K401" s="99" t="s">
        <v>69</v>
      </c>
      <c r="N401" s="99" t="s">
        <v>2432</v>
      </c>
      <c r="O401" s="99" t="s">
        <v>8</v>
      </c>
      <c r="P401" s="100">
        <f t="shared" si="61"/>
        <v>45910</v>
      </c>
      <c r="Q401" s="101">
        <f t="shared" si="60"/>
        <v>113</v>
      </c>
      <c r="R401" s="99">
        <f t="shared" si="62"/>
        <v>9</v>
      </c>
      <c r="S401" s="101">
        <f t="shared" si="63"/>
        <v>1265250000</v>
      </c>
      <c r="T401" s="99" t="str">
        <f t="shared" si="64"/>
        <v>Low</v>
      </c>
      <c r="U401" s="99" t="str">
        <f t="shared" si="65"/>
        <v>High</v>
      </c>
      <c r="V401" s="99" t="str">
        <f t="shared" si="66"/>
        <v>High</v>
      </c>
      <c r="W401" s="99" t="str">
        <f t="shared" si="67"/>
        <v>LHH</v>
      </c>
      <c r="X401" s="99" t="str">
        <f>VLOOKUP(W401,rfm[],2,FALSE)</f>
        <v>⚠️ At Risk High Value</v>
      </c>
      <c r="AA401" s="99" t="s">
        <v>2432</v>
      </c>
      <c r="AB401" s="99" t="s">
        <v>8</v>
      </c>
      <c r="AC401" s="100">
        <v>45910</v>
      </c>
      <c r="AD401" s="101">
        <v>113</v>
      </c>
      <c r="AE401" s="101">
        <v>9</v>
      </c>
      <c r="AF401" s="101">
        <v>1265250000</v>
      </c>
      <c r="AG401" s="99" t="str">
        <f>VLOOKUP(AA401,recency!$K$6:$P$818,6,0)</f>
        <v>Low</v>
      </c>
      <c r="AH401" s="132" t="str">
        <f>VLOOKUP(AA401,frequency!$F$6:$H$818,3,FALSE)</f>
        <v>High</v>
      </c>
      <c r="AI401" s="129" t="str">
        <f>VLOOKUP(AA401,monetary!$B$5:$F$817,5,0)</f>
        <v>High</v>
      </c>
      <c r="AJ401" s="99" t="str">
        <f t="shared" si="68"/>
        <v>LHH</v>
      </c>
      <c r="AK401" s="99" t="str">
        <f>VLOOKUP(AJ401,rfm[],2,0)</f>
        <v>⚠️ At Risk High Value</v>
      </c>
      <c r="AN401" s="99" t="b">
        <f t="shared" si="69"/>
        <v>1</v>
      </c>
    </row>
    <row r="402" spans="2:40" x14ac:dyDescent="0.3">
      <c r="B402" s="99" t="s">
        <v>696</v>
      </c>
      <c r="C402" s="100">
        <v>45730</v>
      </c>
      <c r="D402" s="99" t="s">
        <v>18</v>
      </c>
      <c r="E402" s="99" t="s">
        <v>19</v>
      </c>
      <c r="F402" s="99" t="s">
        <v>20</v>
      </c>
      <c r="G402" s="99">
        <v>14</v>
      </c>
      <c r="H402" s="112">
        <v>500000</v>
      </c>
      <c r="I402" s="112">
        <v>7000000</v>
      </c>
      <c r="J402" s="99" t="s">
        <v>2796</v>
      </c>
      <c r="K402" s="99" t="s">
        <v>127</v>
      </c>
      <c r="N402" s="99" t="s">
        <v>2433</v>
      </c>
      <c r="O402" s="99" t="s">
        <v>69</v>
      </c>
      <c r="P402" s="100">
        <f t="shared" si="61"/>
        <v>45755</v>
      </c>
      <c r="Q402" s="101">
        <f t="shared" si="60"/>
        <v>268</v>
      </c>
      <c r="R402" s="99">
        <f t="shared" si="62"/>
        <v>1</v>
      </c>
      <c r="S402" s="101">
        <f t="shared" si="63"/>
        <v>5500000</v>
      </c>
      <c r="T402" s="99" t="str">
        <f t="shared" si="64"/>
        <v>Low</v>
      </c>
      <c r="U402" s="99" t="str">
        <f t="shared" si="65"/>
        <v>Low</v>
      </c>
      <c r="V402" s="99" t="str">
        <f t="shared" si="66"/>
        <v>Low</v>
      </c>
      <c r="W402" s="99" t="str">
        <f t="shared" si="67"/>
        <v>LLL</v>
      </c>
      <c r="X402" s="99" t="str">
        <f>VLOOKUP(W402,rfm[],2,FALSE)</f>
        <v>💤 Lost / Low Value</v>
      </c>
      <c r="AA402" s="99" t="s">
        <v>2433</v>
      </c>
      <c r="AB402" s="99" t="s">
        <v>69</v>
      </c>
      <c r="AC402" s="100">
        <v>45755</v>
      </c>
      <c r="AD402" s="101">
        <v>268</v>
      </c>
      <c r="AE402" s="101">
        <v>1</v>
      </c>
      <c r="AF402" s="101">
        <v>5500000</v>
      </c>
      <c r="AG402" s="99" t="str">
        <f>VLOOKUP(AA402,recency!$K$6:$P$818,6,0)</f>
        <v>Low</v>
      </c>
      <c r="AH402" s="132" t="str">
        <f>VLOOKUP(AA402,frequency!$F$6:$H$818,3,FALSE)</f>
        <v>Low</v>
      </c>
      <c r="AI402" s="129" t="str">
        <f>VLOOKUP(AA402,monetary!$B$5:$F$817,5,0)</f>
        <v>Low</v>
      </c>
      <c r="AJ402" s="99" t="str">
        <f t="shared" si="68"/>
        <v>LLL</v>
      </c>
      <c r="AK402" s="99" t="str">
        <f>VLOOKUP(AJ402,rfm[],2,0)</f>
        <v>💤 Lost / Low Value</v>
      </c>
      <c r="AN402" s="99" t="b">
        <f t="shared" si="69"/>
        <v>1</v>
      </c>
    </row>
    <row r="403" spans="2:40" x14ac:dyDescent="0.3">
      <c r="B403" s="99" t="s">
        <v>714</v>
      </c>
      <c r="C403" s="100">
        <v>45730</v>
      </c>
      <c r="D403" s="99" t="s">
        <v>40</v>
      </c>
      <c r="E403" s="99" t="s">
        <v>41</v>
      </c>
      <c r="F403" s="99" t="s">
        <v>16</v>
      </c>
      <c r="G403" s="99">
        <v>12</v>
      </c>
      <c r="H403" s="112">
        <v>950000</v>
      </c>
      <c r="I403" s="112">
        <v>11400000</v>
      </c>
      <c r="J403" s="99" t="s">
        <v>2570</v>
      </c>
      <c r="K403" s="99" t="s">
        <v>8</v>
      </c>
      <c r="N403" s="99" t="s">
        <v>2434</v>
      </c>
      <c r="O403" s="99" t="s">
        <v>47</v>
      </c>
      <c r="P403" s="100">
        <f t="shared" si="61"/>
        <v>45777</v>
      </c>
      <c r="Q403" s="101">
        <f t="shared" si="60"/>
        <v>246</v>
      </c>
      <c r="R403" s="99">
        <f t="shared" si="62"/>
        <v>2</v>
      </c>
      <c r="S403" s="101">
        <f t="shared" si="63"/>
        <v>5510000</v>
      </c>
      <c r="T403" s="99" t="str">
        <f t="shared" si="64"/>
        <v>Low</v>
      </c>
      <c r="U403" s="99" t="str">
        <f t="shared" si="65"/>
        <v>Low</v>
      </c>
      <c r="V403" s="99" t="str">
        <f t="shared" si="66"/>
        <v>Low</v>
      </c>
      <c r="W403" s="99" t="str">
        <f t="shared" si="67"/>
        <v>LLL</v>
      </c>
      <c r="X403" s="99" t="str">
        <f>VLOOKUP(W403,rfm[],2,FALSE)</f>
        <v>💤 Lost / Low Value</v>
      </c>
      <c r="AA403" s="99" t="s">
        <v>2434</v>
      </c>
      <c r="AB403" s="99" t="s">
        <v>47</v>
      </c>
      <c r="AC403" s="100">
        <v>45777</v>
      </c>
      <c r="AD403" s="101">
        <v>246</v>
      </c>
      <c r="AE403" s="101">
        <v>2</v>
      </c>
      <c r="AF403" s="101">
        <v>5510000</v>
      </c>
      <c r="AG403" s="99" t="str">
        <f>VLOOKUP(AA403,recency!$K$6:$P$818,6,0)</f>
        <v>Low</v>
      </c>
      <c r="AH403" s="132" t="str">
        <f>VLOOKUP(AA403,frequency!$F$6:$H$818,3,FALSE)</f>
        <v>Low</v>
      </c>
      <c r="AI403" s="129" t="str">
        <f>VLOOKUP(AA403,monetary!$B$5:$F$817,5,0)</f>
        <v>Low</v>
      </c>
      <c r="AJ403" s="99" t="str">
        <f t="shared" si="68"/>
        <v>LLL</v>
      </c>
      <c r="AK403" s="99" t="str">
        <f>VLOOKUP(AJ403,rfm[],2,0)</f>
        <v>💤 Lost / Low Value</v>
      </c>
      <c r="AN403" s="99" t="b">
        <f t="shared" si="69"/>
        <v>1</v>
      </c>
    </row>
    <row r="404" spans="2:40" x14ac:dyDescent="0.3">
      <c r="B404" s="99" t="s">
        <v>715</v>
      </c>
      <c r="C404" s="100">
        <v>45730</v>
      </c>
      <c r="D404" s="99" t="s">
        <v>40</v>
      </c>
      <c r="E404" s="99" t="s">
        <v>41</v>
      </c>
      <c r="F404" s="99" t="s">
        <v>16</v>
      </c>
      <c r="G404" s="99">
        <v>12</v>
      </c>
      <c r="H404" s="112">
        <v>950000</v>
      </c>
      <c r="I404" s="112">
        <v>11400000</v>
      </c>
      <c r="J404" s="99" t="s">
        <v>2569</v>
      </c>
      <c r="K404" s="99" t="s">
        <v>127</v>
      </c>
      <c r="N404" s="99" t="s">
        <v>2435</v>
      </c>
      <c r="O404" s="99" t="s">
        <v>127</v>
      </c>
      <c r="P404" s="100">
        <f t="shared" si="61"/>
        <v>45931</v>
      </c>
      <c r="Q404" s="101">
        <f t="shared" si="60"/>
        <v>92</v>
      </c>
      <c r="R404" s="99">
        <f t="shared" si="62"/>
        <v>3</v>
      </c>
      <c r="S404" s="101">
        <f t="shared" si="63"/>
        <v>8960000</v>
      </c>
      <c r="T404" s="99" t="str">
        <f t="shared" si="64"/>
        <v>High</v>
      </c>
      <c r="U404" s="99" t="str">
        <f t="shared" si="65"/>
        <v>High</v>
      </c>
      <c r="V404" s="99" t="str">
        <f t="shared" si="66"/>
        <v>Low</v>
      </c>
      <c r="W404" s="99" t="str">
        <f t="shared" si="67"/>
        <v>HHL</v>
      </c>
      <c r="X404" s="99" t="str">
        <f>VLOOKUP(W404,rfm[],2,FALSE)</f>
        <v>💎 Loyal High Value</v>
      </c>
      <c r="AA404" s="99" t="s">
        <v>2435</v>
      </c>
      <c r="AB404" s="99" t="s">
        <v>127</v>
      </c>
      <c r="AC404" s="100">
        <v>45931</v>
      </c>
      <c r="AD404" s="101">
        <v>92</v>
      </c>
      <c r="AE404" s="101">
        <v>3</v>
      </c>
      <c r="AF404" s="101">
        <v>8960000</v>
      </c>
      <c r="AG404" s="99" t="str">
        <f>VLOOKUP(AA404,recency!$K$6:$P$818,6,0)</f>
        <v>Low</v>
      </c>
      <c r="AH404" s="132" t="str">
        <f>VLOOKUP(AA404,frequency!$F$6:$H$818,3,FALSE)</f>
        <v>High</v>
      </c>
      <c r="AI404" s="129" t="str">
        <f>VLOOKUP(AA404,monetary!$B$5:$F$817,5,0)</f>
        <v>Low</v>
      </c>
      <c r="AJ404" s="99" t="str">
        <f t="shared" si="68"/>
        <v>LHL</v>
      </c>
      <c r="AK404" s="99" t="str">
        <f>VLOOKUP(AJ404,rfm[],2,0)</f>
        <v>🔁 Former Loyal Low Spend</v>
      </c>
      <c r="AN404" s="99" t="b">
        <f t="shared" si="69"/>
        <v>0</v>
      </c>
    </row>
    <row r="405" spans="2:40" x14ac:dyDescent="0.3">
      <c r="B405" s="99" t="s">
        <v>716</v>
      </c>
      <c r="C405" s="100">
        <v>45730</v>
      </c>
      <c r="D405" s="99" t="s">
        <v>10</v>
      </c>
      <c r="E405" s="99" t="s">
        <v>11</v>
      </c>
      <c r="F405" s="99" t="s">
        <v>12</v>
      </c>
      <c r="G405" s="99">
        <v>38</v>
      </c>
      <c r="H405" s="112">
        <v>120000</v>
      </c>
      <c r="I405" s="112">
        <v>4560000</v>
      </c>
      <c r="J405" s="99" t="s">
        <v>2434</v>
      </c>
      <c r="K405" s="99" t="s">
        <v>47</v>
      </c>
      <c r="N405" s="99" t="s">
        <v>2436</v>
      </c>
      <c r="O405" s="99" t="s">
        <v>47</v>
      </c>
      <c r="P405" s="100">
        <f t="shared" si="61"/>
        <v>45874</v>
      </c>
      <c r="Q405" s="101">
        <f t="shared" si="60"/>
        <v>149</v>
      </c>
      <c r="R405" s="99">
        <f t="shared" si="62"/>
        <v>1</v>
      </c>
      <c r="S405" s="101">
        <f t="shared" si="63"/>
        <v>13200000</v>
      </c>
      <c r="T405" s="99" t="str">
        <f t="shared" si="64"/>
        <v>Low</v>
      </c>
      <c r="U405" s="99" t="str">
        <f t="shared" si="65"/>
        <v>Low</v>
      </c>
      <c r="V405" s="99" t="str">
        <f t="shared" si="66"/>
        <v>Low</v>
      </c>
      <c r="W405" s="99" t="str">
        <f t="shared" si="67"/>
        <v>LLL</v>
      </c>
      <c r="X405" s="99" t="str">
        <f>VLOOKUP(W405,rfm[],2,FALSE)</f>
        <v>💤 Lost / Low Value</v>
      </c>
      <c r="AA405" s="99" t="s">
        <v>2436</v>
      </c>
      <c r="AB405" s="99" t="s">
        <v>47</v>
      </c>
      <c r="AC405" s="100">
        <v>45874</v>
      </c>
      <c r="AD405" s="101">
        <v>149</v>
      </c>
      <c r="AE405" s="101">
        <v>1</v>
      </c>
      <c r="AF405" s="101">
        <v>13200000</v>
      </c>
      <c r="AG405" s="99" t="str">
        <f>VLOOKUP(AA405,recency!$K$6:$P$818,6,0)</f>
        <v>Low</v>
      </c>
      <c r="AH405" s="132" t="str">
        <f>VLOOKUP(AA405,frequency!$F$6:$H$818,3,FALSE)</f>
        <v>Low</v>
      </c>
      <c r="AI405" s="129" t="str">
        <f>VLOOKUP(AA405,monetary!$B$5:$F$817,5,0)</f>
        <v>Low</v>
      </c>
      <c r="AJ405" s="99" t="str">
        <f t="shared" si="68"/>
        <v>LLL</v>
      </c>
      <c r="AK405" s="99" t="str">
        <f>VLOOKUP(AJ405,rfm[],2,0)</f>
        <v>💤 Lost / Low Value</v>
      </c>
      <c r="AN405" s="99" t="b">
        <f t="shared" si="69"/>
        <v>1</v>
      </c>
    </row>
    <row r="406" spans="2:40" x14ac:dyDescent="0.3">
      <c r="B406" s="99" t="s">
        <v>730</v>
      </c>
      <c r="C406" s="100">
        <v>45730</v>
      </c>
      <c r="D406" s="99" t="s">
        <v>31</v>
      </c>
      <c r="E406" s="99" t="s">
        <v>32</v>
      </c>
      <c r="F406" s="99" t="s">
        <v>20</v>
      </c>
      <c r="G406" s="99">
        <v>36</v>
      </c>
      <c r="H406" s="112">
        <v>180000</v>
      </c>
      <c r="I406" s="112">
        <v>6480000</v>
      </c>
      <c r="J406" s="99" t="s">
        <v>2673</v>
      </c>
      <c r="K406" s="99" t="s">
        <v>8</v>
      </c>
      <c r="N406" s="99" t="s">
        <v>2437</v>
      </c>
      <c r="O406" s="99" t="s">
        <v>69</v>
      </c>
      <c r="P406" s="100">
        <f t="shared" si="61"/>
        <v>45940</v>
      </c>
      <c r="Q406" s="101">
        <f t="shared" si="60"/>
        <v>83</v>
      </c>
      <c r="R406" s="99">
        <f t="shared" si="62"/>
        <v>4</v>
      </c>
      <c r="S406" s="101">
        <f t="shared" si="63"/>
        <v>35575000</v>
      </c>
      <c r="T406" s="99" t="str">
        <f t="shared" si="64"/>
        <v>High</v>
      </c>
      <c r="U406" s="99" t="str">
        <f t="shared" si="65"/>
        <v>High</v>
      </c>
      <c r="V406" s="99" t="str">
        <f t="shared" si="66"/>
        <v>High</v>
      </c>
      <c r="W406" s="99" t="str">
        <f t="shared" si="67"/>
        <v>HHH</v>
      </c>
      <c r="X406" s="99" t="str">
        <f>VLOOKUP(W406,rfm[],2,FALSE)</f>
        <v>🥇 Champions</v>
      </c>
      <c r="AA406" s="99" t="s">
        <v>2437</v>
      </c>
      <c r="AB406" s="99" t="s">
        <v>69</v>
      </c>
      <c r="AC406" s="100">
        <v>45940</v>
      </c>
      <c r="AD406" s="101">
        <v>83</v>
      </c>
      <c r="AE406" s="101">
        <v>4</v>
      </c>
      <c r="AF406" s="101">
        <v>35575000</v>
      </c>
      <c r="AG406" s="99" t="str">
        <f>VLOOKUP(AA406,recency!$K$6:$P$818,6,0)</f>
        <v>Low</v>
      </c>
      <c r="AH406" s="132" t="str">
        <f>VLOOKUP(AA406,frequency!$F$6:$H$818,3,FALSE)</f>
        <v>High</v>
      </c>
      <c r="AI406" s="129" t="str">
        <f>VLOOKUP(AA406,monetary!$B$5:$F$817,5,0)</f>
        <v>Low</v>
      </c>
      <c r="AJ406" s="99" t="str">
        <f t="shared" si="68"/>
        <v>LHL</v>
      </c>
      <c r="AK406" s="99" t="str">
        <f>VLOOKUP(AJ406,rfm[],2,0)</f>
        <v>🔁 Former Loyal Low Spend</v>
      </c>
      <c r="AN406" s="99" t="b">
        <f t="shared" si="69"/>
        <v>0</v>
      </c>
    </row>
    <row r="407" spans="2:40" x14ac:dyDescent="0.3">
      <c r="B407" s="99" t="s">
        <v>750</v>
      </c>
      <c r="C407" s="100">
        <v>45730</v>
      </c>
      <c r="D407" s="99" t="s">
        <v>10</v>
      </c>
      <c r="E407" s="99" t="s">
        <v>11</v>
      </c>
      <c r="F407" s="99" t="s">
        <v>12</v>
      </c>
      <c r="G407" s="99">
        <v>21</v>
      </c>
      <c r="H407" s="112">
        <v>120000</v>
      </c>
      <c r="I407" s="112">
        <v>2520000</v>
      </c>
      <c r="J407" s="99" t="s">
        <v>2144</v>
      </c>
      <c r="K407" s="99" t="s">
        <v>69</v>
      </c>
      <c r="N407" s="99" t="s">
        <v>2438</v>
      </c>
      <c r="O407" s="99" t="s">
        <v>69</v>
      </c>
      <c r="P407" s="100">
        <f t="shared" si="61"/>
        <v>46000</v>
      </c>
      <c r="Q407" s="101">
        <f t="shared" si="60"/>
        <v>23</v>
      </c>
      <c r="R407" s="99">
        <f t="shared" si="62"/>
        <v>1</v>
      </c>
      <c r="S407" s="101">
        <f t="shared" si="63"/>
        <v>4920000</v>
      </c>
      <c r="T407" s="99" t="str">
        <f t="shared" si="64"/>
        <v>High</v>
      </c>
      <c r="U407" s="99" t="str">
        <f t="shared" si="65"/>
        <v>Low</v>
      </c>
      <c r="V407" s="99" t="str">
        <f t="shared" si="66"/>
        <v>Low</v>
      </c>
      <c r="W407" s="99" t="str">
        <f t="shared" si="67"/>
        <v>HLL</v>
      </c>
      <c r="X407" s="99" t="str">
        <f>VLOOKUP(W407,rfm[],2,FALSE)</f>
        <v>🌱 Potential Loyalists</v>
      </c>
      <c r="AA407" s="99" t="s">
        <v>2438</v>
      </c>
      <c r="AB407" s="99" t="s">
        <v>69</v>
      </c>
      <c r="AC407" s="100">
        <v>46000</v>
      </c>
      <c r="AD407" s="101">
        <v>23</v>
      </c>
      <c r="AE407" s="101">
        <v>1</v>
      </c>
      <c r="AF407" s="101">
        <v>4920000</v>
      </c>
      <c r="AG407" s="99" t="str">
        <f>VLOOKUP(AA407,recency!$K$6:$P$818,6,0)</f>
        <v>High</v>
      </c>
      <c r="AH407" s="132" t="str">
        <f>VLOOKUP(AA407,frequency!$F$6:$H$818,3,FALSE)</f>
        <v>Low</v>
      </c>
      <c r="AI407" s="129" t="str">
        <f>VLOOKUP(AA407,monetary!$B$5:$F$817,5,0)</f>
        <v>Low</v>
      </c>
      <c r="AJ407" s="99" t="str">
        <f t="shared" si="68"/>
        <v>HLL</v>
      </c>
      <c r="AK407" s="99" t="str">
        <f>VLOOKUP(AJ407,rfm[],2,0)</f>
        <v>🌱 Potential Loyalists</v>
      </c>
      <c r="AN407" s="99" t="b">
        <f t="shared" si="69"/>
        <v>1</v>
      </c>
    </row>
    <row r="408" spans="2:40" x14ac:dyDescent="0.3">
      <c r="B408" s="99" t="s">
        <v>751</v>
      </c>
      <c r="C408" s="100">
        <v>45730</v>
      </c>
      <c r="D408" s="99" t="s">
        <v>31</v>
      </c>
      <c r="E408" s="99" t="s">
        <v>32</v>
      </c>
      <c r="F408" s="99" t="s">
        <v>20</v>
      </c>
      <c r="G408" s="99">
        <v>36</v>
      </c>
      <c r="H408" s="112">
        <v>180000</v>
      </c>
      <c r="I408" s="112">
        <v>6480000</v>
      </c>
      <c r="J408" s="99" t="s">
        <v>359</v>
      </c>
      <c r="K408" s="99" t="s">
        <v>60</v>
      </c>
      <c r="N408" s="99" t="s">
        <v>2439</v>
      </c>
      <c r="O408" s="99" t="s">
        <v>127</v>
      </c>
      <c r="P408" s="100">
        <f t="shared" si="61"/>
        <v>45874</v>
      </c>
      <c r="Q408" s="101">
        <f t="shared" si="60"/>
        <v>149</v>
      </c>
      <c r="R408" s="99">
        <f t="shared" si="62"/>
        <v>1</v>
      </c>
      <c r="S408" s="101">
        <f t="shared" si="63"/>
        <v>6250000</v>
      </c>
      <c r="T408" s="99" t="str">
        <f t="shared" si="64"/>
        <v>Low</v>
      </c>
      <c r="U408" s="99" t="str">
        <f t="shared" si="65"/>
        <v>Low</v>
      </c>
      <c r="V408" s="99" t="str">
        <f t="shared" si="66"/>
        <v>Low</v>
      </c>
      <c r="W408" s="99" t="str">
        <f t="shared" si="67"/>
        <v>LLL</v>
      </c>
      <c r="X408" s="99" t="str">
        <f>VLOOKUP(W408,rfm[],2,FALSE)</f>
        <v>💤 Lost / Low Value</v>
      </c>
      <c r="AA408" s="99" t="s">
        <v>2439</v>
      </c>
      <c r="AB408" s="99" t="s">
        <v>127</v>
      </c>
      <c r="AC408" s="100">
        <v>45874</v>
      </c>
      <c r="AD408" s="101">
        <v>149</v>
      </c>
      <c r="AE408" s="101">
        <v>1</v>
      </c>
      <c r="AF408" s="101">
        <v>6250000</v>
      </c>
      <c r="AG408" s="99" t="str">
        <f>VLOOKUP(AA408,recency!$K$6:$P$818,6,0)</f>
        <v>Low</v>
      </c>
      <c r="AH408" s="132" t="str">
        <f>VLOOKUP(AA408,frequency!$F$6:$H$818,3,FALSE)</f>
        <v>Low</v>
      </c>
      <c r="AI408" s="129" t="str">
        <f>VLOOKUP(AA408,monetary!$B$5:$F$817,5,0)</f>
        <v>Low</v>
      </c>
      <c r="AJ408" s="99" t="str">
        <f t="shared" si="68"/>
        <v>LLL</v>
      </c>
      <c r="AK408" s="99" t="str">
        <f>VLOOKUP(AJ408,rfm[],2,0)</f>
        <v>💤 Lost / Low Value</v>
      </c>
      <c r="AN408" s="99" t="b">
        <f t="shared" si="69"/>
        <v>1</v>
      </c>
    </row>
    <row r="409" spans="2:40" x14ac:dyDescent="0.3">
      <c r="B409" s="99" t="s">
        <v>752</v>
      </c>
      <c r="C409" s="100">
        <v>45730</v>
      </c>
      <c r="D409" s="99" t="s">
        <v>14</v>
      </c>
      <c r="E409" s="99" t="s">
        <v>15</v>
      </c>
      <c r="F409" s="99" t="s">
        <v>16</v>
      </c>
      <c r="G409" s="99">
        <v>17</v>
      </c>
      <c r="H409" s="112">
        <v>350000</v>
      </c>
      <c r="I409" s="112">
        <v>5950000</v>
      </c>
      <c r="J409" s="99" t="s">
        <v>2405</v>
      </c>
      <c r="K409" s="99" t="s">
        <v>69</v>
      </c>
      <c r="N409" s="99" t="s">
        <v>2440</v>
      </c>
      <c r="O409" s="99" t="s">
        <v>127</v>
      </c>
      <c r="P409" s="100">
        <f t="shared" si="61"/>
        <v>45980</v>
      </c>
      <c r="Q409" s="101">
        <f t="shared" si="60"/>
        <v>43</v>
      </c>
      <c r="R409" s="99">
        <f t="shared" si="62"/>
        <v>3</v>
      </c>
      <c r="S409" s="101">
        <f t="shared" si="63"/>
        <v>18200000</v>
      </c>
      <c r="T409" s="99" t="str">
        <f t="shared" si="64"/>
        <v>High</v>
      </c>
      <c r="U409" s="99" t="str">
        <f t="shared" si="65"/>
        <v>High</v>
      </c>
      <c r="V409" s="99" t="str">
        <f t="shared" si="66"/>
        <v>Low</v>
      </c>
      <c r="W409" s="99" t="str">
        <f t="shared" si="67"/>
        <v>HHL</v>
      </c>
      <c r="X409" s="99" t="str">
        <f>VLOOKUP(W409,rfm[],2,FALSE)</f>
        <v>💎 Loyal High Value</v>
      </c>
      <c r="AA409" s="99" t="s">
        <v>2440</v>
      </c>
      <c r="AB409" s="99" t="s">
        <v>127</v>
      </c>
      <c r="AC409" s="100">
        <v>45980</v>
      </c>
      <c r="AD409" s="101">
        <v>43</v>
      </c>
      <c r="AE409" s="101">
        <v>3</v>
      </c>
      <c r="AF409" s="101">
        <v>18200000</v>
      </c>
      <c r="AG409" s="99" t="str">
        <f>VLOOKUP(AA409,recency!$K$6:$P$818,6,0)</f>
        <v>High</v>
      </c>
      <c r="AH409" s="132" t="str">
        <f>VLOOKUP(AA409,frequency!$F$6:$H$818,3,FALSE)</f>
        <v>High</v>
      </c>
      <c r="AI409" s="129" t="str">
        <f>VLOOKUP(AA409,monetary!$B$5:$F$817,5,0)</f>
        <v>Low</v>
      </c>
      <c r="AJ409" s="99" t="str">
        <f t="shared" si="68"/>
        <v>HHL</v>
      </c>
      <c r="AK409" s="99" t="str">
        <f>VLOOKUP(AJ409,rfm[],2,0)</f>
        <v>💎 Loyal High Value</v>
      </c>
      <c r="AN409" s="99" t="b">
        <f t="shared" si="69"/>
        <v>1</v>
      </c>
    </row>
    <row r="410" spans="2:40" x14ac:dyDescent="0.3">
      <c r="B410" s="99" t="s">
        <v>772</v>
      </c>
      <c r="C410" s="100">
        <v>45730</v>
      </c>
      <c r="D410" s="99" t="s">
        <v>42</v>
      </c>
      <c r="E410" s="99" t="s">
        <v>43</v>
      </c>
      <c r="F410" s="99" t="s">
        <v>16</v>
      </c>
      <c r="G410" s="99">
        <v>31</v>
      </c>
      <c r="H410" s="112">
        <v>1200000</v>
      </c>
      <c r="I410" s="112">
        <v>37200000</v>
      </c>
      <c r="J410" s="99" t="s">
        <v>2770</v>
      </c>
      <c r="K410" s="99" t="s">
        <v>127</v>
      </c>
      <c r="N410" s="99" t="s">
        <v>2441</v>
      </c>
      <c r="O410" s="99" t="s">
        <v>127</v>
      </c>
      <c r="P410" s="100">
        <f t="shared" si="61"/>
        <v>45929</v>
      </c>
      <c r="Q410" s="101">
        <f t="shared" si="60"/>
        <v>94</v>
      </c>
      <c r="R410" s="99">
        <f t="shared" si="62"/>
        <v>2</v>
      </c>
      <c r="S410" s="101">
        <f t="shared" si="63"/>
        <v>11250000</v>
      </c>
      <c r="T410" s="99" t="str">
        <f t="shared" si="64"/>
        <v>Low</v>
      </c>
      <c r="U410" s="99" t="str">
        <f t="shared" si="65"/>
        <v>Low</v>
      </c>
      <c r="V410" s="99" t="str">
        <f t="shared" si="66"/>
        <v>Low</v>
      </c>
      <c r="W410" s="99" t="str">
        <f t="shared" si="67"/>
        <v>LLL</v>
      </c>
      <c r="X410" s="99" t="str">
        <f>VLOOKUP(W410,rfm[],2,FALSE)</f>
        <v>💤 Lost / Low Value</v>
      </c>
      <c r="AA410" s="99" t="s">
        <v>2441</v>
      </c>
      <c r="AB410" s="99" t="s">
        <v>127</v>
      </c>
      <c r="AC410" s="100">
        <v>45929</v>
      </c>
      <c r="AD410" s="101">
        <v>94</v>
      </c>
      <c r="AE410" s="101">
        <v>2</v>
      </c>
      <c r="AF410" s="101">
        <v>11250000</v>
      </c>
      <c r="AG410" s="99" t="str">
        <f>VLOOKUP(AA410,recency!$K$6:$P$818,6,0)</f>
        <v>Low</v>
      </c>
      <c r="AH410" s="132" t="str">
        <f>VLOOKUP(AA410,frequency!$F$6:$H$818,3,FALSE)</f>
        <v>Low</v>
      </c>
      <c r="AI410" s="129" t="str">
        <f>VLOOKUP(AA410,monetary!$B$5:$F$817,5,0)</f>
        <v>Low</v>
      </c>
      <c r="AJ410" s="99" t="str">
        <f t="shared" si="68"/>
        <v>LLL</v>
      </c>
      <c r="AK410" s="99" t="str">
        <f>VLOOKUP(AJ410,rfm[],2,0)</f>
        <v>💤 Lost / Low Value</v>
      </c>
      <c r="AN410" s="99" t="b">
        <f t="shared" si="69"/>
        <v>1</v>
      </c>
    </row>
    <row r="411" spans="2:40" x14ac:dyDescent="0.3">
      <c r="B411" s="99" t="s">
        <v>773</v>
      </c>
      <c r="C411" s="100">
        <v>45730</v>
      </c>
      <c r="D411" s="99" t="s">
        <v>28</v>
      </c>
      <c r="E411" s="99" t="s">
        <v>29</v>
      </c>
      <c r="F411" s="99" t="s">
        <v>20</v>
      </c>
      <c r="G411" s="99">
        <v>12</v>
      </c>
      <c r="H411" s="112">
        <v>450000</v>
      </c>
      <c r="I411" s="112">
        <v>5400000</v>
      </c>
      <c r="J411" s="99" t="s">
        <v>2828</v>
      </c>
      <c r="K411" s="99" t="s">
        <v>127</v>
      </c>
      <c r="N411" s="99" t="s">
        <v>2442</v>
      </c>
      <c r="O411" s="99" t="s">
        <v>47</v>
      </c>
      <c r="P411" s="100">
        <f t="shared" si="61"/>
        <v>45798</v>
      </c>
      <c r="Q411" s="101">
        <f t="shared" si="60"/>
        <v>225</v>
      </c>
      <c r="R411" s="99">
        <f t="shared" si="62"/>
        <v>2</v>
      </c>
      <c r="S411" s="101">
        <f t="shared" si="63"/>
        <v>2975000</v>
      </c>
      <c r="T411" s="99" t="str">
        <f t="shared" si="64"/>
        <v>Low</v>
      </c>
      <c r="U411" s="99" t="str">
        <f t="shared" si="65"/>
        <v>Low</v>
      </c>
      <c r="V411" s="99" t="str">
        <f t="shared" si="66"/>
        <v>Low</v>
      </c>
      <c r="W411" s="99" t="str">
        <f t="shared" si="67"/>
        <v>LLL</v>
      </c>
      <c r="X411" s="99" t="str">
        <f>VLOOKUP(W411,rfm[],2,FALSE)</f>
        <v>💤 Lost / Low Value</v>
      </c>
      <c r="AA411" s="99" t="s">
        <v>2442</v>
      </c>
      <c r="AB411" s="99" t="s">
        <v>47</v>
      </c>
      <c r="AC411" s="100">
        <v>45798</v>
      </c>
      <c r="AD411" s="101">
        <v>225</v>
      </c>
      <c r="AE411" s="101">
        <v>2</v>
      </c>
      <c r="AF411" s="101">
        <v>2975000</v>
      </c>
      <c r="AG411" s="99" t="str">
        <f>VLOOKUP(AA411,recency!$K$6:$P$818,6,0)</f>
        <v>Low</v>
      </c>
      <c r="AH411" s="132" t="str">
        <f>VLOOKUP(AA411,frequency!$F$6:$H$818,3,FALSE)</f>
        <v>Low</v>
      </c>
      <c r="AI411" s="129" t="str">
        <f>VLOOKUP(AA411,monetary!$B$5:$F$817,5,0)</f>
        <v>Low</v>
      </c>
      <c r="AJ411" s="99" t="str">
        <f t="shared" si="68"/>
        <v>LLL</v>
      </c>
      <c r="AK411" s="99" t="str">
        <f>VLOOKUP(AJ411,rfm[],2,0)</f>
        <v>💤 Lost / Low Value</v>
      </c>
      <c r="AN411" s="99" t="b">
        <f t="shared" si="69"/>
        <v>1</v>
      </c>
    </row>
    <row r="412" spans="2:40" x14ac:dyDescent="0.3">
      <c r="B412" s="99" t="s">
        <v>774</v>
      </c>
      <c r="C412" s="100">
        <v>45730</v>
      </c>
      <c r="D412" s="99" t="s">
        <v>18</v>
      </c>
      <c r="E412" s="99" t="s">
        <v>19</v>
      </c>
      <c r="F412" s="99" t="s">
        <v>20</v>
      </c>
      <c r="G412" s="99">
        <v>100</v>
      </c>
      <c r="H412" s="112">
        <v>500000</v>
      </c>
      <c r="I412" s="112">
        <v>50000000</v>
      </c>
      <c r="J412" s="99" t="s">
        <v>2779</v>
      </c>
      <c r="K412" s="99" t="s">
        <v>8</v>
      </c>
      <c r="N412" s="99" t="s">
        <v>2443</v>
      </c>
      <c r="O412" s="99" t="s">
        <v>8</v>
      </c>
      <c r="P412" s="100">
        <f t="shared" si="61"/>
        <v>45796</v>
      </c>
      <c r="Q412" s="101">
        <f t="shared" si="60"/>
        <v>227</v>
      </c>
      <c r="R412" s="99">
        <f t="shared" si="62"/>
        <v>2</v>
      </c>
      <c r="S412" s="101">
        <f t="shared" si="63"/>
        <v>49600000</v>
      </c>
      <c r="T412" s="99" t="str">
        <f t="shared" si="64"/>
        <v>Low</v>
      </c>
      <c r="U412" s="99" t="str">
        <f t="shared" si="65"/>
        <v>Low</v>
      </c>
      <c r="V412" s="99" t="str">
        <f t="shared" si="66"/>
        <v>High</v>
      </c>
      <c r="W412" s="99" t="str">
        <f t="shared" si="67"/>
        <v>LLH</v>
      </c>
      <c r="X412" s="99" t="str">
        <f>VLOOKUP(W412,rfm[],2,FALSE)</f>
        <v>💸 Lost High Spenders</v>
      </c>
      <c r="AA412" s="99" t="s">
        <v>2443</v>
      </c>
      <c r="AB412" s="99" t="s">
        <v>8</v>
      </c>
      <c r="AC412" s="100">
        <v>45796</v>
      </c>
      <c r="AD412" s="101">
        <v>227</v>
      </c>
      <c r="AE412" s="101">
        <v>2</v>
      </c>
      <c r="AF412" s="101">
        <v>49600000</v>
      </c>
      <c r="AG412" s="99" t="str">
        <f>VLOOKUP(AA412,recency!$K$6:$P$818,6,0)</f>
        <v>Low</v>
      </c>
      <c r="AH412" s="132" t="str">
        <f>VLOOKUP(AA412,frequency!$F$6:$H$818,3,FALSE)</f>
        <v>Low</v>
      </c>
      <c r="AI412" s="129" t="str">
        <f>VLOOKUP(AA412,monetary!$B$5:$F$817,5,0)</f>
        <v>High</v>
      </c>
      <c r="AJ412" s="99" t="str">
        <f t="shared" si="68"/>
        <v>LLH</v>
      </c>
      <c r="AK412" s="99" t="str">
        <f>VLOOKUP(AJ412,rfm[],2,0)</f>
        <v>💸 Lost High Spenders</v>
      </c>
      <c r="AN412" s="99" t="b">
        <f t="shared" si="69"/>
        <v>1</v>
      </c>
    </row>
    <row r="413" spans="2:40" x14ac:dyDescent="0.3">
      <c r="B413" s="99" t="s">
        <v>775</v>
      </c>
      <c r="C413" s="100">
        <v>45733</v>
      </c>
      <c r="D413" s="99" t="s">
        <v>10</v>
      </c>
      <c r="E413" s="99" t="s">
        <v>11</v>
      </c>
      <c r="F413" s="99" t="s">
        <v>12</v>
      </c>
      <c r="G413" s="99">
        <v>44</v>
      </c>
      <c r="H413" s="112">
        <v>120000</v>
      </c>
      <c r="I413" s="112">
        <v>5280000</v>
      </c>
      <c r="J413" s="99" t="s">
        <v>2520</v>
      </c>
      <c r="K413" s="99" t="s">
        <v>8</v>
      </c>
      <c r="N413" s="99" t="s">
        <v>2444</v>
      </c>
      <c r="O413" s="99" t="s">
        <v>60</v>
      </c>
      <c r="P413" s="100">
        <f t="shared" si="61"/>
        <v>45721</v>
      </c>
      <c r="Q413" s="101">
        <f t="shared" si="60"/>
        <v>302</v>
      </c>
      <c r="R413" s="99">
        <f t="shared" si="62"/>
        <v>1</v>
      </c>
      <c r="S413" s="101">
        <f t="shared" si="63"/>
        <v>3800000</v>
      </c>
      <c r="T413" s="99" t="str">
        <f t="shared" si="64"/>
        <v>Low</v>
      </c>
      <c r="U413" s="99" t="str">
        <f t="shared" si="65"/>
        <v>Low</v>
      </c>
      <c r="V413" s="99" t="str">
        <f t="shared" si="66"/>
        <v>Low</v>
      </c>
      <c r="W413" s="99" t="str">
        <f t="shared" si="67"/>
        <v>LLL</v>
      </c>
      <c r="X413" s="99" t="str">
        <f>VLOOKUP(W413,rfm[],2,FALSE)</f>
        <v>💤 Lost / Low Value</v>
      </c>
      <c r="AA413" s="99" t="s">
        <v>2444</v>
      </c>
      <c r="AB413" s="99" t="s">
        <v>60</v>
      </c>
      <c r="AC413" s="100">
        <v>45721</v>
      </c>
      <c r="AD413" s="101">
        <v>302</v>
      </c>
      <c r="AE413" s="101">
        <v>1</v>
      </c>
      <c r="AF413" s="101">
        <v>3800000</v>
      </c>
      <c r="AG413" s="99" t="str">
        <f>VLOOKUP(AA413,recency!$K$6:$P$818,6,0)</f>
        <v>Low</v>
      </c>
      <c r="AH413" s="132" t="str">
        <f>VLOOKUP(AA413,frequency!$F$6:$H$818,3,FALSE)</f>
        <v>Low</v>
      </c>
      <c r="AI413" s="129" t="str">
        <f>VLOOKUP(AA413,monetary!$B$5:$F$817,5,0)</f>
        <v>Low</v>
      </c>
      <c r="AJ413" s="99" t="str">
        <f t="shared" si="68"/>
        <v>LLL</v>
      </c>
      <c r="AK413" s="99" t="str">
        <f>VLOOKUP(AJ413,rfm[],2,0)</f>
        <v>💤 Lost / Low Value</v>
      </c>
      <c r="AN413" s="99" t="b">
        <f t="shared" si="69"/>
        <v>1</v>
      </c>
    </row>
    <row r="414" spans="2:40" x14ac:dyDescent="0.3">
      <c r="B414" s="99" t="s">
        <v>796</v>
      </c>
      <c r="C414" s="100">
        <v>45733</v>
      </c>
      <c r="D414" s="99" t="s">
        <v>18</v>
      </c>
      <c r="E414" s="99" t="s">
        <v>19</v>
      </c>
      <c r="F414" s="99" t="s">
        <v>20</v>
      </c>
      <c r="G414" s="99">
        <v>35</v>
      </c>
      <c r="H414" s="112">
        <v>500000</v>
      </c>
      <c r="I414" s="112">
        <v>17500000</v>
      </c>
      <c r="J414" s="99" t="s">
        <v>2682</v>
      </c>
      <c r="K414" s="99" t="s">
        <v>60</v>
      </c>
      <c r="N414" s="99" t="s">
        <v>2445</v>
      </c>
      <c r="O414" s="99" t="s">
        <v>69</v>
      </c>
      <c r="P414" s="100">
        <f t="shared" si="61"/>
        <v>45812</v>
      </c>
      <c r="Q414" s="101">
        <f t="shared" si="60"/>
        <v>211</v>
      </c>
      <c r="R414" s="99">
        <f t="shared" si="62"/>
        <v>1</v>
      </c>
      <c r="S414" s="101">
        <f t="shared" si="63"/>
        <v>525000</v>
      </c>
      <c r="T414" s="99" t="str">
        <f t="shared" si="64"/>
        <v>Low</v>
      </c>
      <c r="U414" s="99" t="str">
        <f t="shared" si="65"/>
        <v>Low</v>
      </c>
      <c r="V414" s="99" t="str">
        <f t="shared" si="66"/>
        <v>Low</v>
      </c>
      <c r="W414" s="99" t="str">
        <f t="shared" si="67"/>
        <v>LLL</v>
      </c>
      <c r="X414" s="99" t="str">
        <f>VLOOKUP(W414,rfm[],2,FALSE)</f>
        <v>💤 Lost / Low Value</v>
      </c>
      <c r="AA414" s="99" t="s">
        <v>2445</v>
      </c>
      <c r="AB414" s="99" t="s">
        <v>69</v>
      </c>
      <c r="AC414" s="100">
        <v>45812</v>
      </c>
      <c r="AD414" s="101">
        <v>211</v>
      </c>
      <c r="AE414" s="101">
        <v>1</v>
      </c>
      <c r="AF414" s="101">
        <v>525000</v>
      </c>
      <c r="AG414" s="99" t="str">
        <f>VLOOKUP(AA414,recency!$K$6:$P$818,6,0)</f>
        <v>Low</v>
      </c>
      <c r="AH414" s="132" t="str">
        <f>VLOOKUP(AA414,frequency!$F$6:$H$818,3,FALSE)</f>
        <v>Low</v>
      </c>
      <c r="AI414" s="129" t="str">
        <f>VLOOKUP(AA414,monetary!$B$5:$F$817,5,0)</f>
        <v>Low</v>
      </c>
      <c r="AJ414" s="99" t="str">
        <f t="shared" si="68"/>
        <v>LLL</v>
      </c>
      <c r="AK414" s="99" t="str">
        <f>VLOOKUP(AJ414,rfm[],2,0)</f>
        <v>💤 Lost / Low Value</v>
      </c>
      <c r="AN414" s="99" t="b">
        <f t="shared" si="69"/>
        <v>1</v>
      </c>
    </row>
    <row r="415" spans="2:40" x14ac:dyDescent="0.3">
      <c r="B415" s="99" t="s">
        <v>797</v>
      </c>
      <c r="C415" s="100">
        <v>45733</v>
      </c>
      <c r="D415" s="99" t="s">
        <v>10</v>
      </c>
      <c r="E415" s="99" t="s">
        <v>11</v>
      </c>
      <c r="F415" s="99" t="s">
        <v>12</v>
      </c>
      <c r="G415" s="99">
        <v>23</v>
      </c>
      <c r="H415" s="112">
        <v>120000</v>
      </c>
      <c r="I415" s="112">
        <v>2760000</v>
      </c>
      <c r="J415" s="99" t="s">
        <v>2489</v>
      </c>
      <c r="K415" s="99" t="s">
        <v>69</v>
      </c>
      <c r="N415" s="99" t="s">
        <v>2446</v>
      </c>
      <c r="O415" s="99" t="s">
        <v>69</v>
      </c>
      <c r="P415" s="100">
        <f t="shared" si="61"/>
        <v>45895</v>
      </c>
      <c r="Q415" s="101">
        <f t="shared" si="60"/>
        <v>128</v>
      </c>
      <c r="R415" s="99">
        <f t="shared" si="62"/>
        <v>1</v>
      </c>
      <c r="S415" s="101">
        <f t="shared" si="63"/>
        <v>7920000</v>
      </c>
      <c r="T415" s="99" t="str">
        <f t="shared" si="64"/>
        <v>Low</v>
      </c>
      <c r="U415" s="99" t="str">
        <f t="shared" si="65"/>
        <v>Low</v>
      </c>
      <c r="V415" s="99" t="str">
        <f t="shared" si="66"/>
        <v>Low</v>
      </c>
      <c r="W415" s="99" t="str">
        <f t="shared" si="67"/>
        <v>LLL</v>
      </c>
      <c r="X415" s="99" t="str">
        <f>VLOOKUP(W415,rfm[],2,FALSE)</f>
        <v>💤 Lost / Low Value</v>
      </c>
      <c r="AA415" s="99" t="s">
        <v>2446</v>
      </c>
      <c r="AB415" s="99" t="s">
        <v>69</v>
      </c>
      <c r="AC415" s="100">
        <v>45895</v>
      </c>
      <c r="AD415" s="101">
        <v>128</v>
      </c>
      <c r="AE415" s="101">
        <v>1</v>
      </c>
      <c r="AF415" s="101">
        <v>7920000</v>
      </c>
      <c r="AG415" s="99" t="str">
        <f>VLOOKUP(AA415,recency!$K$6:$P$818,6,0)</f>
        <v>Low</v>
      </c>
      <c r="AH415" s="132" t="str">
        <f>VLOOKUP(AA415,frequency!$F$6:$H$818,3,FALSE)</f>
        <v>Low</v>
      </c>
      <c r="AI415" s="129" t="str">
        <f>VLOOKUP(AA415,monetary!$B$5:$F$817,5,0)</f>
        <v>Low</v>
      </c>
      <c r="AJ415" s="99" t="str">
        <f t="shared" si="68"/>
        <v>LLL</v>
      </c>
      <c r="AK415" s="99" t="str">
        <f>VLOOKUP(AJ415,rfm[],2,0)</f>
        <v>💤 Lost / Low Value</v>
      </c>
      <c r="AN415" s="99" t="b">
        <f t="shared" si="69"/>
        <v>1</v>
      </c>
    </row>
    <row r="416" spans="2:40" x14ac:dyDescent="0.3">
      <c r="B416" s="99" t="s">
        <v>798</v>
      </c>
      <c r="C416" s="100">
        <v>45733</v>
      </c>
      <c r="D416" s="99" t="s">
        <v>42</v>
      </c>
      <c r="E416" s="99" t="s">
        <v>43</v>
      </c>
      <c r="F416" s="99" t="s">
        <v>16</v>
      </c>
      <c r="G416" s="99">
        <v>43</v>
      </c>
      <c r="H416" s="112">
        <v>1200000</v>
      </c>
      <c r="I416" s="112">
        <v>51600000</v>
      </c>
      <c r="J416" s="99" t="s">
        <v>2229</v>
      </c>
      <c r="K416" s="99" t="s">
        <v>60</v>
      </c>
      <c r="N416" s="99" t="s">
        <v>2447</v>
      </c>
      <c r="O416" s="99" t="s">
        <v>8</v>
      </c>
      <c r="P416" s="100">
        <f t="shared" si="61"/>
        <v>45965</v>
      </c>
      <c r="Q416" s="101">
        <f t="shared" si="60"/>
        <v>58</v>
      </c>
      <c r="R416" s="99">
        <f t="shared" si="62"/>
        <v>5</v>
      </c>
      <c r="S416" s="101">
        <f t="shared" si="63"/>
        <v>44830000</v>
      </c>
      <c r="T416" s="99" t="str">
        <f t="shared" si="64"/>
        <v>High</v>
      </c>
      <c r="U416" s="99" t="str">
        <f t="shared" si="65"/>
        <v>High</v>
      </c>
      <c r="V416" s="99" t="str">
        <f t="shared" si="66"/>
        <v>High</v>
      </c>
      <c r="W416" s="99" t="str">
        <f t="shared" si="67"/>
        <v>HHH</v>
      </c>
      <c r="X416" s="99" t="str">
        <f>VLOOKUP(W416,rfm[],2,FALSE)</f>
        <v>🥇 Champions</v>
      </c>
      <c r="AA416" s="99" t="s">
        <v>2447</v>
      </c>
      <c r="AB416" s="99" t="s">
        <v>8</v>
      </c>
      <c r="AC416" s="100">
        <v>45965</v>
      </c>
      <c r="AD416" s="101">
        <v>58</v>
      </c>
      <c r="AE416" s="101">
        <v>5</v>
      </c>
      <c r="AF416" s="101">
        <v>44830000</v>
      </c>
      <c r="AG416" s="99" t="str">
        <f>VLOOKUP(AA416,recency!$K$6:$P$818,6,0)</f>
        <v>High</v>
      </c>
      <c r="AH416" s="132" t="str">
        <f>VLOOKUP(AA416,frequency!$F$6:$H$818,3,FALSE)</f>
        <v>High</v>
      </c>
      <c r="AI416" s="129" t="str">
        <f>VLOOKUP(AA416,monetary!$B$5:$F$817,5,0)</f>
        <v>Low</v>
      </c>
      <c r="AJ416" s="99" t="str">
        <f t="shared" si="68"/>
        <v>HHL</v>
      </c>
      <c r="AK416" s="99" t="str">
        <f>VLOOKUP(AJ416,rfm[],2,0)</f>
        <v>💎 Loyal High Value</v>
      </c>
      <c r="AN416" s="99" t="b">
        <f t="shared" si="69"/>
        <v>0</v>
      </c>
    </row>
    <row r="417" spans="2:40" x14ac:dyDescent="0.3">
      <c r="B417" s="99" t="s">
        <v>799</v>
      </c>
      <c r="C417" s="100">
        <v>45733</v>
      </c>
      <c r="D417" s="99" t="s">
        <v>18</v>
      </c>
      <c r="E417" s="99" t="s">
        <v>19</v>
      </c>
      <c r="F417" s="99" t="s">
        <v>20</v>
      </c>
      <c r="G417" s="99">
        <v>45</v>
      </c>
      <c r="H417" s="112">
        <v>500000</v>
      </c>
      <c r="I417" s="112">
        <v>22500000</v>
      </c>
      <c r="J417" s="99" t="s">
        <v>2670</v>
      </c>
      <c r="K417" s="99" t="s">
        <v>127</v>
      </c>
      <c r="N417" s="99" t="s">
        <v>2448</v>
      </c>
      <c r="O417" s="99" t="s">
        <v>60</v>
      </c>
      <c r="P417" s="100">
        <f t="shared" si="61"/>
        <v>45890</v>
      </c>
      <c r="Q417" s="101">
        <f t="shared" si="60"/>
        <v>133</v>
      </c>
      <c r="R417" s="99">
        <f t="shared" si="62"/>
        <v>4</v>
      </c>
      <c r="S417" s="101">
        <f t="shared" si="63"/>
        <v>17950000</v>
      </c>
      <c r="T417" s="99" t="str">
        <f t="shared" si="64"/>
        <v>Low</v>
      </c>
      <c r="U417" s="99" t="str">
        <f t="shared" si="65"/>
        <v>High</v>
      </c>
      <c r="V417" s="99" t="str">
        <f t="shared" si="66"/>
        <v>Low</v>
      </c>
      <c r="W417" s="99" t="str">
        <f t="shared" si="67"/>
        <v>LHL</v>
      </c>
      <c r="X417" s="99" t="str">
        <f>VLOOKUP(W417,rfm[],2,FALSE)</f>
        <v>🔁 Former Loyal Low Spend</v>
      </c>
      <c r="AA417" s="99" t="s">
        <v>2448</v>
      </c>
      <c r="AB417" s="99" t="s">
        <v>60</v>
      </c>
      <c r="AC417" s="100">
        <v>45890</v>
      </c>
      <c r="AD417" s="101">
        <v>133</v>
      </c>
      <c r="AE417" s="101">
        <v>4</v>
      </c>
      <c r="AF417" s="101">
        <v>17950000</v>
      </c>
      <c r="AG417" s="99" t="str">
        <f>VLOOKUP(AA417,recency!$K$6:$P$818,6,0)</f>
        <v>Low</v>
      </c>
      <c r="AH417" s="132" t="str">
        <f>VLOOKUP(AA417,frequency!$F$6:$H$818,3,FALSE)</f>
        <v>High</v>
      </c>
      <c r="AI417" s="129" t="str">
        <f>VLOOKUP(AA417,monetary!$B$5:$F$817,5,0)</f>
        <v>Low</v>
      </c>
      <c r="AJ417" s="99" t="str">
        <f t="shared" si="68"/>
        <v>LHL</v>
      </c>
      <c r="AK417" s="99" t="str">
        <f>VLOOKUP(AJ417,rfm[],2,0)</f>
        <v>🔁 Former Loyal Low Spend</v>
      </c>
      <c r="AN417" s="99" t="b">
        <f t="shared" si="69"/>
        <v>1</v>
      </c>
    </row>
    <row r="418" spans="2:40" x14ac:dyDescent="0.3">
      <c r="B418" s="99" t="s">
        <v>828</v>
      </c>
      <c r="C418" s="100">
        <v>45733</v>
      </c>
      <c r="D418" s="99" t="s">
        <v>18</v>
      </c>
      <c r="E418" s="99" t="s">
        <v>19</v>
      </c>
      <c r="F418" s="99" t="s">
        <v>20</v>
      </c>
      <c r="G418" s="99">
        <v>44</v>
      </c>
      <c r="H418" s="112">
        <v>500000</v>
      </c>
      <c r="I418" s="112">
        <v>22000000</v>
      </c>
      <c r="J418" s="99" t="s">
        <v>2628</v>
      </c>
      <c r="K418" s="99" t="s">
        <v>47</v>
      </c>
      <c r="N418" s="99" t="s">
        <v>2449</v>
      </c>
      <c r="O418" s="99" t="s">
        <v>60</v>
      </c>
      <c r="P418" s="100">
        <f t="shared" si="61"/>
        <v>45874</v>
      </c>
      <c r="Q418" s="101">
        <f t="shared" si="60"/>
        <v>149</v>
      </c>
      <c r="R418" s="99">
        <f t="shared" si="62"/>
        <v>1</v>
      </c>
      <c r="S418" s="101">
        <f t="shared" si="63"/>
        <v>2640000</v>
      </c>
      <c r="T418" s="99" t="str">
        <f t="shared" si="64"/>
        <v>Low</v>
      </c>
      <c r="U418" s="99" t="str">
        <f t="shared" si="65"/>
        <v>Low</v>
      </c>
      <c r="V418" s="99" t="str">
        <f t="shared" si="66"/>
        <v>Low</v>
      </c>
      <c r="W418" s="99" t="str">
        <f t="shared" si="67"/>
        <v>LLL</v>
      </c>
      <c r="X418" s="99" t="str">
        <f>VLOOKUP(W418,rfm[],2,FALSE)</f>
        <v>💤 Lost / Low Value</v>
      </c>
      <c r="AA418" s="99" t="s">
        <v>2449</v>
      </c>
      <c r="AB418" s="99" t="s">
        <v>60</v>
      </c>
      <c r="AC418" s="100">
        <v>45874</v>
      </c>
      <c r="AD418" s="101">
        <v>149</v>
      </c>
      <c r="AE418" s="101">
        <v>1</v>
      </c>
      <c r="AF418" s="101">
        <v>2640000</v>
      </c>
      <c r="AG418" s="99" t="str">
        <f>VLOOKUP(AA418,recency!$K$6:$P$818,6,0)</f>
        <v>Low</v>
      </c>
      <c r="AH418" s="132" t="str">
        <f>VLOOKUP(AA418,frequency!$F$6:$H$818,3,FALSE)</f>
        <v>Low</v>
      </c>
      <c r="AI418" s="129" t="str">
        <f>VLOOKUP(AA418,monetary!$B$5:$F$817,5,0)</f>
        <v>Low</v>
      </c>
      <c r="AJ418" s="99" t="str">
        <f t="shared" si="68"/>
        <v>LLL</v>
      </c>
      <c r="AK418" s="99" t="str">
        <f>VLOOKUP(AJ418,rfm[],2,0)</f>
        <v>💤 Lost / Low Value</v>
      </c>
      <c r="AN418" s="99" t="b">
        <f t="shared" si="69"/>
        <v>1</v>
      </c>
    </row>
    <row r="419" spans="2:40" x14ac:dyDescent="0.3">
      <c r="B419" s="99" t="s">
        <v>829</v>
      </c>
      <c r="C419" s="100">
        <v>45733</v>
      </c>
      <c r="D419" s="99" t="s">
        <v>22</v>
      </c>
      <c r="E419" s="99" t="s">
        <v>23</v>
      </c>
      <c r="F419" s="99" t="s">
        <v>12</v>
      </c>
      <c r="G419" s="99">
        <v>41</v>
      </c>
      <c r="H419" s="112">
        <v>25000</v>
      </c>
      <c r="I419" s="112">
        <v>1025000</v>
      </c>
      <c r="J419" s="99" t="s">
        <v>402</v>
      </c>
      <c r="K419" s="99" t="s">
        <v>47</v>
      </c>
      <c r="N419" s="99" t="s">
        <v>2450</v>
      </c>
      <c r="O419" s="99" t="s">
        <v>8</v>
      </c>
      <c r="P419" s="100">
        <f t="shared" si="61"/>
        <v>45980</v>
      </c>
      <c r="Q419" s="101">
        <f t="shared" si="60"/>
        <v>43</v>
      </c>
      <c r="R419" s="99">
        <f t="shared" si="62"/>
        <v>3</v>
      </c>
      <c r="S419" s="101">
        <f t="shared" si="63"/>
        <v>12420000</v>
      </c>
      <c r="T419" s="99" t="str">
        <f t="shared" si="64"/>
        <v>High</v>
      </c>
      <c r="U419" s="99" t="str">
        <f t="shared" si="65"/>
        <v>High</v>
      </c>
      <c r="V419" s="99" t="str">
        <f t="shared" si="66"/>
        <v>Low</v>
      </c>
      <c r="W419" s="99" t="str">
        <f t="shared" si="67"/>
        <v>HHL</v>
      </c>
      <c r="X419" s="99" t="str">
        <f>VLOOKUP(W419,rfm[],2,FALSE)</f>
        <v>💎 Loyal High Value</v>
      </c>
      <c r="AA419" s="99" t="s">
        <v>2450</v>
      </c>
      <c r="AB419" s="99" t="s">
        <v>8</v>
      </c>
      <c r="AC419" s="100">
        <v>45980</v>
      </c>
      <c r="AD419" s="101">
        <v>43</v>
      </c>
      <c r="AE419" s="101">
        <v>3</v>
      </c>
      <c r="AF419" s="101">
        <v>12420000</v>
      </c>
      <c r="AG419" s="99" t="str">
        <f>VLOOKUP(AA419,recency!$K$6:$P$818,6,0)</f>
        <v>High</v>
      </c>
      <c r="AH419" s="132" t="str">
        <f>VLOOKUP(AA419,frequency!$F$6:$H$818,3,FALSE)</f>
        <v>High</v>
      </c>
      <c r="AI419" s="129" t="str">
        <f>VLOOKUP(AA419,monetary!$B$5:$F$817,5,0)</f>
        <v>Low</v>
      </c>
      <c r="AJ419" s="99" t="str">
        <f t="shared" si="68"/>
        <v>HHL</v>
      </c>
      <c r="AK419" s="99" t="str">
        <f>VLOOKUP(AJ419,rfm[],2,0)</f>
        <v>💎 Loyal High Value</v>
      </c>
      <c r="AN419" s="99" t="b">
        <f t="shared" si="69"/>
        <v>1</v>
      </c>
    </row>
    <row r="420" spans="2:40" x14ac:dyDescent="0.3">
      <c r="B420" s="99" t="s">
        <v>841</v>
      </c>
      <c r="C420" s="100">
        <v>45740</v>
      </c>
      <c r="D420" s="99" t="s">
        <v>42</v>
      </c>
      <c r="E420" s="99" t="s">
        <v>43</v>
      </c>
      <c r="F420" s="99" t="s">
        <v>16</v>
      </c>
      <c r="G420" s="99">
        <v>45</v>
      </c>
      <c r="H420" s="112">
        <v>1200000</v>
      </c>
      <c r="I420" s="112">
        <v>54000000</v>
      </c>
      <c r="J420" s="99" t="s">
        <v>2784</v>
      </c>
      <c r="K420" s="99" t="s">
        <v>8</v>
      </c>
      <c r="N420" s="99" t="s">
        <v>2451</v>
      </c>
      <c r="O420" s="99" t="s">
        <v>60</v>
      </c>
      <c r="P420" s="100">
        <f t="shared" si="61"/>
        <v>45741</v>
      </c>
      <c r="Q420" s="101">
        <f t="shared" si="60"/>
        <v>282</v>
      </c>
      <c r="R420" s="99">
        <f t="shared" si="62"/>
        <v>1</v>
      </c>
      <c r="S420" s="101">
        <f t="shared" si="63"/>
        <v>750000</v>
      </c>
      <c r="T420" s="99" t="str">
        <f t="shared" si="64"/>
        <v>Low</v>
      </c>
      <c r="U420" s="99" t="str">
        <f t="shared" si="65"/>
        <v>Low</v>
      </c>
      <c r="V420" s="99" t="str">
        <f t="shared" si="66"/>
        <v>Low</v>
      </c>
      <c r="W420" s="99" t="str">
        <f t="shared" si="67"/>
        <v>LLL</v>
      </c>
      <c r="X420" s="99" t="str">
        <f>VLOOKUP(W420,rfm[],2,FALSE)</f>
        <v>💤 Lost / Low Value</v>
      </c>
      <c r="AA420" s="99" t="s">
        <v>2451</v>
      </c>
      <c r="AB420" s="99" t="s">
        <v>60</v>
      </c>
      <c r="AC420" s="100">
        <v>45741</v>
      </c>
      <c r="AD420" s="101">
        <v>282</v>
      </c>
      <c r="AE420" s="101">
        <v>1</v>
      </c>
      <c r="AF420" s="101">
        <v>750000</v>
      </c>
      <c r="AG420" s="99" t="str">
        <f>VLOOKUP(AA420,recency!$K$6:$P$818,6,0)</f>
        <v>Low</v>
      </c>
      <c r="AH420" s="132" t="str">
        <f>VLOOKUP(AA420,frequency!$F$6:$H$818,3,FALSE)</f>
        <v>Low</v>
      </c>
      <c r="AI420" s="129" t="str">
        <f>VLOOKUP(AA420,monetary!$B$5:$F$817,5,0)</f>
        <v>Low</v>
      </c>
      <c r="AJ420" s="99" t="str">
        <f t="shared" si="68"/>
        <v>LLL</v>
      </c>
      <c r="AK420" s="99" t="str">
        <f>VLOOKUP(AJ420,rfm[],2,0)</f>
        <v>💤 Lost / Low Value</v>
      </c>
      <c r="AN420" s="99" t="b">
        <f t="shared" si="69"/>
        <v>1</v>
      </c>
    </row>
    <row r="421" spans="2:40" x14ac:dyDescent="0.3">
      <c r="B421" s="99" t="s">
        <v>856</v>
      </c>
      <c r="C421" s="100">
        <v>45740</v>
      </c>
      <c r="D421" s="99" t="s">
        <v>28</v>
      </c>
      <c r="E421" s="99" t="s">
        <v>29</v>
      </c>
      <c r="F421" s="99" t="s">
        <v>20</v>
      </c>
      <c r="G421" s="99">
        <v>49</v>
      </c>
      <c r="H421" s="112">
        <v>450000</v>
      </c>
      <c r="I421" s="112">
        <v>22050000</v>
      </c>
      <c r="J421" s="99" t="s">
        <v>2803</v>
      </c>
      <c r="K421" s="99" t="s">
        <v>47</v>
      </c>
      <c r="N421" s="99" t="s">
        <v>2452</v>
      </c>
      <c r="O421" s="99" t="s">
        <v>47</v>
      </c>
      <c r="P421" s="100">
        <f t="shared" si="61"/>
        <v>45918</v>
      </c>
      <c r="Q421" s="101">
        <f t="shared" si="60"/>
        <v>105</v>
      </c>
      <c r="R421" s="99">
        <f t="shared" si="62"/>
        <v>1</v>
      </c>
      <c r="S421" s="101">
        <f t="shared" si="63"/>
        <v>8100000</v>
      </c>
      <c r="T421" s="99" t="str">
        <f t="shared" si="64"/>
        <v>Low</v>
      </c>
      <c r="U421" s="99" t="str">
        <f t="shared" si="65"/>
        <v>Low</v>
      </c>
      <c r="V421" s="99" t="str">
        <f t="shared" si="66"/>
        <v>Low</v>
      </c>
      <c r="W421" s="99" t="str">
        <f t="shared" si="67"/>
        <v>LLL</v>
      </c>
      <c r="X421" s="99" t="str">
        <f>VLOOKUP(W421,rfm[],2,FALSE)</f>
        <v>💤 Lost / Low Value</v>
      </c>
      <c r="AA421" s="99" t="s">
        <v>2452</v>
      </c>
      <c r="AB421" s="99" t="s">
        <v>47</v>
      </c>
      <c r="AC421" s="100">
        <v>45918</v>
      </c>
      <c r="AD421" s="101">
        <v>105</v>
      </c>
      <c r="AE421" s="101">
        <v>1</v>
      </c>
      <c r="AF421" s="101">
        <v>8100000</v>
      </c>
      <c r="AG421" s="99" t="str">
        <f>VLOOKUP(AA421,recency!$K$6:$P$818,6,0)</f>
        <v>Low</v>
      </c>
      <c r="AH421" s="132" t="str">
        <f>VLOOKUP(AA421,frequency!$F$6:$H$818,3,FALSE)</f>
        <v>Low</v>
      </c>
      <c r="AI421" s="129" t="str">
        <f>VLOOKUP(AA421,monetary!$B$5:$F$817,5,0)</f>
        <v>Low</v>
      </c>
      <c r="AJ421" s="99" t="str">
        <f t="shared" si="68"/>
        <v>LLL</v>
      </c>
      <c r="AK421" s="99" t="str">
        <f>VLOOKUP(AJ421,rfm[],2,0)</f>
        <v>💤 Lost / Low Value</v>
      </c>
      <c r="AN421" s="99" t="b">
        <f t="shared" si="69"/>
        <v>1</v>
      </c>
    </row>
    <row r="422" spans="2:40" x14ac:dyDescent="0.3">
      <c r="B422" s="99" t="s">
        <v>865</v>
      </c>
      <c r="C422" s="100">
        <v>45740</v>
      </c>
      <c r="D422" s="99" t="s">
        <v>10</v>
      </c>
      <c r="E422" s="99" t="s">
        <v>11</v>
      </c>
      <c r="F422" s="99" t="s">
        <v>12</v>
      </c>
      <c r="G422" s="99">
        <v>50</v>
      </c>
      <c r="H422" s="112">
        <v>120000</v>
      </c>
      <c r="I422" s="112">
        <v>6000000</v>
      </c>
      <c r="J422" s="99" t="s">
        <v>2239</v>
      </c>
      <c r="K422" s="99" t="s">
        <v>8</v>
      </c>
      <c r="N422" s="99" t="s">
        <v>2453</v>
      </c>
      <c r="O422" s="99" t="s">
        <v>8</v>
      </c>
      <c r="P422" s="100">
        <f t="shared" si="61"/>
        <v>45961</v>
      </c>
      <c r="Q422" s="101">
        <f t="shared" si="60"/>
        <v>62</v>
      </c>
      <c r="R422" s="99">
        <f t="shared" si="62"/>
        <v>4</v>
      </c>
      <c r="S422" s="101">
        <f t="shared" si="63"/>
        <v>51520000</v>
      </c>
      <c r="T422" s="99" t="str">
        <f t="shared" si="64"/>
        <v>High</v>
      </c>
      <c r="U422" s="99" t="str">
        <f t="shared" si="65"/>
        <v>High</v>
      </c>
      <c r="V422" s="99" t="str">
        <f t="shared" si="66"/>
        <v>High</v>
      </c>
      <c r="W422" s="99" t="str">
        <f t="shared" si="67"/>
        <v>HHH</v>
      </c>
      <c r="X422" s="99" t="str">
        <f>VLOOKUP(W422,rfm[],2,FALSE)</f>
        <v>🥇 Champions</v>
      </c>
      <c r="AA422" s="99" t="s">
        <v>2453</v>
      </c>
      <c r="AB422" s="99" t="s">
        <v>8</v>
      </c>
      <c r="AC422" s="100">
        <v>45961</v>
      </c>
      <c r="AD422" s="101">
        <v>62</v>
      </c>
      <c r="AE422" s="101">
        <v>4</v>
      </c>
      <c r="AF422" s="101">
        <v>51520000</v>
      </c>
      <c r="AG422" s="99" t="str">
        <f>VLOOKUP(AA422,recency!$K$6:$P$818,6,0)</f>
        <v>Low</v>
      </c>
      <c r="AH422" s="132" t="str">
        <f>VLOOKUP(AA422,frequency!$F$6:$H$818,3,FALSE)</f>
        <v>High</v>
      </c>
      <c r="AI422" s="129" t="str">
        <f>VLOOKUP(AA422,monetary!$B$5:$F$817,5,0)</f>
        <v>High</v>
      </c>
      <c r="AJ422" s="99" t="str">
        <f t="shared" si="68"/>
        <v>LHH</v>
      </c>
      <c r="AK422" s="99" t="str">
        <f>VLOOKUP(AJ422,rfm[],2,0)</f>
        <v>⚠️ At Risk High Value</v>
      </c>
      <c r="AN422" s="99" t="b">
        <f t="shared" si="69"/>
        <v>0</v>
      </c>
    </row>
    <row r="423" spans="2:40" x14ac:dyDescent="0.3">
      <c r="B423" s="99" t="s">
        <v>866</v>
      </c>
      <c r="C423" s="100">
        <v>45740</v>
      </c>
      <c r="D423" s="99" t="s">
        <v>31</v>
      </c>
      <c r="E423" s="99" t="s">
        <v>32</v>
      </c>
      <c r="F423" s="99" t="s">
        <v>20</v>
      </c>
      <c r="G423" s="99">
        <v>24</v>
      </c>
      <c r="H423" s="112">
        <v>180000</v>
      </c>
      <c r="I423" s="112">
        <v>4320000</v>
      </c>
      <c r="J423" s="99" t="s">
        <v>2282</v>
      </c>
      <c r="K423" s="99" t="s">
        <v>69</v>
      </c>
      <c r="N423" s="99" t="s">
        <v>2454</v>
      </c>
      <c r="O423" s="99" t="s">
        <v>8</v>
      </c>
      <c r="P423" s="100">
        <f t="shared" si="61"/>
        <v>45838</v>
      </c>
      <c r="Q423" s="101">
        <f t="shared" si="60"/>
        <v>185</v>
      </c>
      <c r="R423" s="99">
        <f t="shared" si="62"/>
        <v>1</v>
      </c>
      <c r="S423" s="101">
        <f t="shared" si="63"/>
        <v>4900000</v>
      </c>
      <c r="T423" s="99" t="str">
        <f t="shared" si="64"/>
        <v>Low</v>
      </c>
      <c r="U423" s="99" t="str">
        <f t="shared" si="65"/>
        <v>Low</v>
      </c>
      <c r="V423" s="99" t="str">
        <f t="shared" si="66"/>
        <v>Low</v>
      </c>
      <c r="W423" s="99" t="str">
        <f t="shared" si="67"/>
        <v>LLL</v>
      </c>
      <c r="X423" s="99" t="str">
        <f>VLOOKUP(W423,rfm[],2,FALSE)</f>
        <v>💤 Lost / Low Value</v>
      </c>
      <c r="AA423" s="99" t="s">
        <v>2454</v>
      </c>
      <c r="AB423" s="99" t="s">
        <v>8</v>
      </c>
      <c r="AC423" s="100">
        <v>45838</v>
      </c>
      <c r="AD423" s="101">
        <v>185</v>
      </c>
      <c r="AE423" s="101">
        <v>1</v>
      </c>
      <c r="AF423" s="101">
        <v>4900000</v>
      </c>
      <c r="AG423" s="99" t="str">
        <f>VLOOKUP(AA423,recency!$K$6:$P$818,6,0)</f>
        <v>Low</v>
      </c>
      <c r="AH423" s="132" t="str">
        <f>VLOOKUP(AA423,frequency!$F$6:$H$818,3,FALSE)</f>
        <v>Low</v>
      </c>
      <c r="AI423" s="129" t="str">
        <f>VLOOKUP(AA423,monetary!$B$5:$F$817,5,0)</f>
        <v>Low</v>
      </c>
      <c r="AJ423" s="99" t="str">
        <f t="shared" si="68"/>
        <v>LLL</v>
      </c>
      <c r="AK423" s="99" t="str">
        <f>VLOOKUP(AJ423,rfm[],2,0)</f>
        <v>💤 Lost / Low Value</v>
      </c>
      <c r="AN423" s="99" t="b">
        <f t="shared" si="69"/>
        <v>1</v>
      </c>
    </row>
    <row r="424" spans="2:40" x14ac:dyDescent="0.3">
      <c r="B424" s="99" t="s">
        <v>867</v>
      </c>
      <c r="C424" s="100">
        <v>45740</v>
      </c>
      <c r="D424" s="99" t="s">
        <v>44</v>
      </c>
      <c r="E424" s="99" t="s">
        <v>45</v>
      </c>
      <c r="F424" s="99" t="s">
        <v>16</v>
      </c>
      <c r="G424" s="99">
        <v>18</v>
      </c>
      <c r="H424" s="112">
        <v>250000</v>
      </c>
      <c r="I424" s="112">
        <v>4500000</v>
      </c>
      <c r="J424" s="99" t="s">
        <v>2455</v>
      </c>
      <c r="K424" s="99" t="s">
        <v>127</v>
      </c>
      <c r="N424" s="99" t="s">
        <v>2455</v>
      </c>
      <c r="O424" s="99" t="s">
        <v>127</v>
      </c>
      <c r="P424" s="100">
        <f t="shared" si="61"/>
        <v>45740</v>
      </c>
      <c r="Q424" s="101">
        <f t="shared" si="60"/>
        <v>283</v>
      </c>
      <c r="R424" s="99">
        <f t="shared" si="62"/>
        <v>1</v>
      </c>
      <c r="S424" s="101">
        <f t="shared" si="63"/>
        <v>4500000</v>
      </c>
      <c r="T424" s="99" t="str">
        <f t="shared" si="64"/>
        <v>Low</v>
      </c>
      <c r="U424" s="99" t="str">
        <f t="shared" si="65"/>
        <v>Low</v>
      </c>
      <c r="V424" s="99" t="str">
        <f t="shared" si="66"/>
        <v>Low</v>
      </c>
      <c r="W424" s="99" t="str">
        <f t="shared" si="67"/>
        <v>LLL</v>
      </c>
      <c r="X424" s="99" t="str">
        <f>VLOOKUP(W424,rfm[],2,FALSE)</f>
        <v>💤 Lost / Low Value</v>
      </c>
      <c r="AA424" s="99" t="s">
        <v>2455</v>
      </c>
      <c r="AB424" s="99" t="s">
        <v>127</v>
      </c>
      <c r="AC424" s="100">
        <v>45740</v>
      </c>
      <c r="AD424" s="101">
        <v>283</v>
      </c>
      <c r="AE424" s="101">
        <v>1</v>
      </c>
      <c r="AF424" s="101">
        <v>4500000</v>
      </c>
      <c r="AG424" s="99" t="str">
        <f>VLOOKUP(AA424,recency!$K$6:$P$818,6,0)</f>
        <v>Low</v>
      </c>
      <c r="AH424" s="132" t="str">
        <f>VLOOKUP(AA424,frequency!$F$6:$H$818,3,FALSE)</f>
        <v>Low</v>
      </c>
      <c r="AI424" s="129" t="str">
        <f>VLOOKUP(AA424,monetary!$B$5:$F$817,5,0)</f>
        <v>Low</v>
      </c>
      <c r="AJ424" s="99" t="str">
        <f t="shared" si="68"/>
        <v>LLL</v>
      </c>
      <c r="AK424" s="99" t="str">
        <f>VLOOKUP(AJ424,rfm[],2,0)</f>
        <v>💤 Lost / Low Value</v>
      </c>
      <c r="AN424" s="99" t="b">
        <f t="shared" si="69"/>
        <v>1</v>
      </c>
    </row>
    <row r="425" spans="2:40" x14ac:dyDescent="0.3">
      <c r="B425" s="99" t="s">
        <v>882</v>
      </c>
      <c r="C425" s="100">
        <v>45740</v>
      </c>
      <c r="D425" s="99" t="s">
        <v>10</v>
      </c>
      <c r="E425" s="99" t="s">
        <v>11</v>
      </c>
      <c r="F425" s="99" t="s">
        <v>12</v>
      </c>
      <c r="G425" s="99">
        <v>48</v>
      </c>
      <c r="H425" s="112">
        <v>120000</v>
      </c>
      <c r="I425" s="112">
        <v>5760000</v>
      </c>
      <c r="J425" s="99" t="s">
        <v>2464</v>
      </c>
      <c r="K425" s="99" t="s">
        <v>8</v>
      </c>
      <c r="N425" s="99" t="s">
        <v>2456</v>
      </c>
      <c r="O425" s="99" t="s">
        <v>69</v>
      </c>
      <c r="P425" s="100">
        <f t="shared" si="61"/>
        <v>45881</v>
      </c>
      <c r="Q425" s="101">
        <f t="shared" si="60"/>
        <v>142</v>
      </c>
      <c r="R425" s="99">
        <f t="shared" si="62"/>
        <v>2</v>
      </c>
      <c r="S425" s="101">
        <f t="shared" si="63"/>
        <v>21000000</v>
      </c>
      <c r="T425" s="99" t="str">
        <f t="shared" si="64"/>
        <v>Low</v>
      </c>
      <c r="U425" s="99" t="str">
        <f t="shared" si="65"/>
        <v>Low</v>
      </c>
      <c r="V425" s="99" t="str">
        <f t="shared" si="66"/>
        <v>High</v>
      </c>
      <c r="W425" s="99" t="str">
        <f t="shared" si="67"/>
        <v>LLH</v>
      </c>
      <c r="X425" s="99" t="str">
        <f>VLOOKUP(W425,rfm[],2,FALSE)</f>
        <v>💸 Lost High Spenders</v>
      </c>
      <c r="AA425" s="99" t="s">
        <v>2456</v>
      </c>
      <c r="AB425" s="99" t="s">
        <v>69</v>
      </c>
      <c r="AC425" s="100">
        <v>45881</v>
      </c>
      <c r="AD425" s="101">
        <v>142</v>
      </c>
      <c r="AE425" s="101">
        <v>2</v>
      </c>
      <c r="AF425" s="101">
        <v>21000000</v>
      </c>
      <c r="AG425" s="99" t="str">
        <f>VLOOKUP(AA425,recency!$K$6:$P$818,6,0)</f>
        <v>Low</v>
      </c>
      <c r="AH425" s="132" t="str">
        <f>VLOOKUP(AA425,frequency!$F$6:$H$818,3,FALSE)</f>
        <v>Low</v>
      </c>
      <c r="AI425" s="129" t="str">
        <f>VLOOKUP(AA425,monetary!$B$5:$F$817,5,0)</f>
        <v>Low</v>
      </c>
      <c r="AJ425" s="99" t="str">
        <f t="shared" si="68"/>
        <v>LLL</v>
      </c>
      <c r="AK425" s="99" t="str">
        <f>VLOOKUP(AJ425,rfm[],2,0)</f>
        <v>💤 Lost / Low Value</v>
      </c>
      <c r="AN425" s="99" t="b">
        <f t="shared" si="69"/>
        <v>0</v>
      </c>
    </row>
    <row r="426" spans="2:40" x14ac:dyDescent="0.3">
      <c r="B426" s="99" t="s">
        <v>883</v>
      </c>
      <c r="C426" s="100">
        <v>45740</v>
      </c>
      <c r="D426" s="99" t="s">
        <v>22</v>
      </c>
      <c r="E426" s="99" t="s">
        <v>23</v>
      </c>
      <c r="F426" s="99" t="s">
        <v>12</v>
      </c>
      <c r="G426" s="99">
        <v>23</v>
      </c>
      <c r="H426" s="112">
        <v>25000</v>
      </c>
      <c r="I426" s="112">
        <v>575000</v>
      </c>
      <c r="J426" s="99" t="s">
        <v>2586</v>
      </c>
      <c r="K426" s="99" t="s">
        <v>8</v>
      </c>
      <c r="N426" s="99" t="s">
        <v>2457</v>
      </c>
      <c r="O426" s="99" t="s">
        <v>60</v>
      </c>
      <c r="P426" s="100">
        <f t="shared" si="61"/>
        <v>45960</v>
      </c>
      <c r="Q426" s="101">
        <f t="shared" si="60"/>
        <v>63</v>
      </c>
      <c r="R426" s="99">
        <f t="shared" si="62"/>
        <v>1</v>
      </c>
      <c r="S426" s="101">
        <f t="shared" si="63"/>
        <v>11900000</v>
      </c>
      <c r="T426" s="99" t="str">
        <f t="shared" si="64"/>
        <v>High</v>
      </c>
      <c r="U426" s="99" t="str">
        <f t="shared" si="65"/>
        <v>Low</v>
      </c>
      <c r="V426" s="99" t="str">
        <f t="shared" si="66"/>
        <v>Low</v>
      </c>
      <c r="W426" s="99" t="str">
        <f t="shared" si="67"/>
        <v>HLL</v>
      </c>
      <c r="X426" s="99" t="str">
        <f>VLOOKUP(W426,rfm[],2,FALSE)</f>
        <v>🌱 Potential Loyalists</v>
      </c>
      <c r="AA426" s="99" t="s">
        <v>2457</v>
      </c>
      <c r="AB426" s="99" t="s">
        <v>60</v>
      </c>
      <c r="AC426" s="100">
        <v>45960</v>
      </c>
      <c r="AD426" s="101">
        <v>63</v>
      </c>
      <c r="AE426" s="101">
        <v>1</v>
      </c>
      <c r="AF426" s="101">
        <v>11900000</v>
      </c>
      <c r="AG426" s="99" t="str">
        <f>VLOOKUP(AA426,recency!$K$6:$P$818,6,0)</f>
        <v>Low</v>
      </c>
      <c r="AH426" s="132" t="str">
        <f>VLOOKUP(AA426,frequency!$F$6:$H$818,3,FALSE)</f>
        <v>Low</v>
      </c>
      <c r="AI426" s="129" t="str">
        <f>VLOOKUP(AA426,monetary!$B$5:$F$817,5,0)</f>
        <v>Low</v>
      </c>
      <c r="AJ426" s="99" t="str">
        <f t="shared" si="68"/>
        <v>LLL</v>
      </c>
      <c r="AK426" s="99" t="str">
        <f>VLOOKUP(AJ426,rfm[],2,0)</f>
        <v>💤 Lost / Low Value</v>
      </c>
      <c r="AN426" s="99" t="b">
        <f t="shared" si="69"/>
        <v>0</v>
      </c>
    </row>
    <row r="427" spans="2:40" x14ac:dyDescent="0.3">
      <c r="B427" s="99" t="s">
        <v>884</v>
      </c>
      <c r="C427" s="100">
        <v>45740</v>
      </c>
      <c r="D427" s="99" t="s">
        <v>14</v>
      </c>
      <c r="E427" s="99" t="s">
        <v>15</v>
      </c>
      <c r="F427" s="99" t="s">
        <v>16</v>
      </c>
      <c r="G427" s="99">
        <v>31</v>
      </c>
      <c r="H427" s="112">
        <v>350000</v>
      </c>
      <c r="I427" s="112">
        <v>10850000</v>
      </c>
      <c r="J427" s="99" t="s">
        <v>2780</v>
      </c>
      <c r="K427" s="99" t="s">
        <v>127</v>
      </c>
      <c r="N427" s="99" t="s">
        <v>2458</v>
      </c>
      <c r="O427" s="99" t="s">
        <v>8</v>
      </c>
      <c r="P427" s="100">
        <f t="shared" si="61"/>
        <v>45726</v>
      </c>
      <c r="Q427" s="101">
        <f t="shared" si="60"/>
        <v>297</v>
      </c>
      <c r="R427" s="99">
        <f t="shared" si="62"/>
        <v>1</v>
      </c>
      <c r="S427" s="101">
        <f t="shared" si="63"/>
        <v>4250000</v>
      </c>
      <c r="T427" s="99" t="str">
        <f t="shared" si="64"/>
        <v>Low</v>
      </c>
      <c r="U427" s="99" t="str">
        <f t="shared" si="65"/>
        <v>Low</v>
      </c>
      <c r="V427" s="99" t="str">
        <f t="shared" si="66"/>
        <v>Low</v>
      </c>
      <c r="W427" s="99" t="str">
        <f t="shared" si="67"/>
        <v>LLL</v>
      </c>
      <c r="X427" s="99" t="str">
        <f>VLOOKUP(W427,rfm[],2,FALSE)</f>
        <v>💤 Lost / Low Value</v>
      </c>
      <c r="AA427" s="99" t="s">
        <v>2458</v>
      </c>
      <c r="AB427" s="99" t="s">
        <v>8</v>
      </c>
      <c r="AC427" s="100">
        <v>45726</v>
      </c>
      <c r="AD427" s="101">
        <v>297</v>
      </c>
      <c r="AE427" s="101">
        <v>1</v>
      </c>
      <c r="AF427" s="101">
        <v>4250000</v>
      </c>
      <c r="AG427" s="99" t="str">
        <f>VLOOKUP(AA427,recency!$K$6:$P$818,6,0)</f>
        <v>Low</v>
      </c>
      <c r="AH427" s="132" t="str">
        <f>VLOOKUP(AA427,frequency!$F$6:$H$818,3,FALSE)</f>
        <v>Low</v>
      </c>
      <c r="AI427" s="129" t="str">
        <f>VLOOKUP(AA427,monetary!$B$5:$F$817,5,0)</f>
        <v>Low</v>
      </c>
      <c r="AJ427" s="99" t="str">
        <f t="shared" si="68"/>
        <v>LLL</v>
      </c>
      <c r="AK427" s="99" t="str">
        <f>VLOOKUP(AJ427,rfm[],2,0)</f>
        <v>💤 Lost / Low Value</v>
      </c>
      <c r="AN427" s="99" t="b">
        <f t="shared" si="69"/>
        <v>1</v>
      </c>
    </row>
    <row r="428" spans="2:40" x14ac:dyDescent="0.3">
      <c r="B428" s="99" t="s">
        <v>885</v>
      </c>
      <c r="C428" s="100">
        <v>45741</v>
      </c>
      <c r="D428" s="99" t="s">
        <v>14</v>
      </c>
      <c r="E428" s="99" t="s">
        <v>15</v>
      </c>
      <c r="F428" s="99" t="s">
        <v>16</v>
      </c>
      <c r="G428" s="99">
        <v>7</v>
      </c>
      <c r="H428" s="112">
        <v>350000</v>
      </c>
      <c r="I428" s="112">
        <v>2450000</v>
      </c>
      <c r="J428" s="99" t="s">
        <v>2387</v>
      </c>
      <c r="K428" s="99" t="s">
        <v>8</v>
      </c>
      <c r="N428" s="99" t="s">
        <v>2459</v>
      </c>
      <c r="O428" s="99" t="s">
        <v>69</v>
      </c>
      <c r="P428" s="100">
        <f t="shared" si="61"/>
        <v>45924</v>
      </c>
      <c r="Q428" s="101">
        <f t="shared" si="60"/>
        <v>99</v>
      </c>
      <c r="R428" s="99">
        <f t="shared" si="62"/>
        <v>3</v>
      </c>
      <c r="S428" s="101">
        <f t="shared" si="63"/>
        <v>27900000</v>
      </c>
      <c r="T428" s="99" t="str">
        <f t="shared" si="64"/>
        <v>Low</v>
      </c>
      <c r="U428" s="99" t="str">
        <f t="shared" si="65"/>
        <v>High</v>
      </c>
      <c r="V428" s="99" t="str">
        <f t="shared" si="66"/>
        <v>High</v>
      </c>
      <c r="W428" s="99" t="str">
        <f t="shared" si="67"/>
        <v>LHH</v>
      </c>
      <c r="X428" s="99" t="str">
        <f>VLOOKUP(W428,rfm[],2,FALSE)</f>
        <v>⚠️ At Risk High Value</v>
      </c>
      <c r="AA428" s="99" t="s">
        <v>2459</v>
      </c>
      <c r="AB428" s="99" t="s">
        <v>69</v>
      </c>
      <c r="AC428" s="100">
        <v>45924</v>
      </c>
      <c r="AD428" s="101">
        <v>99</v>
      </c>
      <c r="AE428" s="101">
        <v>3</v>
      </c>
      <c r="AF428" s="101">
        <v>27900000</v>
      </c>
      <c r="AG428" s="99" t="str">
        <f>VLOOKUP(AA428,recency!$K$6:$P$818,6,0)</f>
        <v>Low</v>
      </c>
      <c r="AH428" s="132" t="str">
        <f>VLOOKUP(AA428,frequency!$F$6:$H$818,3,FALSE)</f>
        <v>High</v>
      </c>
      <c r="AI428" s="129" t="str">
        <f>VLOOKUP(AA428,monetary!$B$5:$F$817,5,0)</f>
        <v>Low</v>
      </c>
      <c r="AJ428" s="99" t="str">
        <f t="shared" si="68"/>
        <v>LHL</v>
      </c>
      <c r="AK428" s="99" t="str">
        <f>VLOOKUP(AJ428,rfm[],2,0)</f>
        <v>🔁 Former Loyal Low Spend</v>
      </c>
      <c r="AN428" s="99" t="b">
        <f t="shared" si="69"/>
        <v>0</v>
      </c>
    </row>
    <row r="429" spans="2:40" x14ac:dyDescent="0.3">
      <c r="B429" s="99" t="s">
        <v>898</v>
      </c>
      <c r="C429" s="100">
        <v>45741</v>
      </c>
      <c r="D429" s="99" t="s">
        <v>40</v>
      </c>
      <c r="E429" s="99" t="s">
        <v>41</v>
      </c>
      <c r="F429" s="99" t="s">
        <v>16</v>
      </c>
      <c r="G429" s="99">
        <v>22</v>
      </c>
      <c r="H429" s="112">
        <v>950000</v>
      </c>
      <c r="I429" s="112">
        <v>20900000</v>
      </c>
      <c r="J429" s="99" t="s">
        <v>2300</v>
      </c>
      <c r="K429" s="99" t="s">
        <v>60</v>
      </c>
      <c r="N429" s="99" t="s">
        <v>2460</v>
      </c>
      <c r="O429" s="99" t="s">
        <v>8</v>
      </c>
      <c r="P429" s="100">
        <f t="shared" si="61"/>
        <v>45894</v>
      </c>
      <c r="Q429" s="101">
        <f t="shared" si="60"/>
        <v>129</v>
      </c>
      <c r="R429" s="99">
        <f t="shared" si="62"/>
        <v>1</v>
      </c>
      <c r="S429" s="101">
        <f t="shared" si="63"/>
        <v>4950000</v>
      </c>
      <c r="T429" s="99" t="str">
        <f t="shared" si="64"/>
        <v>Low</v>
      </c>
      <c r="U429" s="99" t="str">
        <f t="shared" si="65"/>
        <v>Low</v>
      </c>
      <c r="V429" s="99" t="str">
        <f t="shared" si="66"/>
        <v>Low</v>
      </c>
      <c r="W429" s="99" t="str">
        <f t="shared" si="67"/>
        <v>LLL</v>
      </c>
      <c r="X429" s="99" t="str">
        <f>VLOOKUP(W429,rfm[],2,FALSE)</f>
        <v>💤 Lost / Low Value</v>
      </c>
      <c r="AA429" s="99" t="s">
        <v>2460</v>
      </c>
      <c r="AB429" s="99" t="s">
        <v>8</v>
      </c>
      <c r="AC429" s="100">
        <v>45894</v>
      </c>
      <c r="AD429" s="101">
        <v>129</v>
      </c>
      <c r="AE429" s="101">
        <v>1</v>
      </c>
      <c r="AF429" s="101">
        <v>4950000</v>
      </c>
      <c r="AG429" s="99" t="str">
        <f>VLOOKUP(AA429,recency!$K$6:$P$818,6,0)</f>
        <v>Low</v>
      </c>
      <c r="AH429" s="132" t="str">
        <f>VLOOKUP(AA429,frequency!$F$6:$H$818,3,FALSE)</f>
        <v>Low</v>
      </c>
      <c r="AI429" s="129" t="str">
        <f>VLOOKUP(AA429,monetary!$B$5:$F$817,5,0)</f>
        <v>Low</v>
      </c>
      <c r="AJ429" s="99" t="str">
        <f t="shared" si="68"/>
        <v>LLL</v>
      </c>
      <c r="AK429" s="99" t="str">
        <f>VLOOKUP(AJ429,rfm[],2,0)</f>
        <v>💤 Lost / Low Value</v>
      </c>
      <c r="AN429" s="99" t="b">
        <f t="shared" si="69"/>
        <v>1</v>
      </c>
    </row>
    <row r="430" spans="2:40" x14ac:dyDescent="0.3">
      <c r="B430" s="99" t="s">
        <v>899</v>
      </c>
      <c r="C430" s="100">
        <v>45741</v>
      </c>
      <c r="D430" s="99" t="s">
        <v>10</v>
      </c>
      <c r="E430" s="99" t="s">
        <v>11</v>
      </c>
      <c r="F430" s="99" t="s">
        <v>12</v>
      </c>
      <c r="G430" s="99">
        <v>9</v>
      </c>
      <c r="H430" s="112">
        <v>120000</v>
      </c>
      <c r="I430" s="112">
        <v>1080000</v>
      </c>
      <c r="J430" s="99" t="s">
        <v>152</v>
      </c>
      <c r="K430" s="99" t="s">
        <v>127</v>
      </c>
      <c r="N430" s="99" t="s">
        <v>2461</v>
      </c>
      <c r="O430" s="99" t="s">
        <v>69</v>
      </c>
      <c r="P430" s="100">
        <f t="shared" si="61"/>
        <v>45727</v>
      </c>
      <c r="Q430" s="101">
        <f t="shared" si="60"/>
        <v>296</v>
      </c>
      <c r="R430" s="99">
        <f t="shared" si="62"/>
        <v>1</v>
      </c>
      <c r="S430" s="101">
        <f t="shared" si="63"/>
        <v>13500000</v>
      </c>
      <c r="T430" s="99" t="str">
        <f t="shared" si="64"/>
        <v>Low</v>
      </c>
      <c r="U430" s="99" t="str">
        <f t="shared" si="65"/>
        <v>Low</v>
      </c>
      <c r="V430" s="99" t="str">
        <f t="shared" si="66"/>
        <v>Low</v>
      </c>
      <c r="W430" s="99" t="str">
        <f t="shared" si="67"/>
        <v>LLL</v>
      </c>
      <c r="X430" s="99" t="str">
        <f>VLOOKUP(W430,rfm[],2,FALSE)</f>
        <v>💤 Lost / Low Value</v>
      </c>
      <c r="AA430" s="99" t="s">
        <v>2461</v>
      </c>
      <c r="AB430" s="99" t="s">
        <v>69</v>
      </c>
      <c r="AC430" s="100">
        <v>45727</v>
      </c>
      <c r="AD430" s="101">
        <v>296</v>
      </c>
      <c r="AE430" s="101">
        <v>1</v>
      </c>
      <c r="AF430" s="101">
        <v>13500000</v>
      </c>
      <c r="AG430" s="99" t="str">
        <f>VLOOKUP(AA430,recency!$K$6:$P$818,6,0)</f>
        <v>Low</v>
      </c>
      <c r="AH430" s="132" t="str">
        <f>VLOOKUP(AA430,frequency!$F$6:$H$818,3,FALSE)</f>
        <v>Low</v>
      </c>
      <c r="AI430" s="129" t="str">
        <f>VLOOKUP(AA430,monetary!$B$5:$F$817,5,0)</f>
        <v>Low</v>
      </c>
      <c r="AJ430" s="99" t="str">
        <f t="shared" si="68"/>
        <v>LLL</v>
      </c>
      <c r="AK430" s="99" t="str">
        <f>VLOOKUP(AJ430,rfm[],2,0)</f>
        <v>💤 Lost / Low Value</v>
      </c>
      <c r="AN430" s="99" t="b">
        <f t="shared" si="69"/>
        <v>1</v>
      </c>
    </row>
    <row r="431" spans="2:40" x14ac:dyDescent="0.3">
      <c r="B431" s="99" t="s">
        <v>900</v>
      </c>
      <c r="C431" s="100">
        <v>45741</v>
      </c>
      <c r="D431" s="99" t="s">
        <v>14</v>
      </c>
      <c r="E431" s="99" t="s">
        <v>15</v>
      </c>
      <c r="F431" s="99" t="s">
        <v>16</v>
      </c>
      <c r="G431" s="99">
        <v>35</v>
      </c>
      <c r="H431" s="112">
        <v>350000</v>
      </c>
      <c r="I431" s="112">
        <v>12250000</v>
      </c>
      <c r="J431" s="99" t="s">
        <v>2200</v>
      </c>
      <c r="K431" s="99" t="s">
        <v>8</v>
      </c>
      <c r="N431" s="99" t="s">
        <v>2462</v>
      </c>
      <c r="O431" s="99" t="s">
        <v>60</v>
      </c>
      <c r="P431" s="100">
        <f t="shared" si="61"/>
        <v>46015</v>
      </c>
      <c r="Q431" s="101">
        <f t="shared" si="60"/>
        <v>8</v>
      </c>
      <c r="R431" s="99">
        <f t="shared" si="62"/>
        <v>2</v>
      </c>
      <c r="S431" s="101">
        <f t="shared" si="63"/>
        <v>7065000</v>
      </c>
      <c r="T431" s="99" t="str">
        <f t="shared" si="64"/>
        <v>High</v>
      </c>
      <c r="U431" s="99" t="str">
        <f t="shared" si="65"/>
        <v>Low</v>
      </c>
      <c r="V431" s="99" t="str">
        <f t="shared" si="66"/>
        <v>Low</v>
      </c>
      <c r="W431" s="99" t="str">
        <f t="shared" si="67"/>
        <v>HLL</v>
      </c>
      <c r="X431" s="99" t="str">
        <f>VLOOKUP(W431,rfm[],2,FALSE)</f>
        <v>🌱 Potential Loyalists</v>
      </c>
      <c r="AA431" s="99" t="s">
        <v>2462</v>
      </c>
      <c r="AB431" s="99" t="s">
        <v>60</v>
      </c>
      <c r="AC431" s="100">
        <v>46015</v>
      </c>
      <c r="AD431" s="101">
        <v>8</v>
      </c>
      <c r="AE431" s="101">
        <v>2</v>
      </c>
      <c r="AF431" s="101">
        <v>7065000</v>
      </c>
      <c r="AG431" s="99" t="str">
        <f>VLOOKUP(AA431,recency!$K$6:$P$818,6,0)</f>
        <v>High</v>
      </c>
      <c r="AH431" s="132" t="str">
        <f>VLOOKUP(AA431,frequency!$F$6:$H$818,3,FALSE)</f>
        <v>Low</v>
      </c>
      <c r="AI431" s="129" t="str">
        <f>VLOOKUP(AA431,monetary!$B$5:$F$817,5,0)</f>
        <v>Low</v>
      </c>
      <c r="AJ431" s="99" t="str">
        <f t="shared" si="68"/>
        <v>HLL</v>
      </c>
      <c r="AK431" s="99" t="str">
        <f>VLOOKUP(AJ431,rfm[],2,0)</f>
        <v>🌱 Potential Loyalists</v>
      </c>
      <c r="AN431" s="99" t="b">
        <f t="shared" si="69"/>
        <v>1</v>
      </c>
    </row>
    <row r="432" spans="2:40" x14ac:dyDescent="0.3">
      <c r="B432" s="99" t="s">
        <v>901</v>
      </c>
      <c r="C432" s="100">
        <v>45741</v>
      </c>
      <c r="D432" s="99" t="s">
        <v>10</v>
      </c>
      <c r="E432" s="99" t="s">
        <v>11</v>
      </c>
      <c r="F432" s="99" t="s">
        <v>12</v>
      </c>
      <c r="G432" s="99">
        <v>28</v>
      </c>
      <c r="H432" s="112">
        <v>120000</v>
      </c>
      <c r="I432" s="112">
        <v>3360000</v>
      </c>
      <c r="J432" s="99" t="s">
        <v>2760</v>
      </c>
      <c r="K432" s="99" t="s">
        <v>60</v>
      </c>
      <c r="N432" s="99" t="s">
        <v>2463</v>
      </c>
      <c r="O432" s="99" t="s">
        <v>8</v>
      </c>
      <c r="P432" s="100">
        <f t="shared" si="61"/>
        <v>45919</v>
      </c>
      <c r="Q432" s="101">
        <f t="shared" si="60"/>
        <v>104</v>
      </c>
      <c r="R432" s="99">
        <f t="shared" si="62"/>
        <v>3</v>
      </c>
      <c r="S432" s="101">
        <f t="shared" si="63"/>
        <v>52740000</v>
      </c>
      <c r="T432" s="99" t="str">
        <f t="shared" si="64"/>
        <v>Low</v>
      </c>
      <c r="U432" s="99" t="str">
        <f t="shared" si="65"/>
        <v>High</v>
      </c>
      <c r="V432" s="99" t="str">
        <f t="shared" si="66"/>
        <v>High</v>
      </c>
      <c r="W432" s="99" t="str">
        <f t="shared" si="67"/>
        <v>LHH</v>
      </c>
      <c r="X432" s="99" t="str">
        <f>VLOOKUP(W432,rfm[],2,FALSE)</f>
        <v>⚠️ At Risk High Value</v>
      </c>
      <c r="AA432" s="99" t="s">
        <v>2463</v>
      </c>
      <c r="AB432" s="99" t="s">
        <v>8</v>
      </c>
      <c r="AC432" s="100">
        <v>45919</v>
      </c>
      <c r="AD432" s="101">
        <v>104</v>
      </c>
      <c r="AE432" s="101">
        <v>3</v>
      </c>
      <c r="AF432" s="101">
        <v>52740000</v>
      </c>
      <c r="AG432" s="99" t="str">
        <f>VLOOKUP(AA432,recency!$K$6:$P$818,6,0)</f>
        <v>Low</v>
      </c>
      <c r="AH432" s="132" t="str">
        <f>VLOOKUP(AA432,frequency!$F$6:$H$818,3,FALSE)</f>
        <v>High</v>
      </c>
      <c r="AI432" s="129" t="str">
        <f>VLOOKUP(AA432,monetary!$B$5:$F$817,5,0)</f>
        <v>High</v>
      </c>
      <c r="AJ432" s="99" t="str">
        <f t="shared" si="68"/>
        <v>LHH</v>
      </c>
      <c r="AK432" s="99" t="str">
        <f>VLOOKUP(AJ432,rfm[],2,0)</f>
        <v>⚠️ At Risk High Value</v>
      </c>
      <c r="AN432" s="99" t="b">
        <f t="shared" si="69"/>
        <v>1</v>
      </c>
    </row>
    <row r="433" spans="2:40" x14ac:dyDescent="0.3">
      <c r="B433" s="99" t="s">
        <v>902</v>
      </c>
      <c r="C433" s="100">
        <v>45741</v>
      </c>
      <c r="D433" s="99" t="s">
        <v>22</v>
      </c>
      <c r="E433" s="99" t="s">
        <v>23</v>
      </c>
      <c r="F433" s="99" t="s">
        <v>12</v>
      </c>
      <c r="G433" s="99">
        <v>160</v>
      </c>
      <c r="H433" s="112">
        <v>25000</v>
      </c>
      <c r="I433" s="112">
        <v>4000000</v>
      </c>
      <c r="J433" s="99" t="s">
        <v>2160</v>
      </c>
      <c r="K433" s="99" t="s">
        <v>60</v>
      </c>
      <c r="N433" s="99" t="s">
        <v>2464</v>
      </c>
      <c r="O433" s="99" t="s">
        <v>8</v>
      </c>
      <c r="P433" s="100">
        <f t="shared" si="61"/>
        <v>46000</v>
      </c>
      <c r="Q433" s="101">
        <f t="shared" si="60"/>
        <v>23</v>
      </c>
      <c r="R433" s="99">
        <f t="shared" si="62"/>
        <v>4</v>
      </c>
      <c r="S433" s="101">
        <f t="shared" si="63"/>
        <v>60160000</v>
      </c>
      <c r="T433" s="99" t="str">
        <f t="shared" si="64"/>
        <v>High</v>
      </c>
      <c r="U433" s="99" t="str">
        <f t="shared" si="65"/>
        <v>High</v>
      </c>
      <c r="V433" s="99" t="str">
        <f t="shared" si="66"/>
        <v>High</v>
      </c>
      <c r="W433" s="99" t="str">
        <f t="shared" si="67"/>
        <v>HHH</v>
      </c>
      <c r="X433" s="99" t="str">
        <f>VLOOKUP(W433,rfm[],2,FALSE)</f>
        <v>🥇 Champions</v>
      </c>
      <c r="AA433" s="99" t="s">
        <v>2464</v>
      </c>
      <c r="AB433" s="99" t="s">
        <v>8</v>
      </c>
      <c r="AC433" s="100">
        <v>46000</v>
      </c>
      <c r="AD433" s="101">
        <v>23</v>
      </c>
      <c r="AE433" s="101">
        <v>4</v>
      </c>
      <c r="AF433" s="101">
        <v>60160000</v>
      </c>
      <c r="AG433" s="99" t="str">
        <f>VLOOKUP(AA433,recency!$K$6:$P$818,6,0)</f>
        <v>High</v>
      </c>
      <c r="AH433" s="132" t="str">
        <f>VLOOKUP(AA433,frequency!$F$6:$H$818,3,FALSE)</f>
        <v>High</v>
      </c>
      <c r="AI433" s="129" t="str">
        <f>VLOOKUP(AA433,monetary!$B$5:$F$817,5,0)</f>
        <v>High</v>
      </c>
      <c r="AJ433" s="99" t="str">
        <f t="shared" si="68"/>
        <v>HHH</v>
      </c>
      <c r="AK433" s="99" t="str">
        <f>VLOOKUP(AJ433,rfm[],2,0)</f>
        <v>🥇 Champions</v>
      </c>
      <c r="AN433" s="99" t="b">
        <f t="shared" si="69"/>
        <v>1</v>
      </c>
    </row>
    <row r="434" spans="2:40" x14ac:dyDescent="0.3">
      <c r="B434" s="99" t="s">
        <v>903</v>
      </c>
      <c r="C434" s="100">
        <v>45741</v>
      </c>
      <c r="D434" s="99" t="s">
        <v>38</v>
      </c>
      <c r="E434" s="99" t="s">
        <v>39</v>
      </c>
      <c r="F434" s="99" t="s">
        <v>16</v>
      </c>
      <c r="G434" s="99">
        <v>19</v>
      </c>
      <c r="H434" s="112">
        <v>200000</v>
      </c>
      <c r="I434" s="112">
        <v>3800000</v>
      </c>
      <c r="J434" s="99" t="s">
        <v>2133</v>
      </c>
      <c r="K434" s="99" t="s">
        <v>60</v>
      </c>
      <c r="N434" s="99" t="s">
        <v>2465</v>
      </c>
      <c r="O434" s="99" t="s">
        <v>127</v>
      </c>
      <c r="P434" s="100">
        <f t="shared" si="61"/>
        <v>45889</v>
      </c>
      <c r="Q434" s="101">
        <f t="shared" si="60"/>
        <v>134</v>
      </c>
      <c r="R434" s="99">
        <f t="shared" si="62"/>
        <v>5</v>
      </c>
      <c r="S434" s="101">
        <f t="shared" si="63"/>
        <v>40525000</v>
      </c>
      <c r="T434" s="99" t="str">
        <f t="shared" si="64"/>
        <v>Low</v>
      </c>
      <c r="U434" s="99" t="str">
        <f t="shared" si="65"/>
        <v>High</v>
      </c>
      <c r="V434" s="99" t="str">
        <f t="shared" si="66"/>
        <v>High</v>
      </c>
      <c r="W434" s="99" t="str">
        <f t="shared" si="67"/>
        <v>LHH</v>
      </c>
      <c r="X434" s="99" t="str">
        <f>VLOOKUP(W434,rfm[],2,FALSE)</f>
        <v>⚠️ At Risk High Value</v>
      </c>
      <c r="AA434" s="99" t="s">
        <v>2465</v>
      </c>
      <c r="AB434" s="99" t="s">
        <v>127</v>
      </c>
      <c r="AC434" s="100">
        <v>45889</v>
      </c>
      <c r="AD434" s="101">
        <v>134</v>
      </c>
      <c r="AE434" s="101">
        <v>5</v>
      </c>
      <c r="AF434" s="101">
        <v>40525000</v>
      </c>
      <c r="AG434" s="99" t="str">
        <f>VLOOKUP(AA434,recency!$K$6:$P$818,6,0)</f>
        <v>Low</v>
      </c>
      <c r="AH434" s="132" t="str">
        <f>VLOOKUP(AA434,frequency!$F$6:$H$818,3,FALSE)</f>
        <v>High</v>
      </c>
      <c r="AI434" s="129" t="str">
        <f>VLOOKUP(AA434,monetary!$B$5:$F$817,5,0)</f>
        <v>Low</v>
      </c>
      <c r="AJ434" s="99" t="str">
        <f t="shared" si="68"/>
        <v>LHL</v>
      </c>
      <c r="AK434" s="99" t="str">
        <f>VLOOKUP(AJ434,rfm[],2,0)</f>
        <v>🔁 Former Loyal Low Spend</v>
      </c>
      <c r="AN434" s="99" t="b">
        <f t="shared" si="69"/>
        <v>0</v>
      </c>
    </row>
    <row r="435" spans="2:40" x14ac:dyDescent="0.3">
      <c r="B435" s="99" t="s">
        <v>904</v>
      </c>
      <c r="C435" s="100">
        <v>45741</v>
      </c>
      <c r="D435" s="99" t="s">
        <v>22</v>
      </c>
      <c r="E435" s="99" t="s">
        <v>23</v>
      </c>
      <c r="F435" s="99" t="s">
        <v>12</v>
      </c>
      <c r="G435" s="99">
        <v>30</v>
      </c>
      <c r="H435" s="112">
        <v>25000</v>
      </c>
      <c r="I435" s="112">
        <v>750000</v>
      </c>
      <c r="J435" s="99" t="s">
        <v>2451</v>
      </c>
      <c r="K435" s="99" t="s">
        <v>60</v>
      </c>
      <c r="N435" s="99" t="s">
        <v>2466</v>
      </c>
      <c r="O435" s="99" t="s">
        <v>127</v>
      </c>
      <c r="P435" s="100">
        <f t="shared" si="61"/>
        <v>46007</v>
      </c>
      <c r="Q435" s="101">
        <f t="shared" si="60"/>
        <v>16</v>
      </c>
      <c r="R435" s="99">
        <f t="shared" si="62"/>
        <v>2</v>
      </c>
      <c r="S435" s="101">
        <f t="shared" si="63"/>
        <v>5820000</v>
      </c>
      <c r="T435" s="99" t="str">
        <f t="shared" si="64"/>
        <v>High</v>
      </c>
      <c r="U435" s="99" t="str">
        <f t="shared" si="65"/>
        <v>Low</v>
      </c>
      <c r="V435" s="99" t="str">
        <f t="shared" si="66"/>
        <v>Low</v>
      </c>
      <c r="W435" s="99" t="str">
        <f t="shared" si="67"/>
        <v>HLL</v>
      </c>
      <c r="X435" s="99" t="str">
        <f>VLOOKUP(W435,rfm[],2,FALSE)</f>
        <v>🌱 Potential Loyalists</v>
      </c>
      <c r="AA435" s="99" t="s">
        <v>2466</v>
      </c>
      <c r="AB435" s="99" t="s">
        <v>127</v>
      </c>
      <c r="AC435" s="100">
        <v>46007</v>
      </c>
      <c r="AD435" s="101">
        <v>16</v>
      </c>
      <c r="AE435" s="101">
        <v>2</v>
      </c>
      <c r="AF435" s="101">
        <v>5820000</v>
      </c>
      <c r="AG435" s="99" t="str">
        <f>VLOOKUP(AA435,recency!$K$6:$P$818,6,0)</f>
        <v>High</v>
      </c>
      <c r="AH435" s="132" t="str">
        <f>VLOOKUP(AA435,frequency!$F$6:$H$818,3,FALSE)</f>
        <v>Low</v>
      </c>
      <c r="AI435" s="129" t="str">
        <f>VLOOKUP(AA435,monetary!$B$5:$F$817,5,0)</f>
        <v>Low</v>
      </c>
      <c r="AJ435" s="99" t="str">
        <f t="shared" si="68"/>
        <v>HLL</v>
      </c>
      <c r="AK435" s="99" t="str">
        <f>VLOOKUP(AJ435,rfm[],2,0)</f>
        <v>🌱 Potential Loyalists</v>
      </c>
      <c r="AN435" s="99" t="b">
        <f t="shared" si="69"/>
        <v>1</v>
      </c>
    </row>
    <row r="436" spans="2:40" x14ac:dyDescent="0.3">
      <c r="B436" s="99" t="s">
        <v>929</v>
      </c>
      <c r="C436" s="100">
        <v>45741</v>
      </c>
      <c r="D436" s="99" t="s">
        <v>14</v>
      </c>
      <c r="E436" s="99" t="s">
        <v>15</v>
      </c>
      <c r="F436" s="99" t="s">
        <v>16</v>
      </c>
      <c r="G436" s="99">
        <v>9</v>
      </c>
      <c r="H436" s="112">
        <v>350000</v>
      </c>
      <c r="I436" s="112">
        <v>3150000</v>
      </c>
      <c r="J436" s="99" t="s">
        <v>2656</v>
      </c>
      <c r="K436" s="99" t="s">
        <v>127</v>
      </c>
      <c r="N436" s="99" t="s">
        <v>2467</v>
      </c>
      <c r="O436" s="99" t="s">
        <v>47</v>
      </c>
      <c r="P436" s="100">
        <f t="shared" si="61"/>
        <v>45667</v>
      </c>
      <c r="Q436" s="101">
        <f t="shared" si="60"/>
        <v>356</v>
      </c>
      <c r="R436" s="99">
        <f t="shared" si="62"/>
        <v>1</v>
      </c>
      <c r="S436" s="101">
        <f t="shared" si="63"/>
        <v>14500000</v>
      </c>
      <c r="T436" s="99" t="str">
        <f t="shared" si="64"/>
        <v>Low</v>
      </c>
      <c r="U436" s="99" t="str">
        <f t="shared" si="65"/>
        <v>Low</v>
      </c>
      <c r="V436" s="99" t="str">
        <f t="shared" si="66"/>
        <v>Low</v>
      </c>
      <c r="W436" s="99" t="str">
        <f t="shared" si="67"/>
        <v>LLL</v>
      </c>
      <c r="X436" s="99" t="str">
        <f>VLOOKUP(W436,rfm[],2,FALSE)</f>
        <v>💤 Lost / Low Value</v>
      </c>
      <c r="AA436" s="99" t="s">
        <v>2467</v>
      </c>
      <c r="AB436" s="99" t="s">
        <v>47</v>
      </c>
      <c r="AC436" s="100">
        <v>45667</v>
      </c>
      <c r="AD436" s="101">
        <v>356</v>
      </c>
      <c r="AE436" s="101">
        <v>1</v>
      </c>
      <c r="AF436" s="101">
        <v>14500000</v>
      </c>
      <c r="AG436" s="99" t="str">
        <f>VLOOKUP(AA436,recency!$K$6:$P$818,6,0)</f>
        <v>Low</v>
      </c>
      <c r="AH436" s="132" t="str">
        <f>VLOOKUP(AA436,frequency!$F$6:$H$818,3,FALSE)</f>
        <v>Low</v>
      </c>
      <c r="AI436" s="129" t="str">
        <f>VLOOKUP(AA436,monetary!$B$5:$F$817,5,0)</f>
        <v>Low</v>
      </c>
      <c r="AJ436" s="99" t="str">
        <f t="shared" si="68"/>
        <v>LLL</v>
      </c>
      <c r="AK436" s="99" t="str">
        <f>VLOOKUP(AJ436,rfm[],2,0)</f>
        <v>💤 Lost / Low Value</v>
      </c>
      <c r="AN436" s="99" t="b">
        <f t="shared" si="69"/>
        <v>1</v>
      </c>
    </row>
    <row r="437" spans="2:40" x14ac:dyDescent="0.3">
      <c r="B437" s="99" t="s">
        <v>930</v>
      </c>
      <c r="C437" s="100">
        <v>45741</v>
      </c>
      <c r="D437" s="99" t="s">
        <v>28</v>
      </c>
      <c r="E437" s="99" t="s">
        <v>29</v>
      </c>
      <c r="F437" s="99" t="s">
        <v>20</v>
      </c>
      <c r="G437" s="99">
        <v>165</v>
      </c>
      <c r="H437" s="112">
        <v>450000</v>
      </c>
      <c r="I437" s="112">
        <v>74250000</v>
      </c>
      <c r="J437" s="99" t="s">
        <v>2563</v>
      </c>
      <c r="K437" s="99" t="s">
        <v>47</v>
      </c>
      <c r="N437" s="99" t="s">
        <v>2468</v>
      </c>
      <c r="O437" s="99" t="s">
        <v>60</v>
      </c>
      <c r="P437" s="100">
        <f t="shared" si="61"/>
        <v>45972</v>
      </c>
      <c r="Q437" s="101">
        <f t="shared" si="60"/>
        <v>51</v>
      </c>
      <c r="R437" s="99">
        <f t="shared" si="62"/>
        <v>4</v>
      </c>
      <c r="S437" s="101">
        <f t="shared" si="63"/>
        <v>20200000</v>
      </c>
      <c r="T437" s="99" t="str">
        <f t="shared" si="64"/>
        <v>High</v>
      </c>
      <c r="U437" s="99" t="str">
        <f t="shared" si="65"/>
        <v>High</v>
      </c>
      <c r="V437" s="99" t="str">
        <f t="shared" si="66"/>
        <v>High</v>
      </c>
      <c r="W437" s="99" t="str">
        <f t="shared" si="67"/>
        <v>HHH</v>
      </c>
      <c r="X437" s="99" t="str">
        <f>VLOOKUP(W437,rfm[],2,FALSE)</f>
        <v>🥇 Champions</v>
      </c>
      <c r="AA437" s="99" t="s">
        <v>2468</v>
      </c>
      <c r="AB437" s="99" t="s">
        <v>60</v>
      </c>
      <c r="AC437" s="100">
        <v>45972</v>
      </c>
      <c r="AD437" s="101">
        <v>51</v>
      </c>
      <c r="AE437" s="101">
        <v>4</v>
      </c>
      <c r="AF437" s="101">
        <v>20200000</v>
      </c>
      <c r="AG437" s="99" t="str">
        <f>VLOOKUP(AA437,recency!$K$6:$P$818,6,0)</f>
        <v>High</v>
      </c>
      <c r="AH437" s="132" t="str">
        <f>VLOOKUP(AA437,frequency!$F$6:$H$818,3,FALSE)</f>
        <v>High</v>
      </c>
      <c r="AI437" s="129" t="str">
        <f>VLOOKUP(AA437,monetary!$B$5:$F$817,5,0)</f>
        <v>Low</v>
      </c>
      <c r="AJ437" s="99" t="str">
        <f t="shared" si="68"/>
        <v>HHL</v>
      </c>
      <c r="AK437" s="99" t="str">
        <f>VLOOKUP(AJ437,rfm[],2,0)</f>
        <v>💎 Loyal High Value</v>
      </c>
      <c r="AN437" s="99" t="b">
        <f t="shared" si="69"/>
        <v>0</v>
      </c>
    </row>
    <row r="438" spans="2:40" x14ac:dyDescent="0.3">
      <c r="B438" s="99" t="s">
        <v>931</v>
      </c>
      <c r="C438" s="100">
        <v>45741</v>
      </c>
      <c r="D438" s="99" t="s">
        <v>22</v>
      </c>
      <c r="E438" s="99" t="s">
        <v>23</v>
      </c>
      <c r="F438" s="99" t="s">
        <v>12</v>
      </c>
      <c r="G438" s="99">
        <v>5</v>
      </c>
      <c r="H438" s="112">
        <v>25000</v>
      </c>
      <c r="I438" s="112">
        <v>125000</v>
      </c>
      <c r="J438" s="99" t="s">
        <v>2179</v>
      </c>
      <c r="K438" s="99" t="s">
        <v>127</v>
      </c>
      <c r="N438" s="99" t="s">
        <v>2469</v>
      </c>
      <c r="O438" s="99" t="s">
        <v>69</v>
      </c>
      <c r="P438" s="100">
        <f t="shared" si="61"/>
        <v>45925</v>
      </c>
      <c r="Q438" s="101">
        <f t="shared" si="60"/>
        <v>98</v>
      </c>
      <c r="R438" s="99">
        <f t="shared" si="62"/>
        <v>2</v>
      </c>
      <c r="S438" s="101">
        <f t="shared" si="63"/>
        <v>46500000</v>
      </c>
      <c r="T438" s="99" t="str">
        <f t="shared" si="64"/>
        <v>Low</v>
      </c>
      <c r="U438" s="99" t="str">
        <f t="shared" si="65"/>
        <v>Low</v>
      </c>
      <c r="V438" s="99" t="str">
        <f t="shared" si="66"/>
        <v>High</v>
      </c>
      <c r="W438" s="99" t="str">
        <f t="shared" si="67"/>
        <v>LLH</v>
      </c>
      <c r="X438" s="99" t="str">
        <f>VLOOKUP(W438,rfm[],2,FALSE)</f>
        <v>💸 Lost High Spenders</v>
      </c>
      <c r="AA438" s="99" t="s">
        <v>2469</v>
      </c>
      <c r="AB438" s="99" t="s">
        <v>69</v>
      </c>
      <c r="AC438" s="100">
        <v>45925</v>
      </c>
      <c r="AD438" s="101">
        <v>98</v>
      </c>
      <c r="AE438" s="101">
        <v>2</v>
      </c>
      <c r="AF438" s="101">
        <v>46500000</v>
      </c>
      <c r="AG438" s="99" t="str">
        <f>VLOOKUP(AA438,recency!$K$6:$P$818,6,0)</f>
        <v>Low</v>
      </c>
      <c r="AH438" s="132" t="str">
        <f>VLOOKUP(AA438,frequency!$F$6:$H$818,3,FALSE)</f>
        <v>Low</v>
      </c>
      <c r="AI438" s="129" t="str">
        <f>VLOOKUP(AA438,monetary!$B$5:$F$817,5,0)</f>
        <v>Low</v>
      </c>
      <c r="AJ438" s="99" t="str">
        <f t="shared" si="68"/>
        <v>LLL</v>
      </c>
      <c r="AK438" s="99" t="str">
        <f>VLOOKUP(AJ438,rfm[],2,0)</f>
        <v>💤 Lost / Low Value</v>
      </c>
      <c r="AN438" s="99" t="b">
        <f t="shared" si="69"/>
        <v>0</v>
      </c>
    </row>
    <row r="439" spans="2:40" x14ac:dyDescent="0.3">
      <c r="B439" s="99" t="s">
        <v>932</v>
      </c>
      <c r="C439" s="100">
        <v>45741</v>
      </c>
      <c r="D439" s="99" t="s">
        <v>28</v>
      </c>
      <c r="E439" s="99" t="s">
        <v>29</v>
      </c>
      <c r="F439" s="99" t="s">
        <v>20</v>
      </c>
      <c r="G439" s="99">
        <v>10</v>
      </c>
      <c r="H439" s="112">
        <v>450000</v>
      </c>
      <c r="I439" s="112">
        <v>4500000</v>
      </c>
      <c r="J439" s="99" t="s">
        <v>2556</v>
      </c>
      <c r="K439" s="99" t="s">
        <v>8</v>
      </c>
      <c r="N439" s="99" t="s">
        <v>2470</v>
      </c>
      <c r="O439" s="99" t="s">
        <v>60</v>
      </c>
      <c r="P439" s="100">
        <f t="shared" si="61"/>
        <v>45954</v>
      </c>
      <c r="Q439" s="101">
        <f t="shared" si="60"/>
        <v>69</v>
      </c>
      <c r="R439" s="99">
        <f t="shared" si="62"/>
        <v>3</v>
      </c>
      <c r="S439" s="101">
        <f t="shared" si="63"/>
        <v>42550000</v>
      </c>
      <c r="T439" s="99" t="str">
        <f t="shared" si="64"/>
        <v>High</v>
      </c>
      <c r="U439" s="99" t="str">
        <f t="shared" si="65"/>
        <v>High</v>
      </c>
      <c r="V439" s="99" t="str">
        <f t="shared" si="66"/>
        <v>High</v>
      </c>
      <c r="W439" s="99" t="str">
        <f t="shared" si="67"/>
        <v>HHH</v>
      </c>
      <c r="X439" s="99" t="str">
        <f>VLOOKUP(W439,rfm[],2,FALSE)</f>
        <v>🥇 Champions</v>
      </c>
      <c r="AA439" s="99" t="s">
        <v>2470</v>
      </c>
      <c r="AB439" s="99" t="s">
        <v>60</v>
      </c>
      <c r="AC439" s="100">
        <v>45954</v>
      </c>
      <c r="AD439" s="101">
        <v>69</v>
      </c>
      <c r="AE439" s="101">
        <v>3</v>
      </c>
      <c r="AF439" s="101">
        <v>42550000</v>
      </c>
      <c r="AG439" s="99" t="str">
        <f>VLOOKUP(AA439,recency!$K$6:$P$818,6,0)</f>
        <v>Low</v>
      </c>
      <c r="AH439" s="132" t="str">
        <f>VLOOKUP(AA439,frequency!$F$6:$H$818,3,FALSE)</f>
        <v>High</v>
      </c>
      <c r="AI439" s="129" t="str">
        <f>VLOOKUP(AA439,monetary!$B$5:$F$817,5,0)</f>
        <v>Low</v>
      </c>
      <c r="AJ439" s="99" t="str">
        <f t="shared" si="68"/>
        <v>LHL</v>
      </c>
      <c r="AK439" s="99" t="str">
        <f>VLOOKUP(AJ439,rfm[],2,0)</f>
        <v>🔁 Former Loyal Low Spend</v>
      </c>
      <c r="AN439" s="99" t="b">
        <f t="shared" si="69"/>
        <v>0</v>
      </c>
    </row>
    <row r="440" spans="2:40" x14ac:dyDescent="0.3">
      <c r="B440" s="99" t="s">
        <v>933</v>
      </c>
      <c r="C440" s="100">
        <v>45741</v>
      </c>
      <c r="D440" s="99" t="s">
        <v>10</v>
      </c>
      <c r="E440" s="99" t="s">
        <v>11</v>
      </c>
      <c r="F440" s="99" t="s">
        <v>12</v>
      </c>
      <c r="G440" s="99">
        <v>43</v>
      </c>
      <c r="H440" s="112">
        <v>120000</v>
      </c>
      <c r="I440" s="112">
        <v>5160000</v>
      </c>
      <c r="J440" s="99" t="s">
        <v>2129</v>
      </c>
      <c r="K440" s="99" t="s">
        <v>8</v>
      </c>
      <c r="N440" s="99" t="s">
        <v>2471</v>
      </c>
      <c r="O440" s="99" t="s">
        <v>47</v>
      </c>
      <c r="P440" s="100">
        <f t="shared" si="61"/>
        <v>46013</v>
      </c>
      <c r="Q440" s="101">
        <f t="shared" si="60"/>
        <v>10</v>
      </c>
      <c r="R440" s="99">
        <f t="shared" si="62"/>
        <v>2</v>
      </c>
      <c r="S440" s="101">
        <f t="shared" si="63"/>
        <v>8375000</v>
      </c>
      <c r="T440" s="99" t="str">
        <f t="shared" si="64"/>
        <v>High</v>
      </c>
      <c r="U440" s="99" t="str">
        <f t="shared" si="65"/>
        <v>Low</v>
      </c>
      <c r="V440" s="99" t="str">
        <f t="shared" si="66"/>
        <v>Low</v>
      </c>
      <c r="W440" s="99" t="str">
        <f t="shared" si="67"/>
        <v>HLL</v>
      </c>
      <c r="X440" s="99" t="str">
        <f>VLOOKUP(W440,rfm[],2,FALSE)</f>
        <v>🌱 Potential Loyalists</v>
      </c>
      <c r="AA440" s="99" t="s">
        <v>2471</v>
      </c>
      <c r="AB440" s="99" t="s">
        <v>47</v>
      </c>
      <c r="AC440" s="100">
        <v>46013</v>
      </c>
      <c r="AD440" s="101">
        <v>10</v>
      </c>
      <c r="AE440" s="101">
        <v>2</v>
      </c>
      <c r="AF440" s="101">
        <v>8375000</v>
      </c>
      <c r="AG440" s="99" t="str">
        <f>VLOOKUP(AA440,recency!$K$6:$P$818,6,0)</f>
        <v>High</v>
      </c>
      <c r="AH440" s="132" t="str">
        <f>VLOOKUP(AA440,frequency!$F$6:$H$818,3,FALSE)</f>
        <v>Low</v>
      </c>
      <c r="AI440" s="129" t="str">
        <f>VLOOKUP(AA440,monetary!$B$5:$F$817,5,0)</f>
        <v>Low</v>
      </c>
      <c r="AJ440" s="99" t="str">
        <f t="shared" si="68"/>
        <v>HLL</v>
      </c>
      <c r="AK440" s="99" t="str">
        <f>VLOOKUP(AJ440,rfm[],2,0)</f>
        <v>🌱 Potential Loyalists</v>
      </c>
      <c r="AN440" s="99" t="b">
        <f t="shared" si="69"/>
        <v>1</v>
      </c>
    </row>
    <row r="441" spans="2:40" x14ac:dyDescent="0.3">
      <c r="B441" s="99" t="s">
        <v>934</v>
      </c>
      <c r="C441" s="100">
        <v>45742</v>
      </c>
      <c r="D441" s="99" t="s">
        <v>28</v>
      </c>
      <c r="E441" s="99" t="s">
        <v>29</v>
      </c>
      <c r="F441" s="99" t="s">
        <v>20</v>
      </c>
      <c r="G441" s="99">
        <v>41</v>
      </c>
      <c r="H441" s="112">
        <v>450000</v>
      </c>
      <c r="I441" s="112">
        <v>18450000</v>
      </c>
      <c r="J441" s="99" t="s">
        <v>2814</v>
      </c>
      <c r="K441" s="99" t="s">
        <v>8</v>
      </c>
      <c r="N441" s="99" t="s">
        <v>2472</v>
      </c>
      <c r="O441" s="99" t="s">
        <v>69</v>
      </c>
      <c r="P441" s="100">
        <f t="shared" si="61"/>
        <v>45799</v>
      </c>
      <c r="Q441" s="101">
        <f t="shared" si="60"/>
        <v>224</v>
      </c>
      <c r="R441" s="99">
        <f t="shared" si="62"/>
        <v>1</v>
      </c>
      <c r="S441" s="101">
        <f t="shared" si="63"/>
        <v>3600000</v>
      </c>
      <c r="T441" s="99" t="str">
        <f t="shared" si="64"/>
        <v>Low</v>
      </c>
      <c r="U441" s="99" t="str">
        <f t="shared" si="65"/>
        <v>Low</v>
      </c>
      <c r="V441" s="99" t="str">
        <f t="shared" si="66"/>
        <v>Low</v>
      </c>
      <c r="W441" s="99" t="str">
        <f t="shared" si="67"/>
        <v>LLL</v>
      </c>
      <c r="X441" s="99" t="str">
        <f>VLOOKUP(W441,rfm[],2,FALSE)</f>
        <v>💤 Lost / Low Value</v>
      </c>
      <c r="AA441" s="99" t="s">
        <v>2472</v>
      </c>
      <c r="AB441" s="99" t="s">
        <v>69</v>
      </c>
      <c r="AC441" s="100">
        <v>45799</v>
      </c>
      <c r="AD441" s="101">
        <v>224</v>
      </c>
      <c r="AE441" s="101">
        <v>1</v>
      </c>
      <c r="AF441" s="101">
        <v>3600000</v>
      </c>
      <c r="AG441" s="99" t="str">
        <f>VLOOKUP(AA441,recency!$K$6:$P$818,6,0)</f>
        <v>Low</v>
      </c>
      <c r="AH441" s="132" t="str">
        <f>VLOOKUP(AA441,frequency!$F$6:$H$818,3,FALSE)</f>
        <v>Low</v>
      </c>
      <c r="AI441" s="129" t="str">
        <f>VLOOKUP(AA441,monetary!$B$5:$F$817,5,0)</f>
        <v>Low</v>
      </c>
      <c r="AJ441" s="99" t="str">
        <f t="shared" si="68"/>
        <v>LLL</v>
      </c>
      <c r="AK441" s="99" t="str">
        <f>VLOOKUP(AJ441,rfm[],2,0)</f>
        <v>💤 Lost / Low Value</v>
      </c>
      <c r="AN441" s="99" t="b">
        <f t="shared" si="69"/>
        <v>1</v>
      </c>
    </row>
    <row r="442" spans="2:40" x14ac:dyDescent="0.3">
      <c r="B442" s="99" t="s">
        <v>935</v>
      </c>
      <c r="C442" s="100">
        <v>45742</v>
      </c>
      <c r="D442" s="99" t="s">
        <v>22</v>
      </c>
      <c r="E442" s="99" t="s">
        <v>23</v>
      </c>
      <c r="F442" s="99" t="s">
        <v>12</v>
      </c>
      <c r="G442" s="99">
        <v>15</v>
      </c>
      <c r="H442" s="112">
        <v>25000</v>
      </c>
      <c r="I442" s="112">
        <v>375000</v>
      </c>
      <c r="J442" s="99" t="s">
        <v>2831</v>
      </c>
      <c r="K442" s="99" t="s">
        <v>8</v>
      </c>
      <c r="N442" s="99" t="s">
        <v>2473</v>
      </c>
      <c r="O442" s="99" t="s">
        <v>69</v>
      </c>
      <c r="P442" s="100">
        <f t="shared" si="61"/>
        <v>45952</v>
      </c>
      <c r="Q442" s="101">
        <f t="shared" si="60"/>
        <v>71</v>
      </c>
      <c r="R442" s="99">
        <f t="shared" si="62"/>
        <v>1</v>
      </c>
      <c r="S442" s="101">
        <f t="shared" si="63"/>
        <v>19200000</v>
      </c>
      <c r="T442" s="99" t="str">
        <f t="shared" si="64"/>
        <v>High</v>
      </c>
      <c r="U442" s="99" t="str">
        <f t="shared" si="65"/>
        <v>Low</v>
      </c>
      <c r="V442" s="99" t="str">
        <f t="shared" si="66"/>
        <v>High</v>
      </c>
      <c r="W442" s="99" t="str">
        <f t="shared" si="67"/>
        <v>HLH</v>
      </c>
      <c r="X442" s="99" t="str">
        <f>VLOOKUP(W442,rfm[],2,FALSE)</f>
        <v>🛒 Big Spenders (Occasional)</v>
      </c>
      <c r="AA442" s="99" t="s">
        <v>2473</v>
      </c>
      <c r="AB442" s="99" t="s">
        <v>69</v>
      </c>
      <c r="AC442" s="100">
        <v>45952</v>
      </c>
      <c r="AD442" s="101">
        <v>71</v>
      </c>
      <c r="AE442" s="101">
        <v>1</v>
      </c>
      <c r="AF442" s="101">
        <v>19200000</v>
      </c>
      <c r="AG442" s="99" t="str">
        <f>VLOOKUP(AA442,recency!$K$6:$P$818,6,0)</f>
        <v>Low</v>
      </c>
      <c r="AH442" s="132" t="str">
        <f>VLOOKUP(AA442,frequency!$F$6:$H$818,3,FALSE)</f>
        <v>Low</v>
      </c>
      <c r="AI442" s="129" t="str">
        <f>VLOOKUP(AA442,monetary!$B$5:$F$817,5,0)</f>
        <v>Low</v>
      </c>
      <c r="AJ442" s="99" t="str">
        <f t="shared" si="68"/>
        <v>LLL</v>
      </c>
      <c r="AK442" s="99" t="str">
        <f>VLOOKUP(AJ442,rfm[],2,0)</f>
        <v>💤 Lost / Low Value</v>
      </c>
      <c r="AN442" s="99" t="b">
        <f t="shared" si="69"/>
        <v>0</v>
      </c>
    </row>
    <row r="443" spans="2:40" x14ac:dyDescent="0.3">
      <c r="B443" s="99" t="s">
        <v>972</v>
      </c>
      <c r="C443" s="100">
        <v>45742</v>
      </c>
      <c r="D443" s="99" t="s">
        <v>40</v>
      </c>
      <c r="E443" s="99" t="s">
        <v>41</v>
      </c>
      <c r="F443" s="99" t="s">
        <v>16</v>
      </c>
      <c r="G443" s="99">
        <v>500</v>
      </c>
      <c r="H443" s="112">
        <v>950000</v>
      </c>
      <c r="I443" s="112">
        <v>475000000</v>
      </c>
      <c r="J443" s="99" t="s">
        <v>2624</v>
      </c>
      <c r="K443" s="99" t="s">
        <v>60</v>
      </c>
      <c r="N443" s="99" t="s">
        <v>2474</v>
      </c>
      <c r="O443" s="99" t="s">
        <v>8</v>
      </c>
      <c r="P443" s="100">
        <f t="shared" si="61"/>
        <v>45798</v>
      </c>
      <c r="Q443" s="101">
        <f t="shared" si="60"/>
        <v>225</v>
      </c>
      <c r="R443" s="99">
        <f t="shared" si="62"/>
        <v>1</v>
      </c>
      <c r="S443" s="101">
        <f t="shared" si="63"/>
        <v>840000</v>
      </c>
      <c r="T443" s="99" t="str">
        <f t="shared" si="64"/>
        <v>Low</v>
      </c>
      <c r="U443" s="99" t="str">
        <f t="shared" si="65"/>
        <v>Low</v>
      </c>
      <c r="V443" s="99" t="str">
        <f t="shared" si="66"/>
        <v>Low</v>
      </c>
      <c r="W443" s="99" t="str">
        <f t="shared" si="67"/>
        <v>LLL</v>
      </c>
      <c r="X443" s="99" t="str">
        <f>VLOOKUP(W443,rfm[],2,FALSE)</f>
        <v>💤 Lost / Low Value</v>
      </c>
      <c r="AA443" s="99" t="s">
        <v>2474</v>
      </c>
      <c r="AB443" s="99" t="s">
        <v>8</v>
      </c>
      <c r="AC443" s="100">
        <v>45798</v>
      </c>
      <c r="AD443" s="101">
        <v>225</v>
      </c>
      <c r="AE443" s="101">
        <v>1</v>
      </c>
      <c r="AF443" s="101">
        <v>840000</v>
      </c>
      <c r="AG443" s="99" t="str">
        <f>VLOOKUP(AA443,recency!$K$6:$P$818,6,0)</f>
        <v>Low</v>
      </c>
      <c r="AH443" s="132" t="str">
        <f>VLOOKUP(AA443,frequency!$F$6:$H$818,3,FALSE)</f>
        <v>Low</v>
      </c>
      <c r="AI443" s="129" t="str">
        <f>VLOOKUP(AA443,monetary!$B$5:$F$817,5,0)</f>
        <v>Low</v>
      </c>
      <c r="AJ443" s="99" t="str">
        <f t="shared" si="68"/>
        <v>LLL</v>
      </c>
      <c r="AK443" s="99" t="str">
        <f>VLOOKUP(AJ443,rfm[],2,0)</f>
        <v>💤 Lost / Low Value</v>
      </c>
      <c r="AN443" s="99" t="b">
        <f t="shared" si="69"/>
        <v>1</v>
      </c>
    </row>
    <row r="444" spans="2:40" x14ac:dyDescent="0.3">
      <c r="B444" s="99" t="s">
        <v>973</v>
      </c>
      <c r="C444" s="100">
        <v>45742</v>
      </c>
      <c r="D444" s="99" t="s">
        <v>18</v>
      </c>
      <c r="E444" s="99" t="s">
        <v>19</v>
      </c>
      <c r="F444" s="99" t="s">
        <v>20</v>
      </c>
      <c r="G444" s="99">
        <v>14</v>
      </c>
      <c r="H444" s="112">
        <v>500000</v>
      </c>
      <c r="I444" s="112">
        <v>7000000</v>
      </c>
      <c r="J444" s="99" t="s">
        <v>2511</v>
      </c>
      <c r="K444" s="99" t="s">
        <v>127</v>
      </c>
      <c r="N444" s="99" t="s">
        <v>2475</v>
      </c>
      <c r="O444" s="99" t="s">
        <v>47</v>
      </c>
      <c r="P444" s="100">
        <f t="shared" si="61"/>
        <v>45944</v>
      </c>
      <c r="Q444" s="101">
        <f t="shared" si="60"/>
        <v>79</v>
      </c>
      <c r="R444" s="99">
        <f t="shared" si="62"/>
        <v>4</v>
      </c>
      <c r="S444" s="101">
        <f t="shared" si="63"/>
        <v>42350000</v>
      </c>
      <c r="T444" s="99" t="str">
        <f t="shared" si="64"/>
        <v>High</v>
      </c>
      <c r="U444" s="99" t="str">
        <f t="shared" si="65"/>
        <v>High</v>
      </c>
      <c r="V444" s="99" t="str">
        <f t="shared" si="66"/>
        <v>High</v>
      </c>
      <c r="W444" s="99" t="str">
        <f t="shared" si="67"/>
        <v>HHH</v>
      </c>
      <c r="X444" s="99" t="str">
        <f>VLOOKUP(W444,rfm[],2,FALSE)</f>
        <v>🥇 Champions</v>
      </c>
      <c r="AA444" s="99" t="s">
        <v>2475</v>
      </c>
      <c r="AB444" s="99" t="s">
        <v>47</v>
      </c>
      <c r="AC444" s="100">
        <v>45944</v>
      </c>
      <c r="AD444" s="101">
        <v>79</v>
      </c>
      <c r="AE444" s="101">
        <v>4</v>
      </c>
      <c r="AF444" s="101">
        <v>42350000</v>
      </c>
      <c r="AG444" s="99" t="str">
        <f>VLOOKUP(AA444,recency!$K$6:$P$818,6,0)</f>
        <v>Low</v>
      </c>
      <c r="AH444" s="132" t="str">
        <f>VLOOKUP(AA444,frequency!$F$6:$H$818,3,FALSE)</f>
        <v>High</v>
      </c>
      <c r="AI444" s="129" t="str">
        <f>VLOOKUP(AA444,monetary!$B$5:$F$817,5,0)</f>
        <v>Low</v>
      </c>
      <c r="AJ444" s="99" t="str">
        <f t="shared" si="68"/>
        <v>LHL</v>
      </c>
      <c r="AK444" s="99" t="str">
        <f>VLOOKUP(AJ444,rfm[],2,0)</f>
        <v>🔁 Former Loyal Low Spend</v>
      </c>
      <c r="AN444" s="99" t="b">
        <f t="shared" si="69"/>
        <v>0</v>
      </c>
    </row>
    <row r="445" spans="2:40" x14ac:dyDescent="0.3">
      <c r="B445" s="99" t="s">
        <v>974</v>
      </c>
      <c r="C445" s="100">
        <v>45742</v>
      </c>
      <c r="D445" s="99" t="s">
        <v>18</v>
      </c>
      <c r="E445" s="99" t="s">
        <v>19</v>
      </c>
      <c r="F445" s="99" t="s">
        <v>20</v>
      </c>
      <c r="G445" s="99">
        <v>46</v>
      </c>
      <c r="H445" s="112">
        <v>500000</v>
      </c>
      <c r="I445" s="112">
        <v>23000000</v>
      </c>
      <c r="J445" s="99" t="s">
        <v>2600</v>
      </c>
      <c r="K445" s="99" t="s">
        <v>8</v>
      </c>
      <c r="N445" s="99" t="s">
        <v>2476</v>
      </c>
      <c r="O445" s="99" t="s">
        <v>47</v>
      </c>
      <c r="P445" s="100">
        <f t="shared" si="61"/>
        <v>45817</v>
      </c>
      <c r="Q445" s="101">
        <f t="shared" si="60"/>
        <v>206</v>
      </c>
      <c r="R445" s="99">
        <f t="shared" si="62"/>
        <v>1</v>
      </c>
      <c r="S445" s="101">
        <f t="shared" si="63"/>
        <v>26600000</v>
      </c>
      <c r="T445" s="99" t="str">
        <f t="shared" si="64"/>
        <v>Low</v>
      </c>
      <c r="U445" s="99" t="str">
        <f t="shared" si="65"/>
        <v>Low</v>
      </c>
      <c r="V445" s="99" t="str">
        <f t="shared" si="66"/>
        <v>High</v>
      </c>
      <c r="W445" s="99" t="str">
        <f t="shared" si="67"/>
        <v>LLH</v>
      </c>
      <c r="X445" s="99" t="str">
        <f>VLOOKUP(W445,rfm[],2,FALSE)</f>
        <v>💸 Lost High Spenders</v>
      </c>
      <c r="AA445" s="99" t="s">
        <v>2476</v>
      </c>
      <c r="AB445" s="99" t="s">
        <v>47</v>
      </c>
      <c r="AC445" s="100">
        <v>45817</v>
      </c>
      <c r="AD445" s="101">
        <v>206</v>
      </c>
      <c r="AE445" s="101">
        <v>1</v>
      </c>
      <c r="AF445" s="101">
        <v>26600000</v>
      </c>
      <c r="AG445" s="99" t="str">
        <f>VLOOKUP(AA445,recency!$K$6:$P$818,6,0)</f>
        <v>Low</v>
      </c>
      <c r="AH445" s="132" t="str">
        <f>VLOOKUP(AA445,frequency!$F$6:$H$818,3,FALSE)</f>
        <v>Low</v>
      </c>
      <c r="AI445" s="129" t="str">
        <f>VLOOKUP(AA445,monetary!$B$5:$F$817,5,0)</f>
        <v>Low</v>
      </c>
      <c r="AJ445" s="99" t="str">
        <f t="shared" si="68"/>
        <v>LLL</v>
      </c>
      <c r="AK445" s="99" t="str">
        <f>VLOOKUP(AJ445,rfm[],2,0)</f>
        <v>💤 Lost / Low Value</v>
      </c>
      <c r="AN445" s="99" t="b">
        <f t="shared" si="69"/>
        <v>0</v>
      </c>
    </row>
    <row r="446" spans="2:40" x14ac:dyDescent="0.3">
      <c r="B446" s="99" t="s">
        <v>975</v>
      </c>
      <c r="C446" s="100">
        <v>45742</v>
      </c>
      <c r="D446" s="99" t="s">
        <v>22</v>
      </c>
      <c r="E446" s="99" t="s">
        <v>23</v>
      </c>
      <c r="F446" s="99" t="s">
        <v>12</v>
      </c>
      <c r="G446" s="99">
        <v>6</v>
      </c>
      <c r="H446" s="112">
        <v>25000</v>
      </c>
      <c r="I446" s="112">
        <v>150000</v>
      </c>
      <c r="J446" s="99" t="s">
        <v>2738</v>
      </c>
      <c r="K446" s="99" t="s">
        <v>8</v>
      </c>
      <c r="N446" s="99" t="s">
        <v>2477</v>
      </c>
      <c r="O446" s="99" t="s">
        <v>47</v>
      </c>
      <c r="P446" s="100">
        <f t="shared" si="61"/>
        <v>45985</v>
      </c>
      <c r="Q446" s="101">
        <f t="shared" si="60"/>
        <v>38</v>
      </c>
      <c r="R446" s="99">
        <f t="shared" si="62"/>
        <v>2</v>
      </c>
      <c r="S446" s="101">
        <f t="shared" si="63"/>
        <v>17300000</v>
      </c>
      <c r="T446" s="99" t="str">
        <f t="shared" si="64"/>
        <v>High</v>
      </c>
      <c r="U446" s="99" t="str">
        <f t="shared" si="65"/>
        <v>Low</v>
      </c>
      <c r="V446" s="99" t="str">
        <f t="shared" si="66"/>
        <v>Low</v>
      </c>
      <c r="W446" s="99" t="str">
        <f t="shared" si="67"/>
        <v>HLL</v>
      </c>
      <c r="X446" s="99" t="str">
        <f>VLOOKUP(W446,rfm[],2,FALSE)</f>
        <v>🌱 Potential Loyalists</v>
      </c>
      <c r="AA446" s="99" t="s">
        <v>2477</v>
      </c>
      <c r="AB446" s="99" t="s">
        <v>47</v>
      </c>
      <c r="AC446" s="100">
        <v>45985</v>
      </c>
      <c r="AD446" s="101">
        <v>38</v>
      </c>
      <c r="AE446" s="101">
        <v>2</v>
      </c>
      <c r="AF446" s="101">
        <v>17300000</v>
      </c>
      <c r="AG446" s="99" t="str">
        <f>VLOOKUP(AA446,recency!$K$6:$P$818,6,0)</f>
        <v>High</v>
      </c>
      <c r="AH446" s="132" t="str">
        <f>VLOOKUP(AA446,frequency!$F$6:$H$818,3,FALSE)</f>
        <v>Low</v>
      </c>
      <c r="AI446" s="129" t="str">
        <f>VLOOKUP(AA446,monetary!$B$5:$F$817,5,0)</f>
        <v>Low</v>
      </c>
      <c r="AJ446" s="99" t="str">
        <f t="shared" si="68"/>
        <v>HLL</v>
      </c>
      <c r="AK446" s="99" t="str">
        <f>VLOOKUP(AJ446,rfm[],2,0)</f>
        <v>🌱 Potential Loyalists</v>
      </c>
      <c r="AN446" s="99" t="b">
        <f t="shared" si="69"/>
        <v>1</v>
      </c>
    </row>
    <row r="447" spans="2:40" x14ac:dyDescent="0.3">
      <c r="B447" s="99" t="s">
        <v>1012</v>
      </c>
      <c r="C447" s="100">
        <v>45742</v>
      </c>
      <c r="D447" s="99" t="s">
        <v>42</v>
      </c>
      <c r="E447" s="99" t="s">
        <v>43</v>
      </c>
      <c r="F447" s="99" t="s">
        <v>16</v>
      </c>
      <c r="G447" s="99">
        <v>7</v>
      </c>
      <c r="H447" s="112">
        <v>1200000</v>
      </c>
      <c r="I447" s="112">
        <v>8400000</v>
      </c>
      <c r="J447" s="99" t="s">
        <v>2260</v>
      </c>
      <c r="K447" s="99" t="s">
        <v>127</v>
      </c>
      <c r="N447" s="99" t="s">
        <v>2478</v>
      </c>
      <c r="O447" s="99" t="s">
        <v>69</v>
      </c>
      <c r="P447" s="100">
        <f t="shared" si="61"/>
        <v>45994</v>
      </c>
      <c r="Q447" s="101">
        <f t="shared" si="60"/>
        <v>29</v>
      </c>
      <c r="R447" s="99">
        <f t="shared" si="62"/>
        <v>1</v>
      </c>
      <c r="S447" s="101">
        <f t="shared" si="63"/>
        <v>4750000</v>
      </c>
      <c r="T447" s="99" t="str">
        <f t="shared" si="64"/>
        <v>High</v>
      </c>
      <c r="U447" s="99" t="str">
        <f t="shared" si="65"/>
        <v>Low</v>
      </c>
      <c r="V447" s="99" t="str">
        <f t="shared" si="66"/>
        <v>Low</v>
      </c>
      <c r="W447" s="99" t="str">
        <f t="shared" si="67"/>
        <v>HLL</v>
      </c>
      <c r="X447" s="99" t="str">
        <f>VLOOKUP(W447,rfm[],2,FALSE)</f>
        <v>🌱 Potential Loyalists</v>
      </c>
      <c r="AA447" s="99" t="s">
        <v>2478</v>
      </c>
      <c r="AB447" s="99" t="s">
        <v>69</v>
      </c>
      <c r="AC447" s="100">
        <v>45994</v>
      </c>
      <c r="AD447" s="101">
        <v>29</v>
      </c>
      <c r="AE447" s="101">
        <v>1</v>
      </c>
      <c r="AF447" s="101">
        <v>4750000</v>
      </c>
      <c r="AG447" s="99" t="str">
        <f>VLOOKUP(AA447,recency!$K$6:$P$818,6,0)</f>
        <v>High</v>
      </c>
      <c r="AH447" s="132" t="str">
        <f>VLOOKUP(AA447,frequency!$F$6:$H$818,3,FALSE)</f>
        <v>Low</v>
      </c>
      <c r="AI447" s="129" t="str">
        <f>VLOOKUP(AA447,monetary!$B$5:$F$817,5,0)</f>
        <v>Low</v>
      </c>
      <c r="AJ447" s="99" t="str">
        <f t="shared" si="68"/>
        <v>HLL</v>
      </c>
      <c r="AK447" s="99" t="str">
        <f>VLOOKUP(AJ447,rfm[],2,0)</f>
        <v>🌱 Potential Loyalists</v>
      </c>
      <c r="AN447" s="99" t="b">
        <f t="shared" si="69"/>
        <v>1</v>
      </c>
    </row>
    <row r="448" spans="2:40" x14ac:dyDescent="0.3">
      <c r="B448" s="99" t="s">
        <v>1013</v>
      </c>
      <c r="C448" s="100">
        <v>45742</v>
      </c>
      <c r="D448" s="99" t="s">
        <v>22</v>
      </c>
      <c r="E448" s="99" t="s">
        <v>23</v>
      </c>
      <c r="F448" s="99" t="s">
        <v>12</v>
      </c>
      <c r="G448" s="99">
        <v>11</v>
      </c>
      <c r="H448" s="112">
        <v>25000</v>
      </c>
      <c r="I448" s="112">
        <v>275000</v>
      </c>
      <c r="J448" s="99" t="s">
        <v>2572</v>
      </c>
      <c r="K448" s="99" t="s">
        <v>8</v>
      </c>
      <c r="N448" s="99" t="s">
        <v>2479</v>
      </c>
      <c r="O448" s="99" t="s">
        <v>127</v>
      </c>
      <c r="P448" s="100">
        <f t="shared" si="61"/>
        <v>45756</v>
      </c>
      <c r="Q448" s="101">
        <f t="shared" si="60"/>
        <v>267</v>
      </c>
      <c r="R448" s="99">
        <f t="shared" si="62"/>
        <v>1</v>
      </c>
      <c r="S448" s="101">
        <f t="shared" si="63"/>
        <v>35150000</v>
      </c>
      <c r="T448" s="99" t="str">
        <f t="shared" si="64"/>
        <v>Low</v>
      </c>
      <c r="U448" s="99" t="str">
        <f t="shared" si="65"/>
        <v>Low</v>
      </c>
      <c r="V448" s="99" t="str">
        <f t="shared" si="66"/>
        <v>High</v>
      </c>
      <c r="W448" s="99" t="str">
        <f t="shared" si="67"/>
        <v>LLH</v>
      </c>
      <c r="X448" s="99" t="str">
        <f>VLOOKUP(W448,rfm[],2,FALSE)</f>
        <v>💸 Lost High Spenders</v>
      </c>
      <c r="AA448" s="99" t="s">
        <v>2479</v>
      </c>
      <c r="AB448" s="99" t="s">
        <v>127</v>
      </c>
      <c r="AC448" s="100">
        <v>45756</v>
      </c>
      <c r="AD448" s="101">
        <v>267</v>
      </c>
      <c r="AE448" s="101">
        <v>1</v>
      </c>
      <c r="AF448" s="101">
        <v>35150000</v>
      </c>
      <c r="AG448" s="99" t="str">
        <f>VLOOKUP(AA448,recency!$K$6:$P$818,6,0)</f>
        <v>Low</v>
      </c>
      <c r="AH448" s="132" t="str">
        <f>VLOOKUP(AA448,frequency!$F$6:$H$818,3,FALSE)</f>
        <v>Low</v>
      </c>
      <c r="AI448" s="129" t="str">
        <f>VLOOKUP(AA448,monetary!$B$5:$F$817,5,0)</f>
        <v>Low</v>
      </c>
      <c r="AJ448" s="99" t="str">
        <f t="shared" si="68"/>
        <v>LLL</v>
      </c>
      <c r="AK448" s="99" t="str">
        <f>VLOOKUP(AJ448,rfm[],2,0)</f>
        <v>💤 Lost / Low Value</v>
      </c>
      <c r="AN448" s="99" t="b">
        <f t="shared" si="69"/>
        <v>0</v>
      </c>
    </row>
    <row r="449" spans="2:40" x14ac:dyDescent="0.3">
      <c r="B449" s="99" t="s">
        <v>1014</v>
      </c>
      <c r="C449" s="100">
        <v>45742</v>
      </c>
      <c r="D449" s="99" t="s">
        <v>14</v>
      </c>
      <c r="E449" s="99" t="s">
        <v>15</v>
      </c>
      <c r="F449" s="99" t="s">
        <v>16</v>
      </c>
      <c r="G449" s="99">
        <v>45</v>
      </c>
      <c r="H449" s="112">
        <v>350000</v>
      </c>
      <c r="I449" s="112">
        <v>15750000</v>
      </c>
      <c r="J449" s="99" t="s">
        <v>2641</v>
      </c>
      <c r="K449" s="99" t="s">
        <v>47</v>
      </c>
      <c r="N449" s="99" t="s">
        <v>2480</v>
      </c>
      <c r="O449" s="99" t="s">
        <v>127</v>
      </c>
      <c r="P449" s="100">
        <f t="shared" si="61"/>
        <v>45987</v>
      </c>
      <c r="Q449" s="101">
        <f t="shared" si="60"/>
        <v>36</v>
      </c>
      <c r="R449" s="99">
        <f t="shared" si="62"/>
        <v>4</v>
      </c>
      <c r="S449" s="101">
        <f t="shared" si="63"/>
        <v>27320000</v>
      </c>
      <c r="T449" s="99" t="str">
        <f t="shared" si="64"/>
        <v>High</v>
      </c>
      <c r="U449" s="99" t="str">
        <f t="shared" si="65"/>
        <v>High</v>
      </c>
      <c r="V449" s="99" t="str">
        <f t="shared" si="66"/>
        <v>High</v>
      </c>
      <c r="W449" s="99" t="str">
        <f t="shared" si="67"/>
        <v>HHH</v>
      </c>
      <c r="X449" s="99" t="str">
        <f>VLOOKUP(W449,rfm[],2,FALSE)</f>
        <v>🥇 Champions</v>
      </c>
      <c r="AA449" s="99" t="s">
        <v>2480</v>
      </c>
      <c r="AB449" s="99" t="s">
        <v>127</v>
      </c>
      <c r="AC449" s="100">
        <v>45987</v>
      </c>
      <c r="AD449" s="101">
        <v>36</v>
      </c>
      <c r="AE449" s="101">
        <v>4</v>
      </c>
      <c r="AF449" s="101">
        <v>27320000</v>
      </c>
      <c r="AG449" s="99" t="str">
        <f>VLOOKUP(AA449,recency!$K$6:$P$818,6,0)</f>
        <v>High</v>
      </c>
      <c r="AH449" s="132" t="str">
        <f>VLOOKUP(AA449,frequency!$F$6:$H$818,3,FALSE)</f>
        <v>High</v>
      </c>
      <c r="AI449" s="129" t="str">
        <f>VLOOKUP(AA449,monetary!$B$5:$F$817,5,0)</f>
        <v>Low</v>
      </c>
      <c r="AJ449" s="99" t="str">
        <f t="shared" si="68"/>
        <v>HHL</v>
      </c>
      <c r="AK449" s="99" t="str">
        <f>VLOOKUP(AJ449,rfm[],2,0)</f>
        <v>💎 Loyal High Value</v>
      </c>
      <c r="AN449" s="99" t="b">
        <f t="shared" si="69"/>
        <v>0</v>
      </c>
    </row>
    <row r="450" spans="2:40" x14ac:dyDescent="0.3">
      <c r="B450" s="99" t="s">
        <v>1015</v>
      </c>
      <c r="C450" s="100">
        <v>45742</v>
      </c>
      <c r="D450" s="99" t="s">
        <v>40</v>
      </c>
      <c r="E450" s="99" t="s">
        <v>41</v>
      </c>
      <c r="F450" s="99" t="s">
        <v>16</v>
      </c>
      <c r="G450" s="99">
        <v>34</v>
      </c>
      <c r="H450" s="112">
        <v>950000</v>
      </c>
      <c r="I450" s="112">
        <v>32300000</v>
      </c>
      <c r="J450" s="99" t="s">
        <v>2253</v>
      </c>
      <c r="K450" s="99" t="s">
        <v>8</v>
      </c>
      <c r="N450" s="99" t="s">
        <v>2481</v>
      </c>
      <c r="O450" s="99" t="s">
        <v>127</v>
      </c>
      <c r="P450" s="100">
        <f t="shared" si="61"/>
        <v>45674</v>
      </c>
      <c r="Q450" s="101">
        <f t="shared" si="60"/>
        <v>349</v>
      </c>
      <c r="R450" s="99">
        <f t="shared" si="62"/>
        <v>1</v>
      </c>
      <c r="S450" s="101">
        <f t="shared" si="63"/>
        <v>18000000</v>
      </c>
      <c r="T450" s="99" t="str">
        <f t="shared" si="64"/>
        <v>Low</v>
      </c>
      <c r="U450" s="99" t="str">
        <f t="shared" si="65"/>
        <v>Low</v>
      </c>
      <c r="V450" s="99" t="str">
        <f t="shared" si="66"/>
        <v>Low</v>
      </c>
      <c r="W450" s="99" t="str">
        <f t="shared" si="67"/>
        <v>LLL</v>
      </c>
      <c r="X450" s="99" t="str">
        <f>VLOOKUP(W450,rfm[],2,FALSE)</f>
        <v>💤 Lost / Low Value</v>
      </c>
      <c r="AA450" s="99" t="s">
        <v>2481</v>
      </c>
      <c r="AB450" s="99" t="s">
        <v>127</v>
      </c>
      <c r="AC450" s="100">
        <v>45674</v>
      </c>
      <c r="AD450" s="101">
        <v>349</v>
      </c>
      <c r="AE450" s="101">
        <v>1</v>
      </c>
      <c r="AF450" s="101">
        <v>18000000</v>
      </c>
      <c r="AG450" s="99" t="str">
        <f>VLOOKUP(AA450,recency!$K$6:$P$818,6,0)</f>
        <v>Low</v>
      </c>
      <c r="AH450" s="132" t="str">
        <f>VLOOKUP(AA450,frequency!$F$6:$H$818,3,FALSE)</f>
        <v>Low</v>
      </c>
      <c r="AI450" s="129" t="str">
        <f>VLOOKUP(AA450,monetary!$B$5:$F$817,5,0)</f>
        <v>Low</v>
      </c>
      <c r="AJ450" s="99" t="str">
        <f t="shared" si="68"/>
        <v>LLL</v>
      </c>
      <c r="AK450" s="99" t="str">
        <f>VLOOKUP(AJ450,rfm[],2,0)</f>
        <v>💤 Lost / Low Value</v>
      </c>
      <c r="AN450" s="99" t="b">
        <f t="shared" si="69"/>
        <v>1</v>
      </c>
    </row>
    <row r="451" spans="2:40" x14ac:dyDescent="0.3">
      <c r="B451" s="99" t="s">
        <v>1016</v>
      </c>
      <c r="C451" s="100">
        <v>45742</v>
      </c>
      <c r="D451" s="99" t="s">
        <v>18</v>
      </c>
      <c r="E451" s="99" t="s">
        <v>19</v>
      </c>
      <c r="F451" s="99" t="s">
        <v>20</v>
      </c>
      <c r="G451" s="99">
        <v>7</v>
      </c>
      <c r="H451" s="112">
        <v>500000</v>
      </c>
      <c r="I451" s="112">
        <v>3500000</v>
      </c>
      <c r="J451" s="99" t="s">
        <v>2673</v>
      </c>
      <c r="K451" s="99" t="s">
        <v>8</v>
      </c>
      <c r="N451" s="99" t="s">
        <v>2482</v>
      </c>
      <c r="O451" s="99" t="s">
        <v>127</v>
      </c>
      <c r="P451" s="100">
        <f t="shared" si="61"/>
        <v>45813</v>
      </c>
      <c r="Q451" s="101">
        <f t="shared" si="60"/>
        <v>210</v>
      </c>
      <c r="R451" s="99">
        <f t="shared" si="62"/>
        <v>2</v>
      </c>
      <c r="S451" s="101">
        <f t="shared" si="63"/>
        <v>7325000</v>
      </c>
      <c r="T451" s="99" t="str">
        <f t="shared" si="64"/>
        <v>Low</v>
      </c>
      <c r="U451" s="99" t="str">
        <f t="shared" si="65"/>
        <v>Low</v>
      </c>
      <c r="V451" s="99" t="str">
        <f t="shared" si="66"/>
        <v>Low</v>
      </c>
      <c r="W451" s="99" t="str">
        <f t="shared" si="67"/>
        <v>LLL</v>
      </c>
      <c r="X451" s="99" t="str">
        <f>VLOOKUP(W451,rfm[],2,FALSE)</f>
        <v>💤 Lost / Low Value</v>
      </c>
      <c r="AA451" s="99" t="s">
        <v>2482</v>
      </c>
      <c r="AB451" s="99" t="s">
        <v>127</v>
      </c>
      <c r="AC451" s="100">
        <v>45813</v>
      </c>
      <c r="AD451" s="101">
        <v>210</v>
      </c>
      <c r="AE451" s="101">
        <v>2</v>
      </c>
      <c r="AF451" s="101">
        <v>7325000</v>
      </c>
      <c r="AG451" s="99" t="str">
        <f>VLOOKUP(AA451,recency!$K$6:$P$818,6,0)</f>
        <v>Low</v>
      </c>
      <c r="AH451" s="132" t="str">
        <f>VLOOKUP(AA451,frequency!$F$6:$H$818,3,FALSE)</f>
        <v>Low</v>
      </c>
      <c r="AI451" s="129" t="str">
        <f>VLOOKUP(AA451,monetary!$B$5:$F$817,5,0)</f>
        <v>Low</v>
      </c>
      <c r="AJ451" s="99" t="str">
        <f t="shared" si="68"/>
        <v>LLL</v>
      </c>
      <c r="AK451" s="99" t="str">
        <f>VLOOKUP(AJ451,rfm[],2,0)</f>
        <v>💤 Lost / Low Value</v>
      </c>
      <c r="AN451" s="99" t="b">
        <f t="shared" si="69"/>
        <v>1</v>
      </c>
    </row>
    <row r="452" spans="2:40" x14ac:dyDescent="0.3">
      <c r="B452" s="99" t="s">
        <v>1017</v>
      </c>
      <c r="C452" s="100">
        <v>45743</v>
      </c>
      <c r="D452" s="99" t="s">
        <v>44</v>
      </c>
      <c r="E452" s="99" t="s">
        <v>45</v>
      </c>
      <c r="F452" s="99" t="s">
        <v>16</v>
      </c>
      <c r="G452" s="99">
        <v>50</v>
      </c>
      <c r="H452" s="112">
        <v>250000</v>
      </c>
      <c r="I452" s="112">
        <v>12500000</v>
      </c>
      <c r="J452" s="99" t="s">
        <v>2652</v>
      </c>
      <c r="K452" s="99" t="s">
        <v>8</v>
      </c>
      <c r="N452" s="99" t="s">
        <v>2483</v>
      </c>
      <c r="O452" s="99" t="s">
        <v>8</v>
      </c>
      <c r="P452" s="100">
        <f t="shared" si="61"/>
        <v>45972</v>
      </c>
      <c r="Q452" s="101">
        <f t="shared" si="60"/>
        <v>51</v>
      </c>
      <c r="R452" s="99">
        <f t="shared" si="62"/>
        <v>3</v>
      </c>
      <c r="S452" s="101">
        <f t="shared" si="63"/>
        <v>28800000</v>
      </c>
      <c r="T452" s="99" t="str">
        <f t="shared" si="64"/>
        <v>High</v>
      </c>
      <c r="U452" s="99" t="str">
        <f t="shared" si="65"/>
        <v>High</v>
      </c>
      <c r="V452" s="99" t="str">
        <f t="shared" si="66"/>
        <v>High</v>
      </c>
      <c r="W452" s="99" t="str">
        <f t="shared" si="67"/>
        <v>HHH</v>
      </c>
      <c r="X452" s="99" t="str">
        <f>VLOOKUP(W452,rfm[],2,FALSE)</f>
        <v>🥇 Champions</v>
      </c>
      <c r="AA452" s="99" t="s">
        <v>2483</v>
      </c>
      <c r="AB452" s="99" t="s">
        <v>8</v>
      </c>
      <c r="AC452" s="100">
        <v>45972</v>
      </c>
      <c r="AD452" s="101">
        <v>51</v>
      </c>
      <c r="AE452" s="101">
        <v>3</v>
      </c>
      <c r="AF452" s="101">
        <v>28800000</v>
      </c>
      <c r="AG452" s="99" t="str">
        <f>VLOOKUP(AA452,recency!$K$6:$P$818,6,0)</f>
        <v>High</v>
      </c>
      <c r="AH452" s="132" t="str">
        <f>VLOOKUP(AA452,frequency!$F$6:$H$818,3,FALSE)</f>
        <v>High</v>
      </c>
      <c r="AI452" s="129" t="str">
        <f>VLOOKUP(AA452,monetary!$B$5:$F$817,5,0)</f>
        <v>Low</v>
      </c>
      <c r="AJ452" s="99" t="str">
        <f t="shared" si="68"/>
        <v>HHL</v>
      </c>
      <c r="AK452" s="99" t="str">
        <f>VLOOKUP(AJ452,rfm[],2,0)</f>
        <v>💎 Loyal High Value</v>
      </c>
      <c r="AN452" s="99" t="b">
        <f t="shared" si="69"/>
        <v>0</v>
      </c>
    </row>
    <row r="453" spans="2:40" x14ac:dyDescent="0.3">
      <c r="B453" s="99" t="s">
        <v>1018</v>
      </c>
      <c r="C453" s="100">
        <v>45743</v>
      </c>
      <c r="D453" s="99" t="s">
        <v>10</v>
      </c>
      <c r="E453" s="99" t="s">
        <v>11</v>
      </c>
      <c r="F453" s="99" t="s">
        <v>12</v>
      </c>
      <c r="G453" s="99">
        <v>44</v>
      </c>
      <c r="H453" s="112">
        <v>120000</v>
      </c>
      <c r="I453" s="112">
        <v>5280000</v>
      </c>
      <c r="J453" s="99" t="s">
        <v>2759</v>
      </c>
      <c r="K453" s="99" t="s">
        <v>60</v>
      </c>
      <c r="N453" s="99" t="s">
        <v>2484</v>
      </c>
      <c r="O453" s="99" t="s">
        <v>60</v>
      </c>
      <c r="P453" s="100">
        <f t="shared" si="61"/>
        <v>46013</v>
      </c>
      <c r="Q453" s="101">
        <f t="shared" si="60"/>
        <v>10</v>
      </c>
      <c r="R453" s="99">
        <f t="shared" si="62"/>
        <v>4</v>
      </c>
      <c r="S453" s="101">
        <f t="shared" si="63"/>
        <v>13515000</v>
      </c>
      <c r="T453" s="99" t="str">
        <f t="shared" si="64"/>
        <v>High</v>
      </c>
      <c r="U453" s="99" t="str">
        <f t="shared" si="65"/>
        <v>High</v>
      </c>
      <c r="V453" s="99" t="str">
        <f t="shared" si="66"/>
        <v>Low</v>
      </c>
      <c r="W453" s="99" t="str">
        <f t="shared" si="67"/>
        <v>HHL</v>
      </c>
      <c r="X453" s="99" t="str">
        <f>VLOOKUP(W453,rfm[],2,FALSE)</f>
        <v>💎 Loyal High Value</v>
      </c>
      <c r="AA453" s="99" t="s">
        <v>2484</v>
      </c>
      <c r="AB453" s="99" t="s">
        <v>60</v>
      </c>
      <c r="AC453" s="100">
        <v>46013</v>
      </c>
      <c r="AD453" s="101">
        <v>10</v>
      </c>
      <c r="AE453" s="101">
        <v>4</v>
      </c>
      <c r="AF453" s="101">
        <v>13515000</v>
      </c>
      <c r="AG453" s="99" t="str">
        <f>VLOOKUP(AA453,recency!$K$6:$P$818,6,0)</f>
        <v>High</v>
      </c>
      <c r="AH453" s="132" t="str">
        <f>VLOOKUP(AA453,frequency!$F$6:$H$818,3,FALSE)</f>
        <v>High</v>
      </c>
      <c r="AI453" s="129" t="str">
        <f>VLOOKUP(AA453,monetary!$B$5:$F$817,5,0)</f>
        <v>Low</v>
      </c>
      <c r="AJ453" s="99" t="str">
        <f t="shared" si="68"/>
        <v>HHL</v>
      </c>
      <c r="AK453" s="99" t="str">
        <f>VLOOKUP(AJ453,rfm[],2,0)</f>
        <v>💎 Loyal High Value</v>
      </c>
      <c r="AN453" s="99" t="b">
        <f t="shared" si="69"/>
        <v>1</v>
      </c>
    </row>
    <row r="454" spans="2:40" x14ac:dyDescent="0.3">
      <c r="B454" s="99" t="s">
        <v>1045</v>
      </c>
      <c r="C454" s="100">
        <v>45743</v>
      </c>
      <c r="D454" s="99" t="s">
        <v>28</v>
      </c>
      <c r="E454" s="99" t="s">
        <v>29</v>
      </c>
      <c r="F454" s="99" t="s">
        <v>20</v>
      </c>
      <c r="G454" s="99">
        <v>26</v>
      </c>
      <c r="H454" s="112">
        <v>450000</v>
      </c>
      <c r="I454" s="112">
        <v>11700000</v>
      </c>
      <c r="J454" s="99" t="s">
        <v>2643</v>
      </c>
      <c r="K454" s="99" t="s">
        <v>60</v>
      </c>
      <c r="N454" s="99" t="s">
        <v>2485</v>
      </c>
      <c r="O454" s="99" t="s">
        <v>127</v>
      </c>
      <c r="P454" s="100">
        <f t="shared" si="61"/>
        <v>46022</v>
      </c>
      <c r="Q454" s="101">
        <f t="shared" ref="Q454:Q517" si="70">analysis_date-P454</f>
        <v>1</v>
      </c>
      <c r="R454" s="99">
        <f t="shared" si="62"/>
        <v>3</v>
      </c>
      <c r="S454" s="101">
        <f t="shared" si="63"/>
        <v>67000000</v>
      </c>
      <c r="T454" s="99" t="str">
        <f t="shared" si="64"/>
        <v>High</v>
      </c>
      <c r="U454" s="99" t="str">
        <f t="shared" si="65"/>
        <v>High</v>
      </c>
      <c r="V454" s="99" t="str">
        <f t="shared" si="66"/>
        <v>High</v>
      </c>
      <c r="W454" s="99" t="str">
        <f t="shared" si="67"/>
        <v>HHH</v>
      </c>
      <c r="X454" s="99" t="str">
        <f>VLOOKUP(W454,rfm[],2,FALSE)</f>
        <v>🥇 Champions</v>
      </c>
      <c r="AA454" s="99" t="s">
        <v>2485</v>
      </c>
      <c r="AB454" s="99" t="s">
        <v>127</v>
      </c>
      <c r="AC454" s="100">
        <v>46022</v>
      </c>
      <c r="AD454" s="101">
        <v>1</v>
      </c>
      <c r="AE454" s="101">
        <v>3</v>
      </c>
      <c r="AF454" s="101">
        <v>67000000</v>
      </c>
      <c r="AG454" s="99" t="str">
        <f>VLOOKUP(AA454,recency!$K$6:$P$818,6,0)</f>
        <v>High</v>
      </c>
      <c r="AH454" s="132" t="str">
        <f>VLOOKUP(AA454,frequency!$F$6:$H$818,3,FALSE)</f>
        <v>High</v>
      </c>
      <c r="AI454" s="129" t="str">
        <f>VLOOKUP(AA454,monetary!$B$5:$F$817,5,0)</f>
        <v>High</v>
      </c>
      <c r="AJ454" s="99" t="str">
        <f t="shared" si="68"/>
        <v>HHH</v>
      </c>
      <c r="AK454" s="99" t="str">
        <f>VLOOKUP(AJ454,rfm[],2,0)</f>
        <v>🥇 Champions</v>
      </c>
      <c r="AN454" s="99" t="b">
        <f t="shared" si="69"/>
        <v>1</v>
      </c>
    </row>
    <row r="455" spans="2:40" x14ac:dyDescent="0.3">
      <c r="B455" s="99" t="s">
        <v>1046</v>
      </c>
      <c r="C455" s="100">
        <v>45743</v>
      </c>
      <c r="D455" s="99" t="s">
        <v>28</v>
      </c>
      <c r="E455" s="99" t="s">
        <v>29</v>
      </c>
      <c r="F455" s="99" t="s">
        <v>20</v>
      </c>
      <c r="G455" s="99">
        <v>19</v>
      </c>
      <c r="H455" s="112">
        <v>450000</v>
      </c>
      <c r="I455" s="112">
        <v>8550000</v>
      </c>
      <c r="J455" s="99" t="s">
        <v>2372</v>
      </c>
      <c r="K455" s="99" t="s">
        <v>8</v>
      </c>
      <c r="N455" s="99" t="s">
        <v>2486</v>
      </c>
      <c r="O455" s="99" t="s">
        <v>127</v>
      </c>
      <c r="P455" s="100">
        <f t="shared" ref="P455:P518" si="71">_xlfn.MAXIFS($C$6:$C$2005,$J$6:$J$2005,N455)</f>
        <v>45985</v>
      </c>
      <c r="Q455" s="101">
        <f t="shared" si="70"/>
        <v>38</v>
      </c>
      <c r="R455" s="99">
        <f t="shared" ref="R455:R518" si="72">COUNTIFS($J$6:$J$2005,N455)</f>
        <v>5</v>
      </c>
      <c r="S455" s="101">
        <f t="shared" ref="S455:S518" si="73">SUMIFS($I$6:$I$2005,$J$6:$J$2005,N455)</f>
        <v>54250000</v>
      </c>
      <c r="T455" s="99" t="str">
        <f t="shared" ref="T455:T518" si="74">IF(Q455&lt;MEDIAN($Q$6:$Q$817),"High","Low")</f>
        <v>High</v>
      </c>
      <c r="U455" s="99" t="str">
        <f t="shared" ref="U455:U518" si="75">IF(R455&gt;MEDIAN($R$6:$R$817),"High","Low")</f>
        <v>High</v>
      </c>
      <c r="V455" s="99" t="str">
        <f t="shared" ref="V455:V518" si="76">IF(S455&gt;MEDIAN($S$6:$S$817),"High","Low")</f>
        <v>High</v>
      </c>
      <c r="W455" s="99" t="str">
        <f t="shared" ref="W455:W518" si="77">_xlfn.CONCAT(LEFT(T455,1),LEFT(U455,1),LEFT(V455,1))</f>
        <v>HHH</v>
      </c>
      <c r="X455" s="99" t="str">
        <f>VLOOKUP(W455,rfm[],2,FALSE)</f>
        <v>🥇 Champions</v>
      </c>
      <c r="AA455" s="99" t="s">
        <v>2486</v>
      </c>
      <c r="AB455" s="99" t="s">
        <v>127</v>
      </c>
      <c r="AC455" s="100">
        <v>45985</v>
      </c>
      <c r="AD455" s="101">
        <v>38</v>
      </c>
      <c r="AE455" s="101">
        <v>5</v>
      </c>
      <c r="AF455" s="101">
        <v>54250000</v>
      </c>
      <c r="AG455" s="99" t="str">
        <f>VLOOKUP(AA455,recency!$K$6:$P$818,6,0)</f>
        <v>High</v>
      </c>
      <c r="AH455" s="132" t="str">
        <f>VLOOKUP(AA455,frequency!$F$6:$H$818,3,FALSE)</f>
        <v>High</v>
      </c>
      <c r="AI455" s="129" t="str">
        <f>VLOOKUP(AA455,monetary!$B$5:$F$817,5,0)</f>
        <v>High</v>
      </c>
      <c r="AJ455" s="99" t="str">
        <f t="shared" ref="AJ455:AJ518" si="78">_xlfn.CONCAT(LEFT(AG455,1),LEFT(AH455,1),LEFT(AI455,1))</f>
        <v>HHH</v>
      </c>
      <c r="AK455" s="99" t="str">
        <f>VLOOKUP(AJ455,rfm[],2,0)</f>
        <v>🥇 Champions</v>
      </c>
      <c r="AN455" s="99" t="b">
        <f t="shared" ref="AN455:AN518" si="79">AJ455=W455</f>
        <v>1</v>
      </c>
    </row>
    <row r="456" spans="2:40" x14ac:dyDescent="0.3">
      <c r="B456" s="99" t="s">
        <v>1047</v>
      </c>
      <c r="C456" s="100">
        <v>45743</v>
      </c>
      <c r="D456" s="99" t="s">
        <v>28</v>
      </c>
      <c r="E456" s="99" t="s">
        <v>29</v>
      </c>
      <c r="F456" s="99" t="s">
        <v>20</v>
      </c>
      <c r="G456" s="99">
        <v>18</v>
      </c>
      <c r="H456" s="112">
        <v>450000</v>
      </c>
      <c r="I456" s="112">
        <v>8100000</v>
      </c>
      <c r="J456" s="99" t="s">
        <v>2663</v>
      </c>
      <c r="K456" s="99" t="s">
        <v>8</v>
      </c>
      <c r="N456" s="99" t="s">
        <v>2487</v>
      </c>
      <c r="O456" s="99" t="s">
        <v>47</v>
      </c>
      <c r="P456" s="100">
        <f t="shared" si="71"/>
        <v>45994</v>
      </c>
      <c r="Q456" s="101">
        <f t="shared" si="70"/>
        <v>29</v>
      </c>
      <c r="R456" s="99">
        <f t="shared" si="72"/>
        <v>2</v>
      </c>
      <c r="S456" s="101">
        <f t="shared" si="73"/>
        <v>35100000</v>
      </c>
      <c r="T456" s="99" t="str">
        <f t="shared" si="74"/>
        <v>High</v>
      </c>
      <c r="U456" s="99" t="str">
        <f t="shared" si="75"/>
        <v>Low</v>
      </c>
      <c r="V456" s="99" t="str">
        <f t="shared" si="76"/>
        <v>High</v>
      </c>
      <c r="W456" s="99" t="str">
        <f t="shared" si="77"/>
        <v>HLH</v>
      </c>
      <c r="X456" s="99" t="str">
        <f>VLOOKUP(W456,rfm[],2,FALSE)</f>
        <v>🛒 Big Spenders (Occasional)</v>
      </c>
      <c r="AA456" s="99" t="s">
        <v>2487</v>
      </c>
      <c r="AB456" s="99" t="s">
        <v>47</v>
      </c>
      <c r="AC456" s="100">
        <v>45994</v>
      </c>
      <c r="AD456" s="101">
        <v>29</v>
      </c>
      <c r="AE456" s="101">
        <v>2</v>
      </c>
      <c r="AF456" s="101">
        <v>35100000</v>
      </c>
      <c r="AG456" s="99" t="str">
        <f>VLOOKUP(AA456,recency!$K$6:$P$818,6,0)</f>
        <v>High</v>
      </c>
      <c r="AH456" s="132" t="str">
        <f>VLOOKUP(AA456,frequency!$F$6:$H$818,3,FALSE)</f>
        <v>Low</v>
      </c>
      <c r="AI456" s="129" t="str">
        <f>VLOOKUP(AA456,monetary!$B$5:$F$817,5,0)</f>
        <v>Low</v>
      </c>
      <c r="AJ456" s="99" t="str">
        <f t="shared" si="78"/>
        <v>HLL</v>
      </c>
      <c r="AK456" s="99" t="str">
        <f>VLOOKUP(AJ456,rfm[],2,0)</f>
        <v>🌱 Potential Loyalists</v>
      </c>
      <c r="AN456" s="99" t="b">
        <f t="shared" si="79"/>
        <v>0</v>
      </c>
    </row>
    <row r="457" spans="2:40" x14ac:dyDescent="0.3">
      <c r="B457" s="99" t="s">
        <v>1048</v>
      </c>
      <c r="C457" s="100">
        <v>45744</v>
      </c>
      <c r="D457" s="99" t="s">
        <v>31</v>
      </c>
      <c r="E457" s="99" t="s">
        <v>32</v>
      </c>
      <c r="F457" s="99" t="s">
        <v>20</v>
      </c>
      <c r="G457" s="99">
        <v>22</v>
      </c>
      <c r="H457" s="112">
        <v>180000</v>
      </c>
      <c r="I457" s="112">
        <v>3960000</v>
      </c>
      <c r="J457" s="99" t="s">
        <v>2825</v>
      </c>
      <c r="K457" s="99" t="s">
        <v>127</v>
      </c>
      <c r="N457" s="99" t="s">
        <v>2488</v>
      </c>
      <c r="O457" s="99" t="s">
        <v>8</v>
      </c>
      <c r="P457" s="100">
        <f t="shared" si="71"/>
        <v>45986</v>
      </c>
      <c r="Q457" s="101">
        <f t="shared" si="70"/>
        <v>37</v>
      </c>
      <c r="R457" s="99">
        <f t="shared" si="72"/>
        <v>3</v>
      </c>
      <c r="S457" s="101">
        <f t="shared" si="73"/>
        <v>900500000</v>
      </c>
      <c r="T457" s="99" t="str">
        <f t="shared" si="74"/>
        <v>High</v>
      </c>
      <c r="U457" s="99" t="str">
        <f t="shared" si="75"/>
        <v>High</v>
      </c>
      <c r="V457" s="99" t="str">
        <f t="shared" si="76"/>
        <v>High</v>
      </c>
      <c r="W457" s="99" t="str">
        <f t="shared" si="77"/>
        <v>HHH</v>
      </c>
      <c r="X457" s="99" t="str">
        <f>VLOOKUP(W457,rfm[],2,FALSE)</f>
        <v>🥇 Champions</v>
      </c>
      <c r="AA457" s="99" t="s">
        <v>2488</v>
      </c>
      <c r="AB457" s="99" t="s">
        <v>8</v>
      </c>
      <c r="AC457" s="100">
        <v>45986</v>
      </c>
      <c r="AD457" s="101">
        <v>37</v>
      </c>
      <c r="AE457" s="101">
        <v>3</v>
      </c>
      <c r="AF457" s="101">
        <v>900500000</v>
      </c>
      <c r="AG457" s="99" t="str">
        <f>VLOOKUP(AA457,recency!$K$6:$P$818,6,0)</f>
        <v>High</v>
      </c>
      <c r="AH457" s="132" t="str">
        <f>VLOOKUP(AA457,frequency!$F$6:$H$818,3,FALSE)</f>
        <v>High</v>
      </c>
      <c r="AI457" s="129" t="str">
        <f>VLOOKUP(AA457,monetary!$B$5:$F$817,5,0)</f>
        <v>High</v>
      </c>
      <c r="AJ457" s="99" t="str">
        <f t="shared" si="78"/>
        <v>HHH</v>
      </c>
      <c r="AK457" s="99" t="str">
        <f>VLOOKUP(AJ457,rfm[],2,0)</f>
        <v>🥇 Champions</v>
      </c>
      <c r="AN457" s="99" t="b">
        <f t="shared" si="79"/>
        <v>1</v>
      </c>
    </row>
    <row r="458" spans="2:40" x14ac:dyDescent="0.3">
      <c r="B458" s="99" t="s">
        <v>1049</v>
      </c>
      <c r="C458" s="100">
        <v>45744</v>
      </c>
      <c r="D458" s="99" t="s">
        <v>28</v>
      </c>
      <c r="E458" s="99" t="s">
        <v>29</v>
      </c>
      <c r="F458" s="99" t="s">
        <v>20</v>
      </c>
      <c r="G458" s="99">
        <v>49</v>
      </c>
      <c r="H458" s="112">
        <v>450000</v>
      </c>
      <c r="I458" s="112">
        <v>22050000</v>
      </c>
      <c r="J458" s="99" t="s">
        <v>2190</v>
      </c>
      <c r="K458" s="99" t="s">
        <v>8</v>
      </c>
      <c r="N458" s="99" t="s">
        <v>2489</v>
      </c>
      <c r="O458" s="99" t="s">
        <v>69</v>
      </c>
      <c r="P458" s="100">
        <f t="shared" si="71"/>
        <v>45733</v>
      </c>
      <c r="Q458" s="101">
        <f t="shared" si="70"/>
        <v>290</v>
      </c>
      <c r="R458" s="99">
        <f t="shared" si="72"/>
        <v>1</v>
      </c>
      <c r="S458" s="101">
        <f t="shared" si="73"/>
        <v>2760000</v>
      </c>
      <c r="T458" s="99" t="str">
        <f t="shared" si="74"/>
        <v>Low</v>
      </c>
      <c r="U458" s="99" t="str">
        <f t="shared" si="75"/>
        <v>Low</v>
      </c>
      <c r="V458" s="99" t="str">
        <f t="shared" si="76"/>
        <v>Low</v>
      </c>
      <c r="W458" s="99" t="str">
        <f t="shared" si="77"/>
        <v>LLL</v>
      </c>
      <c r="X458" s="99" t="str">
        <f>VLOOKUP(W458,rfm[],2,FALSE)</f>
        <v>💤 Lost / Low Value</v>
      </c>
      <c r="AA458" s="99" t="s">
        <v>2489</v>
      </c>
      <c r="AB458" s="99" t="s">
        <v>69</v>
      </c>
      <c r="AC458" s="100">
        <v>45733</v>
      </c>
      <c r="AD458" s="101">
        <v>290</v>
      </c>
      <c r="AE458" s="101">
        <v>1</v>
      </c>
      <c r="AF458" s="101">
        <v>2760000</v>
      </c>
      <c r="AG458" s="99" t="str">
        <f>VLOOKUP(AA458,recency!$K$6:$P$818,6,0)</f>
        <v>Low</v>
      </c>
      <c r="AH458" s="132" t="str">
        <f>VLOOKUP(AA458,frequency!$F$6:$H$818,3,FALSE)</f>
        <v>Low</v>
      </c>
      <c r="AI458" s="129" t="str">
        <f>VLOOKUP(AA458,monetary!$B$5:$F$817,5,0)</f>
        <v>Low</v>
      </c>
      <c r="AJ458" s="99" t="str">
        <f t="shared" si="78"/>
        <v>LLL</v>
      </c>
      <c r="AK458" s="99" t="str">
        <f>VLOOKUP(AJ458,rfm[],2,0)</f>
        <v>💤 Lost / Low Value</v>
      </c>
      <c r="AN458" s="99" t="b">
        <f t="shared" si="79"/>
        <v>1</v>
      </c>
    </row>
    <row r="459" spans="2:40" x14ac:dyDescent="0.3">
      <c r="B459" s="99" t="s">
        <v>1050</v>
      </c>
      <c r="C459" s="100">
        <v>45744</v>
      </c>
      <c r="D459" s="99" t="s">
        <v>10</v>
      </c>
      <c r="E459" s="99" t="s">
        <v>11</v>
      </c>
      <c r="F459" s="99" t="s">
        <v>12</v>
      </c>
      <c r="G459" s="99">
        <v>21</v>
      </c>
      <c r="H459" s="112">
        <v>120000</v>
      </c>
      <c r="I459" s="112">
        <v>2520000</v>
      </c>
      <c r="J459" s="99" t="s">
        <v>2248</v>
      </c>
      <c r="K459" s="99" t="s">
        <v>60</v>
      </c>
      <c r="N459" s="99" t="s">
        <v>2490</v>
      </c>
      <c r="O459" s="99" t="s">
        <v>8</v>
      </c>
      <c r="P459" s="100">
        <f t="shared" si="71"/>
        <v>45910</v>
      </c>
      <c r="Q459" s="101">
        <f t="shared" si="70"/>
        <v>113</v>
      </c>
      <c r="R459" s="99">
        <f t="shared" si="72"/>
        <v>1</v>
      </c>
      <c r="S459" s="101">
        <f t="shared" si="73"/>
        <v>7200000</v>
      </c>
      <c r="T459" s="99" t="str">
        <f t="shared" si="74"/>
        <v>Low</v>
      </c>
      <c r="U459" s="99" t="str">
        <f t="shared" si="75"/>
        <v>Low</v>
      </c>
      <c r="V459" s="99" t="str">
        <f t="shared" si="76"/>
        <v>Low</v>
      </c>
      <c r="W459" s="99" t="str">
        <f t="shared" si="77"/>
        <v>LLL</v>
      </c>
      <c r="X459" s="99" t="str">
        <f>VLOOKUP(W459,rfm[],2,FALSE)</f>
        <v>💤 Lost / Low Value</v>
      </c>
      <c r="AA459" s="99" t="s">
        <v>2490</v>
      </c>
      <c r="AB459" s="99" t="s">
        <v>8</v>
      </c>
      <c r="AC459" s="100">
        <v>45910</v>
      </c>
      <c r="AD459" s="101">
        <v>113</v>
      </c>
      <c r="AE459" s="101">
        <v>1</v>
      </c>
      <c r="AF459" s="101">
        <v>7200000</v>
      </c>
      <c r="AG459" s="99" t="str">
        <f>VLOOKUP(AA459,recency!$K$6:$P$818,6,0)</f>
        <v>Low</v>
      </c>
      <c r="AH459" s="132" t="str">
        <f>VLOOKUP(AA459,frequency!$F$6:$H$818,3,FALSE)</f>
        <v>Low</v>
      </c>
      <c r="AI459" s="129" t="str">
        <f>VLOOKUP(AA459,monetary!$B$5:$F$817,5,0)</f>
        <v>Low</v>
      </c>
      <c r="AJ459" s="99" t="str">
        <f t="shared" si="78"/>
        <v>LLL</v>
      </c>
      <c r="AK459" s="99" t="str">
        <f>VLOOKUP(AJ459,rfm[],2,0)</f>
        <v>💤 Lost / Low Value</v>
      </c>
      <c r="AN459" s="99" t="b">
        <f t="shared" si="79"/>
        <v>1</v>
      </c>
    </row>
    <row r="460" spans="2:40" x14ac:dyDescent="0.3">
      <c r="B460" s="99" t="s">
        <v>1051</v>
      </c>
      <c r="C460" s="100">
        <v>45744</v>
      </c>
      <c r="D460" s="99" t="s">
        <v>28</v>
      </c>
      <c r="E460" s="99" t="s">
        <v>29</v>
      </c>
      <c r="F460" s="99" t="s">
        <v>20</v>
      </c>
      <c r="G460" s="99">
        <v>19</v>
      </c>
      <c r="H460" s="112">
        <v>450000</v>
      </c>
      <c r="I460" s="112">
        <v>8550000</v>
      </c>
      <c r="J460" s="99" t="s">
        <v>379</v>
      </c>
      <c r="K460" s="99" t="s">
        <v>127</v>
      </c>
      <c r="N460" s="99" t="s">
        <v>2491</v>
      </c>
      <c r="O460" s="99" t="s">
        <v>47</v>
      </c>
      <c r="P460" s="100">
        <f t="shared" si="71"/>
        <v>45960</v>
      </c>
      <c r="Q460" s="101">
        <f t="shared" si="70"/>
        <v>63</v>
      </c>
      <c r="R460" s="99">
        <f t="shared" si="72"/>
        <v>1</v>
      </c>
      <c r="S460" s="101">
        <f t="shared" si="73"/>
        <v>5640000</v>
      </c>
      <c r="T460" s="99" t="str">
        <f t="shared" si="74"/>
        <v>High</v>
      </c>
      <c r="U460" s="99" t="str">
        <f t="shared" si="75"/>
        <v>Low</v>
      </c>
      <c r="V460" s="99" t="str">
        <f t="shared" si="76"/>
        <v>Low</v>
      </c>
      <c r="W460" s="99" t="str">
        <f t="shared" si="77"/>
        <v>HLL</v>
      </c>
      <c r="X460" s="99" t="str">
        <f>VLOOKUP(W460,rfm[],2,FALSE)</f>
        <v>🌱 Potential Loyalists</v>
      </c>
      <c r="AA460" s="99" t="s">
        <v>2491</v>
      </c>
      <c r="AB460" s="99" t="s">
        <v>47</v>
      </c>
      <c r="AC460" s="100">
        <v>45960</v>
      </c>
      <c r="AD460" s="101">
        <v>63</v>
      </c>
      <c r="AE460" s="101">
        <v>1</v>
      </c>
      <c r="AF460" s="101">
        <v>5640000</v>
      </c>
      <c r="AG460" s="99" t="str">
        <f>VLOOKUP(AA460,recency!$K$6:$P$818,6,0)</f>
        <v>Low</v>
      </c>
      <c r="AH460" s="132" t="str">
        <f>VLOOKUP(AA460,frequency!$F$6:$H$818,3,FALSE)</f>
        <v>Low</v>
      </c>
      <c r="AI460" s="129" t="str">
        <f>VLOOKUP(AA460,monetary!$B$5:$F$817,5,0)</f>
        <v>Low</v>
      </c>
      <c r="AJ460" s="99" t="str">
        <f t="shared" si="78"/>
        <v>LLL</v>
      </c>
      <c r="AK460" s="99" t="str">
        <f>VLOOKUP(AJ460,rfm[],2,0)</f>
        <v>💤 Lost / Low Value</v>
      </c>
      <c r="AN460" s="99" t="b">
        <f t="shared" si="79"/>
        <v>0</v>
      </c>
    </row>
    <row r="461" spans="2:40" x14ac:dyDescent="0.3">
      <c r="B461" s="99" t="s">
        <v>1052</v>
      </c>
      <c r="C461" s="100">
        <v>45744</v>
      </c>
      <c r="D461" s="99" t="s">
        <v>22</v>
      </c>
      <c r="E461" s="99" t="s">
        <v>23</v>
      </c>
      <c r="F461" s="99" t="s">
        <v>12</v>
      </c>
      <c r="G461" s="99">
        <v>19</v>
      </c>
      <c r="H461" s="112">
        <v>25000</v>
      </c>
      <c r="I461" s="112">
        <v>475000</v>
      </c>
      <c r="J461" s="99" t="s">
        <v>2126</v>
      </c>
      <c r="K461" s="99" t="s">
        <v>127</v>
      </c>
      <c r="N461" s="99" t="s">
        <v>2492</v>
      </c>
      <c r="O461" s="99" t="s">
        <v>127</v>
      </c>
      <c r="P461" s="100">
        <f t="shared" si="71"/>
        <v>45960</v>
      </c>
      <c r="Q461" s="101">
        <f t="shared" si="70"/>
        <v>63</v>
      </c>
      <c r="R461" s="99">
        <f t="shared" si="72"/>
        <v>1</v>
      </c>
      <c r="S461" s="101">
        <f t="shared" si="73"/>
        <v>16800000</v>
      </c>
      <c r="T461" s="99" t="str">
        <f t="shared" si="74"/>
        <v>High</v>
      </c>
      <c r="U461" s="99" t="str">
        <f t="shared" si="75"/>
        <v>Low</v>
      </c>
      <c r="V461" s="99" t="str">
        <f t="shared" si="76"/>
        <v>Low</v>
      </c>
      <c r="W461" s="99" t="str">
        <f t="shared" si="77"/>
        <v>HLL</v>
      </c>
      <c r="X461" s="99" t="str">
        <f>VLOOKUP(W461,rfm[],2,FALSE)</f>
        <v>🌱 Potential Loyalists</v>
      </c>
      <c r="AA461" s="99" t="s">
        <v>2492</v>
      </c>
      <c r="AB461" s="99" t="s">
        <v>127</v>
      </c>
      <c r="AC461" s="100">
        <v>45960</v>
      </c>
      <c r="AD461" s="101">
        <v>63</v>
      </c>
      <c r="AE461" s="101">
        <v>1</v>
      </c>
      <c r="AF461" s="101">
        <v>16800000</v>
      </c>
      <c r="AG461" s="99" t="str">
        <f>VLOOKUP(AA461,recency!$K$6:$P$818,6,0)</f>
        <v>Low</v>
      </c>
      <c r="AH461" s="132" t="str">
        <f>VLOOKUP(AA461,frequency!$F$6:$H$818,3,FALSE)</f>
        <v>Low</v>
      </c>
      <c r="AI461" s="129" t="str">
        <f>VLOOKUP(AA461,monetary!$B$5:$F$817,5,0)</f>
        <v>Low</v>
      </c>
      <c r="AJ461" s="99" t="str">
        <f t="shared" si="78"/>
        <v>LLL</v>
      </c>
      <c r="AK461" s="99" t="str">
        <f>VLOOKUP(AJ461,rfm[],2,0)</f>
        <v>💤 Lost / Low Value</v>
      </c>
      <c r="AN461" s="99" t="b">
        <f t="shared" si="79"/>
        <v>0</v>
      </c>
    </row>
    <row r="462" spans="2:40" x14ac:dyDescent="0.3">
      <c r="B462" s="99" t="s">
        <v>1080</v>
      </c>
      <c r="C462" s="100">
        <v>45744</v>
      </c>
      <c r="D462" s="99" t="s">
        <v>10</v>
      </c>
      <c r="E462" s="99" t="s">
        <v>11</v>
      </c>
      <c r="F462" s="99" t="s">
        <v>12</v>
      </c>
      <c r="G462" s="99">
        <v>12</v>
      </c>
      <c r="H462" s="112">
        <v>120000</v>
      </c>
      <c r="I462" s="112">
        <v>1440000</v>
      </c>
      <c r="J462" s="99" t="s">
        <v>2274</v>
      </c>
      <c r="K462" s="99" t="s">
        <v>60</v>
      </c>
      <c r="N462" s="99" t="s">
        <v>2493</v>
      </c>
      <c r="O462" s="99" t="s">
        <v>69</v>
      </c>
      <c r="P462" s="100">
        <f t="shared" si="71"/>
        <v>45945</v>
      </c>
      <c r="Q462" s="101">
        <f t="shared" si="70"/>
        <v>78</v>
      </c>
      <c r="R462" s="99">
        <f t="shared" si="72"/>
        <v>1</v>
      </c>
      <c r="S462" s="101">
        <f t="shared" si="73"/>
        <v>21150000</v>
      </c>
      <c r="T462" s="99" t="str">
        <f t="shared" si="74"/>
        <v>High</v>
      </c>
      <c r="U462" s="99" t="str">
        <f t="shared" si="75"/>
        <v>Low</v>
      </c>
      <c r="V462" s="99" t="str">
        <f t="shared" si="76"/>
        <v>High</v>
      </c>
      <c r="W462" s="99" t="str">
        <f t="shared" si="77"/>
        <v>HLH</v>
      </c>
      <c r="X462" s="99" t="str">
        <f>VLOOKUP(W462,rfm[],2,FALSE)</f>
        <v>🛒 Big Spenders (Occasional)</v>
      </c>
      <c r="AA462" s="99" t="s">
        <v>2493</v>
      </c>
      <c r="AB462" s="99" t="s">
        <v>69</v>
      </c>
      <c r="AC462" s="100">
        <v>45945</v>
      </c>
      <c r="AD462" s="101">
        <v>78</v>
      </c>
      <c r="AE462" s="101">
        <v>1</v>
      </c>
      <c r="AF462" s="101">
        <v>21150000</v>
      </c>
      <c r="AG462" s="99" t="str">
        <f>VLOOKUP(AA462,recency!$K$6:$P$818,6,0)</f>
        <v>Low</v>
      </c>
      <c r="AH462" s="132" t="str">
        <f>VLOOKUP(AA462,frequency!$F$6:$H$818,3,FALSE)</f>
        <v>Low</v>
      </c>
      <c r="AI462" s="129" t="str">
        <f>VLOOKUP(AA462,monetary!$B$5:$F$817,5,0)</f>
        <v>Low</v>
      </c>
      <c r="AJ462" s="99" t="str">
        <f t="shared" si="78"/>
        <v>LLL</v>
      </c>
      <c r="AK462" s="99" t="str">
        <f>VLOOKUP(AJ462,rfm[],2,0)</f>
        <v>💤 Lost / Low Value</v>
      </c>
      <c r="AN462" s="99" t="b">
        <f t="shared" si="79"/>
        <v>0</v>
      </c>
    </row>
    <row r="463" spans="2:40" x14ac:dyDescent="0.3">
      <c r="B463" s="99" t="s">
        <v>1081</v>
      </c>
      <c r="C463" s="100">
        <v>45744</v>
      </c>
      <c r="D463" s="99" t="s">
        <v>18</v>
      </c>
      <c r="E463" s="99" t="s">
        <v>19</v>
      </c>
      <c r="F463" s="99" t="s">
        <v>20</v>
      </c>
      <c r="G463" s="99">
        <v>34</v>
      </c>
      <c r="H463" s="112">
        <v>500000</v>
      </c>
      <c r="I463" s="112">
        <v>17000000</v>
      </c>
      <c r="J463" s="99" t="s">
        <v>2191</v>
      </c>
      <c r="K463" s="99" t="s">
        <v>69</v>
      </c>
      <c r="N463" s="99" t="s">
        <v>2494</v>
      </c>
      <c r="O463" s="99" t="s">
        <v>8</v>
      </c>
      <c r="P463" s="100">
        <f t="shared" si="71"/>
        <v>46000</v>
      </c>
      <c r="Q463" s="101">
        <f t="shared" si="70"/>
        <v>23</v>
      </c>
      <c r="R463" s="99">
        <f t="shared" si="72"/>
        <v>2</v>
      </c>
      <c r="S463" s="101">
        <f t="shared" si="73"/>
        <v>19200000</v>
      </c>
      <c r="T463" s="99" t="str">
        <f t="shared" si="74"/>
        <v>High</v>
      </c>
      <c r="U463" s="99" t="str">
        <f t="shared" si="75"/>
        <v>Low</v>
      </c>
      <c r="V463" s="99" t="str">
        <f t="shared" si="76"/>
        <v>High</v>
      </c>
      <c r="W463" s="99" t="str">
        <f t="shared" si="77"/>
        <v>HLH</v>
      </c>
      <c r="X463" s="99" t="str">
        <f>VLOOKUP(W463,rfm[],2,FALSE)</f>
        <v>🛒 Big Spenders (Occasional)</v>
      </c>
      <c r="AA463" s="99" t="s">
        <v>2494</v>
      </c>
      <c r="AB463" s="99" t="s">
        <v>8</v>
      </c>
      <c r="AC463" s="100">
        <v>46000</v>
      </c>
      <c r="AD463" s="101">
        <v>23</v>
      </c>
      <c r="AE463" s="101">
        <v>2</v>
      </c>
      <c r="AF463" s="101">
        <v>19200000</v>
      </c>
      <c r="AG463" s="99" t="str">
        <f>VLOOKUP(AA463,recency!$K$6:$P$818,6,0)</f>
        <v>High</v>
      </c>
      <c r="AH463" s="132" t="str">
        <f>VLOOKUP(AA463,frequency!$F$6:$H$818,3,FALSE)</f>
        <v>Low</v>
      </c>
      <c r="AI463" s="129" t="str">
        <f>VLOOKUP(AA463,monetary!$B$5:$F$817,5,0)</f>
        <v>Low</v>
      </c>
      <c r="AJ463" s="99" t="str">
        <f t="shared" si="78"/>
        <v>HLL</v>
      </c>
      <c r="AK463" s="99" t="str">
        <f>VLOOKUP(AJ463,rfm[],2,0)</f>
        <v>🌱 Potential Loyalists</v>
      </c>
      <c r="AN463" s="99" t="b">
        <f t="shared" si="79"/>
        <v>0</v>
      </c>
    </row>
    <row r="464" spans="2:40" x14ac:dyDescent="0.3">
      <c r="B464" s="99" t="s">
        <v>1082</v>
      </c>
      <c r="C464" s="100">
        <v>45744</v>
      </c>
      <c r="D464" s="99" t="s">
        <v>31</v>
      </c>
      <c r="E464" s="99" t="s">
        <v>32</v>
      </c>
      <c r="F464" s="99" t="s">
        <v>20</v>
      </c>
      <c r="G464" s="99">
        <v>44</v>
      </c>
      <c r="H464" s="112">
        <v>180000</v>
      </c>
      <c r="I464" s="112">
        <v>7920000</v>
      </c>
      <c r="J464" s="99" t="s">
        <v>2597</v>
      </c>
      <c r="K464" s="99" t="s">
        <v>8</v>
      </c>
      <c r="N464" s="99" t="s">
        <v>2495</v>
      </c>
      <c r="O464" s="99" t="s">
        <v>60</v>
      </c>
      <c r="P464" s="100">
        <f t="shared" si="71"/>
        <v>45940</v>
      </c>
      <c r="Q464" s="101">
        <f t="shared" si="70"/>
        <v>83</v>
      </c>
      <c r="R464" s="99">
        <f t="shared" si="72"/>
        <v>5</v>
      </c>
      <c r="S464" s="101">
        <f t="shared" si="73"/>
        <v>54710000</v>
      </c>
      <c r="T464" s="99" t="str">
        <f t="shared" si="74"/>
        <v>High</v>
      </c>
      <c r="U464" s="99" t="str">
        <f t="shared" si="75"/>
        <v>High</v>
      </c>
      <c r="V464" s="99" t="str">
        <f t="shared" si="76"/>
        <v>High</v>
      </c>
      <c r="W464" s="99" t="str">
        <f t="shared" si="77"/>
        <v>HHH</v>
      </c>
      <c r="X464" s="99" t="str">
        <f>VLOOKUP(W464,rfm[],2,FALSE)</f>
        <v>🥇 Champions</v>
      </c>
      <c r="AA464" s="99" t="s">
        <v>2495</v>
      </c>
      <c r="AB464" s="99" t="s">
        <v>60</v>
      </c>
      <c r="AC464" s="100">
        <v>45940</v>
      </c>
      <c r="AD464" s="101">
        <v>83</v>
      </c>
      <c r="AE464" s="101">
        <v>5</v>
      </c>
      <c r="AF464" s="101">
        <v>54710000</v>
      </c>
      <c r="AG464" s="99" t="str">
        <f>VLOOKUP(AA464,recency!$K$6:$P$818,6,0)</f>
        <v>Low</v>
      </c>
      <c r="AH464" s="132" t="str">
        <f>VLOOKUP(AA464,frequency!$F$6:$H$818,3,FALSE)</f>
        <v>High</v>
      </c>
      <c r="AI464" s="129" t="str">
        <f>VLOOKUP(AA464,monetary!$B$5:$F$817,5,0)</f>
        <v>High</v>
      </c>
      <c r="AJ464" s="99" t="str">
        <f t="shared" si="78"/>
        <v>LHH</v>
      </c>
      <c r="AK464" s="99" t="str">
        <f>VLOOKUP(AJ464,rfm[],2,0)</f>
        <v>⚠️ At Risk High Value</v>
      </c>
      <c r="AN464" s="99" t="b">
        <f t="shared" si="79"/>
        <v>0</v>
      </c>
    </row>
    <row r="465" spans="2:40" x14ac:dyDescent="0.3">
      <c r="B465" s="99" t="s">
        <v>1083</v>
      </c>
      <c r="C465" s="100">
        <v>45744</v>
      </c>
      <c r="D465" s="99" t="s">
        <v>44</v>
      </c>
      <c r="E465" s="99" t="s">
        <v>45</v>
      </c>
      <c r="F465" s="99" t="s">
        <v>16</v>
      </c>
      <c r="G465" s="99">
        <v>30</v>
      </c>
      <c r="H465" s="112">
        <v>250000</v>
      </c>
      <c r="I465" s="112">
        <v>7500000</v>
      </c>
      <c r="J465" s="99" t="s">
        <v>1320</v>
      </c>
      <c r="K465" s="99" t="s">
        <v>47</v>
      </c>
      <c r="N465" s="99" t="s">
        <v>2496</v>
      </c>
      <c r="O465" s="99" t="s">
        <v>60</v>
      </c>
      <c r="P465" s="100">
        <f t="shared" si="71"/>
        <v>46016</v>
      </c>
      <c r="Q465" s="101">
        <f t="shared" si="70"/>
        <v>7</v>
      </c>
      <c r="R465" s="99">
        <f t="shared" si="72"/>
        <v>3</v>
      </c>
      <c r="S465" s="101">
        <f t="shared" si="73"/>
        <v>934000000</v>
      </c>
      <c r="T465" s="99" t="str">
        <f t="shared" si="74"/>
        <v>High</v>
      </c>
      <c r="U465" s="99" t="str">
        <f t="shared" si="75"/>
        <v>High</v>
      </c>
      <c r="V465" s="99" t="str">
        <f t="shared" si="76"/>
        <v>High</v>
      </c>
      <c r="W465" s="99" t="str">
        <f t="shared" si="77"/>
        <v>HHH</v>
      </c>
      <c r="X465" s="99" t="str">
        <f>VLOOKUP(W465,rfm[],2,FALSE)</f>
        <v>🥇 Champions</v>
      </c>
      <c r="AA465" s="99" t="s">
        <v>2496</v>
      </c>
      <c r="AB465" s="99" t="s">
        <v>60</v>
      </c>
      <c r="AC465" s="100">
        <v>46016</v>
      </c>
      <c r="AD465" s="101">
        <v>7</v>
      </c>
      <c r="AE465" s="101">
        <v>3</v>
      </c>
      <c r="AF465" s="101">
        <v>934000000</v>
      </c>
      <c r="AG465" s="99" t="str">
        <f>VLOOKUP(AA465,recency!$K$6:$P$818,6,0)</f>
        <v>High</v>
      </c>
      <c r="AH465" s="132" t="str">
        <f>VLOOKUP(AA465,frequency!$F$6:$H$818,3,FALSE)</f>
        <v>High</v>
      </c>
      <c r="AI465" s="129" t="str">
        <f>VLOOKUP(AA465,monetary!$B$5:$F$817,5,0)</f>
        <v>High</v>
      </c>
      <c r="AJ465" s="99" t="str">
        <f t="shared" si="78"/>
        <v>HHH</v>
      </c>
      <c r="AK465" s="99" t="str">
        <f>VLOOKUP(AJ465,rfm[],2,0)</f>
        <v>🥇 Champions</v>
      </c>
      <c r="AN465" s="99" t="b">
        <f t="shared" si="79"/>
        <v>1</v>
      </c>
    </row>
    <row r="466" spans="2:40" x14ac:dyDescent="0.3">
      <c r="B466" s="99" t="s">
        <v>1084</v>
      </c>
      <c r="C466" s="100">
        <v>45744</v>
      </c>
      <c r="D466" s="99" t="s">
        <v>44</v>
      </c>
      <c r="E466" s="99" t="s">
        <v>45</v>
      </c>
      <c r="F466" s="99" t="s">
        <v>16</v>
      </c>
      <c r="G466" s="99">
        <v>10</v>
      </c>
      <c r="H466" s="112">
        <v>250000</v>
      </c>
      <c r="I466" s="112">
        <v>2500000</v>
      </c>
      <c r="J466" s="99" t="s">
        <v>2582</v>
      </c>
      <c r="K466" s="99" t="s">
        <v>69</v>
      </c>
      <c r="N466" s="99" t="s">
        <v>2497</v>
      </c>
      <c r="O466" s="99" t="s">
        <v>127</v>
      </c>
      <c r="P466" s="100">
        <f t="shared" si="71"/>
        <v>46021</v>
      </c>
      <c r="Q466" s="101">
        <f t="shared" si="70"/>
        <v>2</v>
      </c>
      <c r="R466" s="99">
        <f t="shared" si="72"/>
        <v>5</v>
      </c>
      <c r="S466" s="101">
        <f t="shared" si="73"/>
        <v>66500000</v>
      </c>
      <c r="T466" s="99" t="str">
        <f t="shared" si="74"/>
        <v>High</v>
      </c>
      <c r="U466" s="99" t="str">
        <f t="shared" si="75"/>
        <v>High</v>
      </c>
      <c r="V466" s="99" t="str">
        <f t="shared" si="76"/>
        <v>High</v>
      </c>
      <c r="W466" s="99" t="str">
        <f t="shared" si="77"/>
        <v>HHH</v>
      </c>
      <c r="X466" s="99" t="str">
        <f>VLOOKUP(W466,rfm[],2,FALSE)</f>
        <v>🥇 Champions</v>
      </c>
      <c r="AA466" s="99" t="s">
        <v>2497</v>
      </c>
      <c r="AB466" s="99" t="s">
        <v>127</v>
      </c>
      <c r="AC466" s="100">
        <v>46021</v>
      </c>
      <c r="AD466" s="101">
        <v>2</v>
      </c>
      <c r="AE466" s="101">
        <v>5</v>
      </c>
      <c r="AF466" s="101">
        <v>66500000</v>
      </c>
      <c r="AG466" s="99" t="str">
        <f>VLOOKUP(AA466,recency!$K$6:$P$818,6,0)</f>
        <v>High</v>
      </c>
      <c r="AH466" s="132" t="str">
        <f>VLOOKUP(AA466,frequency!$F$6:$H$818,3,FALSE)</f>
        <v>High</v>
      </c>
      <c r="AI466" s="129" t="str">
        <f>VLOOKUP(AA466,monetary!$B$5:$F$817,5,0)</f>
        <v>High</v>
      </c>
      <c r="AJ466" s="99" t="str">
        <f t="shared" si="78"/>
        <v>HHH</v>
      </c>
      <c r="AK466" s="99" t="str">
        <f>VLOOKUP(AJ466,rfm[],2,0)</f>
        <v>🥇 Champions</v>
      </c>
      <c r="AN466" s="99" t="b">
        <f t="shared" si="79"/>
        <v>1</v>
      </c>
    </row>
    <row r="467" spans="2:40" x14ac:dyDescent="0.3">
      <c r="B467" s="99" t="s">
        <v>1085</v>
      </c>
      <c r="C467" s="100">
        <v>45744</v>
      </c>
      <c r="D467" s="99" t="s">
        <v>28</v>
      </c>
      <c r="E467" s="99" t="s">
        <v>29</v>
      </c>
      <c r="F467" s="99" t="s">
        <v>20</v>
      </c>
      <c r="G467" s="99">
        <v>45</v>
      </c>
      <c r="H467" s="112">
        <v>450000</v>
      </c>
      <c r="I467" s="112">
        <v>20250000</v>
      </c>
      <c r="J467" s="99" t="s">
        <v>2288</v>
      </c>
      <c r="K467" s="99" t="s">
        <v>60</v>
      </c>
      <c r="N467" s="99" t="s">
        <v>2498</v>
      </c>
      <c r="O467" s="99" t="s">
        <v>8</v>
      </c>
      <c r="P467" s="100">
        <f t="shared" si="71"/>
        <v>45796</v>
      </c>
      <c r="Q467" s="101">
        <f t="shared" si="70"/>
        <v>227</v>
      </c>
      <c r="R467" s="99">
        <f t="shared" si="72"/>
        <v>1</v>
      </c>
      <c r="S467" s="101">
        <f t="shared" si="73"/>
        <v>6480000</v>
      </c>
      <c r="T467" s="99" t="str">
        <f t="shared" si="74"/>
        <v>Low</v>
      </c>
      <c r="U467" s="99" t="str">
        <f t="shared" si="75"/>
        <v>Low</v>
      </c>
      <c r="V467" s="99" t="str">
        <f t="shared" si="76"/>
        <v>Low</v>
      </c>
      <c r="W467" s="99" t="str">
        <f t="shared" si="77"/>
        <v>LLL</v>
      </c>
      <c r="X467" s="99" t="str">
        <f>VLOOKUP(W467,rfm[],2,FALSE)</f>
        <v>💤 Lost / Low Value</v>
      </c>
      <c r="AA467" s="99" t="s">
        <v>2498</v>
      </c>
      <c r="AB467" s="99" t="s">
        <v>8</v>
      </c>
      <c r="AC467" s="100">
        <v>45796</v>
      </c>
      <c r="AD467" s="101">
        <v>227</v>
      </c>
      <c r="AE467" s="101">
        <v>1</v>
      </c>
      <c r="AF467" s="101">
        <v>6480000</v>
      </c>
      <c r="AG467" s="99" t="str">
        <f>VLOOKUP(AA467,recency!$K$6:$P$818,6,0)</f>
        <v>Low</v>
      </c>
      <c r="AH467" s="132" t="str">
        <f>VLOOKUP(AA467,frequency!$F$6:$H$818,3,FALSE)</f>
        <v>Low</v>
      </c>
      <c r="AI467" s="129" t="str">
        <f>VLOOKUP(AA467,monetary!$B$5:$F$817,5,0)</f>
        <v>Low</v>
      </c>
      <c r="AJ467" s="99" t="str">
        <f t="shared" si="78"/>
        <v>LLL</v>
      </c>
      <c r="AK467" s="99" t="str">
        <f>VLOOKUP(AJ467,rfm[],2,0)</f>
        <v>💤 Lost / Low Value</v>
      </c>
      <c r="AN467" s="99" t="b">
        <f t="shared" si="79"/>
        <v>1</v>
      </c>
    </row>
    <row r="468" spans="2:40" x14ac:dyDescent="0.3">
      <c r="B468" s="99" t="s">
        <v>1086</v>
      </c>
      <c r="C468" s="100">
        <v>45744</v>
      </c>
      <c r="D468" s="99" t="s">
        <v>10</v>
      </c>
      <c r="E468" s="99" t="s">
        <v>11</v>
      </c>
      <c r="F468" s="99" t="s">
        <v>12</v>
      </c>
      <c r="G468" s="99">
        <v>28</v>
      </c>
      <c r="H468" s="112">
        <v>120000</v>
      </c>
      <c r="I468" s="112">
        <v>3360000</v>
      </c>
      <c r="J468" s="99" t="s">
        <v>164</v>
      </c>
      <c r="K468" s="99" t="s">
        <v>8</v>
      </c>
      <c r="N468" s="99" t="s">
        <v>2499</v>
      </c>
      <c r="O468" s="99" t="s">
        <v>60</v>
      </c>
      <c r="P468" s="100">
        <f t="shared" si="71"/>
        <v>45768</v>
      </c>
      <c r="Q468" s="101">
        <f t="shared" si="70"/>
        <v>255</v>
      </c>
      <c r="R468" s="99">
        <f t="shared" si="72"/>
        <v>1</v>
      </c>
      <c r="S468" s="101">
        <f t="shared" si="73"/>
        <v>9750000</v>
      </c>
      <c r="T468" s="99" t="str">
        <f t="shared" si="74"/>
        <v>Low</v>
      </c>
      <c r="U468" s="99" t="str">
        <f t="shared" si="75"/>
        <v>Low</v>
      </c>
      <c r="V468" s="99" t="str">
        <f t="shared" si="76"/>
        <v>Low</v>
      </c>
      <c r="W468" s="99" t="str">
        <f t="shared" si="77"/>
        <v>LLL</v>
      </c>
      <c r="X468" s="99" t="str">
        <f>VLOOKUP(W468,rfm[],2,FALSE)</f>
        <v>💤 Lost / Low Value</v>
      </c>
      <c r="AA468" s="99" t="s">
        <v>2499</v>
      </c>
      <c r="AB468" s="99" t="s">
        <v>60</v>
      </c>
      <c r="AC468" s="100">
        <v>45768</v>
      </c>
      <c r="AD468" s="101">
        <v>255</v>
      </c>
      <c r="AE468" s="101">
        <v>1</v>
      </c>
      <c r="AF468" s="101">
        <v>9750000</v>
      </c>
      <c r="AG468" s="99" t="str">
        <f>VLOOKUP(AA468,recency!$K$6:$P$818,6,0)</f>
        <v>Low</v>
      </c>
      <c r="AH468" s="132" t="str">
        <f>VLOOKUP(AA468,frequency!$F$6:$H$818,3,FALSE)</f>
        <v>Low</v>
      </c>
      <c r="AI468" s="129" t="str">
        <f>VLOOKUP(AA468,monetary!$B$5:$F$817,5,0)</f>
        <v>Low</v>
      </c>
      <c r="AJ468" s="99" t="str">
        <f t="shared" si="78"/>
        <v>LLL</v>
      </c>
      <c r="AK468" s="99" t="str">
        <f>VLOOKUP(AJ468,rfm[],2,0)</f>
        <v>💤 Lost / Low Value</v>
      </c>
      <c r="AN468" s="99" t="b">
        <f t="shared" si="79"/>
        <v>1</v>
      </c>
    </row>
    <row r="469" spans="2:40" x14ac:dyDescent="0.3">
      <c r="B469" s="99" t="s">
        <v>1087</v>
      </c>
      <c r="C469" s="100">
        <v>45747</v>
      </c>
      <c r="D469" s="99" t="s">
        <v>10</v>
      </c>
      <c r="E469" s="99" t="s">
        <v>11</v>
      </c>
      <c r="F469" s="99" t="s">
        <v>12</v>
      </c>
      <c r="G469" s="99">
        <v>100</v>
      </c>
      <c r="H469" s="112">
        <v>120000</v>
      </c>
      <c r="I469" s="112">
        <v>12000000</v>
      </c>
      <c r="J469" s="99" t="s">
        <v>2779</v>
      </c>
      <c r="K469" s="99" t="s">
        <v>8</v>
      </c>
      <c r="N469" s="99" t="s">
        <v>2500</v>
      </c>
      <c r="O469" s="99" t="s">
        <v>69</v>
      </c>
      <c r="P469" s="100">
        <f t="shared" si="71"/>
        <v>45974</v>
      </c>
      <c r="Q469" s="101">
        <f t="shared" si="70"/>
        <v>49</v>
      </c>
      <c r="R469" s="99">
        <f t="shared" si="72"/>
        <v>2</v>
      </c>
      <c r="S469" s="101">
        <f t="shared" si="73"/>
        <v>19250000</v>
      </c>
      <c r="T469" s="99" t="str">
        <f t="shared" si="74"/>
        <v>High</v>
      </c>
      <c r="U469" s="99" t="str">
        <f t="shared" si="75"/>
        <v>Low</v>
      </c>
      <c r="V469" s="99" t="str">
        <f t="shared" si="76"/>
        <v>High</v>
      </c>
      <c r="W469" s="99" t="str">
        <f t="shared" si="77"/>
        <v>HLH</v>
      </c>
      <c r="X469" s="99" t="str">
        <f>VLOOKUP(W469,rfm[],2,FALSE)</f>
        <v>🛒 Big Spenders (Occasional)</v>
      </c>
      <c r="AA469" s="99" t="s">
        <v>2500</v>
      </c>
      <c r="AB469" s="99" t="s">
        <v>69</v>
      </c>
      <c r="AC469" s="100">
        <v>45974</v>
      </c>
      <c r="AD469" s="101">
        <v>49</v>
      </c>
      <c r="AE469" s="101">
        <v>2</v>
      </c>
      <c r="AF469" s="101">
        <v>19250000</v>
      </c>
      <c r="AG469" s="99" t="str">
        <f>VLOOKUP(AA469,recency!$K$6:$P$818,6,0)</f>
        <v>High</v>
      </c>
      <c r="AH469" s="132" t="str">
        <f>VLOOKUP(AA469,frequency!$F$6:$H$818,3,FALSE)</f>
        <v>Low</v>
      </c>
      <c r="AI469" s="129" t="str">
        <f>VLOOKUP(AA469,monetary!$B$5:$F$817,5,0)</f>
        <v>Low</v>
      </c>
      <c r="AJ469" s="99" t="str">
        <f t="shared" si="78"/>
        <v>HLL</v>
      </c>
      <c r="AK469" s="99" t="str">
        <f>VLOOKUP(AJ469,rfm[],2,0)</f>
        <v>🌱 Potential Loyalists</v>
      </c>
      <c r="AN469" s="99" t="b">
        <f t="shared" si="79"/>
        <v>0</v>
      </c>
    </row>
    <row r="470" spans="2:40" x14ac:dyDescent="0.3">
      <c r="B470" s="99" t="s">
        <v>1088</v>
      </c>
      <c r="C470" s="100">
        <v>45747</v>
      </c>
      <c r="D470" s="99" t="s">
        <v>44</v>
      </c>
      <c r="E470" s="99" t="s">
        <v>45</v>
      </c>
      <c r="F470" s="99" t="s">
        <v>16</v>
      </c>
      <c r="G470" s="99">
        <v>25</v>
      </c>
      <c r="H470" s="112">
        <v>250000</v>
      </c>
      <c r="I470" s="112">
        <v>6250000</v>
      </c>
      <c r="J470" s="99" t="s">
        <v>2728</v>
      </c>
      <c r="K470" s="99" t="s">
        <v>47</v>
      </c>
      <c r="N470" s="99" t="s">
        <v>2501</v>
      </c>
      <c r="O470" s="99" t="s">
        <v>69</v>
      </c>
      <c r="P470" s="100">
        <f t="shared" si="71"/>
        <v>45923</v>
      </c>
      <c r="Q470" s="101">
        <f t="shared" si="70"/>
        <v>100</v>
      </c>
      <c r="R470" s="99">
        <f t="shared" si="72"/>
        <v>3</v>
      </c>
      <c r="S470" s="101">
        <f t="shared" si="73"/>
        <v>44350000</v>
      </c>
      <c r="T470" s="99" t="str">
        <f t="shared" si="74"/>
        <v>Low</v>
      </c>
      <c r="U470" s="99" t="str">
        <f t="shared" si="75"/>
        <v>High</v>
      </c>
      <c r="V470" s="99" t="str">
        <f t="shared" si="76"/>
        <v>High</v>
      </c>
      <c r="W470" s="99" t="str">
        <f t="shared" si="77"/>
        <v>LHH</v>
      </c>
      <c r="X470" s="99" t="str">
        <f>VLOOKUP(W470,rfm[],2,FALSE)</f>
        <v>⚠️ At Risk High Value</v>
      </c>
      <c r="AA470" s="99" t="s">
        <v>2501</v>
      </c>
      <c r="AB470" s="99" t="s">
        <v>69</v>
      </c>
      <c r="AC470" s="100">
        <v>45923</v>
      </c>
      <c r="AD470" s="101">
        <v>100</v>
      </c>
      <c r="AE470" s="101">
        <v>3</v>
      </c>
      <c r="AF470" s="101">
        <v>44350000</v>
      </c>
      <c r="AG470" s="99" t="str">
        <f>VLOOKUP(AA470,recency!$K$6:$P$818,6,0)</f>
        <v>Low</v>
      </c>
      <c r="AH470" s="132" t="str">
        <f>VLOOKUP(AA470,frequency!$F$6:$H$818,3,FALSE)</f>
        <v>High</v>
      </c>
      <c r="AI470" s="129" t="str">
        <f>VLOOKUP(AA470,monetary!$B$5:$F$817,5,0)</f>
        <v>Low</v>
      </c>
      <c r="AJ470" s="99" t="str">
        <f t="shared" si="78"/>
        <v>LHL</v>
      </c>
      <c r="AK470" s="99" t="str">
        <f>VLOOKUP(AJ470,rfm[],2,0)</f>
        <v>🔁 Former Loyal Low Spend</v>
      </c>
      <c r="AN470" s="99" t="b">
        <f t="shared" si="79"/>
        <v>0</v>
      </c>
    </row>
    <row r="471" spans="2:40" x14ac:dyDescent="0.3">
      <c r="B471" s="99" t="s">
        <v>1117</v>
      </c>
      <c r="C471" s="100">
        <v>45747</v>
      </c>
      <c r="D471" s="99" t="s">
        <v>38</v>
      </c>
      <c r="E471" s="99" t="s">
        <v>39</v>
      </c>
      <c r="F471" s="99" t="s">
        <v>16</v>
      </c>
      <c r="G471" s="99">
        <v>42</v>
      </c>
      <c r="H471" s="112">
        <v>200000</v>
      </c>
      <c r="I471" s="112">
        <v>8400000</v>
      </c>
      <c r="J471" s="99" t="s">
        <v>2329</v>
      </c>
      <c r="K471" s="99" t="s">
        <v>69</v>
      </c>
      <c r="N471" s="99" t="s">
        <v>2502</v>
      </c>
      <c r="O471" s="99" t="s">
        <v>47</v>
      </c>
      <c r="P471" s="100">
        <f t="shared" si="71"/>
        <v>45980</v>
      </c>
      <c r="Q471" s="101">
        <f t="shared" si="70"/>
        <v>43</v>
      </c>
      <c r="R471" s="99">
        <f t="shared" si="72"/>
        <v>3</v>
      </c>
      <c r="S471" s="101">
        <f t="shared" si="73"/>
        <v>12930000</v>
      </c>
      <c r="T471" s="99" t="str">
        <f t="shared" si="74"/>
        <v>High</v>
      </c>
      <c r="U471" s="99" t="str">
        <f t="shared" si="75"/>
        <v>High</v>
      </c>
      <c r="V471" s="99" t="str">
        <f t="shared" si="76"/>
        <v>Low</v>
      </c>
      <c r="W471" s="99" t="str">
        <f t="shared" si="77"/>
        <v>HHL</v>
      </c>
      <c r="X471" s="99" t="str">
        <f>VLOOKUP(W471,rfm[],2,FALSE)</f>
        <v>💎 Loyal High Value</v>
      </c>
      <c r="AA471" s="99" t="s">
        <v>2502</v>
      </c>
      <c r="AB471" s="99" t="s">
        <v>47</v>
      </c>
      <c r="AC471" s="100">
        <v>45980</v>
      </c>
      <c r="AD471" s="101">
        <v>43</v>
      </c>
      <c r="AE471" s="101">
        <v>3</v>
      </c>
      <c r="AF471" s="101">
        <v>12930000</v>
      </c>
      <c r="AG471" s="99" t="str">
        <f>VLOOKUP(AA471,recency!$K$6:$P$818,6,0)</f>
        <v>High</v>
      </c>
      <c r="AH471" s="132" t="str">
        <f>VLOOKUP(AA471,frequency!$F$6:$H$818,3,FALSE)</f>
        <v>High</v>
      </c>
      <c r="AI471" s="129" t="str">
        <f>VLOOKUP(AA471,monetary!$B$5:$F$817,5,0)</f>
        <v>Low</v>
      </c>
      <c r="AJ471" s="99" t="str">
        <f t="shared" si="78"/>
        <v>HHL</v>
      </c>
      <c r="AK471" s="99" t="str">
        <f>VLOOKUP(AJ471,rfm[],2,0)</f>
        <v>💎 Loyal High Value</v>
      </c>
      <c r="AN471" s="99" t="b">
        <f t="shared" si="79"/>
        <v>1</v>
      </c>
    </row>
    <row r="472" spans="2:40" x14ac:dyDescent="0.3">
      <c r="B472" s="99" t="s">
        <v>1118</v>
      </c>
      <c r="C472" s="100">
        <v>45747</v>
      </c>
      <c r="D472" s="99" t="s">
        <v>40</v>
      </c>
      <c r="E472" s="99" t="s">
        <v>41</v>
      </c>
      <c r="F472" s="99" t="s">
        <v>16</v>
      </c>
      <c r="G472" s="99">
        <v>46</v>
      </c>
      <c r="H472" s="112">
        <v>950000</v>
      </c>
      <c r="I472" s="112">
        <v>43700000</v>
      </c>
      <c r="J472" s="99" t="s">
        <v>2262</v>
      </c>
      <c r="K472" s="99" t="s">
        <v>127</v>
      </c>
      <c r="N472" s="99" t="s">
        <v>2503</v>
      </c>
      <c r="O472" s="99" t="s">
        <v>8</v>
      </c>
      <c r="P472" s="100">
        <f t="shared" si="71"/>
        <v>45911</v>
      </c>
      <c r="Q472" s="101">
        <f t="shared" si="70"/>
        <v>112</v>
      </c>
      <c r="R472" s="99">
        <f t="shared" si="72"/>
        <v>1</v>
      </c>
      <c r="S472" s="101">
        <f t="shared" si="73"/>
        <v>13650000</v>
      </c>
      <c r="T472" s="99" t="str">
        <f t="shared" si="74"/>
        <v>Low</v>
      </c>
      <c r="U472" s="99" t="str">
        <f t="shared" si="75"/>
        <v>Low</v>
      </c>
      <c r="V472" s="99" t="str">
        <f t="shared" si="76"/>
        <v>Low</v>
      </c>
      <c r="W472" s="99" t="str">
        <f t="shared" si="77"/>
        <v>LLL</v>
      </c>
      <c r="X472" s="99" t="str">
        <f>VLOOKUP(W472,rfm[],2,FALSE)</f>
        <v>💤 Lost / Low Value</v>
      </c>
      <c r="AA472" s="99" t="s">
        <v>2503</v>
      </c>
      <c r="AB472" s="99" t="s">
        <v>8</v>
      </c>
      <c r="AC472" s="100">
        <v>45911</v>
      </c>
      <c r="AD472" s="101">
        <v>112</v>
      </c>
      <c r="AE472" s="101">
        <v>1</v>
      </c>
      <c r="AF472" s="101">
        <v>13650000</v>
      </c>
      <c r="AG472" s="99" t="str">
        <f>VLOOKUP(AA472,recency!$K$6:$P$818,6,0)</f>
        <v>Low</v>
      </c>
      <c r="AH472" s="132" t="str">
        <f>VLOOKUP(AA472,frequency!$F$6:$H$818,3,FALSE)</f>
        <v>Low</v>
      </c>
      <c r="AI472" s="129" t="str">
        <f>VLOOKUP(AA472,monetary!$B$5:$F$817,5,0)</f>
        <v>Low</v>
      </c>
      <c r="AJ472" s="99" t="str">
        <f t="shared" si="78"/>
        <v>LLL</v>
      </c>
      <c r="AK472" s="99" t="str">
        <f>VLOOKUP(AJ472,rfm[],2,0)</f>
        <v>💤 Lost / Low Value</v>
      </c>
      <c r="AN472" s="99" t="b">
        <f t="shared" si="79"/>
        <v>1</v>
      </c>
    </row>
    <row r="473" spans="2:40" x14ac:dyDescent="0.3">
      <c r="B473" s="99" t="s">
        <v>1119</v>
      </c>
      <c r="C473" s="100">
        <v>45747</v>
      </c>
      <c r="D473" s="99" t="s">
        <v>38</v>
      </c>
      <c r="E473" s="99" t="s">
        <v>39</v>
      </c>
      <c r="F473" s="99" t="s">
        <v>16</v>
      </c>
      <c r="G473" s="99">
        <v>47</v>
      </c>
      <c r="H473" s="112">
        <v>200000</v>
      </c>
      <c r="I473" s="112">
        <v>9400000</v>
      </c>
      <c r="J473" s="99" t="s">
        <v>2547</v>
      </c>
      <c r="K473" s="99" t="s">
        <v>47</v>
      </c>
      <c r="N473" s="99" t="s">
        <v>2504</v>
      </c>
      <c r="O473" s="99" t="s">
        <v>127</v>
      </c>
      <c r="P473" s="100">
        <f t="shared" si="71"/>
        <v>45805</v>
      </c>
      <c r="Q473" s="101">
        <f t="shared" si="70"/>
        <v>218</v>
      </c>
      <c r="R473" s="99">
        <f t="shared" si="72"/>
        <v>1</v>
      </c>
      <c r="S473" s="101">
        <f t="shared" si="73"/>
        <v>7700000</v>
      </c>
      <c r="T473" s="99" t="str">
        <f t="shared" si="74"/>
        <v>Low</v>
      </c>
      <c r="U473" s="99" t="str">
        <f t="shared" si="75"/>
        <v>Low</v>
      </c>
      <c r="V473" s="99" t="str">
        <f t="shared" si="76"/>
        <v>Low</v>
      </c>
      <c r="W473" s="99" t="str">
        <f t="shared" si="77"/>
        <v>LLL</v>
      </c>
      <c r="X473" s="99" t="str">
        <f>VLOOKUP(W473,rfm[],2,FALSE)</f>
        <v>💤 Lost / Low Value</v>
      </c>
      <c r="AA473" s="99" t="s">
        <v>2504</v>
      </c>
      <c r="AB473" s="99" t="s">
        <v>127</v>
      </c>
      <c r="AC473" s="100">
        <v>45805</v>
      </c>
      <c r="AD473" s="101">
        <v>218</v>
      </c>
      <c r="AE473" s="101">
        <v>1</v>
      </c>
      <c r="AF473" s="101">
        <v>7700000</v>
      </c>
      <c r="AG473" s="99" t="str">
        <f>VLOOKUP(AA473,recency!$K$6:$P$818,6,0)</f>
        <v>Low</v>
      </c>
      <c r="AH473" s="132" t="str">
        <f>VLOOKUP(AA473,frequency!$F$6:$H$818,3,FALSE)</f>
        <v>Low</v>
      </c>
      <c r="AI473" s="129" t="str">
        <f>VLOOKUP(AA473,monetary!$B$5:$F$817,5,0)</f>
        <v>Low</v>
      </c>
      <c r="AJ473" s="99" t="str">
        <f t="shared" si="78"/>
        <v>LLL</v>
      </c>
      <c r="AK473" s="99" t="str">
        <f>VLOOKUP(AJ473,rfm[],2,0)</f>
        <v>💤 Lost / Low Value</v>
      </c>
      <c r="AN473" s="99" t="b">
        <f t="shared" si="79"/>
        <v>1</v>
      </c>
    </row>
    <row r="474" spans="2:40" x14ac:dyDescent="0.3">
      <c r="B474" s="99" t="s">
        <v>1120</v>
      </c>
      <c r="C474" s="100">
        <v>45747</v>
      </c>
      <c r="D474" s="99" t="s">
        <v>31</v>
      </c>
      <c r="E474" s="99" t="s">
        <v>32</v>
      </c>
      <c r="F474" s="99" t="s">
        <v>20</v>
      </c>
      <c r="G474" s="99">
        <v>41</v>
      </c>
      <c r="H474" s="112">
        <v>180000</v>
      </c>
      <c r="I474" s="112">
        <v>7380000</v>
      </c>
      <c r="J474" s="99" t="s">
        <v>2635</v>
      </c>
      <c r="K474" s="99" t="s">
        <v>47</v>
      </c>
      <c r="N474" s="99" t="s">
        <v>2505</v>
      </c>
      <c r="O474" s="99" t="s">
        <v>69</v>
      </c>
      <c r="P474" s="100">
        <f t="shared" si="71"/>
        <v>45974</v>
      </c>
      <c r="Q474" s="101">
        <f t="shared" si="70"/>
        <v>49</v>
      </c>
      <c r="R474" s="99">
        <f t="shared" si="72"/>
        <v>3</v>
      </c>
      <c r="S474" s="101">
        <f t="shared" si="73"/>
        <v>12380000</v>
      </c>
      <c r="T474" s="99" t="str">
        <f t="shared" si="74"/>
        <v>High</v>
      </c>
      <c r="U474" s="99" t="str">
        <f t="shared" si="75"/>
        <v>High</v>
      </c>
      <c r="V474" s="99" t="str">
        <f t="shared" si="76"/>
        <v>Low</v>
      </c>
      <c r="W474" s="99" t="str">
        <f t="shared" si="77"/>
        <v>HHL</v>
      </c>
      <c r="X474" s="99" t="str">
        <f>VLOOKUP(W474,rfm[],2,FALSE)</f>
        <v>💎 Loyal High Value</v>
      </c>
      <c r="AA474" s="99" t="s">
        <v>2505</v>
      </c>
      <c r="AB474" s="99" t="s">
        <v>69</v>
      </c>
      <c r="AC474" s="100">
        <v>45974</v>
      </c>
      <c r="AD474" s="101">
        <v>49</v>
      </c>
      <c r="AE474" s="101">
        <v>3</v>
      </c>
      <c r="AF474" s="101">
        <v>12380000</v>
      </c>
      <c r="AG474" s="99" t="str">
        <f>VLOOKUP(AA474,recency!$K$6:$P$818,6,0)</f>
        <v>High</v>
      </c>
      <c r="AH474" s="132" t="str">
        <f>VLOOKUP(AA474,frequency!$F$6:$H$818,3,FALSE)</f>
        <v>High</v>
      </c>
      <c r="AI474" s="129" t="str">
        <f>VLOOKUP(AA474,monetary!$B$5:$F$817,5,0)</f>
        <v>Low</v>
      </c>
      <c r="AJ474" s="99" t="str">
        <f t="shared" si="78"/>
        <v>HHL</v>
      </c>
      <c r="AK474" s="99" t="str">
        <f>VLOOKUP(AJ474,rfm[],2,0)</f>
        <v>💎 Loyal High Value</v>
      </c>
      <c r="AN474" s="99" t="b">
        <f t="shared" si="79"/>
        <v>1</v>
      </c>
    </row>
    <row r="475" spans="2:40" x14ac:dyDescent="0.3">
      <c r="B475" s="99" t="s">
        <v>1121</v>
      </c>
      <c r="C475" s="100">
        <v>45747</v>
      </c>
      <c r="D475" s="99" t="s">
        <v>44</v>
      </c>
      <c r="E475" s="99" t="s">
        <v>45</v>
      </c>
      <c r="F475" s="99" t="s">
        <v>16</v>
      </c>
      <c r="G475" s="99">
        <v>39</v>
      </c>
      <c r="H475" s="112">
        <v>250000</v>
      </c>
      <c r="I475" s="112">
        <v>9750000</v>
      </c>
      <c r="J475" s="99" t="s">
        <v>2346</v>
      </c>
      <c r="K475" s="99" t="s">
        <v>127</v>
      </c>
      <c r="N475" s="99" t="s">
        <v>2506</v>
      </c>
      <c r="O475" s="99" t="s">
        <v>60</v>
      </c>
      <c r="P475" s="100">
        <f t="shared" si="71"/>
        <v>45861</v>
      </c>
      <c r="Q475" s="101">
        <f t="shared" si="70"/>
        <v>162</v>
      </c>
      <c r="R475" s="99">
        <f t="shared" si="72"/>
        <v>1</v>
      </c>
      <c r="S475" s="101">
        <f t="shared" si="73"/>
        <v>4200000</v>
      </c>
      <c r="T475" s="99" t="str">
        <f t="shared" si="74"/>
        <v>Low</v>
      </c>
      <c r="U475" s="99" t="str">
        <f t="shared" si="75"/>
        <v>Low</v>
      </c>
      <c r="V475" s="99" t="str">
        <f t="shared" si="76"/>
        <v>Low</v>
      </c>
      <c r="W475" s="99" t="str">
        <f t="shared" si="77"/>
        <v>LLL</v>
      </c>
      <c r="X475" s="99" t="str">
        <f>VLOOKUP(W475,rfm[],2,FALSE)</f>
        <v>💤 Lost / Low Value</v>
      </c>
      <c r="AA475" s="99" t="s">
        <v>2506</v>
      </c>
      <c r="AB475" s="99" t="s">
        <v>60</v>
      </c>
      <c r="AC475" s="100">
        <v>45861</v>
      </c>
      <c r="AD475" s="101">
        <v>162</v>
      </c>
      <c r="AE475" s="101">
        <v>1</v>
      </c>
      <c r="AF475" s="101">
        <v>4200000</v>
      </c>
      <c r="AG475" s="99" t="str">
        <f>VLOOKUP(AA475,recency!$K$6:$P$818,6,0)</f>
        <v>Low</v>
      </c>
      <c r="AH475" s="132" t="str">
        <f>VLOOKUP(AA475,frequency!$F$6:$H$818,3,FALSE)</f>
        <v>Low</v>
      </c>
      <c r="AI475" s="129" t="str">
        <f>VLOOKUP(AA475,monetary!$B$5:$F$817,5,0)</f>
        <v>Low</v>
      </c>
      <c r="AJ475" s="99" t="str">
        <f t="shared" si="78"/>
        <v>LLL</v>
      </c>
      <c r="AK475" s="99" t="str">
        <f>VLOOKUP(AJ475,rfm[],2,0)</f>
        <v>💤 Lost / Low Value</v>
      </c>
      <c r="AN475" s="99" t="b">
        <f t="shared" si="79"/>
        <v>1</v>
      </c>
    </row>
    <row r="476" spans="2:40" x14ac:dyDescent="0.3">
      <c r="B476" s="99" t="s">
        <v>1122</v>
      </c>
      <c r="C476" s="100">
        <v>45747</v>
      </c>
      <c r="D476" s="99" t="s">
        <v>10</v>
      </c>
      <c r="E476" s="99" t="s">
        <v>11</v>
      </c>
      <c r="F476" s="99" t="s">
        <v>12</v>
      </c>
      <c r="G476" s="99">
        <v>50</v>
      </c>
      <c r="H476" s="112">
        <v>120000</v>
      </c>
      <c r="I476" s="112">
        <v>6000000</v>
      </c>
      <c r="J476" s="99" t="s">
        <v>2507</v>
      </c>
      <c r="K476" s="99" t="s">
        <v>127</v>
      </c>
      <c r="N476" s="99" t="s">
        <v>2507</v>
      </c>
      <c r="O476" s="99" t="s">
        <v>127</v>
      </c>
      <c r="P476" s="100">
        <f t="shared" si="71"/>
        <v>45978</v>
      </c>
      <c r="Q476" s="101">
        <f t="shared" si="70"/>
        <v>45</v>
      </c>
      <c r="R476" s="99">
        <f t="shared" si="72"/>
        <v>4</v>
      </c>
      <c r="S476" s="101">
        <f t="shared" si="73"/>
        <v>19950000</v>
      </c>
      <c r="T476" s="99" t="str">
        <f t="shared" si="74"/>
        <v>High</v>
      </c>
      <c r="U476" s="99" t="str">
        <f t="shared" si="75"/>
        <v>High</v>
      </c>
      <c r="V476" s="99" t="str">
        <f t="shared" si="76"/>
        <v>High</v>
      </c>
      <c r="W476" s="99" t="str">
        <f t="shared" si="77"/>
        <v>HHH</v>
      </c>
      <c r="X476" s="99" t="str">
        <f>VLOOKUP(W476,rfm[],2,FALSE)</f>
        <v>🥇 Champions</v>
      </c>
      <c r="AA476" s="99" t="s">
        <v>2507</v>
      </c>
      <c r="AB476" s="99" t="s">
        <v>127</v>
      </c>
      <c r="AC476" s="100">
        <v>45978</v>
      </c>
      <c r="AD476" s="101">
        <v>45</v>
      </c>
      <c r="AE476" s="101">
        <v>4</v>
      </c>
      <c r="AF476" s="101">
        <v>19950000</v>
      </c>
      <c r="AG476" s="99" t="str">
        <f>VLOOKUP(AA476,recency!$K$6:$P$818,6,0)</f>
        <v>High</v>
      </c>
      <c r="AH476" s="132" t="str">
        <f>VLOOKUP(AA476,frequency!$F$6:$H$818,3,FALSE)</f>
        <v>High</v>
      </c>
      <c r="AI476" s="129" t="str">
        <f>VLOOKUP(AA476,monetary!$B$5:$F$817,5,0)</f>
        <v>Low</v>
      </c>
      <c r="AJ476" s="99" t="str">
        <f t="shared" si="78"/>
        <v>HHL</v>
      </c>
      <c r="AK476" s="99" t="str">
        <f>VLOOKUP(AJ476,rfm[],2,0)</f>
        <v>💎 Loyal High Value</v>
      </c>
      <c r="AN476" s="99" t="b">
        <f t="shared" si="79"/>
        <v>0</v>
      </c>
    </row>
    <row r="477" spans="2:40" x14ac:dyDescent="0.3">
      <c r="B477" s="99" t="s">
        <v>1123</v>
      </c>
      <c r="C477" s="100">
        <v>45747</v>
      </c>
      <c r="D477" s="99" t="s">
        <v>10</v>
      </c>
      <c r="E477" s="99" t="s">
        <v>11</v>
      </c>
      <c r="F477" s="99" t="s">
        <v>12</v>
      </c>
      <c r="G477" s="99">
        <v>50</v>
      </c>
      <c r="H477" s="112">
        <v>120000</v>
      </c>
      <c r="I477" s="112">
        <v>6000000</v>
      </c>
      <c r="J477" s="99" t="s">
        <v>2396</v>
      </c>
      <c r="K477" s="99" t="s">
        <v>127</v>
      </c>
      <c r="N477" s="99" t="s">
        <v>2508</v>
      </c>
      <c r="O477" s="99" t="s">
        <v>47</v>
      </c>
      <c r="P477" s="100">
        <f t="shared" si="71"/>
        <v>46010</v>
      </c>
      <c r="Q477" s="101">
        <f t="shared" si="70"/>
        <v>13</v>
      </c>
      <c r="R477" s="99">
        <f t="shared" si="72"/>
        <v>1</v>
      </c>
      <c r="S477" s="101">
        <f t="shared" si="73"/>
        <v>1100000</v>
      </c>
      <c r="T477" s="99" t="str">
        <f t="shared" si="74"/>
        <v>High</v>
      </c>
      <c r="U477" s="99" t="str">
        <f t="shared" si="75"/>
        <v>Low</v>
      </c>
      <c r="V477" s="99" t="str">
        <f t="shared" si="76"/>
        <v>Low</v>
      </c>
      <c r="W477" s="99" t="str">
        <f t="shared" si="77"/>
        <v>HLL</v>
      </c>
      <c r="X477" s="99" t="str">
        <f>VLOOKUP(W477,rfm[],2,FALSE)</f>
        <v>🌱 Potential Loyalists</v>
      </c>
      <c r="AA477" s="99" t="s">
        <v>2508</v>
      </c>
      <c r="AB477" s="99" t="s">
        <v>47</v>
      </c>
      <c r="AC477" s="100">
        <v>46010</v>
      </c>
      <c r="AD477" s="101">
        <v>13</v>
      </c>
      <c r="AE477" s="101">
        <v>1</v>
      </c>
      <c r="AF477" s="101">
        <v>1100000</v>
      </c>
      <c r="AG477" s="99" t="str">
        <f>VLOOKUP(AA477,recency!$K$6:$P$818,6,0)</f>
        <v>High</v>
      </c>
      <c r="AH477" s="132" t="str">
        <f>VLOOKUP(AA477,frequency!$F$6:$H$818,3,FALSE)</f>
        <v>Low</v>
      </c>
      <c r="AI477" s="129" t="str">
        <f>VLOOKUP(AA477,monetary!$B$5:$F$817,5,0)</f>
        <v>Low</v>
      </c>
      <c r="AJ477" s="99" t="str">
        <f t="shared" si="78"/>
        <v>HLL</v>
      </c>
      <c r="AK477" s="99" t="str">
        <f>VLOOKUP(AJ477,rfm[],2,0)</f>
        <v>🌱 Potential Loyalists</v>
      </c>
      <c r="AN477" s="99" t="b">
        <f t="shared" si="79"/>
        <v>1</v>
      </c>
    </row>
    <row r="478" spans="2:40" x14ac:dyDescent="0.3">
      <c r="B478" s="99" t="s">
        <v>1124</v>
      </c>
      <c r="C478" s="100">
        <v>45747</v>
      </c>
      <c r="D478" s="99" t="s">
        <v>22</v>
      </c>
      <c r="E478" s="99" t="s">
        <v>23</v>
      </c>
      <c r="F478" s="99" t="s">
        <v>12</v>
      </c>
      <c r="G478" s="99">
        <v>28</v>
      </c>
      <c r="H478" s="112">
        <v>25000</v>
      </c>
      <c r="I478" s="112">
        <v>700000</v>
      </c>
      <c r="J478" s="99" t="s">
        <v>2297</v>
      </c>
      <c r="K478" s="99" t="s">
        <v>69</v>
      </c>
      <c r="N478" s="99" t="s">
        <v>2509</v>
      </c>
      <c r="O478" s="99" t="s">
        <v>8</v>
      </c>
      <c r="P478" s="100">
        <f t="shared" si="71"/>
        <v>45782</v>
      </c>
      <c r="Q478" s="101">
        <f t="shared" si="70"/>
        <v>241</v>
      </c>
      <c r="R478" s="99">
        <f t="shared" si="72"/>
        <v>1</v>
      </c>
      <c r="S478" s="101">
        <f t="shared" si="73"/>
        <v>4800000</v>
      </c>
      <c r="T478" s="99" t="str">
        <f t="shared" si="74"/>
        <v>Low</v>
      </c>
      <c r="U478" s="99" t="str">
        <f t="shared" si="75"/>
        <v>Low</v>
      </c>
      <c r="V478" s="99" t="str">
        <f t="shared" si="76"/>
        <v>Low</v>
      </c>
      <c r="W478" s="99" t="str">
        <f t="shared" si="77"/>
        <v>LLL</v>
      </c>
      <c r="X478" s="99" t="str">
        <f>VLOOKUP(W478,rfm[],2,FALSE)</f>
        <v>💤 Lost / Low Value</v>
      </c>
      <c r="AA478" s="99" t="s">
        <v>2509</v>
      </c>
      <c r="AB478" s="99" t="s">
        <v>8</v>
      </c>
      <c r="AC478" s="100">
        <v>45782</v>
      </c>
      <c r="AD478" s="101">
        <v>241</v>
      </c>
      <c r="AE478" s="101">
        <v>1</v>
      </c>
      <c r="AF478" s="101">
        <v>4800000</v>
      </c>
      <c r="AG478" s="99" t="str">
        <f>VLOOKUP(AA478,recency!$K$6:$P$818,6,0)</f>
        <v>Low</v>
      </c>
      <c r="AH478" s="132" t="str">
        <f>VLOOKUP(AA478,frequency!$F$6:$H$818,3,FALSE)</f>
        <v>Low</v>
      </c>
      <c r="AI478" s="129" t="str">
        <f>VLOOKUP(AA478,monetary!$B$5:$F$817,5,0)</f>
        <v>Low</v>
      </c>
      <c r="AJ478" s="99" t="str">
        <f t="shared" si="78"/>
        <v>LLL</v>
      </c>
      <c r="AK478" s="99" t="str">
        <f>VLOOKUP(AJ478,rfm[],2,0)</f>
        <v>💤 Lost / Low Value</v>
      </c>
      <c r="AN478" s="99" t="b">
        <f t="shared" si="79"/>
        <v>1</v>
      </c>
    </row>
    <row r="479" spans="2:40" x14ac:dyDescent="0.3">
      <c r="B479" s="99" t="s">
        <v>1125</v>
      </c>
      <c r="C479" s="100">
        <v>45747</v>
      </c>
      <c r="D479" s="99" t="s">
        <v>40</v>
      </c>
      <c r="E479" s="99" t="s">
        <v>41</v>
      </c>
      <c r="F479" s="99" t="s">
        <v>16</v>
      </c>
      <c r="G479" s="99">
        <v>5</v>
      </c>
      <c r="H479" s="112">
        <v>950000</v>
      </c>
      <c r="I479" s="112">
        <v>4750000</v>
      </c>
      <c r="J479" s="99" t="s">
        <v>2743</v>
      </c>
      <c r="K479" s="99" t="s">
        <v>127</v>
      </c>
      <c r="N479" s="99" t="s">
        <v>2510</v>
      </c>
      <c r="O479" s="99" t="s">
        <v>69</v>
      </c>
      <c r="P479" s="100">
        <f t="shared" si="71"/>
        <v>45968</v>
      </c>
      <c r="Q479" s="101">
        <f t="shared" si="70"/>
        <v>55</v>
      </c>
      <c r="R479" s="99">
        <f t="shared" si="72"/>
        <v>2</v>
      </c>
      <c r="S479" s="101">
        <f t="shared" si="73"/>
        <v>10560000</v>
      </c>
      <c r="T479" s="99" t="str">
        <f t="shared" si="74"/>
        <v>High</v>
      </c>
      <c r="U479" s="99" t="str">
        <f t="shared" si="75"/>
        <v>Low</v>
      </c>
      <c r="V479" s="99" t="str">
        <f t="shared" si="76"/>
        <v>Low</v>
      </c>
      <c r="W479" s="99" t="str">
        <f t="shared" si="77"/>
        <v>HLL</v>
      </c>
      <c r="X479" s="99" t="str">
        <f>VLOOKUP(W479,rfm[],2,FALSE)</f>
        <v>🌱 Potential Loyalists</v>
      </c>
      <c r="AA479" s="99" t="s">
        <v>2510</v>
      </c>
      <c r="AB479" s="99" t="s">
        <v>69</v>
      </c>
      <c r="AC479" s="100">
        <v>45968</v>
      </c>
      <c r="AD479" s="101">
        <v>55</v>
      </c>
      <c r="AE479" s="101">
        <v>2</v>
      </c>
      <c r="AF479" s="101">
        <v>10560000</v>
      </c>
      <c r="AG479" s="99" t="str">
        <f>VLOOKUP(AA479,recency!$K$6:$P$818,6,0)</f>
        <v>High</v>
      </c>
      <c r="AH479" s="132" t="str">
        <f>VLOOKUP(AA479,frequency!$F$6:$H$818,3,FALSE)</f>
        <v>Low</v>
      </c>
      <c r="AI479" s="129" t="str">
        <f>VLOOKUP(AA479,monetary!$B$5:$F$817,5,0)</f>
        <v>Low</v>
      </c>
      <c r="AJ479" s="99" t="str">
        <f t="shared" si="78"/>
        <v>HLL</v>
      </c>
      <c r="AK479" s="99" t="str">
        <f>VLOOKUP(AJ479,rfm[],2,0)</f>
        <v>🌱 Potential Loyalists</v>
      </c>
      <c r="AN479" s="99" t="b">
        <f t="shared" si="79"/>
        <v>1</v>
      </c>
    </row>
    <row r="480" spans="2:40" x14ac:dyDescent="0.3">
      <c r="B480" s="99" t="s">
        <v>1126</v>
      </c>
      <c r="C480" s="100">
        <v>45747</v>
      </c>
      <c r="D480" s="99" t="s">
        <v>31</v>
      </c>
      <c r="E480" s="99" t="s">
        <v>32</v>
      </c>
      <c r="F480" s="99" t="s">
        <v>20</v>
      </c>
      <c r="G480" s="99">
        <v>16</v>
      </c>
      <c r="H480" s="112">
        <v>180000</v>
      </c>
      <c r="I480" s="112">
        <v>2880000</v>
      </c>
      <c r="J480" s="99" t="s">
        <v>2576</v>
      </c>
      <c r="K480" s="99" t="s">
        <v>69</v>
      </c>
      <c r="N480" s="99" t="s">
        <v>2511</v>
      </c>
      <c r="O480" s="99" t="s">
        <v>127</v>
      </c>
      <c r="P480" s="100">
        <f t="shared" si="71"/>
        <v>45972</v>
      </c>
      <c r="Q480" s="101">
        <f t="shared" si="70"/>
        <v>51</v>
      </c>
      <c r="R480" s="99">
        <f t="shared" si="72"/>
        <v>2</v>
      </c>
      <c r="S480" s="101">
        <f t="shared" si="73"/>
        <v>21400000</v>
      </c>
      <c r="T480" s="99" t="str">
        <f t="shared" si="74"/>
        <v>High</v>
      </c>
      <c r="U480" s="99" t="str">
        <f t="shared" si="75"/>
        <v>Low</v>
      </c>
      <c r="V480" s="99" t="str">
        <f t="shared" si="76"/>
        <v>High</v>
      </c>
      <c r="W480" s="99" t="str">
        <f t="shared" si="77"/>
        <v>HLH</v>
      </c>
      <c r="X480" s="99" t="str">
        <f>VLOOKUP(W480,rfm[],2,FALSE)</f>
        <v>🛒 Big Spenders (Occasional)</v>
      </c>
      <c r="AA480" s="99" t="s">
        <v>2511</v>
      </c>
      <c r="AB480" s="99" t="s">
        <v>127</v>
      </c>
      <c r="AC480" s="100">
        <v>45972</v>
      </c>
      <c r="AD480" s="101">
        <v>51</v>
      </c>
      <c r="AE480" s="101">
        <v>2</v>
      </c>
      <c r="AF480" s="101">
        <v>21400000</v>
      </c>
      <c r="AG480" s="99" t="str">
        <f>VLOOKUP(AA480,recency!$K$6:$P$818,6,0)</f>
        <v>High</v>
      </c>
      <c r="AH480" s="132" t="str">
        <f>VLOOKUP(AA480,frequency!$F$6:$H$818,3,FALSE)</f>
        <v>Low</v>
      </c>
      <c r="AI480" s="129" t="str">
        <f>VLOOKUP(AA480,monetary!$B$5:$F$817,5,0)</f>
        <v>Low</v>
      </c>
      <c r="AJ480" s="99" t="str">
        <f t="shared" si="78"/>
        <v>HLL</v>
      </c>
      <c r="AK480" s="99" t="str">
        <f>VLOOKUP(AJ480,rfm[],2,0)</f>
        <v>🌱 Potential Loyalists</v>
      </c>
      <c r="AN480" s="99" t="b">
        <f t="shared" si="79"/>
        <v>0</v>
      </c>
    </row>
    <row r="481" spans="2:40" x14ac:dyDescent="0.3">
      <c r="B481" s="99" t="s">
        <v>1127</v>
      </c>
      <c r="C481" s="100">
        <v>45747</v>
      </c>
      <c r="D481" s="99" t="s">
        <v>10</v>
      </c>
      <c r="E481" s="99" t="s">
        <v>11</v>
      </c>
      <c r="F481" s="99" t="s">
        <v>12</v>
      </c>
      <c r="G481" s="99">
        <v>44</v>
      </c>
      <c r="H481" s="112">
        <v>120000</v>
      </c>
      <c r="I481" s="112">
        <v>5280000</v>
      </c>
      <c r="J481" s="99" t="s">
        <v>2435</v>
      </c>
      <c r="K481" s="99" t="s">
        <v>127</v>
      </c>
      <c r="N481" s="99" t="s">
        <v>2512</v>
      </c>
      <c r="O481" s="99" t="s">
        <v>47</v>
      </c>
      <c r="P481" s="100">
        <f t="shared" si="71"/>
        <v>45805</v>
      </c>
      <c r="Q481" s="101">
        <f t="shared" si="70"/>
        <v>218</v>
      </c>
      <c r="R481" s="99">
        <f t="shared" si="72"/>
        <v>1</v>
      </c>
      <c r="S481" s="101">
        <f t="shared" si="73"/>
        <v>8400000</v>
      </c>
      <c r="T481" s="99" t="str">
        <f t="shared" si="74"/>
        <v>Low</v>
      </c>
      <c r="U481" s="99" t="str">
        <f t="shared" si="75"/>
        <v>Low</v>
      </c>
      <c r="V481" s="99" t="str">
        <f t="shared" si="76"/>
        <v>Low</v>
      </c>
      <c r="W481" s="99" t="str">
        <f t="shared" si="77"/>
        <v>LLL</v>
      </c>
      <c r="X481" s="99" t="str">
        <f>VLOOKUP(W481,rfm[],2,FALSE)</f>
        <v>💤 Lost / Low Value</v>
      </c>
      <c r="AA481" s="99" t="s">
        <v>2512</v>
      </c>
      <c r="AB481" s="99" t="s">
        <v>47</v>
      </c>
      <c r="AC481" s="100">
        <v>45805</v>
      </c>
      <c r="AD481" s="101">
        <v>218</v>
      </c>
      <c r="AE481" s="101">
        <v>1</v>
      </c>
      <c r="AF481" s="101">
        <v>8400000</v>
      </c>
      <c r="AG481" s="99" t="str">
        <f>VLOOKUP(AA481,recency!$K$6:$P$818,6,0)</f>
        <v>Low</v>
      </c>
      <c r="AH481" s="132" t="str">
        <f>VLOOKUP(AA481,frequency!$F$6:$H$818,3,FALSE)</f>
        <v>Low</v>
      </c>
      <c r="AI481" s="129" t="str">
        <f>VLOOKUP(AA481,monetary!$B$5:$F$817,5,0)</f>
        <v>Low</v>
      </c>
      <c r="AJ481" s="99" t="str">
        <f t="shared" si="78"/>
        <v>LLL</v>
      </c>
      <c r="AK481" s="99" t="str">
        <f>VLOOKUP(AJ481,rfm[],2,0)</f>
        <v>💤 Lost / Low Value</v>
      </c>
      <c r="AN481" s="99" t="b">
        <f t="shared" si="79"/>
        <v>1</v>
      </c>
    </row>
    <row r="482" spans="2:40" x14ac:dyDescent="0.3">
      <c r="B482" s="99" t="s">
        <v>1128</v>
      </c>
      <c r="C482" s="100">
        <v>45748</v>
      </c>
      <c r="D482" s="99" t="s">
        <v>14</v>
      </c>
      <c r="E482" s="99" t="s">
        <v>15</v>
      </c>
      <c r="F482" s="99" t="s">
        <v>16</v>
      </c>
      <c r="G482" s="99">
        <v>28</v>
      </c>
      <c r="H482" s="112">
        <v>350000</v>
      </c>
      <c r="I482" s="112">
        <v>9800000</v>
      </c>
      <c r="J482" s="99" t="s">
        <v>2383</v>
      </c>
      <c r="K482" s="99" t="s">
        <v>69</v>
      </c>
      <c r="N482" s="99" t="s">
        <v>2513</v>
      </c>
      <c r="O482" s="99" t="s">
        <v>47</v>
      </c>
      <c r="P482" s="100">
        <f t="shared" si="71"/>
        <v>45930</v>
      </c>
      <c r="Q482" s="101">
        <f t="shared" si="70"/>
        <v>93</v>
      </c>
      <c r="R482" s="99">
        <f t="shared" si="72"/>
        <v>3</v>
      </c>
      <c r="S482" s="101">
        <f t="shared" si="73"/>
        <v>4595000</v>
      </c>
      <c r="T482" s="99" t="str">
        <f t="shared" si="74"/>
        <v>High</v>
      </c>
      <c r="U482" s="99" t="str">
        <f t="shared" si="75"/>
        <v>High</v>
      </c>
      <c r="V482" s="99" t="str">
        <f t="shared" si="76"/>
        <v>Low</v>
      </c>
      <c r="W482" s="99" t="str">
        <f t="shared" si="77"/>
        <v>HHL</v>
      </c>
      <c r="X482" s="99" t="str">
        <f>VLOOKUP(W482,rfm[],2,FALSE)</f>
        <v>💎 Loyal High Value</v>
      </c>
      <c r="AA482" s="99" t="s">
        <v>2513</v>
      </c>
      <c r="AB482" s="99" t="s">
        <v>47</v>
      </c>
      <c r="AC482" s="100">
        <v>45930</v>
      </c>
      <c r="AD482" s="101">
        <v>93</v>
      </c>
      <c r="AE482" s="101">
        <v>3</v>
      </c>
      <c r="AF482" s="101">
        <v>4595000</v>
      </c>
      <c r="AG482" s="99" t="str">
        <f>VLOOKUP(AA482,recency!$K$6:$P$818,6,0)</f>
        <v>Low</v>
      </c>
      <c r="AH482" s="132" t="str">
        <f>VLOOKUP(AA482,frequency!$F$6:$H$818,3,FALSE)</f>
        <v>High</v>
      </c>
      <c r="AI482" s="129" t="str">
        <f>VLOOKUP(AA482,monetary!$B$5:$F$817,5,0)</f>
        <v>Low</v>
      </c>
      <c r="AJ482" s="99" t="str">
        <f t="shared" si="78"/>
        <v>LHL</v>
      </c>
      <c r="AK482" s="99" t="str">
        <f>VLOOKUP(AJ482,rfm[],2,0)</f>
        <v>🔁 Former Loyal Low Spend</v>
      </c>
      <c r="AN482" s="99" t="b">
        <f t="shared" si="79"/>
        <v>0</v>
      </c>
    </row>
    <row r="483" spans="2:40" x14ac:dyDescent="0.3">
      <c r="B483" s="99" t="s">
        <v>1168</v>
      </c>
      <c r="C483" s="100">
        <v>45748</v>
      </c>
      <c r="D483" s="99" t="s">
        <v>42</v>
      </c>
      <c r="E483" s="99" t="s">
        <v>43</v>
      </c>
      <c r="F483" s="99" t="s">
        <v>16</v>
      </c>
      <c r="G483" s="99">
        <v>22</v>
      </c>
      <c r="H483" s="112">
        <v>1200000</v>
      </c>
      <c r="I483" s="112">
        <v>26400000</v>
      </c>
      <c r="J483" s="99" t="s">
        <v>2644</v>
      </c>
      <c r="K483" s="99" t="s">
        <v>69</v>
      </c>
      <c r="N483" s="99" t="s">
        <v>2514</v>
      </c>
      <c r="O483" s="99" t="s">
        <v>127</v>
      </c>
      <c r="P483" s="100">
        <f t="shared" si="71"/>
        <v>45852</v>
      </c>
      <c r="Q483" s="101">
        <f t="shared" si="70"/>
        <v>171</v>
      </c>
      <c r="R483" s="99">
        <f t="shared" si="72"/>
        <v>3</v>
      </c>
      <c r="S483" s="101">
        <f t="shared" si="73"/>
        <v>35350000</v>
      </c>
      <c r="T483" s="99" t="str">
        <f t="shared" si="74"/>
        <v>Low</v>
      </c>
      <c r="U483" s="99" t="str">
        <f t="shared" si="75"/>
        <v>High</v>
      </c>
      <c r="V483" s="99" t="str">
        <f t="shared" si="76"/>
        <v>High</v>
      </c>
      <c r="W483" s="99" t="str">
        <f t="shared" si="77"/>
        <v>LHH</v>
      </c>
      <c r="X483" s="99" t="str">
        <f>VLOOKUP(W483,rfm[],2,FALSE)</f>
        <v>⚠️ At Risk High Value</v>
      </c>
      <c r="AA483" s="99" t="s">
        <v>2514</v>
      </c>
      <c r="AB483" s="99" t="s">
        <v>127</v>
      </c>
      <c r="AC483" s="100">
        <v>45852</v>
      </c>
      <c r="AD483" s="101">
        <v>171</v>
      </c>
      <c r="AE483" s="101">
        <v>3</v>
      </c>
      <c r="AF483" s="101">
        <v>35350000</v>
      </c>
      <c r="AG483" s="99" t="str">
        <f>VLOOKUP(AA483,recency!$K$6:$P$818,6,0)</f>
        <v>Low</v>
      </c>
      <c r="AH483" s="132" t="str">
        <f>VLOOKUP(AA483,frequency!$F$6:$H$818,3,FALSE)</f>
        <v>High</v>
      </c>
      <c r="AI483" s="129" t="str">
        <f>VLOOKUP(AA483,monetary!$B$5:$F$817,5,0)</f>
        <v>Low</v>
      </c>
      <c r="AJ483" s="99" t="str">
        <f t="shared" si="78"/>
        <v>LHL</v>
      </c>
      <c r="AK483" s="99" t="str">
        <f>VLOOKUP(AJ483,rfm[],2,0)</f>
        <v>🔁 Former Loyal Low Spend</v>
      </c>
      <c r="AN483" s="99" t="b">
        <f t="shared" si="79"/>
        <v>0</v>
      </c>
    </row>
    <row r="484" spans="2:40" x14ac:dyDescent="0.3">
      <c r="B484" s="99" t="s">
        <v>1169</v>
      </c>
      <c r="C484" s="100">
        <v>45748</v>
      </c>
      <c r="D484" s="99" t="s">
        <v>38</v>
      </c>
      <c r="E484" s="99" t="s">
        <v>39</v>
      </c>
      <c r="F484" s="99" t="s">
        <v>16</v>
      </c>
      <c r="G484" s="99">
        <v>13</v>
      </c>
      <c r="H484" s="112">
        <v>200000</v>
      </c>
      <c r="I484" s="112">
        <v>2600000</v>
      </c>
      <c r="J484" s="99" t="s">
        <v>2591</v>
      </c>
      <c r="K484" s="99" t="s">
        <v>127</v>
      </c>
      <c r="N484" s="99" t="s">
        <v>2515</v>
      </c>
      <c r="O484" s="99" t="s">
        <v>60</v>
      </c>
      <c r="P484" s="100">
        <f t="shared" si="71"/>
        <v>45966</v>
      </c>
      <c r="Q484" s="101">
        <f t="shared" si="70"/>
        <v>57</v>
      </c>
      <c r="R484" s="99">
        <f t="shared" si="72"/>
        <v>3</v>
      </c>
      <c r="S484" s="101">
        <f t="shared" si="73"/>
        <v>38520000</v>
      </c>
      <c r="T484" s="99" t="str">
        <f t="shared" si="74"/>
        <v>High</v>
      </c>
      <c r="U484" s="99" t="str">
        <f t="shared" si="75"/>
        <v>High</v>
      </c>
      <c r="V484" s="99" t="str">
        <f t="shared" si="76"/>
        <v>High</v>
      </c>
      <c r="W484" s="99" t="str">
        <f t="shared" si="77"/>
        <v>HHH</v>
      </c>
      <c r="X484" s="99" t="str">
        <f>VLOOKUP(W484,rfm[],2,FALSE)</f>
        <v>🥇 Champions</v>
      </c>
      <c r="AA484" s="99" t="s">
        <v>2515</v>
      </c>
      <c r="AB484" s="99" t="s">
        <v>60</v>
      </c>
      <c r="AC484" s="100">
        <v>45966</v>
      </c>
      <c r="AD484" s="101">
        <v>57</v>
      </c>
      <c r="AE484" s="101">
        <v>3</v>
      </c>
      <c r="AF484" s="101">
        <v>38520000</v>
      </c>
      <c r="AG484" s="99" t="str">
        <f>VLOOKUP(AA484,recency!$K$6:$P$818,6,0)</f>
        <v>High</v>
      </c>
      <c r="AH484" s="132" t="str">
        <f>VLOOKUP(AA484,frequency!$F$6:$H$818,3,FALSE)</f>
        <v>High</v>
      </c>
      <c r="AI484" s="129" t="str">
        <f>VLOOKUP(AA484,monetary!$B$5:$F$817,5,0)</f>
        <v>Low</v>
      </c>
      <c r="AJ484" s="99" t="str">
        <f t="shared" si="78"/>
        <v>HHL</v>
      </c>
      <c r="AK484" s="99" t="str">
        <f>VLOOKUP(AJ484,rfm[],2,0)</f>
        <v>💎 Loyal High Value</v>
      </c>
      <c r="AN484" s="99" t="b">
        <f t="shared" si="79"/>
        <v>0</v>
      </c>
    </row>
    <row r="485" spans="2:40" x14ac:dyDescent="0.3">
      <c r="B485" s="99" t="s">
        <v>1170</v>
      </c>
      <c r="C485" s="100">
        <v>45748</v>
      </c>
      <c r="D485" s="99" t="s">
        <v>14</v>
      </c>
      <c r="E485" s="99" t="s">
        <v>15</v>
      </c>
      <c r="F485" s="99" t="s">
        <v>16</v>
      </c>
      <c r="G485" s="99">
        <v>47</v>
      </c>
      <c r="H485" s="112">
        <v>350000</v>
      </c>
      <c r="I485" s="112">
        <v>16450000</v>
      </c>
      <c r="J485" s="99" t="s">
        <v>2133</v>
      </c>
      <c r="K485" s="99" t="s">
        <v>60</v>
      </c>
      <c r="N485" s="99" t="s">
        <v>2516</v>
      </c>
      <c r="O485" s="99" t="s">
        <v>60</v>
      </c>
      <c r="P485" s="100">
        <f t="shared" si="71"/>
        <v>45918</v>
      </c>
      <c r="Q485" s="101">
        <f t="shared" si="70"/>
        <v>105</v>
      </c>
      <c r="R485" s="99">
        <f t="shared" si="72"/>
        <v>1</v>
      </c>
      <c r="S485" s="101">
        <f t="shared" si="73"/>
        <v>14250000</v>
      </c>
      <c r="T485" s="99" t="str">
        <f t="shared" si="74"/>
        <v>Low</v>
      </c>
      <c r="U485" s="99" t="str">
        <f t="shared" si="75"/>
        <v>Low</v>
      </c>
      <c r="V485" s="99" t="str">
        <f t="shared" si="76"/>
        <v>Low</v>
      </c>
      <c r="W485" s="99" t="str">
        <f t="shared" si="77"/>
        <v>LLL</v>
      </c>
      <c r="X485" s="99" t="str">
        <f>VLOOKUP(W485,rfm[],2,FALSE)</f>
        <v>💤 Lost / Low Value</v>
      </c>
      <c r="AA485" s="99" t="s">
        <v>2516</v>
      </c>
      <c r="AB485" s="99" t="s">
        <v>60</v>
      </c>
      <c r="AC485" s="100">
        <v>45918</v>
      </c>
      <c r="AD485" s="101">
        <v>105</v>
      </c>
      <c r="AE485" s="101">
        <v>1</v>
      </c>
      <c r="AF485" s="101">
        <v>14250000</v>
      </c>
      <c r="AG485" s="99" t="str">
        <f>VLOOKUP(AA485,recency!$K$6:$P$818,6,0)</f>
        <v>Low</v>
      </c>
      <c r="AH485" s="132" t="str">
        <f>VLOOKUP(AA485,frequency!$F$6:$H$818,3,FALSE)</f>
        <v>Low</v>
      </c>
      <c r="AI485" s="129" t="str">
        <f>VLOOKUP(AA485,monetary!$B$5:$F$817,5,0)</f>
        <v>Low</v>
      </c>
      <c r="AJ485" s="99" t="str">
        <f t="shared" si="78"/>
        <v>LLL</v>
      </c>
      <c r="AK485" s="99" t="str">
        <f>VLOOKUP(AJ485,rfm[],2,0)</f>
        <v>💤 Lost / Low Value</v>
      </c>
      <c r="AN485" s="99" t="b">
        <f t="shared" si="79"/>
        <v>1</v>
      </c>
    </row>
    <row r="486" spans="2:40" x14ac:dyDescent="0.3">
      <c r="B486" s="99" t="s">
        <v>1204</v>
      </c>
      <c r="C486" s="100">
        <v>45748</v>
      </c>
      <c r="D486" s="99" t="s">
        <v>31</v>
      </c>
      <c r="E486" s="99" t="s">
        <v>32</v>
      </c>
      <c r="F486" s="99" t="s">
        <v>20</v>
      </c>
      <c r="G486" s="99">
        <v>27</v>
      </c>
      <c r="H486" s="112">
        <v>180000</v>
      </c>
      <c r="I486" s="112">
        <v>4860000</v>
      </c>
      <c r="J486" s="99" t="s">
        <v>2398</v>
      </c>
      <c r="K486" s="99" t="s">
        <v>47</v>
      </c>
      <c r="N486" s="99" t="s">
        <v>2517</v>
      </c>
      <c r="O486" s="99" t="s">
        <v>60</v>
      </c>
      <c r="P486" s="100">
        <f t="shared" si="71"/>
        <v>45862</v>
      </c>
      <c r="Q486" s="101">
        <f t="shared" si="70"/>
        <v>161</v>
      </c>
      <c r="R486" s="99">
        <f t="shared" si="72"/>
        <v>1</v>
      </c>
      <c r="S486" s="101">
        <f t="shared" si="73"/>
        <v>800000</v>
      </c>
      <c r="T486" s="99" t="str">
        <f t="shared" si="74"/>
        <v>Low</v>
      </c>
      <c r="U486" s="99" t="str">
        <f t="shared" si="75"/>
        <v>Low</v>
      </c>
      <c r="V486" s="99" t="str">
        <f t="shared" si="76"/>
        <v>Low</v>
      </c>
      <c r="W486" s="99" t="str">
        <f t="shared" si="77"/>
        <v>LLL</v>
      </c>
      <c r="X486" s="99" t="str">
        <f>VLOOKUP(W486,rfm[],2,FALSE)</f>
        <v>💤 Lost / Low Value</v>
      </c>
      <c r="AA486" s="99" t="s">
        <v>2517</v>
      </c>
      <c r="AB486" s="99" t="s">
        <v>60</v>
      </c>
      <c r="AC486" s="100">
        <v>45862</v>
      </c>
      <c r="AD486" s="101">
        <v>161</v>
      </c>
      <c r="AE486" s="101">
        <v>1</v>
      </c>
      <c r="AF486" s="101">
        <v>800000</v>
      </c>
      <c r="AG486" s="99" t="str">
        <f>VLOOKUP(AA486,recency!$K$6:$P$818,6,0)</f>
        <v>Low</v>
      </c>
      <c r="AH486" s="132" t="str">
        <f>VLOOKUP(AA486,frequency!$F$6:$H$818,3,FALSE)</f>
        <v>Low</v>
      </c>
      <c r="AI486" s="129" t="str">
        <f>VLOOKUP(AA486,monetary!$B$5:$F$817,5,0)</f>
        <v>Low</v>
      </c>
      <c r="AJ486" s="99" t="str">
        <f t="shared" si="78"/>
        <v>LLL</v>
      </c>
      <c r="AK486" s="99" t="str">
        <f>VLOOKUP(AJ486,rfm[],2,0)</f>
        <v>💤 Lost / Low Value</v>
      </c>
      <c r="AN486" s="99" t="b">
        <f t="shared" si="79"/>
        <v>1</v>
      </c>
    </row>
    <row r="487" spans="2:40" x14ac:dyDescent="0.3">
      <c r="B487" s="99" t="s">
        <v>1205</v>
      </c>
      <c r="C487" s="100">
        <v>45748</v>
      </c>
      <c r="D487" s="99" t="s">
        <v>22</v>
      </c>
      <c r="E487" s="99" t="s">
        <v>23</v>
      </c>
      <c r="F487" s="99" t="s">
        <v>12</v>
      </c>
      <c r="G487" s="99">
        <v>370</v>
      </c>
      <c r="H487" s="112">
        <v>25000</v>
      </c>
      <c r="I487" s="112">
        <v>9250000</v>
      </c>
      <c r="J487" s="99" t="s">
        <v>2169</v>
      </c>
      <c r="K487" s="99" t="s">
        <v>127</v>
      </c>
      <c r="N487" s="99" t="s">
        <v>2518</v>
      </c>
      <c r="O487" s="99" t="s">
        <v>60</v>
      </c>
      <c r="P487" s="100">
        <f t="shared" si="71"/>
        <v>45937</v>
      </c>
      <c r="Q487" s="101">
        <f t="shared" si="70"/>
        <v>86</v>
      </c>
      <c r="R487" s="99">
        <f t="shared" si="72"/>
        <v>2</v>
      </c>
      <c r="S487" s="101">
        <f t="shared" si="73"/>
        <v>15100000</v>
      </c>
      <c r="T487" s="99" t="str">
        <f t="shared" si="74"/>
        <v>High</v>
      </c>
      <c r="U487" s="99" t="str">
        <f t="shared" si="75"/>
        <v>Low</v>
      </c>
      <c r="V487" s="99" t="str">
        <f t="shared" si="76"/>
        <v>Low</v>
      </c>
      <c r="W487" s="99" t="str">
        <f t="shared" si="77"/>
        <v>HLL</v>
      </c>
      <c r="X487" s="99" t="str">
        <f>VLOOKUP(W487,rfm[],2,FALSE)</f>
        <v>🌱 Potential Loyalists</v>
      </c>
      <c r="AA487" s="99" t="s">
        <v>2518</v>
      </c>
      <c r="AB487" s="99" t="s">
        <v>60</v>
      </c>
      <c r="AC487" s="100">
        <v>45937</v>
      </c>
      <c r="AD487" s="101">
        <v>86</v>
      </c>
      <c r="AE487" s="101">
        <v>2</v>
      </c>
      <c r="AF487" s="101">
        <v>15100000</v>
      </c>
      <c r="AG487" s="99" t="str">
        <f>VLOOKUP(AA487,recency!$K$6:$P$818,6,0)</f>
        <v>Low</v>
      </c>
      <c r="AH487" s="132" t="str">
        <f>VLOOKUP(AA487,frequency!$F$6:$H$818,3,FALSE)</f>
        <v>Low</v>
      </c>
      <c r="AI487" s="129" t="str">
        <f>VLOOKUP(AA487,monetary!$B$5:$F$817,5,0)</f>
        <v>Low</v>
      </c>
      <c r="AJ487" s="99" t="str">
        <f t="shared" si="78"/>
        <v>LLL</v>
      </c>
      <c r="AK487" s="99" t="str">
        <f>VLOOKUP(AJ487,rfm[],2,0)</f>
        <v>💤 Lost / Low Value</v>
      </c>
      <c r="AN487" s="99" t="b">
        <f t="shared" si="79"/>
        <v>0</v>
      </c>
    </row>
    <row r="488" spans="2:40" x14ac:dyDescent="0.3">
      <c r="B488" s="99" t="s">
        <v>1206</v>
      </c>
      <c r="C488" s="100">
        <v>45748</v>
      </c>
      <c r="D488" s="99" t="s">
        <v>44</v>
      </c>
      <c r="E488" s="99" t="s">
        <v>45</v>
      </c>
      <c r="F488" s="99" t="s">
        <v>16</v>
      </c>
      <c r="G488" s="99">
        <v>8</v>
      </c>
      <c r="H488" s="112">
        <v>250000</v>
      </c>
      <c r="I488" s="112">
        <v>2000000</v>
      </c>
      <c r="J488" s="99" t="s">
        <v>2757</v>
      </c>
      <c r="K488" s="99" t="s">
        <v>127</v>
      </c>
      <c r="N488" s="99" t="s">
        <v>2519</v>
      </c>
      <c r="O488" s="99" t="s">
        <v>127</v>
      </c>
      <c r="P488" s="100">
        <f t="shared" si="71"/>
        <v>46013</v>
      </c>
      <c r="Q488" s="101">
        <f t="shared" si="70"/>
        <v>10</v>
      </c>
      <c r="R488" s="99">
        <f t="shared" si="72"/>
        <v>7</v>
      </c>
      <c r="S488" s="101">
        <f t="shared" si="73"/>
        <v>56820000</v>
      </c>
      <c r="T488" s="99" t="str">
        <f t="shared" si="74"/>
        <v>High</v>
      </c>
      <c r="U488" s="99" t="str">
        <f t="shared" si="75"/>
        <v>High</v>
      </c>
      <c r="V488" s="99" t="str">
        <f t="shared" si="76"/>
        <v>High</v>
      </c>
      <c r="W488" s="99" t="str">
        <f t="shared" si="77"/>
        <v>HHH</v>
      </c>
      <c r="X488" s="99" t="str">
        <f>VLOOKUP(W488,rfm[],2,FALSE)</f>
        <v>🥇 Champions</v>
      </c>
      <c r="AA488" s="99" t="s">
        <v>2519</v>
      </c>
      <c r="AB488" s="99" t="s">
        <v>127</v>
      </c>
      <c r="AC488" s="100">
        <v>46013</v>
      </c>
      <c r="AD488" s="101">
        <v>10</v>
      </c>
      <c r="AE488" s="101">
        <v>7</v>
      </c>
      <c r="AF488" s="101">
        <v>56820000</v>
      </c>
      <c r="AG488" s="99" t="str">
        <f>VLOOKUP(AA488,recency!$K$6:$P$818,6,0)</f>
        <v>High</v>
      </c>
      <c r="AH488" s="132" t="str">
        <f>VLOOKUP(AA488,frequency!$F$6:$H$818,3,FALSE)</f>
        <v>High</v>
      </c>
      <c r="AI488" s="129" t="str">
        <f>VLOOKUP(AA488,monetary!$B$5:$F$817,5,0)</f>
        <v>High</v>
      </c>
      <c r="AJ488" s="99" t="str">
        <f t="shared" si="78"/>
        <v>HHH</v>
      </c>
      <c r="AK488" s="99" t="str">
        <f>VLOOKUP(AJ488,rfm[],2,0)</f>
        <v>🥇 Champions</v>
      </c>
      <c r="AN488" s="99" t="b">
        <f t="shared" si="79"/>
        <v>1</v>
      </c>
    </row>
    <row r="489" spans="2:40" x14ac:dyDescent="0.3">
      <c r="B489" s="99" t="s">
        <v>1207</v>
      </c>
      <c r="C489" s="100">
        <v>45748</v>
      </c>
      <c r="D489" s="99" t="s">
        <v>14</v>
      </c>
      <c r="E489" s="99" t="s">
        <v>15</v>
      </c>
      <c r="F489" s="99" t="s">
        <v>16</v>
      </c>
      <c r="G489" s="99">
        <v>9</v>
      </c>
      <c r="H489" s="112">
        <v>350000</v>
      </c>
      <c r="I489" s="112">
        <v>3150000</v>
      </c>
      <c r="J489" s="99" t="s">
        <v>2846</v>
      </c>
      <c r="K489" s="99" t="s">
        <v>127</v>
      </c>
      <c r="N489" s="99" t="s">
        <v>2520</v>
      </c>
      <c r="O489" s="99" t="s">
        <v>8</v>
      </c>
      <c r="P489" s="100">
        <f t="shared" si="71"/>
        <v>45762</v>
      </c>
      <c r="Q489" s="101">
        <f t="shared" si="70"/>
        <v>261</v>
      </c>
      <c r="R489" s="99">
        <f t="shared" si="72"/>
        <v>2</v>
      </c>
      <c r="S489" s="101">
        <f t="shared" si="73"/>
        <v>25530000</v>
      </c>
      <c r="T489" s="99" t="str">
        <f t="shared" si="74"/>
        <v>Low</v>
      </c>
      <c r="U489" s="99" t="str">
        <f t="shared" si="75"/>
        <v>Low</v>
      </c>
      <c r="V489" s="99" t="str">
        <f t="shared" si="76"/>
        <v>High</v>
      </c>
      <c r="W489" s="99" t="str">
        <f t="shared" si="77"/>
        <v>LLH</v>
      </c>
      <c r="X489" s="99" t="str">
        <f>VLOOKUP(W489,rfm[],2,FALSE)</f>
        <v>💸 Lost High Spenders</v>
      </c>
      <c r="AA489" s="99" t="s">
        <v>2520</v>
      </c>
      <c r="AB489" s="99" t="s">
        <v>8</v>
      </c>
      <c r="AC489" s="100">
        <v>45762</v>
      </c>
      <c r="AD489" s="101">
        <v>261</v>
      </c>
      <c r="AE489" s="101">
        <v>2</v>
      </c>
      <c r="AF489" s="101">
        <v>25530000</v>
      </c>
      <c r="AG489" s="99" t="str">
        <f>VLOOKUP(AA489,recency!$K$6:$P$818,6,0)</f>
        <v>Low</v>
      </c>
      <c r="AH489" s="132" t="str">
        <f>VLOOKUP(AA489,frequency!$F$6:$H$818,3,FALSE)</f>
        <v>Low</v>
      </c>
      <c r="AI489" s="129" t="str">
        <f>VLOOKUP(AA489,monetary!$B$5:$F$817,5,0)</f>
        <v>Low</v>
      </c>
      <c r="AJ489" s="99" t="str">
        <f t="shared" si="78"/>
        <v>LLL</v>
      </c>
      <c r="AK489" s="99" t="str">
        <f>VLOOKUP(AJ489,rfm[],2,0)</f>
        <v>💤 Lost / Low Value</v>
      </c>
      <c r="AN489" s="99" t="b">
        <f t="shared" si="79"/>
        <v>0</v>
      </c>
    </row>
    <row r="490" spans="2:40" x14ac:dyDescent="0.3">
      <c r="B490" s="99" t="s">
        <v>1208</v>
      </c>
      <c r="C490" s="100">
        <v>45748</v>
      </c>
      <c r="D490" s="99" t="s">
        <v>28</v>
      </c>
      <c r="E490" s="99" t="s">
        <v>29</v>
      </c>
      <c r="F490" s="99" t="s">
        <v>20</v>
      </c>
      <c r="G490" s="99">
        <v>320</v>
      </c>
      <c r="H490" s="112">
        <v>450000</v>
      </c>
      <c r="I490" s="112">
        <v>144000000</v>
      </c>
      <c r="J490" s="99" t="s">
        <v>2291</v>
      </c>
      <c r="K490" s="99" t="s">
        <v>127</v>
      </c>
      <c r="N490" s="99" t="s">
        <v>2521</v>
      </c>
      <c r="O490" s="99" t="s">
        <v>8</v>
      </c>
      <c r="P490" s="100">
        <f t="shared" si="71"/>
        <v>45888</v>
      </c>
      <c r="Q490" s="101">
        <f t="shared" si="70"/>
        <v>135</v>
      </c>
      <c r="R490" s="99">
        <f t="shared" si="72"/>
        <v>2</v>
      </c>
      <c r="S490" s="101">
        <f t="shared" si="73"/>
        <v>10260000</v>
      </c>
      <c r="T490" s="99" t="str">
        <f t="shared" si="74"/>
        <v>Low</v>
      </c>
      <c r="U490" s="99" t="str">
        <f t="shared" si="75"/>
        <v>Low</v>
      </c>
      <c r="V490" s="99" t="str">
        <f t="shared" si="76"/>
        <v>Low</v>
      </c>
      <c r="W490" s="99" t="str">
        <f t="shared" si="77"/>
        <v>LLL</v>
      </c>
      <c r="X490" s="99" t="str">
        <f>VLOOKUP(W490,rfm[],2,FALSE)</f>
        <v>💤 Lost / Low Value</v>
      </c>
      <c r="AA490" s="99" t="s">
        <v>2521</v>
      </c>
      <c r="AB490" s="99" t="s">
        <v>8</v>
      </c>
      <c r="AC490" s="100">
        <v>45888</v>
      </c>
      <c r="AD490" s="101">
        <v>135</v>
      </c>
      <c r="AE490" s="101">
        <v>2</v>
      </c>
      <c r="AF490" s="101">
        <v>10260000</v>
      </c>
      <c r="AG490" s="99" t="str">
        <f>VLOOKUP(AA490,recency!$K$6:$P$818,6,0)</f>
        <v>Low</v>
      </c>
      <c r="AH490" s="132" t="str">
        <f>VLOOKUP(AA490,frequency!$F$6:$H$818,3,FALSE)</f>
        <v>Low</v>
      </c>
      <c r="AI490" s="129" t="str">
        <f>VLOOKUP(AA490,monetary!$B$5:$F$817,5,0)</f>
        <v>Low</v>
      </c>
      <c r="AJ490" s="99" t="str">
        <f t="shared" si="78"/>
        <v>LLL</v>
      </c>
      <c r="AK490" s="99" t="str">
        <f>VLOOKUP(AJ490,rfm[],2,0)</f>
        <v>💤 Lost / Low Value</v>
      </c>
      <c r="AN490" s="99" t="b">
        <f t="shared" si="79"/>
        <v>1</v>
      </c>
    </row>
    <row r="491" spans="2:40" x14ac:dyDescent="0.3">
      <c r="B491" s="99" t="s">
        <v>1209</v>
      </c>
      <c r="C491" s="100">
        <v>45748</v>
      </c>
      <c r="D491" s="99" t="s">
        <v>31</v>
      </c>
      <c r="E491" s="99" t="s">
        <v>32</v>
      </c>
      <c r="F491" s="99" t="s">
        <v>20</v>
      </c>
      <c r="G491" s="99">
        <v>37</v>
      </c>
      <c r="H491" s="112">
        <v>180000</v>
      </c>
      <c r="I491" s="112">
        <v>6660000</v>
      </c>
      <c r="J491" s="99" t="s">
        <v>2560</v>
      </c>
      <c r="K491" s="99" t="s">
        <v>47</v>
      </c>
      <c r="N491" s="99" t="s">
        <v>2522</v>
      </c>
      <c r="O491" s="99" t="s">
        <v>8</v>
      </c>
      <c r="P491" s="100">
        <f t="shared" si="71"/>
        <v>45805</v>
      </c>
      <c r="Q491" s="101">
        <f t="shared" si="70"/>
        <v>218</v>
      </c>
      <c r="R491" s="99">
        <f t="shared" si="72"/>
        <v>2</v>
      </c>
      <c r="S491" s="101">
        <f t="shared" si="73"/>
        <v>9120000</v>
      </c>
      <c r="T491" s="99" t="str">
        <f t="shared" si="74"/>
        <v>Low</v>
      </c>
      <c r="U491" s="99" t="str">
        <f t="shared" si="75"/>
        <v>Low</v>
      </c>
      <c r="V491" s="99" t="str">
        <f t="shared" si="76"/>
        <v>Low</v>
      </c>
      <c r="W491" s="99" t="str">
        <f t="shared" si="77"/>
        <v>LLL</v>
      </c>
      <c r="X491" s="99" t="str">
        <f>VLOOKUP(W491,rfm[],2,FALSE)</f>
        <v>💤 Lost / Low Value</v>
      </c>
      <c r="AA491" s="99" t="s">
        <v>2522</v>
      </c>
      <c r="AB491" s="99" t="s">
        <v>8</v>
      </c>
      <c r="AC491" s="100">
        <v>45805</v>
      </c>
      <c r="AD491" s="101">
        <v>218</v>
      </c>
      <c r="AE491" s="101">
        <v>2</v>
      </c>
      <c r="AF491" s="101">
        <v>9120000</v>
      </c>
      <c r="AG491" s="99" t="str">
        <f>VLOOKUP(AA491,recency!$K$6:$P$818,6,0)</f>
        <v>Low</v>
      </c>
      <c r="AH491" s="132" t="str">
        <f>VLOOKUP(AA491,frequency!$F$6:$H$818,3,FALSE)</f>
        <v>Low</v>
      </c>
      <c r="AI491" s="129" t="str">
        <f>VLOOKUP(AA491,monetary!$B$5:$F$817,5,0)</f>
        <v>Low</v>
      </c>
      <c r="AJ491" s="99" t="str">
        <f t="shared" si="78"/>
        <v>LLL</v>
      </c>
      <c r="AK491" s="99" t="str">
        <f>VLOOKUP(AJ491,rfm[],2,0)</f>
        <v>💤 Lost / Low Value</v>
      </c>
      <c r="AN491" s="99" t="b">
        <f t="shared" si="79"/>
        <v>1</v>
      </c>
    </row>
    <row r="492" spans="2:40" x14ac:dyDescent="0.3">
      <c r="B492" s="99" t="s">
        <v>1210</v>
      </c>
      <c r="C492" s="100">
        <v>45748</v>
      </c>
      <c r="D492" s="99" t="s">
        <v>18</v>
      </c>
      <c r="E492" s="99" t="s">
        <v>19</v>
      </c>
      <c r="F492" s="99" t="s">
        <v>20</v>
      </c>
      <c r="G492" s="99">
        <v>5</v>
      </c>
      <c r="H492" s="112">
        <v>500000</v>
      </c>
      <c r="I492" s="112">
        <v>2500000</v>
      </c>
      <c r="J492" s="99" t="s">
        <v>2531</v>
      </c>
      <c r="K492" s="99" t="s">
        <v>47</v>
      </c>
      <c r="N492" s="99" t="s">
        <v>2523</v>
      </c>
      <c r="O492" s="99" t="s">
        <v>127</v>
      </c>
      <c r="P492" s="100">
        <f t="shared" si="71"/>
        <v>45750</v>
      </c>
      <c r="Q492" s="101">
        <f t="shared" si="70"/>
        <v>273</v>
      </c>
      <c r="R492" s="99">
        <f t="shared" si="72"/>
        <v>3</v>
      </c>
      <c r="S492" s="101">
        <f t="shared" si="73"/>
        <v>74250000</v>
      </c>
      <c r="T492" s="99" t="str">
        <f t="shared" si="74"/>
        <v>Low</v>
      </c>
      <c r="U492" s="99" t="str">
        <f t="shared" si="75"/>
        <v>High</v>
      </c>
      <c r="V492" s="99" t="str">
        <f t="shared" si="76"/>
        <v>High</v>
      </c>
      <c r="W492" s="99" t="str">
        <f t="shared" si="77"/>
        <v>LHH</v>
      </c>
      <c r="X492" s="99" t="str">
        <f>VLOOKUP(W492,rfm[],2,FALSE)</f>
        <v>⚠️ At Risk High Value</v>
      </c>
      <c r="AA492" s="99" t="s">
        <v>2523</v>
      </c>
      <c r="AB492" s="99" t="s">
        <v>127</v>
      </c>
      <c r="AC492" s="100">
        <v>45750</v>
      </c>
      <c r="AD492" s="101">
        <v>273</v>
      </c>
      <c r="AE492" s="101">
        <v>3</v>
      </c>
      <c r="AF492" s="101">
        <v>74250000</v>
      </c>
      <c r="AG492" s="99" t="str">
        <f>VLOOKUP(AA492,recency!$K$6:$P$818,6,0)</f>
        <v>Low</v>
      </c>
      <c r="AH492" s="132" t="str">
        <f>VLOOKUP(AA492,frequency!$F$6:$H$818,3,FALSE)</f>
        <v>High</v>
      </c>
      <c r="AI492" s="129" t="str">
        <f>VLOOKUP(AA492,monetary!$B$5:$F$817,5,0)</f>
        <v>High</v>
      </c>
      <c r="AJ492" s="99" t="str">
        <f t="shared" si="78"/>
        <v>LHH</v>
      </c>
      <c r="AK492" s="99" t="str">
        <f>VLOOKUP(AJ492,rfm[],2,0)</f>
        <v>⚠️ At Risk High Value</v>
      </c>
      <c r="AN492" s="99" t="b">
        <f t="shared" si="79"/>
        <v>1</v>
      </c>
    </row>
    <row r="493" spans="2:40" x14ac:dyDescent="0.3">
      <c r="B493" s="99" t="s">
        <v>1247</v>
      </c>
      <c r="C493" s="100">
        <v>45750</v>
      </c>
      <c r="D493" s="99" t="s">
        <v>31</v>
      </c>
      <c r="E493" s="99" t="s">
        <v>32</v>
      </c>
      <c r="F493" s="99" t="s">
        <v>20</v>
      </c>
      <c r="G493" s="99">
        <v>29</v>
      </c>
      <c r="H493" s="112">
        <v>180000</v>
      </c>
      <c r="I493" s="112">
        <v>5220000</v>
      </c>
      <c r="J493" s="99" t="s">
        <v>2209</v>
      </c>
      <c r="K493" s="99" t="s">
        <v>8</v>
      </c>
      <c r="N493" s="99" t="s">
        <v>2524</v>
      </c>
      <c r="O493" s="99" t="s">
        <v>127</v>
      </c>
      <c r="P493" s="100">
        <f t="shared" si="71"/>
        <v>45972</v>
      </c>
      <c r="Q493" s="101">
        <f t="shared" si="70"/>
        <v>51</v>
      </c>
      <c r="R493" s="99">
        <f t="shared" si="72"/>
        <v>2</v>
      </c>
      <c r="S493" s="101">
        <f t="shared" si="73"/>
        <v>19600000</v>
      </c>
      <c r="T493" s="99" t="str">
        <f t="shared" si="74"/>
        <v>High</v>
      </c>
      <c r="U493" s="99" t="str">
        <f t="shared" si="75"/>
        <v>Low</v>
      </c>
      <c r="V493" s="99" t="str">
        <f t="shared" si="76"/>
        <v>High</v>
      </c>
      <c r="W493" s="99" t="str">
        <f t="shared" si="77"/>
        <v>HLH</v>
      </c>
      <c r="X493" s="99" t="str">
        <f>VLOOKUP(W493,rfm[],2,FALSE)</f>
        <v>🛒 Big Spenders (Occasional)</v>
      </c>
      <c r="AA493" s="99" t="s">
        <v>2524</v>
      </c>
      <c r="AB493" s="99" t="s">
        <v>127</v>
      </c>
      <c r="AC493" s="100">
        <v>45972</v>
      </c>
      <c r="AD493" s="101">
        <v>51</v>
      </c>
      <c r="AE493" s="101">
        <v>2</v>
      </c>
      <c r="AF493" s="101">
        <v>19600000</v>
      </c>
      <c r="AG493" s="99" t="str">
        <f>VLOOKUP(AA493,recency!$K$6:$P$818,6,0)</f>
        <v>High</v>
      </c>
      <c r="AH493" s="132" t="str">
        <f>VLOOKUP(AA493,frequency!$F$6:$H$818,3,FALSE)</f>
        <v>Low</v>
      </c>
      <c r="AI493" s="129" t="str">
        <f>VLOOKUP(AA493,monetary!$B$5:$F$817,5,0)</f>
        <v>Low</v>
      </c>
      <c r="AJ493" s="99" t="str">
        <f t="shared" si="78"/>
        <v>HLL</v>
      </c>
      <c r="AK493" s="99" t="str">
        <f>VLOOKUP(AJ493,rfm[],2,0)</f>
        <v>🌱 Potential Loyalists</v>
      </c>
      <c r="AN493" s="99" t="b">
        <f t="shared" si="79"/>
        <v>0</v>
      </c>
    </row>
    <row r="494" spans="2:40" x14ac:dyDescent="0.3">
      <c r="B494" s="99" t="s">
        <v>1248</v>
      </c>
      <c r="C494" s="100">
        <v>45750</v>
      </c>
      <c r="D494" s="99" t="s">
        <v>44</v>
      </c>
      <c r="E494" s="99" t="s">
        <v>45</v>
      </c>
      <c r="F494" s="99" t="s">
        <v>16</v>
      </c>
      <c r="G494" s="99">
        <v>39</v>
      </c>
      <c r="H494" s="112">
        <v>250000</v>
      </c>
      <c r="I494" s="112">
        <v>9750000</v>
      </c>
      <c r="J494" s="99" t="s">
        <v>2763</v>
      </c>
      <c r="K494" s="99" t="s">
        <v>127</v>
      </c>
      <c r="N494" s="99" t="s">
        <v>2525</v>
      </c>
      <c r="O494" s="99" t="s">
        <v>127</v>
      </c>
      <c r="P494" s="100">
        <f t="shared" si="71"/>
        <v>45961</v>
      </c>
      <c r="Q494" s="101">
        <f t="shared" si="70"/>
        <v>62</v>
      </c>
      <c r="R494" s="99">
        <f t="shared" si="72"/>
        <v>1</v>
      </c>
      <c r="S494" s="101">
        <f t="shared" si="73"/>
        <v>4860000</v>
      </c>
      <c r="T494" s="99" t="str">
        <f t="shared" si="74"/>
        <v>High</v>
      </c>
      <c r="U494" s="99" t="str">
        <f t="shared" si="75"/>
        <v>Low</v>
      </c>
      <c r="V494" s="99" t="str">
        <f t="shared" si="76"/>
        <v>Low</v>
      </c>
      <c r="W494" s="99" t="str">
        <f t="shared" si="77"/>
        <v>HLL</v>
      </c>
      <c r="X494" s="99" t="str">
        <f>VLOOKUP(W494,rfm[],2,FALSE)</f>
        <v>🌱 Potential Loyalists</v>
      </c>
      <c r="AA494" s="99" t="s">
        <v>2525</v>
      </c>
      <c r="AB494" s="99" t="s">
        <v>127</v>
      </c>
      <c r="AC494" s="100">
        <v>45961</v>
      </c>
      <c r="AD494" s="101">
        <v>62</v>
      </c>
      <c r="AE494" s="101">
        <v>1</v>
      </c>
      <c r="AF494" s="101">
        <v>4860000</v>
      </c>
      <c r="AG494" s="99" t="str">
        <f>VLOOKUP(AA494,recency!$K$6:$P$818,6,0)</f>
        <v>Low</v>
      </c>
      <c r="AH494" s="132" t="str">
        <f>VLOOKUP(AA494,frequency!$F$6:$H$818,3,FALSE)</f>
        <v>Low</v>
      </c>
      <c r="AI494" s="129" t="str">
        <f>VLOOKUP(AA494,monetary!$B$5:$F$817,5,0)</f>
        <v>Low</v>
      </c>
      <c r="AJ494" s="99" t="str">
        <f t="shared" si="78"/>
        <v>LLL</v>
      </c>
      <c r="AK494" s="99" t="str">
        <f>VLOOKUP(AJ494,rfm[],2,0)</f>
        <v>💤 Lost / Low Value</v>
      </c>
      <c r="AN494" s="99" t="b">
        <f t="shared" si="79"/>
        <v>0</v>
      </c>
    </row>
    <row r="495" spans="2:40" x14ac:dyDescent="0.3">
      <c r="B495" s="99" t="s">
        <v>1249</v>
      </c>
      <c r="C495" s="100">
        <v>45750</v>
      </c>
      <c r="D495" s="99" t="s">
        <v>44</v>
      </c>
      <c r="E495" s="99" t="s">
        <v>45</v>
      </c>
      <c r="F495" s="99" t="s">
        <v>16</v>
      </c>
      <c r="G495" s="99">
        <v>20</v>
      </c>
      <c r="H495" s="112">
        <v>250000</v>
      </c>
      <c r="I495" s="112">
        <v>5000000</v>
      </c>
      <c r="J495" s="99" t="s">
        <v>2826</v>
      </c>
      <c r="K495" s="99" t="s">
        <v>60</v>
      </c>
      <c r="N495" s="99" t="s">
        <v>2526</v>
      </c>
      <c r="O495" s="99" t="s">
        <v>127</v>
      </c>
      <c r="P495" s="100">
        <f t="shared" si="71"/>
        <v>45799</v>
      </c>
      <c r="Q495" s="101">
        <f t="shared" si="70"/>
        <v>224</v>
      </c>
      <c r="R495" s="99">
        <f t="shared" si="72"/>
        <v>1</v>
      </c>
      <c r="S495" s="101">
        <f t="shared" si="73"/>
        <v>1200000</v>
      </c>
      <c r="T495" s="99" t="str">
        <f t="shared" si="74"/>
        <v>Low</v>
      </c>
      <c r="U495" s="99" t="str">
        <f t="shared" si="75"/>
        <v>Low</v>
      </c>
      <c r="V495" s="99" t="str">
        <f t="shared" si="76"/>
        <v>Low</v>
      </c>
      <c r="W495" s="99" t="str">
        <f t="shared" si="77"/>
        <v>LLL</v>
      </c>
      <c r="X495" s="99" t="str">
        <f>VLOOKUP(W495,rfm[],2,FALSE)</f>
        <v>💤 Lost / Low Value</v>
      </c>
      <c r="AA495" s="99" t="s">
        <v>2526</v>
      </c>
      <c r="AB495" s="99" t="s">
        <v>127</v>
      </c>
      <c r="AC495" s="100">
        <v>45799</v>
      </c>
      <c r="AD495" s="101">
        <v>224</v>
      </c>
      <c r="AE495" s="101">
        <v>1</v>
      </c>
      <c r="AF495" s="101">
        <v>1200000</v>
      </c>
      <c r="AG495" s="99" t="str">
        <f>VLOOKUP(AA495,recency!$K$6:$P$818,6,0)</f>
        <v>Low</v>
      </c>
      <c r="AH495" s="132" t="str">
        <f>VLOOKUP(AA495,frequency!$F$6:$H$818,3,FALSE)</f>
        <v>Low</v>
      </c>
      <c r="AI495" s="129" t="str">
        <f>VLOOKUP(AA495,monetary!$B$5:$F$817,5,0)</f>
        <v>Low</v>
      </c>
      <c r="AJ495" s="99" t="str">
        <f t="shared" si="78"/>
        <v>LLL</v>
      </c>
      <c r="AK495" s="99" t="str">
        <f>VLOOKUP(AJ495,rfm[],2,0)</f>
        <v>💤 Lost / Low Value</v>
      </c>
      <c r="AN495" s="99" t="b">
        <f t="shared" si="79"/>
        <v>1</v>
      </c>
    </row>
    <row r="496" spans="2:40" x14ac:dyDescent="0.3">
      <c r="B496" s="99" t="s">
        <v>1288</v>
      </c>
      <c r="C496" s="100">
        <v>45750</v>
      </c>
      <c r="D496" s="99" t="s">
        <v>42</v>
      </c>
      <c r="E496" s="99" t="s">
        <v>43</v>
      </c>
      <c r="F496" s="99" t="s">
        <v>16</v>
      </c>
      <c r="G496" s="99">
        <v>6</v>
      </c>
      <c r="H496" s="112">
        <v>1200000</v>
      </c>
      <c r="I496" s="112">
        <v>7200000</v>
      </c>
      <c r="J496" s="99" t="s">
        <v>2323</v>
      </c>
      <c r="K496" s="99" t="s">
        <v>47</v>
      </c>
      <c r="N496" s="99" t="s">
        <v>2527</v>
      </c>
      <c r="O496" s="99" t="s">
        <v>69</v>
      </c>
      <c r="P496" s="100">
        <f t="shared" si="71"/>
        <v>45796</v>
      </c>
      <c r="Q496" s="101">
        <f t="shared" si="70"/>
        <v>227</v>
      </c>
      <c r="R496" s="99">
        <f t="shared" si="72"/>
        <v>2</v>
      </c>
      <c r="S496" s="101">
        <f t="shared" si="73"/>
        <v>53050000</v>
      </c>
      <c r="T496" s="99" t="str">
        <f t="shared" si="74"/>
        <v>Low</v>
      </c>
      <c r="U496" s="99" t="str">
        <f t="shared" si="75"/>
        <v>Low</v>
      </c>
      <c r="V496" s="99" t="str">
        <f t="shared" si="76"/>
        <v>High</v>
      </c>
      <c r="W496" s="99" t="str">
        <f t="shared" si="77"/>
        <v>LLH</v>
      </c>
      <c r="X496" s="99" t="str">
        <f>VLOOKUP(W496,rfm[],2,FALSE)</f>
        <v>💸 Lost High Spenders</v>
      </c>
      <c r="AA496" s="99" t="s">
        <v>2527</v>
      </c>
      <c r="AB496" s="99" t="s">
        <v>69</v>
      </c>
      <c r="AC496" s="100">
        <v>45796</v>
      </c>
      <c r="AD496" s="101">
        <v>227</v>
      </c>
      <c r="AE496" s="101">
        <v>2</v>
      </c>
      <c r="AF496" s="101">
        <v>53050000</v>
      </c>
      <c r="AG496" s="99" t="str">
        <f>VLOOKUP(AA496,recency!$K$6:$P$818,6,0)</f>
        <v>Low</v>
      </c>
      <c r="AH496" s="132" t="str">
        <f>VLOOKUP(AA496,frequency!$F$6:$H$818,3,FALSE)</f>
        <v>Low</v>
      </c>
      <c r="AI496" s="129" t="str">
        <f>VLOOKUP(AA496,monetary!$B$5:$F$817,5,0)</f>
        <v>High</v>
      </c>
      <c r="AJ496" s="99" t="str">
        <f t="shared" si="78"/>
        <v>LLH</v>
      </c>
      <c r="AK496" s="99" t="str">
        <f>VLOOKUP(AJ496,rfm[],2,0)</f>
        <v>💸 Lost High Spenders</v>
      </c>
      <c r="AN496" s="99" t="b">
        <f t="shared" si="79"/>
        <v>1</v>
      </c>
    </row>
    <row r="497" spans="2:40" x14ac:dyDescent="0.3">
      <c r="B497" s="99" t="s">
        <v>1289</v>
      </c>
      <c r="C497" s="100">
        <v>45750</v>
      </c>
      <c r="D497" s="99" t="s">
        <v>40</v>
      </c>
      <c r="E497" s="99" t="s">
        <v>41</v>
      </c>
      <c r="F497" s="99" t="s">
        <v>16</v>
      </c>
      <c r="G497" s="99">
        <v>9</v>
      </c>
      <c r="H497" s="112">
        <v>950000</v>
      </c>
      <c r="I497" s="112">
        <v>8550000</v>
      </c>
      <c r="J497" s="99" t="s">
        <v>2309</v>
      </c>
      <c r="K497" s="99" t="s">
        <v>8</v>
      </c>
      <c r="N497" s="99" t="s">
        <v>2528</v>
      </c>
      <c r="O497" s="99" t="s">
        <v>8</v>
      </c>
      <c r="P497" s="100">
        <f t="shared" si="71"/>
        <v>45995</v>
      </c>
      <c r="Q497" s="101">
        <f t="shared" si="70"/>
        <v>28</v>
      </c>
      <c r="R497" s="99">
        <f t="shared" si="72"/>
        <v>1</v>
      </c>
      <c r="S497" s="101">
        <f t="shared" si="73"/>
        <v>7020000</v>
      </c>
      <c r="T497" s="99" t="str">
        <f t="shared" si="74"/>
        <v>High</v>
      </c>
      <c r="U497" s="99" t="str">
        <f t="shared" si="75"/>
        <v>Low</v>
      </c>
      <c r="V497" s="99" t="str">
        <f t="shared" si="76"/>
        <v>Low</v>
      </c>
      <c r="W497" s="99" t="str">
        <f t="shared" si="77"/>
        <v>HLL</v>
      </c>
      <c r="X497" s="99" t="str">
        <f>VLOOKUP(W497,rfm[],2,FALSE)</f>
        <v>🌱 Potential Loyalists</v>
      </c>
      <c r="AA497" s="99" t="s">
        <v>2528</v>
      </c>
      <c r="AB497" s="99" t="s">
        <v>8</v>
      </c>
      <c r="AC497" s="100">
        <v>45995</v>
      </c>
      <c r="AD497" s="101">
        <v>28</v>
      </c>
      <c r="AE497" s="101">
        <v>1</v>
      </c>
      <c r="AF497" s="101">
        <v>7020000</v>
      </c>
      <c r="AG497" s="99" t="str">
        <f>VLOOKUP(AA497,recency!$K$6:$P$818,6,0)</f>
        <v>High</v>
      </c>
      <c r="AH497" s="132" t="str">
        <f>VLOOKUP(AA497,frequency!$F$6:$H$818,3,FALSE)</f>
        <v>Low</v>
      </c>
      <c r="AI497" s="129" t="str">
        <f>VLOOKUP(AA497,monetary!$B$5:$F$817,5,0)</f>
        <v>Low</v>
      </c>
      <c r="AJ497" s="99" t="str">
        <f t="shared" si="78"/>
        <v>HLL</v>
      </c>
      <c r="AK497" s="99" t="str">
        <f>VLOOKUP(AJ497,rfm[],2,0)</f>
        <v>🌱 Potential Loyalists</v>
      </c>
      <c r="AN497" s="99" t="b">
        <f t="shared" si="79"/>
        <v>1</v>
      </c>
    </row>
    <row r="498" spans="2:40" x14ac:dyDescent="0.3">
      <c r="B498" s="99" t="s">
        <v>1290</v>
      </c>
      <c r="C498" s="100">
        <v>45750</v>
      </c>
      <c r="D498" s="99" t="s">
        <v>44</v>
      </c>
      <c r="E498" s="99" t="s">
        <v>45</v>
      </c>
      <c r="F498" s="99" t="s">
        <v>16</v>
      </c>
      <c r="G498" s="99">
        <v>6</v>
      </c>
      <c r="H498" s="112">
        <v>250000</v>
      </c>
      <c r="I498" s="112">
        <v>1500000</v>
      </c>
      <c r="J498" s="99" t="s">
        <v>2723</v>
      </c>
      <c r="K498" s="99" t="s">
        <v>8</v>
      </c>
      <c r="N498" s="99" t="s">
        <v>2529</v>
      </c>
      <c r="O498" s="99" t="s">
        <v>69</v>
      </c>
      <c r="P498" s="100">
        <f t="shared" si="71"/>
        <v>45849</v>
      </c>
      <c r="Q498" s="101">
        <f t="shared" si="70"/>
        <v>174</v>
      </c>
      <c r="R498" s="99">
        <f t="shared" si="72"/>
        <v>2</v>
      </c>
      <c r="S498" s="101">
        <f t="shared" si="73"/>
        <v>31100000</v>
      </c>
      <c r="T498" s="99" t="str">
        <f t="shared" si="74"/>
        <v>Low</v>
      </c>
      <c r="U498" s="99" t="str">
        <f t="shared" si="75"/>
        <v>Low</v>
      </c>
      <c r="V498" s="99" t="str">
        <f t="shared" si="76"/>
        <v>High</v>
      </c>
      <c r="W498" s="99" t="str">
        <f t="shared" si="77"/>
        <v>LLH</v>
      </c>
      <c r="X498" s="99" t="str">
        <f>VLOOKUP(W498,rfm[],2,FALSE)</f>
        <v>💸 Lost High Spenders</v>
      </c>
      <c r="AA498" s="99" t="s">
        <v>2529</v>
      </c>
      <c r="AB498" s="99" t="s">
        <v>69</v>
      </c>
      <c r="AC498" s="100">
        <v>45849</v>
      </c>
      <c r="AD498" s="101">
        <v>174</v>
      </c>
      <c r="AE498" s="101">
        <v>2</v>
      </c>
      <c r="AF498" s="101">
        <v>31100000</v>
      </c>
      <c r="AG498" s="99" t="str">
        <f>VLOOKUP(AA498,recency!$K$6:$P$818,6,0)</f>
        <v>Low</v>
      </c>
      <c r="AH498" s="132" t="str">
        <f>VLOOKUP(AA498,frequency!$F$6:$H$818,3,FALSE)</f>
        <v>Low</v>
      </c>
      <c r="AI498" s="129" t="str">
        <f>VLOOKUP(AA498,monetary!$B$5:$F$817,5,0)</f>
        <v>Low</v>
      </c>
      <c r="AJ498" s="99" t="str">
        <f t="shared" si="78"/>
        <v>LLL</v>
      </c>
      <c r="AK498" s="99" t="str">
        <f>VLOOKUP(AJ498,rfm[],2,0)</f>
        <v>💤 Lost / Low Value</v>
      </c>
      <c r="AN498" s="99" t="b">
        <f t="shared" si="79"/>
        <v>0</v>
      </c>
    </row>
    <row r="499" spans="2:40" x14ac:dyDescent="0.3">
      <c r="B499" s="99" t="s">
        <v>1291</v>
      </c>
      <c r="C499" s="100">
        <v>45750</v>
      </c>
      <c r="D499" s="99" t="s">
        <v>28</v>
      </c>
      <c r="E499" s="99" t="s">
        <v>29</v>
      </c>
      <c r="F499" s="99" t="s">
        <v>20</v>
      </c>
      <c r="G499" s="99">
        <v>21</v>
      </c>
      <c r="H499" s="112">
        <v>450000</v>
      </c>
      <c r="I499" s="112">
        <v>9450000</v>
      </c>
      <c r="J499" s="99" t="s">
        <v>2843</v>
      </c>
      <c r="K499" s="99" t="s">
        <v>8</v>
      </c>
      <c r="N499" s="99" t="s">
        <v>2530</v>
      </c>
      <c r="O499" s="99" t="s">
        <v>127</v>
      </c>
      <c r="P499" s="100">
        <f t="shared" si="71"/>
        <v>45979</v>
      </c>
      <c r="Q499" s="101">
        <f t="shared" si="70"/>
        <v>44</v>
      </c>
      <c r="R499" s="99">
        <f t="shared" si="72"/>
        <v>4</v>
      </c>
      <c r="S499" s="101">
        <f t="shared" si="73"/>
        <v>77330000</v>
      </c>
      <c r="T499" s="99" t="str">
        <f t="shared" si="74"/>
        <v>High</v>
      </c>
      <c r="U499" s="99" t="str">
        <f t="shared" si="75"/>
        <v>High</v>
      </c>
      <c r="V499" s="99" t="str">
        <f t="shared" si="76"/>
        <v>High</v>
      </c>
      <c r="W499" s="99" t="str">
        <f t="shared" si="77"/>
        <v>HHH</v>
      </c>
      <c r="X499" s="99" t="str">
        <f>VLOOKUP(W499,rfm[],2,FALSE)</f>
        <v>🥇 Champions</v>
      </c>
      <c r="AA499" s="99" t="s">
        <v>2530</v>
      </c>
      <c r="AB499" s="99" t="s">
        <v>127</v>
      </c>
      <c r="AC499" s="100">
        <v>45979</v>
      </c>
      <c r="AD499" s="101">
        <v>44</v>
      </c>
      <c r="AE499" s="101">
        <v>4</v>
      </c>
      <c r="AF499" s="101">
        <v>77330000</v>
      </c>
      <c r="AG499" s="99" t="str">
        <f>VLOOKUP(AA499,recency!$K$6:$P$818,6,0)</f>
        <v>High</v>
      </c>
      <c r="AH499" s="132" t="str">
        <f>VLOOKUP(AA499,frequency!$F$6:$H$818,3,FALSE)</f>
        <v>High</v>
      </c>
      <c r="AI499" s="129" t="str">
        <f>VLOOKUP(AA499,monetary!$B$5:$F$817,5,0)</f>
        <v>High</v>
      </c>
      <c r="AJ499" s="99" t="str">
        <f t="shared" si="78"/>
        <v>HHH</v>
      </c>
      <c r="AK499" s="99" t="str">
        <f>VLOOKUP(AJ499,rfm[],2,0)</f>
        <v>🥇 Champions</v>
      </c>
      <c r="AN499" s="99" t="b">
        <f t="shared" si="79"/>
        <v>1</v>
      </c>
    </row>
    <row r="500" spans="2:40" x14ac:dyDescent="0.3">
      <c r="B500" s="99" t="s">
        <v>1292</v>
      </c>
      <c r="C500" s="100">
        <v>45750</v>
      </c>
      <c r="D500" s="99" t="s">
        <v>22</v>
      </c>
      <c r="E500" s="99" t="s">
        <v>23</v>
      </c>
      <c r="F500" s="99" t="s">
        <v>12</v>
      </c>
      <c r="G500" s="99">
        <v>21</v>
      </c>
      <c r="H500" s="112">
        <v>25000</v>
      </c>
      <c r="I500" s="112">
        <v>525000</v>
      </c>
      <c r="J500" s="99" t="s">
        <v>2420</v>
      </c>
      <c r="K500" s="99" t="s">
        <v>127</v>
      </c>
      <c r="N500" s="99" t="s">
        <v>2531</v>
      </c>
      <c r="O500" s="99" t="s">
        <v>47</v>
      </c>
      <c r="P500" s="100">
        <f t="shared" si="71"/>
        <v>45748</v>
      </c>
      <c r="Q500" s="101">
        <f t="shared" si="70"/>
        <v>275</v>
      </c>
      <c r="R500" s="99">
        <f t="shared" si="72"/>
        <v>2</v>
      </c>
      <c r="S500" s="101">
        <f t="shared" si="73"/>
        <v>9160000</v>
      </c>
      <c r="T500" s="99" t="str">
        <f t="shared" si="74"/>
        <v>Low</v>
      </c>
      <c r="U500" s="99" t="str">
        <f t="shared" si="75"/>
        <v>Low</v>
      </c>
      <c r="V500" s="99" t="str">
        <f t="shared" si="76"/>
        <v>Low</v>
      </c>
      <c r="W500" s="99" t="str">
        <f t="shared" si="77"/>
        <v>LLL</v>
      </c>
      <c r="X500" s="99" t="str">
        <f>VLOOKUP(W500,rfm[],2,FALSE)</f>
        <v>💤 Lost / Low Value</v>
      </c>
      <c r="AA500" s="99" t="s">
        <v>2531</v>
      </c>
      <c r="AB500" s="99" t="s">
        <v>47</v>
      </c>
      <c r="AC500" s="100">
        <v>45748</v>
      </c>
      <c r="AD500" s="101">
        <v>275</v>
      </c>
      <c r="AE500" s="101">
        <v>2</v>
      </c>
      <c r="AF500" s="101">
        <v>9160000</v>
      </c>
      <c r="AG500" s="99" t="str">
        <f>VLOOKUP(AA500,recency!$K$6:$P$818,6,0)</f>
        <v>Low</v>
      </c>
      <c r="AH500" s="132" t="str">
        <f>VLOOKUP(AA500,frequency!$F$6:$H$818,3,FALSE)</f>
        <v>Low</v>
      </c>
      <c r="AI500" s="129" t="str">
        <f>VLOOKUP(AA500,monetary!$B$5:$F$817,5,0)</f>
        <v>Low</v>
      </c>
      <c r="AJ500" s="99" t="str">
        <f t="shared" si="78"/>
        <v>LLL</v>
      </c>
      <c r="AK500" s="99" t="str">
        <f>VLOOKUP(AJ500,rfm[],2,0)</f>
        <v>💤 Lost / Low Value</v>
      </c>
      <c r="AN500" s="99" t="b">
        <f t="shared" si="79"/>
        <v>1</v>
      </c>
    </row>
    <row r="501" spans="2:40" x14ac:dyDescent="0.3">
      <c r="B501" s="99" t="s">
        <v>1293</v>
      </c>
      <c r="C501" s="100">
        <v>45750</v>
      </c>
      <c r="D501" s="99" t="s">
        <v>14</v>
      </c>
      <c r="E501" s="99" t="s">
        <v>15</v>
      </c>
      <c r="F501" s="99" t="s">
        <v>16</v>
      </c>
      <c r="G501" s="99">
        <v>15</v>
      </c>
      <c r="H501" s="112">
        <v>350000</v>
      </c>
      <c r="I501" s="112">
        <v>5250000</v>
      </c>
      <c r="J501" s="99" t="s">
        <v>2523</v>
      </c>
      <c r="K501" s="99" t="s">
        <v>127</v>
      </c>
      <c r="N501" s="99" t="s">
        <v>2532</v>
      </c>
      <c r="O501" s="99" t="s">
        <v>47</v>
      </c>
      <c r="P501" s="100">
        <f t="shared" si="71"/>
        <v>46022</v>
      </c>
      <c r="Q501" s="101">
        <f t="shared" si="70"/>
        <v>1</v>
      </c>
      <c r="R501" s="99">
        <f t="shared" si="72"/>
        <v>3</v>
      </c>
      <c r="S501" s="101">
        <f t="shared" si="73"/>
        <v>17800000</v>
      </c>
      <c r="T501" s="99" t="str">
        <f t="shared" si="74"/>
        <v>High</v>
      </c>
      <c r="U501" s="99" t="str">
        <f t="shared" si="75"/>
        <v>High</v>
      </c>
      <c r="V501" s="99" t="str">
        <f t="shared" si="76"/>
        <v>Low</v>
      </c>
      <c r="W501" s="99" t="str">
        <f t="shared" si="77"/>
        <v>HHL</v>
      </c>
      <c r="X501" s="99" t="str">
        <f>VLOOKUP(W501,rfm[],2,FALSE)</f>
        <v>💎 Loyal High Value</v>
      </c>
      <c r="AA501" s="99" t="s">
        <v>2532</v>
      </c>
      <c r="AB501" s="99" t="s">
        <v>47</v>
      </c>
      <c r="AC501" s="100">
        <v>46022</v>
      </c>
      <c r="AD501" s="101">
        <v>1</v>
      </c>
      <c r="AE501" s="101">
        <v>3</v>
      </c>
      <c r="AF501" s="101">
        <v>17800000</v>
      </c>
      <c r="AG501" s="99" t="str">
        <f>VLOOKUP(AA501,recency!$K$6:$P$818,6,0)</f>
        <v>High</v>
      </c>
      <c r="AH501" s="132" t="str">
        <f>VLOOKUP(AA501,frequency!$F$6:$H$818,3,FALSE)</f>
        <v>High</v>
      </c>
      <c r="AI501" s="129" t="str">
        <f>VLOOKUP(AA501,monetary!$B$5:$F$817,5,0)</f>
        <v>Low</v>
      </c>
      <c r="AJ501" s="99" t="str">
        <f t="shared" si="78"/>
        <v>HHL</v>
      </c>
      <c r="AK501" s="99" t="str">
        <f>VLOOKUP(AJ501,rfm[],2,0)</f>
        <v>💎 Loyal High Value</v>
      </c>
      <c r="AN501" s="99" t="b">
        <f t="shared" si="79"/>
        <v>1</v>
      </c>
    </row>
    <row r="502" spans="2:40" x14ac:dyDescent="0.3">
      <c r="B502" s="99" t="s">
        <v>1294</v>
      </c>
      <c r="C502" s="100">
        <v>45750</v>
      </c>
      <c r="D502" s="99" t="s">
        <v>42</v>
      </c>
      <c r="E502" s="99" t="s">
        <v>43</v>
      </c>
      <c r="F502" s="99" t="s">
        <v>16</v>
      </c>
      <c r="G502" s="99">
        <v>13</v>
      </c>
      <c r="H502" s="112">
        <v>1200000</v>
      </c>
      <c r="I502" s="112">
        <v>15600000</v>
      </c>
      <c r="J502" s="99" t="s">
        <v>2590</v>
      </c>
      <c r="K502" s="99" t="s">
        <v>60</v>
      </c>
      <c r="N502" s="99" t="s">
        <v>2533</v>
      </c>
      <c r="O502" s="99" t="s">
        <v>8</v>
      </c>
      <c r="P502" s="100">
        <f t="shared" si="71"/>
        <v>45968</v>
      </c>
      <c r="Q502" s="101">
        <f t="shared" si="70"/>
        <v>55</v>
      </c>
      <c r="R502" s="99">
        <f t="shared" si="72"/>
        <v>6</v>
      </c>
      <c r="S502" s="101">
        <f t="shared" si="73"/>
        <v>1357000000</v>
      </c>
      <c r="T502" s="99" t="str">
        <f t="shared" si="74"/>
        <v>High</v>
      </c>
      <c r="U502" s="99" t="str">
        <f t="shared" si="75"/>
        <v>High</v>
      </c>
      <c r="V502" s="99" t="str">
        <f t="shared" si="76"/>
        <v>High</v>
      </c>
      <c r="W502" s="99" t="str">
        <f t="shared" si="77"/>
        <v>HHH</v>
      </c>
      <c r="X502" s="99" t="str">
        <f>VLOOKUP(W502,rfm[],2,FALSE)</f>
        <v>🥇 Champions</v>
      </c>
      <c r="AA502" s="99" t="s">
        <v>2533</v>
      </c>
      <c r="AB502" s="99" t="s">
        <v>8</v>
      </c>
      <c r="AC502" s="100">
        <v>45968</v>
      </c>
      <c r="AD502" s="101">
        <v>55</v>
      </c>
      <c r="AE502" s="101">
        <v>6</v>
      </c>
      <c r="AF502" s="101">
        <v>1357000000</v>
      </c>
      <c r="AG502" s="99" t="str">
        <f>VLOOKUP(AA502,recency!$K$6:$P$818,6,0)</f>
        <v>High</v>
      </c>
      <c r="AH502" s="132" t="str">
        <f>VLOOKUP(AA502,frequency!$F$6:$H$818,3,FALSE)</f>
        <v>High</v>
      </c>
      <c r="AI502" s="129" t="str">
        <f>VLOOKUP(AA502,monetary!$B$5:$F$817,5,0)</f>
        <v>High</v>
      </c>
      <c r="AJ502" s="99" t="str">
        <f t="shared" si="78"/>
        <v>HHH</v>
      </c>
      <c r="AK502" s="99" t="str">
        <f>VLOOKUP(AJ502,rfm[],2,0)</f>
        <v>🥇 Champions</v>
      </c>
      <c r="AN502" s="99" t="b">
        <f t="shared" si="79"/>
        <v>1</v>
      </c>
    </row>
    <row r="503" spans="2:40" x14ac:dyDescent="0.3">
      <c r="B503" s="99" t="s">
        <v>1295</v>
      </c>
      <c r="C503" s="100">
        <v>45750</v>
      </c>
      <c r="D503" s="99" t="s">
        <v>28</v>
      </c>
      <c r="E503" s="99" t="s">
        <v>29</v>
      </c>
      <c r="F503" s="99" t="s">
        <v>20</v>
      </c>
      <c r="G503" s="99">
        <v>18</v>
      </c>
      <c r="H503" s="112">
        <v>450000</v>
      </c>
      <c r="I503" s="112">
        <v>8100000</v>
      </c>
      <c r="J503" s="99" t="s">
        <v>2330</v>
      </c>
      <c r="K503" s="99" t="s">
        <v>69</v>
      </c>
      <c r="N503" s="99" t="s">
        <v>2534</v>
      </c>
      <c r="O503" s="99" t="s">
        <v>60</v>
      </c>
      <c r="P503" s="100">
        <f t="shared" si="71"/>
        <v>45911</v>
      </c>
      <c r="Q503" s="101">
        <f t="shared" si="70"/>
        <v>112</v>
      </c>
      <c r="R503" s="99">
        <f t="shared" si="72"/>
        <v>2</v>
      </c>
      <c r="S503" s="101">
        <f t="shared" si="73"/>
        <v>24750000</v>
      </c>
      <c r="T503" s="99" t="str">
        <f t="shared" si="74"/>
        <v>Low</v>
      </c>
      <c r="U503" s="99" t="str">
        <f t="shared" si="75"/>
        <v>Low</v>
      </c>
      <c r="V503" s="99" t="str">
        <f t="shared" si="76"/>
        <v>High</v>
      </c>
      <c r="W503" s="99" t="str">
        <f t="shared" si="77"/>
        <v>LLH</v>
      </c>
      <c r="X503" s="99" t="str">
        <f>VLOOKUP(W503,rfm[],2,FALSE)</f>
        <v>💸 Lost High Spenders</v>
      </c>
      <c r="AA503" s="99" t="s">
        <v>2534</v>
      </c>
      <c r="AB503" s="99" t="s">
        <v>60</v>
      </c>
      <c r="AC503" s="100">
        <v>45911</v>
      </c>
      <c r="AD503" s="101">
        <v>112</v>
      </c>
      <c r="AE503" s="101">
        <v>2</v>
      </c>
      <c r="AF503" s="101">
        <v>24750000</v>
      </c>
      <c r="AG503" s="99" t="str">
        <f>VLOOKUP(AA503,recency!$K$6:$P$818,6,0)</f>
        <v>Low</v>
      </c>
      <c r="AH503" s="132" t="str">
        <f>VLOOKUP(AA503,frequency!$F$6:$H$818,3,FALSE)</f>
        <v>Low</v>
      </c>
      <c r="AI503" s="129" t="str">
        <f>VLOOKUP(AA503,monetary!$B$5:$F$817,5,0)</f>
        <v>Low</v>
      </c>
      <c r="AJ503" s="99" t="str">
        <f t="shared" si="78"/>
        <v>LLL</v>
      </c>
      <c r="AK503" s="99" t="str">
        <f>VLOOKUP(AJ503,rfm[],2,0)</f>
        <v>💤 Lost / Low Value</v>
      </c>
      <c r="AN503" s="99" t="b">
        <f t="shared" si="79"/>
        <v>0</v>
      </c>
    </row>
    <row r="504" spans="2:40" x14ac:dyDescent="0.3">
      <c r="B504" s="99" t="s">
        <v>1330</v>
      </c>
      <c r="C504" s="100">
        <v>45750</v>
      </c>
      <c r="D504" s="99" t="s">
        <v>40</v>
      </c>
      <c r="E504" s="99" t="s">
        <v>41</v>
      </c>
      <c r="F504" s="99" t="s">
        <v>16</v>
      </c>
      <c r="G504" s="99">
        <v>27</v>
      </c>
      <c r="H504" s="112">
        <v>950000</v>
      </c>
      <c r="I504" s="112">
        <v>25650000</v>
      </c>
      <c r="J504" s="99" t="s">
        <v>2234</v>
      </c>
      <c r="K504" s="99" t="s">
        <v>60</v>
      </c>
      <c r="N504" s="99" t="s">
        <v>2535</v>
      </c>
      <c r="O504" s="99" t="s">
        <v>127</v>
      </c>
      <c r="P504" s="100">
        <f t="shared" si="71"/>
        <v>45965</v>
      </c>
      <c r="Q504" s="101">
        <f t="shared" si="70"/>
        <v>58</v>
      </c>
      <c r="R504" s="99">
        <f t="shared" si="72"/>
        <v>2</v>
      </c>
      <c r="S504" s="101">
        <f t="shared" si="73"/>
        <v>26440000</v>
      </c>
      <c r="T504" s="99" t="str">
        <f t="shared" si="74"/>
        <v>High</v>
      </c>
      <c r="U504" s="99" t="str">
        <f t="shared" si="75"/>
        <v>Low</v>
      </c>
      <c r="V504" s="99" t="str">
        <f t="shared" si="76"/>
        <v>High</v>
      </c>
      <c r="W504" s="99" t="str">
        <f t="shared" si="77"/>
        <v>HLH</v>
      </c>
      <c r="X504" s="99" t="str">
        <f>VLOOKUP(W504,rfm[],2,FALSE)</f>
        <v>🛒 Big Spenders (Occasional)</v>
      </c>
      <c r="AA504" s="99" t="s">
        <v>2535</v>
      </c>
      <c r="AB504" s="99" t="s">
        <v>127</v>
      </c>
      <c r="AC504" s="100">
        <v>45965</v>
      </c>
      <c r="AD504" s="101">
        <v>58</v>
      </c>
      <c r="AE504" s="101">
        <v>2</v>
      </c>
      <c r="AF504" s="101">
        <v>26440000</v>
      </c>
      <c r="AG504" s="99" t="str">
        <f>VLOOKUP(AA504,recency!$K$6:$P$818,6,0)</f>
        <v>High</v>
      </c>
      <c r="AH504" s="132" t="str">
        <f>VLOOKUP(AA504,frequency!$F$6:$H$818,3,FALSE)</f>
        <v>Low</v>
      </c>
      <c r="AI504" s="129" t="str">
        <f>VLOOKUP(AA504,monetary!$B$5:$F$817,5,0)</f>
        <v>Low</v>
      </c>
      <c r="AJ504" s="99" t="str">
        <f t="shared" si="78"/>
        <v>HLL</v>
      </c>
      <c r="AK504" s="99" t="str">
        <f>VLOOKUP(AJ504,rfm[],2,0)</f>
        <v>🌱 Potential Loyalists</v>
      </c>
      <c r="AN504" s="99" t="b">
        <f t="shared" si="79"/>
        <v>0</v>
      </c>
    </row>
    <row r="505" spans="2:40" x14ac:dyDescent="0.3">
      <c r="B505" s="99" t="s">
        <v>1331</v>
      </c>
      <c r="C505" s="100">
        <v>45751</v>
      </c>
      <c r="D505" s="99" t="s">
        <v>18</v>
      </c>
      <c r="E505" s="99" t="s">
        <v>19</v>
      </c>
      <c r="F505" s="99" t="s">
        <v>20</v>
      </c>
      <c r="G505" s="99">
        <v>400</v>
      </c>
      <c r="H505" s="112">
        <v>500000</v>
      </c>
      <c r="I505" s="112">
        <v>200000000</v>
      </c>
      <c r="J505" s="99" t="s">
        <v>2197</v>
      </c>
      <c r="K505" s="99" t="s">
        <v>8</v>
      </c>
      <c r="N505" s="99" t="s">
        <v>2536</v>
      </c>
      <c r="O505" s="99" t="s">
        <v>127</v>
      </c>
      <c r="P505" s="100">
        <f t="shared" si="71"/>
        <v>45904</v>
      </c>
      <c r="Q505" s="101">
        <f t="shared" si="70"/>
        <v>119</v>
      </c>
      <c r="R505" s="99">
        <f t="shared" si="72"/>
        <v>6</v>
      </c>
      <c r="S505" s="101">
        <f t="shared" si="73"/>
        <v>30100000</v>
      </c>
      <c r="T505" s="99" t="str">
        <f t="shared" si="74"/>
        <v>Low</v>
      </c>
      <c r="U505" s="99" t="str">
        <f t="shared" si="75"/>
        <v>High</v>
      </c>
      <c r="V505" s="99" t="str">
        <f t="shared" si="76"/>
        <v>High</v>
      </c>
      <c r="W505" s="99" t="str">
        <f t="shared" si="77"/>
        <v>LHH</v>
      </c>
      <c r="X505" s="99" t="str">
        <f>VLOOKUP(W505,rfm[],2,FALSE)</f>
        <v>⚠️ At Risk High Value</v>
      </c>
      <c r="AA505" s="99" t="s">
        <v>2536</v>
      </c>
      <c r="AB505" s="99" t="s">
        <v>127</v>
      </c>
      <c r="AC505" s="100">
        <v>45904</v>
      </c>
      <c r="AD505" s="101">
        <v>119</v>
      </c>
      <c r="AE505" s="101">
        <v>6</v>
      </c>
      <c r="AF505" s="101">
        <v>30100000</v>
      </c>
      <c r="AG505" s="99" t="str">
        <f>VLOOKUP(AA505,recency!$K$6:$P$818,6,0)</f>
        <v>Low</v>
      </c>
      <c r="AH505" s="132" t="str">
        <f>VLOOKUP(AA505,frequency!$F$6:$H$818,3,FALSE)</f>
        <v>High</v>
      </c>
      <c r="AI505" s="129" t="str">
        <f>VLOOKUP(AA505,monetary!$B$5:$F$817,5,0)</f>
        <v>Low</v>
      </c>
      <c r="AJ505" s="99" t="str">
        <f t="shared" si="78"/>
        <v>LHL</v>
      </c>
      <c r="AK505" s="99" t="str">
        <f>VLOOKUP(AJ505,rfm[],2,0)</f>
        <v>🔁 Former Loyal Low Spend</v>
      </c>
      <c r="AN505" s="99" t="b">
        <f t="shared" si="79"/>
        <v>0</v>
      </c>
    </row>
    <row r="506" spans="2:40" x14ac:dyDescent="0.3">
      <c r="B506" s="99" t="s">
        <v>1332</v>
      </c>
      <c r="C506" s="100">
        <v>45751</v>
      </c>
      <c r="D506" s="99" t="s">
        <v>28</v>
      </c>
      <c r="E506" s="99" t="s">
        <v>29</v>
      </c>
      <c r="F506" s="99" t="s">
        <v>20</v>
      </c>
      <c r="G506" s="99">
        <v>300</v>
      </c>
      <c r="H506" s="112">
        <v>450000</v>
      </c>
      <c r="I506" s="112">
        <v>135000000</v>
      </c>
      <c r="J506" s="99" t="s">
        <v>2533</v>
      </c>
      <c r="K506" s="99" t="s">
        <v>8</v>
      </c>
      <c r="N506" s="99" t="s">
        <v>2537</v>
      </c>
      <c r="O506" s="99" t="s">
        <v>127</v>
      </c>
      <c r="P506" s="100">
        <f t="shared" si="71"/>
        <v>45912</v>
      </c>
      <c r="Q506" s="101">
        <f t="shared" si="70"/>
        <v>111</v>
      </c>
      <c r="R506" s="99">
        <f t="shared" si="72"/>
        <v>6</v>
      </c>
      <c r="S506" s="101">
        <f t="shared" si="73"/>
        <v>46155000</v>
      </c>
      <c r="T506" s="99" t="str">
        <f t="shared" si="74"/>
        <v>Low</v>
      </c>
      <c r="U506" s="99" t="str">
        <f t="shared" si="75"/>
        <v>High</v>
      </c>
      <c r="V506" s="99" t="str">
        <f t="shared" si="76"/>
        <v>High</v>
      </c>
      <c r="W506" s="99" t="str">
        <f t="shared" si="77"/>
        <v>LHH</v>
      </c>
      <c r="X506" s="99" t="str">
        <f>VLOOKUP(W506,rfm[],2,FALSE)</f>
        <v>⚠️ At Risk High Value</v>
      </c>
      <c r="AA506" s="99" t="s">
        <v>2537</v>
      </c>
      <c r="AB506" s="99" t="s">
        <v>127</v>
      </c>
      <c r="AC506" s="100">
        <v>45912</v>
      </c>
      <c r="AD506" s="101">
        <v>111</v>
      </c>
      <c r="AE506" s="101">
        <v>6</v>
      </c>
      <c r="AF506" s="101">
        <v>46155000</v>
      </c>
      <c r="AG506" s="99" t="str">
        <f>VLOOKUP(AA506,recency!$K$6:$P$818,6,0)</f>
        <v>Low</v>
      </c>
      <c r="AH506" s="132" t="str">
        <f>VLOOKUP(AA506,frequency!$F$6:$H$818,3,FALSE)</f>
        <v>High</v>
      </c>
      <c r="AI506" s="129" t="str">
        <f>VLOOKUP(AA506,monetary!$B$5:$F$817,5,0)</f>
        <v>Low</v>
      </c>
      <c r="AJ506" s="99" t="str">
        <f t="shared" si="78"/>
        <v>LHL</v>
      </c>
      <c r="AK506" s="99" t="str">
        <f>VLOOKUP(AJ506,rfm[],2,0)</f>
        <v>🔁 Former Loyal Low Spend</v>
      </c>
      <c r="AN506" s="99" t="b">
        <f t="shared" si="79"/>
        <v>0</v>
      </c>
    </row>
    <row r="507" spans="2:40" x14ac:dyDescent="0.3">
      <c r="B507" s="99" t="s">
        <v>1333</v>
      </c>
      <c r="C507" s="100">
        <v>45751</v>
      </c>
      <c r="D507" s="99" t="s">
        <v>40</v>
      </c>
      <c r="E507" s="99" t="s">
        <v>41</v>
      </c>
      <c r="F507" s="99" t="s">
        <v>16</v>
      </c>
      <c r="G507" s="99">
        <v>23</v>
      </c>
      <c r="H507" s="112">
        <v>950000</v>
      </c>
      <c r="I507" s="112">
        <v>21850000</v>
      </c>
      <c r="J507" s="99" t="s">
        <v>1358</v>
      </c>
      <c r="K507" s="99" t="s">
        <v>47</v>
      </c>
      <c r="N507" s="99" t="s">
        <v>2538</v>
      </c>
      <c r="O507" s="99" t="s">
        <v>127</v>
      </c>
      <c r="P507" s="100">
        <f t="shared" si="71"/>
        <v>46007</v>
      </c>
      <c r="Q507" s="101">
        <f t="shared" si="70"/>
        <v>16</v>
      </c>
      <c r="R507" s="99">
        <f t="shared" si="72"/>
        <v>5</v>
      </c>
      <c r="S507" s="101">
        <f t="shared" si="73"/>
        <v>34375000</v>
      </c>
      <c r="T507" s="99" t="str">
        <f t="shared" si="74"/>
        <v>High</v>
      </c>
      <c r="U507" s="99" t="str">
        <f t="shared" si="75"/>
        <v>High</v>
      </c>
      <c r="V507" s="99" t="str">
        <f t="shared" si="76"/>
        <v>High</v>
      </c>
      <c r="W507" s="99" t="str">
        <f t="shared" si="77"/>
        <v>HHH</v>
      </c>
      <c r="X507" s="99" t="str">
        <f>VLOOKUP(W507,rfm[],2,FALSE)</f>
        <v>🥇 Champions</v>
      </c>
      <c r="AA507" s="99" t="s">
        <v>2538</v>
      </c>
      <c r="AB507" s="99" t="s">
        <v>127</v>
      </c>
      <c r="AC507" s="100">
        <v>46007</v>
      </c>
      <c r="AD507" s="101">
        <v>16</v>
      </c>
      <c r="AE507" s="101">
        <v>5</v>
      </c>
      <c r="AF507" s="101">
        <v>34375000</v>
      </c>
      <c r="AG507" s="99" t="str">
        <f>VLOOKUP(AA507,recency!$K$6:$P$818,6,0)</f>
        <v>High</v>
      </c>
      <c r="AH507" s="132" t="str">
        <f>VLOOKUP(AA507,frequency!$F$6:$H$818,3,FALSE)</f>
        <v>High</v>
      </c>
      <c r="AI507" s="129" t="str">
        <f>VLOOKUP(AA507,monetary!$B$5:$F$817,5,0)</f>
        <v>Low</v>
      </c>
      <c r="AJ507" s="99" t="str">
        <f t="shared" si="78"/>
        <v>HHL</v>
      </c>
      <c r="AK507" s="99" t="str">
        <f>VLOOKUP(AJ507,rfm[],2,0)</f>
        <v>💎 Loyal High Value</v>
      </c>
      <c r="AN507" s="99" t="b">
        <f t="shared" si="79"/>
        <v>0</v>
      </c>
    </row>
    <row r="508" spans="2:40" x14ac:dyDescent="0.3">
      <c r="B508" s="99" t="s">
        <v>1334</v>
      </c>
      <c r="C508" s="100">
        <v>45751</v>
      </c>
      <c r="D508" s="99" t="s">
        <v>31</v>
      </c>
      <c r="E508" s="99" t="s">
        <v>32</v>
      </c>
      <c r="F508" s="99" t="s">
        <v>20</v>
      </c>
      <c r="G508" s="99">
        <v>45</v>
      </c>
      <c r="H508" s="112">
        <v>180000</v>
      </c>
      <c r="I508" s="112">
        <v>8100000</v>
      </c>
      <c r="J508" s="99" t="s">
        <v>2437</v>
      </c>
      <c r="K508" s="99" t="s">
        <v>69</v>
      </c>
      <c r="N508" s="99" t="s">
        <v>2539</v>
      </c>
      <c r="O508" s="99" t="s">
        <v>47</v>
      </c>
      <c r="P508" s="100">
        <f t="shared" si="71"/>
        <v>45966</v>
      </c>
      <c r="Q508" s="101">
        <f t="shared" si="70"/>
        <v>57</v>
      </c>
      <c r="R508" s="99">
        <f t="shared" si="72"/>
        <v>1</v>
      </c>
      <c r="S508" s="101">
        <f t="shared" si="73"/>
        <v>8600000</v>
      </c>
      <c r="T508" s="99" t="str">
        <f t="shared" si="74"/>
        <v>High</v>
      </c>
      <c r="U508" s="99" t="str">
        <f t="shared" si="75"/>
        <v>Low</v>
      </c>
      <c r="V508" s="99" t="str">
        <f t="shared" si="76"/>
        <v>Low</v>
      </c>
      <c r="W508" s="99" t="str">
        <f t="shared" si="77"/>
        <v>HLL</v>
      </c>
      <c r="X508" s="99" t="str">
        <f>VLOOKUP(W508,rfm[],2,FALSE)</f>
        <v>🌱 Potential Loyalists</v>
      </c>
      <c r="AA508" s="99" t="s">
        <v>2539</v>
      </c>
      <c r="AB508" s="99" t="s">
        <v>47</v>
      </c>
      <c r="AC508" s="100">
        <v>45966</v>
      </c>
      <c r="AD508" s="101">
        <v>57</v>
      </c>
      <c r="AE508" s="101">
        <v>1</v>
      </c>
      <c r="AF508" s="101">
        <v>8600000</v>
      </c>
      <c r="AG508" s="99" t="str">
        <f>VLOOKUP(AA508,recency!$K$6:$P$818,6,0)</f>
        <v>High</v>
      </c>
      <c r="AH508" s="132" t="str">
        <f>VLOOKUP(AA508,frequency!$F$6:$H$818,3,FALSE)</f>
        <v>Low</v>
      </c>
      <c r="AI508" s="129" t="str">
        <f>VLOOKUP(AA508,monetary!$B$5:$F$817,5,0)</f>
        <v>Low</v>
      </c>
      <c r="AJ508" s="99" t="str">
        <f t="shared" si="78"/>
        <v>HLL</v>
      </c>
      <c r="AK508" s="99" t="str">
        <f>VLOOKUP(AJ508,rfm[],2,0)</f>
        <v>🌱 Potential Loyalists</v>
      </c>
      <c r="AN508" s="99" t="b">
        <f t="shared" si="79"/>
        <v>1</v>
      </c>
    </row>
    <row r="509" spans="2:40" x14ac:dyDescent="0.3">
      <c r="B509" s="99" t="s">
        <v>1335</v>
      </c>
      <c r="C509" s="100">
        <v>45751</v>
      </c>
      <c r="D509" s="99" t="s">
        <v>18</v>
      </c>
      <c r="E509" s="99" t="s">
        <v>19</v>
      </c>
      <c r="F509" s="99" t="s">
        <v>20</v>
      </c>
      <c r="G509" s="99">
        <v>30</v>
      </c>
      <c r="H509" s="112">
        <v>500000</v>
      </c>
      <c r="I509" s="112">
        <v>15000000</v>
      </c>
      <c r="J509" s="99" t="s">
        <v>2278</v>
      </c>
      <c r="K509" s="99" t="s">
        <v>60</v>
      </c>
      <c r="N509" s="99" t="s">
        <v>2540</v>
      </c>
      <c r="O509" s="99" t="s">
        <v>8</v>
      </c>
      <c r="P509" s="100">
        <f t="shared" si="71"/>
        <v>45799</v>
      </c>
      <c r="Q509" s="101">
        <f t="shared" si="70"/>
        <v>224</v>
      </c>
      <c r="R509" s="99">
        <f t="shared" si="72"/>
        <v>1</v>
      </c>
      <c r="S509" s="101">
        <f t="shared" si="73"/>
        <v>29450000</v>
      </c>
      <c r="T509" s="99" t="str">
        <f t="shared" si="74"/>
        <v>Low</v>
      </c>
      <c r="U509" s="99" t="str">
        <f t="shared" si="75"/>
        <v>Low</v>
      </c>
      <c r="V509" s="99" t="str">
        <f t="shared" si="76"/>
        <v>High</v>
      </c>
      <c r="W509" s="99" t="str">
        <f t="shared" si="77"/>
        <v>LLH</v>
      </c>
      <c r="X509" s="99" t="str">
        <f>VLOOKUP(W509,rfm[],2,FALSE)</f>
        <v>💸 Lost High Spenders</v>
      </c>
      <c r="AA509" s="99" t="s">
        <v>2540</v>
      </c>
      <c r="AB509" s="99" t="s">
        <v>8</v>
      </c>
      <c r="AC509" s="100">
        <v>45799</v>
      </c>
      <c r="AD509" s="101">
        <v>224</v>
      </c>
      <c r="AE509" s="101">
        <v>1</v>
      </c>
      <c r="AF509" s="101">
        <v>29450000</v>
      </c>
      <c r="AG509" s="99" t="str">
        <f>VLOOKUP(AA509,recency!$K$6:$P$818,6,0)</f>
        <v>Low</v>
      </c>
      <c r="AH509" s="132" t="str">
        <f>VLOOKUP(AA509,frequency!$F$6:$H$818,3,FALSE)</f>
        <v>Low</v>
      </c>
      <c r="AI509" s="129" t="str">
        <f>VLOOKUP(AA509,monetary!$B$5:$F$817,5,0)</f>
        <v>Low</v>
      </c>
      <c r="AJ509" s="99" t="str">
        <f t="shared" si="78"/>
        <v>LLL</v>
      </c>
      <c r="AK509" s="99" t="str">
        <f>VLOOKUP(AJ509,rfm[],2,0)</f>
        <v>💤 Lost / Low Value</v>
      </c>
      <c r="AN509" s="99" t="b">
        <f t="shared" si="79"/>
        <v>0</v>
      </c>
    </row>
    <row r="510" spans="2:40" x14ac:dyDescent="0.3">
      <c r="B510" s="99" t="s">
        <v>1336</v>
      </c>
      <c r="C510" s="100">
        <v>45751</v>
      </c>
      <c r="D510" s="99" t="s">
        <v>28</v>
      </c>
      <c r="E510" s="99" t="s">
        <v>29</v>
      </c>
      <c r="F510" s="99" t="s">
        <v>20</v>
      </c>
      <c r="G510" s="99">
        <v>12</v>
      </c>
      <c r="H510" s="112">
        <v>450000</v>
      </c>
      <c r="I510" s="112">
        <v>5400000</v>
      </c>
      <c r="J510" s="99" t="s">
        <v>2570</v>
      </c>
      <c r="K510" s="99" t="s">
        <v>8</v>
      </c>
      <c r="N510" s="99" t="s">
        <v>2541</v>
      </c>
      <c r="O510" s="99" t="s">
        <v>8</v>
      </c>
      <c r="P510" s="100">
        <f t="shared" si="71"/>
        <v>45888</v>
      </c>
      <c r="Q510" s="101">
        <f t="shared" si="70"/>
        <v>135</v>
      </c>
      <c r="R510" s="99">
        <f t="shared" si="72"/>
        <v>4</v>
      </c>
      <c r="S510" s="101">
        <f t="shared" si="73"/>
        <v>39250000</v>
      </c>
      <c r="T510" s="99" t="str">
        <f t="shared" si="74"/>
        <v>Low</v>
      </c>
      <c r="U510" s="99" t="str">
        <f t="shared" si="75"/>
        <v>High</v>
      </c>
      <c r="V510" s="99" t="str">
        <f t="shared" si="76"/>
        <v>High</v>
      </c>
      <c r="W510" s="99" t="str">
        <f t="shared" si="77"/>
        <v>LHH</v>
      </c>
      <c r="X510" s="99" t="str">
        <f>VLOOKUP(W510,rfm[],2,FALSE)</f>
        <v>⚠️ At Risk High Value</v>
      </c>
      <c r="AA510" s="99" t="s">
        <v>2541</v>
      </c>
      <c r="AB510" s="99" t="s">
        <v>8</v>
      </c>
      <c r="AC510" s="100">
        <v>45888</v>
      </c>
      <c r="AD510" s="101">
        <v>135</v>
      </c>
      <c r="AE510" s="101">
        <v>4</v>
      </c>
      <c r="AF510" s="101">
        <v>39250000</v>
      </c>
      <c r="AG510" s="99" t="str">
        <f>VLOOKUP(AA510,recency!$K$6:$P$818,6,0)</f>
        <v>Low</v>
      </c>
      <c r="AH510" s="132" t="str">
        <f>VLOOKUP(AA510,frequency!$F$6:$H$818,3,FALSE)</f>
        <v>High</v>
      </c>
      <c r="AI510" s="129" t="str">
        <f>VLOOKUP(AA510,monetary!$B$5:$F$817,5,0)</f>
        <v>Low</v>
      </c>
      <c r="AJ510" s="99" t="str">
        <f t="shared" si="78"/>
        <v>LHL</v>
      </c>
      <c r="AK510" s="99" t="str">
        <f>VLOOKUP(AJ510,rfm[],2,0)</f>
        <v>🔁 Former Loyal Low Spend</v>
      </c>
      <c r="AN510" s="99" t="b">
        <f t="shared" si="79"/>
        <v>0</v>
      </c>
    </row>
    <row r="511" spans="2:40" x14ac:dyDescent="0.3">
      <c r="B511" s="99" t="s">
        <v>1363</v>
      </c>
      <c r="C511" s="100">
        <v>45751</v>
      </c>
      <c r="D511" s="99" t="s">
        <v>42</v>
      </c>
      <c r="E511" s="99" t="s">
        <v>43</v>
      </c>
      <c r="F511" s="99" t="s">
        <v>16</v>
      </c>
      <c r="G511" s="99">
        <v>360</v>
      </c>
      <c r="H511" s="112">
        <v>1200000</v>
      </c>
      <c r="I511" s="112">
        <v>432000000</v>
      </c>
      <c r="J511" s="99" t="s">
        <v>2604</v>
      </c>
      <c r="K511" s="99" t="s">
        <v>47</v>
      </c>
      <c r="N511" s="99" t="s">
        <v>2542</v>
      </c>
      <c r="O511" s="99" t="s">
        <v>60</v>
      </c>
      <c r="P511" s="100">
        <f t="shared" si="71"/>
        <v>45940</v>
      </c>
      <c r="Q511" s="101">
        <f t="shared" si="70"/>
        <v>83</v>
      </c>
      <c r="R511" s="99">
        <f t="shared" si="72"/>
        <v>2</v>
      </c>
      <c r="S511" s="101">
        <f t="shared" si="73"/>
        <v>7740000</v>
      </c>
      <c r="T511" s="99" t="str">
        <f t="shared" si="74"/>
        <v>High</v>
      </c>
      <c r="U511" s="99" t="str">
        <f t="shared" si="75"/>
        <v>Low</v>
      </c>
      <c r="V511" s="99" t="str">
        <f t="shared" si="76"/>
        <v>Low</v>
      </c>
      <c r="W511" s="99" t="str">
        <f t="shared" si="77"/>
        <v>HLL</v>
      </c>
      <c r="X511" s="99" t="str">
        <f>VLOOKUP(W511,rfm[],2,FALSE)</f>
        <v>🌱 Potential Loyalists</v>
      </c>
      <c r="AA511" s="99" t="s">
        <v>2542</v>
      </c>
      <c r="AB511" s="99" t="s">
        <v>60</v>
      </c>
      <c r="AC511" s="100">
        <v>45940</v>
      </c>
      <c r="AD511" s="101">
        <v>83</v>
      </c>
      <c r="AE511" s="101">
        <v>2</v>
      </c>
      <c r="AF511" s="101">
        <v>7740000</v>
      </c>
      <c r="AG511" s="99" t="str">
        <f>VLOOKUP(AA511,recency!$K$6:$P$818,6,0)</f>
        <v>Low</v>
      </c>
      <c r="AH511" s="132" t="str">
        <f>VLOOKUP(AA511,frequency!$F$6:$H$818,3,FALSE)</f>
        <v>Low</v>
      </c>
      <c r="AI511" s="129" t="str">
        <f>VLOOKUP(AA511,monetary!$B$5:$F$817,5,0)</f>
        <v>Low</v>
      </c>
      <c r="AJ511" s="99" t="str">
        <f t="shared" si="78"/>
        <v>LLL</v>
      </c>
      <c r="AK511" s="99" t="str">
        <f>VLOOKUP(AJ511,rfm[],2,0)</f>
        <v>💤 Lost / Low Value</v>
      </c>
      <c r="AN511" s="99" t="b">
        <f t="shared" si="79"/>
        <v>0</v>
      </c>
    </row>
    <row r="512" spans="2:40" x14ac:dyDescent="0.3">
      <c r="B512" s="99" t="s">
        <v>1364</v>
      </c>
      <c r="C512" s="100">
        <v>45751</v>
      </c>
      <c r="D512" s="99" t="s">
        <v>42</v>
      </c>
      <c r="E512" s="99" t="s">
        <v>43</v>
      </c>
      <c r="F512" s="99" t="s">
        <v>16</v>
      </c>
      <c r="G512" s="99">
        <v>14</v>
      </c>
      <c r="H512" s="112">
        <v>1200000</v>
      </c>
      <c r="I512" s="112">
        <v>16800000</v>
      </c>
      <c r="J512" s="99" t="s">
        <v>2501</v>
      </c>
      <c r="K512" s="99" t="s">
        <v>69</v>
      </c>
      <c r="N512" s="99" t="s">
        <v>2543</v>
      </c>
      <c r="O512" s="99" t="s">
        <v>8</v>
      </c>
      <c r="P512" s="100">
        <f t="shared" si="71"/>
        <v>45987</v>
      </c>
      <c r="Q512" s="101">
        <f t="shared" si="70"/>
        <v>36</v>
      </c>
      <c r="R512" s="99">
        <f t="shared" si="72"/>
        <v>2</v>
      </c>
      <c r="S512" s="101">
        <f t="shared" si="73"/>
        <v>20700000</v>
      </c>
      <c r="T512" s="99" t="str">
        <f t="shared" si="74"/>
        <v>High</v>
      </c>
      <c r="U512" s="99" t="str">
        <f t="shared" si="75"/>
        <v>Low</v>
      </c>
      <c r="V512" s="99" t="str">
        <f t="shared" si="76"/>
        <v>High</v>
      </c>
      <c r="W512" s="99" t="str">
        <f t="shared" si="77"/>
        <v>HLH</v>
      </c>
      <c r="X512" s="99" t="str">
        <f>VLOOKUP(W512,rfm[],2,FALSE)</f>
        <v>🛒 Big Spenders (Occasional)</v>
      </c>
      <c r="AA512" s="99" t="s">
        <v>2543</v>
      </c>
      <c r="AB512" s="99" t="s">
        <v>8</v>
      </c>
      <c r="AC512" s="100">
        <v>45987</v>
      </c>
      <c r="AD512" s="101">
        <v>36</v>
      </c>
      <c r="AE512" s="101">
        <v>2</v>
      </c>
      <c r="AF512" s="101">
        <v>20700000</v>
      </c>
      <c r="AG512" s="99" t="str">
        <f>VLOOKUP(AA512,recency!$K$6:$P$818,6,0)</f>
        <v>High</v>
      </c>
      <c r="AH512" s="132" t="str">
        <f>VLOOKUP(AA512,frequency!$F$6:$H$818,3,FALSE)</f>
        <v>Low</v>
      </c>
      <c r="AI512" s="129" t="str">
        <f>VLOOKUP(AA512,monetary!$B$5:$F$817,5,0)</f>
        <v>Low</v>
      </c>
      <c r="AJ512" s="99" t="str">
        <f t="shared" si="78"/>
        <v>HLL</v>
      </c>
      <c r="AK512" s="99" t="str">
        <f>VLOOKUP(AJ512,rfm[],2,0)</f>
        <v>🌱 Potential Loyalists</v>
      </c>
      <c r="AN512" s="99" t="b">
        <f t="shared" si="79"/>
        <v>0</v>
      </c>
    </row>
    <row r="513" spans="2:40" x14ac:dyDescent="0.3">
      <c r="B513" s="99" t="s">
        <v>1365</v>
      </c>
      <c r="C513" s="100">
        <v>45751</v>
      </c>
      <c r="D513" s="99" t="s">
        <v>31</v>
      </c>
      <c r="E513" s="99" t="s">
        <v>32</v>
      </c>
      <c r="F513" s="99" t="s">
        <v>20</v>
      </c>
      <c r="G513" s="99">
        <v>8</v>
      </c>
      <c r="H513" s="112">
        <v>180000</v>
      </c>
      <c r="I513" s="112">
        <v>1440000</v>
      </c>
      <c r="J513" s="99" t="s">
        <v>2721</v>
      </c>
      <c r="K513" s="99" t="s">
        <v>8</v>
      </c>
      <c r="N513" s="99" t="s">
        <v>2544</v>
      </c>
      <c r="O513" s="99" t="s">
        <v>60</v>
      </c>
      <c r="P513" s="100">
        <f t="shared" si="71"/>
        <v>46007</v>
      </c>
      <c r="Q513" s="101">
        <f t="shared" si="70"/>
        <v>16</v>
      </c>
      <c r="R513" s="99">
        <f t="shared" si="72"/>
        <v>2</v>
      </c>
      <c r="S513" s="101">
        <f t="shared" si="73"/>
        <v>10940000</v>
      </c>
      <c r="T513" s="99" t="str">
        <f t="shared" si="74"/>
        <v>High</v>
      </c>
      <c r="U513" s="99" t="str">
        <f t="shared" si="75"/>
        <v>Low</v>
      </c>
      <c r="V513" s="99" t="str">
        <f t="shared" si="76"/>
        <v>Low</v>
      </c>
      <c r="W513" s="99" t="str">
        <f t="shared" si="77"/>
        <v>HLL</v>
      </c>
      <c r="X513" s="99" t="str">
        <f>VLOOKUP(W513,rfm[],2,FALSE)</f>
        <v>🌱 Potential Loyalists</v>
      </c>
      <c r="AA513" s="99" t="s">
        <v>2544</v>
      </c>
      <c r="AB513" s="99" t="s">
        <v>60</v>
      </c>
      <c r="AC513" s="100">
        <v>46007</v>
      </c>
      <c r="AD513" s="101">
        <v>16</v>
      </c>
      <c r="AE513" s="101">
        <v>2</v>
      </c>
      <c r="AF513" s="101">
        <v>10940000</v>
      </c>
      <c r="AG513" s="99" t="str">
        <f>VLOOKUP(AA513,recency!$K$6:$P$818,6,0)</f>
        <v>High</v>
      </c>
      <c r="AH513" s="132" t="str">
        <f>VLOOKUP(AA513,frequency!$F$6:$H$818,3,FALSE)</f>
        <v>Low</v>
      </c>
      <c r="AI513" s="129" t="str">
        <f>VLOOKUP(AA513,monetary!$B$5:$F$817,5,0)</f>
        <v>Low</v>
      </c>
      <c r="AJ513" s="99" t="str">
        <f t="shared" si="78"/>
        <v>HLL</v>
      </c>
      <c r="AK513" s="99" t="str">
        <f>VLOOKUP(AJ513,rfm[],2,0)</f>
        <v>🌱 Potential Loyalists</v>
      </c>
      <c r="AN513" s="99" t="b">
        <f t="shared" si="79"/>
        <v>1</v>
      </c>
    </row>
    <row r="514" spans="2:40" x14ac:dyDescent="0.3">
      <c r="B514" s="99" t="s">
        <v>1366</v>
      </c>
      <c r="C514" s="100">
        <v>45751</v>
      </c>
      <c r="D514" s="99" t="s">
        <v>14</v>
      </c>
      <c r="E514" s="99" t="s">
        <v>15</v>
      </c>
      <c r="F514" s="99" t="s">
        <v>16</v>
      </c>
      <c r="G514" s="99">
        <v>370</v>
      </c>
      <c r="H514" s="112">
        <v>350000</v>
      </c>
      <c r="I514" s="112">
        <v>129500000</v>
      </c>
      <c r="J514" s="99" t="s">
        <v>2668</v>
      </c>
      <c r="K514" s="99" t="s">
        <v>127</v>
      </c>
      <c r="N514" s="99" t="s">
        <v>2545</v>
      </c>
      <c r="O514" s="99" t="s">
        <v>60</v>
      </c>
      <c r="P514" s="100">
        <f t="shared" si="71"/>
        <v>45924</v>
      </c>
      <c r="Q514" s="101">
        <f t="shared" si="70"/>
        <v>99</v>
      </c>
      <c r="R514" s="99">
        <f t="shared" si="72"/>
        <v>2</v>
      </c>
      <c r="S514" s="101">
        <f t="shared" si="73"/>
        <v>11710000</v>
      </c>
      <c r="T514" s="99" t="str">
        <f t="shared" si="74"/>
        <v>Low</v>
      </c>
      <c r="U514" s="99" t="str">
        <f t="shared" si="75"/>
        <v>Low</v>
      </c>
      <c r="V514" s="99" t="str">
        <f t="shared" si="76"/>
        <v>Low</v>
      </c>
      <c r="W514" s="99" t="str">
        <f t="shared" si="77"/>
        <v>LLL</v>
      </c>
      <c r="X514" s="99" t="str">
        <f>VLOOKUP(W514,rfm[],2,FALSE)</f>
        <v>💤 Lost / Low Value</v>
      </c>
      <c r="AA514" s="99" t="s">
        <v>2545</v>
      </c>
      <c r="AB514" s="99" t="s">
        <v>60</v>
      </c>
      <c r="AC514" s="100">
        <v>45924</v>
      </c>
      <c r="AD514" s="101">
        <v>99</v>
      </c>
      <c r="AE514" s="101">
        <v>2</v>
      </c>
      <c r="AF514" s="101">
        <v>11710000</v>
      </c>
      <c r="AG514" s="99" t="str">
        <f>VLOOKUP(AA514,recency!$K$6:$P$818,6,0)</f>
        <v>Low</v>
      </c>
      <c r="AH514" s="132" t="str">
        <f>VLOOKUP(AA514,frequency!$F$6:$H$818,3,FALSE)</f>
        <v>Low</v>
      </c>
      <c r="AI514" s="129" t="str">
        <f>VLOOKUP(AA514,monetary!$B$5:$F$817,5,0)</f>
        <v>Low</v>
      </c>
      <c r="AJ514" s="99" t="str">
        <f t="shared" si="78"/>
        <v>LLL</v>
      </c>
      <c r="AK514" s="99" t="str">
        <f>VLOOKUP(AJ514,rfm[],2,0)</f>
        <v>💤 Lost / Low Value</v>
      </c>
      <c r="AN514" s="99" t="b">
        <f t="shared" si="79"/>
        <v>1</v>
      </c>
    </row>
    <row r="515" spans="2:40" x14ac:dyDescent="0.3">
      <c r="B515" s="99" t="s">
        <v>1367</v>
      </c>
      <c r="C515" s="100">
        <v>45754</v>
      </c>
      <c r="D515" s="99" t="s">
        <v>14</v>
      </c>
      <c r="E515" s="99" t="s">
        <v>15</v>
      </c>
      <c r="F515" s="99" t="s">
        <v>16</v>
      </c>
      <c r="G515" s="99">
        <v>18</v>
      </c>
      <c r="H515" s="112">
        <v>350000</v>
      </c>
      <c r="I515" s="112">
        <v>6300000</v>
      </c>
      <c r="J515" s="99" t="s">
        <v>126</v>
      </c>
      <c r="K515" s="99" t="s">
        <v>127</v>
      </c>
      <c r="N515" s="99" t="s">
        <v>2546</v>
      </c>
      <c r="O515" s="99" t="s">
        <v>47</v>
      </c>
      <c r="P515" s="100">
        <f t="shared" si="71"/>
        <v>45785</v>
      </c>
      <c r="Q515" s="101">
        <f t="shared" si="70"/>
        <v>238</v>
      </c>
      <c r="R515" s="99">
        <f t="shared" si="72"/>
        <v>1</v>
      </c>
      <c r="S515" s="101">
        <f t="shared" si="73"/>
        <v>6300000</v>
      </c>
      <c r="T515" s="99" t="str">
        <f t="shared" si="74"/>
        <v>Low</v>
      </c>
      <c r="U515" s="99" t="str">
        <f t="shared" si="75"/>
        <v>Low</v>
      </c>
      <c r="V515" s="99" t="str">
        <f t="shared" si="76"/>
        <v>Low</v>
      </c>
      <c r="W515" s="99" t="str">
        <f t="shared" si="77"/>
        <v>LLL</v>
      </c>
      <c r="X515" s="99" t="str">
        <f>VLOOKUP(W515,rfm[],2,FALSE)</f>
        <v>💤 Lost / Low Value</v>
      </c>
      <c r="AA515" s="99" t="s">
        <v>2546</v>
      </c>
      <c r="AB515" s="99" t="s">
        <v>47</v>
      </c>
      <c r="AC515" s="100">
        <v>45785</v>
      </c>
      <c r="AD515" s="101">
        <v>238</v>
      </c>
      <c r="AE515" s="101">
        <v>1</v>
      </c>
      <c r="AF515" s="101">
        <v>6300000</v>
      </c>
      <c r="AG515" s="99" t="str">
        <f>VLOOKUP(AA515,recency!$K$6:$P$818,6,0)</f>
        <v>Low</v>
      </c>
      <c r="AH515" s="132" t="str">
        <f>VLOOKUP(AA515,frequency!$F$6:$H$818,3,FALSE)</f>
        <v>Low</v>
      </c>
      <c r="AI515" s="129" t="str">
        <f>VLOOKUP(AA515,monetary!$B$5:$F$817,5,0)</f>
        <v>Low</v>
      </c>
      <c r="AJ515" s="99" t="str">
        <f t="shared" si="78"/>
        <v>LLL</v>
      </c>
      <c r="AK515" s="99" t="str">
        <f>VLOOKUP(AJ515,rfm[],2,0)</f>
        <v>💤 Lost / Low Value</v>
      </c>
      <c r="AN515" s="99" t="b">
        <f t="shared" si="79"/>
        <v>1</v>
      </c>
    </row>
    <row r="516" spans="2:40" x14ac:dyDescent="0.3">
      <c r="B516" s="99" t="s">
        <v>1368</v>
      </c>
      <c r="C516" s="100">
        <v>45754</v>
      </c>
      <c r="D516" s="99" t="s">
        <v>22</v>
      </c>
      <c r="E516" s="99" t="s">
        <v>23</v>
      </c>
      <c r="F516" s="99" t="s">
        <v>12</v>
      </c>
      <c r="G516" s="99">
        <v>11</v>
      </c>
      <c r="H516" s="112">
        <v>25000</v>
      </c>
      <c r="I516" s="112">
        <v>275000</v>
      </c>
      <c r="J516" s="99" t="s">
        <v>2471</v>
      </c>
      <c r="K516" s="99" t="s">
        <v>47</v>
      </c>
      <c r="N516" s="99" t="s">
        <v>2547</v>
      </c>
      <c r="O516" s="99" t="s">
        <v>47</v>
      </c>
      <c r="P516" s="100">
        <f t="shared" si="71"/>
        <v>45747</v>
      </c>
      <c r="Q516" s="101">
        <f t="shared" si="70"/>
        <v>276</v>
      </c>
      <c r="R516" s="99">
        <f t="shared" si="72"/>
        <v>1</v>
      </c>
      <c r="S516" s="101">
        <f t="shared" si="73"/>
        <v>9400000</v>
      </c>
      <c r="T516" s="99" t="str">
        <f t="shared" si="74"/>
        <v>Low</v>
      </c>
      <c r="U516" s="99" t="str">
        <f t="shared" si="75"/>
        <v>Low</v>
      </c>
      <c r="V516" s="99" t="str">
        <f t="shared" si="76"/>
        <v>Low</v>
      </c>
      <c r="W516" s="99" t="str">
        <f t="shared" si="77"/>
        <v>LLL</v>
      </c>
      <c r="X516" s="99" t="str">
        <f>VLOOKUP(W516,rfm[],2,FALSE)</f>
        <v>💤 Lost / Low Value</v>
      </c>
      <c r="AA516" s="99" t="s">
        <v>2547</v>
      </c>
      <c r="AB516" s="99" t="s">
        <v>47</v>
      </c>
      <c r="AC516" s="100">
        <v>45747</v>
      </c>
      <c r="AD516" s="101">
        <v>276</v>
      </c>
      <c r="AE516" s="101">
        <v>1</v>
      </c>
      <c r="AF516" s="101">
        <v>9400000</v>
      </c>
      <c r="AG516" s="99" t="str">
        <f>VLOOKUP(AA516,recency!$K$6:$P$818,6,0)</f>
        <v>Low</v>
      </c>
      <c r="AH516" s="132" t="str">
        <f>VLOOKUP(AA516,frequency!$F$6:$H$818,3,FALSE)</f>
        <v>Low</v>
      </c>
      <c r="AI516" s="129" t="str">
        <f>VLOOKUP(AA516,monetary!$B$5:$F$817,5,0)</f>
        <v>Low</v>
      </c>
      <c r="AJ516" s="99" t="str">
        <f t="shared" si="78"/>
        <v>LLL</v>
      </c>
      <c r="AK516" s="99" t="str">
        <f>VLOOKUP(AJ516,rfm[],2,0)</f>
        <v>💤 Lost / Low Value</v>
      </c>
      <c r="AN516" s="99" t="b">
        <f t="shared" si="79"/>
        <v>1</v>
      </c>
    </row>
    <row r="517" spans="2:40" x14ac:dyDescent="0.3">
      <c r="B517" s="99" t="s">
        <v>1405</v>
      </c>
      <c r="C517" s="100">
        <v>45754</v>
      </c>
      <c r="D517" s="99" t="s">
        <v>31</v>
      </c>
      <c r="E517" s="99" t="s">
        <v>32</v>
      </c>
      <c r="F517" s="99" t="s">
        <v>20</v>
      </c>
      <c r="G517" s="99">
        <v>36</v>
      </c>
      <c r="H517" s="112">
        <v>180000</v>
      </c>
      <c r="I517" s="112">
        <v>6480000</v>
      </c>
      <c r="J517" s="99" t="s">
        <v>2591</v>
      </c>
      <c r="K517" s="99" t="s">
        <v>127</v>
      </c>
      <c r="N517" s="99" t="s">
        <v>2548</v>
      </c>
      <c r="O517" s="99" t="s">
        <v>47</v>
      </c>
      <c r="P517" s="100">
        <f t="shared" si="71"/>
        <v>45848</v>
      </c>
      <c r="Q517" s="101">
        <f t="shared" si="70"/>
        <v>175</v>
      </c>
      <c r="R517" s="99">
        <f t="shared" si="72"/>
        <v>4</v>
      </c>
      <c r="S517" s="101">
        <f t="shared" si="73"/>
        <v>59500000</v>
      </c>
      <c r="T517" s="99" t="str">
        <f t="shared" si="74"/>
        <v>Low</v>
      </c>
      <c r="U517" s="99" t="str">
        <f t="shared" si="75"/>
        <v>High</v>
      </c>
      <c r="V517" s="99" t="str">
        <f t="shared" si="76"/>
        <v>High</v>
      </c>
      <c r="W517" s="99" t="str">
        <f t="shared" si="77"/>
        <v>LHH</v>
      </c>
      <c r="X517" s="99" t="str">
        <f>VLOOKUP(W517,rfm[],2,FALSE)</f>
        <v>⚠️ At Risk High Value</v>
      </c>
      <c r="AA517" s="99" t="s">
        <v>2548</v>
      </c>
      <c r="AB517" s="99" t="s">
        <v>47</v>
      </c>
      <c r="AC517" s="100">
        <v>45848</v>
      </c>
      <c r="AD517" s="101">
        <v>175</v>
      </c>
      <c r="AE517" s="101">
        <v>4</v>
      </c>
      <c r="AF517" s="101">
        <v>59500000</v>
      </c>
      <c r="AG517" s="99" t="str">
        <f>VLOOKUP(AA517,recency!$K$6:$P$818,6,0)</f>
        <v>Low</v>
      </c>
      <c r="AH517" s="132" t="str">
        <f>VLOOKUP(AA517,frequency!$F$6:$H$818,3,FALSE)</f>
        <v>High</v>
      </c>
      <c r="AI517" s="129" t="str">
        <f>VLOOKUP(AA517,monetary!$B$5:$F$817,5,0)</f>
        <v>High</v>
      </c>
      <c r="AJ517" s="99" t="str">
        <f t="shared" si="78"/>
        <v>LHH</v>
      </c>
      <c r="AK517" s="99" t="str">
        <f>VLOOKUP(AJ517,rfm[],2,0)</f>
        <v>⚠️ At Risk High Value</v>
      </c>
      <c r="AN517" s="99" t="b">
        <f t="shared" si="79"/>
        <v>1</v>
      </c>
    </row>
    <row r="518" spans="2:40" x14ac:dyDescent="0.3">
      <c r="B518" s="99" t="s">
        <v>1406</v>
      </c>
      <c r="C518" s="100">
        <v>45754</v>
      </c>
      <c r="D518" s="99" t="s">
        <v>18</v>
      </c>
      <c r="E518" s="99" t="s">
        <v>19</v>
      </c>
      <c r="F518" s="99" t="s">
        <v>20</v>
      </c>
      <c r="G518" s="99">
        <v>32</v>
      </c>
      <c r="H518" s="112">
        <v>500000</v>
      </c>
      <c r="I518" s="112">
        <v>16000000</v>
      </c>
      <c r="J518" s="99" t="s">
        <v>325</v>
      </c>
      <c r="K518" s="99" t="s">
        <v>8</v>
      </c>
      <c r="N518" s="99" t="s">
        <v>2549</v>
      </c>
      <c r="O518" s="99" t="s">
        <v>60</v>
      </c>
      <c r="P518" s="100">
        <f t="shared" si="71"/>
        <v>45979</v>
      </c>
      <c r="Q518" s="101">
        <f t="shared" ref="Q518:Q581" si="80">analysis_date-P518</f>
        <v>44</v>
      </c>
      <c r="R518" s="99">
        <f t="shared" si="72"/>
        <v>1</v>
      </c>
      <c r="S518" s="101">
        <f t="shared" si="73"/>
        <v>9900000</v>
      </c>
      <c r="T518" s="99" t="str">
        <f t="shared" si="74"/>
        <v>High</v>
      </c>
      <c r="U518" s="99" t="str">
        <f t="shared" si="75"/>
        <v>Low</v>
      </c>
      <c r="V518" s="99" t="str">
        <f t="shared" si="76"/>
        <v>Low</v>
      </c>
      <c r="W518" s="99" t="str">
        <f t="shared" si="77"/>
        <v>HLL</v>
      </c>
      <c r="X518" s="99" t="str">
        <f>VLOOKUP(W518,rfm[],2,FALSE)</f>
        <v>🌱 Potential Loyalists</v>
      </c>
      <c r="AA518" s="99" t="s">
        <v>2549</v>
      </c>
      <c r="AB518" s="99" t="s">
        <v>60</v>
      </c>
      <c r="AC518" s="100">
        <v>45979</v>
      </c>
      <c r="AD518" s="101">
        <v>44</v>
      </c>
      <c r="AE518" s="101">
        <v>1</v>
      </c>
      <c r="AF518" s="101">
        <v>9900000</v>
      </c>
      <c r="AG518" s="99" t="str">
        <f>VLOOKUP(AA518,recency!$K$6:$P$818,6,0)</f>
        <v>High</v>
      </c>
      <c r="AH518" s="132" t="str">
        <f>VLOOKUP(AA518,frequency!$F$6:$H$818,3,FALSE)</f>
        <v>Low</v>
      </c>
      <c r="AI518" s="129" t="str">
        <f>VLOOKUP(AA518,monetary!$B$5:$F$817,5,0)</f>
        <v>Low</v>
      </c>
      <c r="AJ518" s="99" t="str">
        <f t="shared" si="78"/>
        <v>HLL</v>
      </c>
      <c r="AK518" s="99" t="str">
        <f>VLOOKUP(AJ518,rfm[],2,0)</f>
        <v>🌱 Potential Loyalists</v>
      </c>
      <c r="AN518" s="99" t="b">
        <f t="shared" si="79"/>
        <v>1</v>
      </c>
    </row>
    <row r="519" spans="2:40" x14ac:dyDescent="0.3">
      <c r="B519" s="99" t="s">
        <v>1407</v>
      </c>
      <c r="C519" s="100">
        <v>45754</v>
      </c>
      <c r="D519" s="99" t="s">
        <v>18</v>
      </c>
      <c r="E519" s="99" t="s">
        <v>19</v>
      </c>
      <c r="F519" s="99" t="s">
        <v>20</v>
      </c>
      <c r="G519" s="99">
        <v>37</v>
      </c>
      <c r="H519" s="112">
        <v>500000</v>
      </c>
      <c r="I519" s="112">
        <v>18500000</v>
      </c>
      <c r="J519" s="99" t="s">
        <v>2599</v>
      </c>
      <c r="K519" s="99" t="s">
        <v>127</v>
      </c>
      <c r="N519" s="99" t="s">
        <v>2550</v>
      </c>
      <c r="O519" s="99" t="s">
        <v>60</v>
      </c>
      <c r="P519" s="100">
        <f t="shared" ref="P519:P582" si="81">_xlfn.MAXIFS($C$6:$C$2005,$J$6:$J$2005,N519)</f>
        <v>45999</v>
      </c>
      <c r="Q519" s="101">
        <f t="shared" si="80"/>
        <v>24</v>
      </c>
      <c r="R519" s="99">
        <f t="shared" ref="R519:R582" si="82">COUNTIFS($J$6:$J$2005,N519)</f>
        <v>2</v>
      </c>
      <c r="S519" s="101">
        <f t="shared" ref="S519:S582" si="83">SUMIFS($I$6:$I$2005,$J$6:$J$2005,N519)</f>
        <v>5160000</v>
      </c>
      <c r="T519" s="99" t="str">
        <f t="shared" ref="T519:T582" si="84">IF(Q519&lt;MEDIAN($Q$6:$Q$817),"High","Low")</f>
        <v>High</v>
      </c>
      <c r="U519" s="99" t="str">
        <f t="shared" ref="U519:U582" si="85">IF(R519&gt;MEDIAN($R$6:$R$817),"High","Low")</f>
        <v>Low</v>
      </c>
      <c r="V519" s="99" t="str">
        <f t="shared" ref="V519:V582" si="86">IF(S519&gt;MEDIAN($S$6:$S$817),"High","Low")</f>
        <v>Low</v>
      </c>
      <c r="W519" s="99" t="str">
        <f t="shared" ref="W519:W582" si="87">_xlfn.CONCAT(LEFT(T519,1),LEFT(U519,1),LEFT(V519,1))</f>
        <v>HLL</v>
      </c>
      <c r="X519" s="99" t="str">
        <f>VLOOKUP(W519,rfm[],2,FALSE)</f>
        <v>🌱 Potential Loyalists</v>
      </c>
      <c r="AA519" s="99" t="s">
        <v>2550</v>
      </c>
      <c r="AB519" s="99" t="s">
        <v>60</v>
      </c>
      <c r="AC519" s="100">
        <v>45999</v>
      </c>
      <c r="AD519" s="101">
        <v>24</v>
      </c>
      <c r="AE519" s="101">
        <v>2</v>
      </c>
      <c r="AF519" s="101">
        <v>5160000</v>
      </c>
      <c r="AG519" s="99" t="str">
        <f>VLOOKUP(AA519,recency!$K$6:$P$818,6,0)</f>
        <v>High</v>
      </c>
      <c r="AH519" s="132" t="str">
        <f>VLOOKUP(AA519,frequency!$F$6:$H$818,3,FALSE)</f>
        <v>Low</v>
      </c>
      <c r="AI519" s="129" t="str">
        <f>VLOOKUP(AA519,monetary!$B$5:$F$817,5,0)</f>
        <v>Low</v>
      </c>
      <c r="AJ519" s="99" t="str">
        <f t="shared" ref="AJ519:AJ582" si="88">_xlfn.CONCAT(LEFT(AG519,1),LEFT(AH519,1),LEFT(AI519,1))</f>
        <v>HLL</v>
      </c>
      <c r="AK519" s="99" t="str">
        <f>VLOOKUP(AJ519,rfm[],2,0)</f>
        <v>🌱 Potential Loyalists</v>
      </c>
      <c r="AN519" s="99" t="b">
        <f t="shared" ref="AN519:AN582" si="89">AJ519=W519</f>
        <v>1</v>
      </c>
    </row>
    <row r="520" spans="2:40" x14ac:dyDescent="0.3">
      <c r="B520" s="99" t="s">
        <v>1408</v>
      </c>
      <c r="C520" s="100">
        <v>45754</v>
      </c>
      <c r="D520" s="99" t="s">
        <v>18</v>
      </c>
      <c r="E520" s="99" t="s">
        <v>19</v>
      </c>
      <c r="F520" s="99" t="s">
        <v>20</v>
      </c>
      <c r="G520" s="99">
        <v>100</v>
      </c>
      <c r="H520" s="112">
        <v>500000</v>
      </c>
      <c r="I520" s="112">
        <v>50000000</v>
      </c>
      <c r="J520" s="99" t="s">
        <v>2779</v>
      </c>
      <c r="K520" s="99" t="s">
        <v>8</v>
      </c>
      <c r="N520" s="99" t="s">
        <v>2551</v>
      </c>
      <c r="O520" s="99" t="s">
        <v>8</v>
      </c>
      <c r="P520" s="100">
        <f t="shared" si="81"/>
        <v>45819</v>
      </c>
      <c r="Q520" s="101">
        <f t="shared" si="80"/>
        <v>204</v>
      </c>
      <c r="R520" s="99">
        <f t="shared" si="82"/>
        <v>2</v>
      </c>
      <c r="S520" s="101">
        <f t="shared" si="83"/>
        <v>40800000</v>
      </c>
      <c r="T520" s="99" t="str">
        <f t="shared" si="84"/>
        <v>Low</v>
      </c>
      <c r="U520" s="99" t="str">
        <f t="shared" si="85"/>
        <v>Low</v>
      </c>
      <c r="V520" s="99" t="str">
        <f t="shared" si="86"/>
        <v>High</v>
      </c>
      <c r="W520" s="99" t="str">
        <f t="shared" si="87"/>
        <v>LLH</v>
      </c>
      <c r="X520" s="99" t="str">
        <f>VLOOKUP(W520,rfm[],2,FALSE)</f>
        <v>💸 Lost High Spenders</v>
      </c>
      <c r="AA520" s="99" t="s">
        <v>2551</v>
      </c>
      <c r="AB520" s="99" t="s">
        <v>8</v>
      </c>
      <c r="AC520" s="100">
        <v>45819</v>
      </c>
      <c r="AD520" s="101">
        <v>204</v>
      </c>
      <c r="AE520" s="101">
        <v>2</v>
      </c>
      <c r="AF520" s="101">
        <v>40800000</v>
      </c>
      <c r="AG520" s="99" t="str">
        <f>VLOOKUP(AA520,recency!$K$6:$P$818,6,0)</f>
        <v>Low</v>
      </c>
      <c r="AH520" s="132" t="str">
        <f>VLOOKUP(AA520,frequency!$F$6:$H$818,3,FALSE)</f>
        <v>Low</v>
      </c>
      <c r="AI520" s="129" t="str">
        <f>VLOOKUP(AA520,monetary!$B$5:$F$817,5,0)</f>
        <v>Low</v>
      </c>
      <c r="AJ520" s="99" t="str">
        <f t="shared" si="88"/>
        <v>LLL</v>
      </c>
      <c r="AK520" s="99" t="str">
        <f>VLOOKUP(AJ520,rfm[],2,0)</f>
        <v>💤 Lost / Low Value</v>
      </c>
      <c r="AN520" s="99" t="b">
        <f t="shared" si="89"/>
        <v>0</v>
      </c>
    </row>
    <row r="521" spans="2:40" x14ac:dyDescent="0.3">
      <c r="B521" s="99" t="s">
        <v>1409</v>
      </c>
      <c r="C521" s="100">
        <v>45754</v>
      </c>
      <c r="D521" s="99" t="s">
        <v>44</v>
      </c>
      <c r="E521" s="99" t="s">
        <v>45</v>
      </c>
      <c r="F521" s="99" t="s">
        <v>16</v>
      </c>
      <c r="G521" s="99">
        <v>12</v>
      </c>
      <c r="H521" s="112">
        <v>250000</v>
      </c>
      <c r="I521" s="112">
        <v>3000000</v>
      </c>
      <c r="J521" s="99" t="s">
        <v>2334</v>
      </c>
      <c r="K521" s="99" t="s">
        <v>127</v>
      </c>
      <c r="N521" s="99" t="s">
        <v>2552</v>
      </c>
      <c r="O521" s="99" t="s">
        <v>8</v>
      </c>
      <c r="P521" s="100">
        <f t="shared" si="81"/>
        <v>45840</v>
      </c>
      <c r="Q521" s="101">
        <f t="shared" si="80"/>
        <v>183</v>
      </c>
      <c r="R521" s="99">
        <f t="shared" si="82"/>
        <v>1</v>
      </c>
      <c r="S521" s="101">
        <f t="shared" si="83"/>
        <v>10250000</v>
      </c>
      <c r="T521" s="99" t="str">
        <f t="shared" si="84"/>
        <v>Low</v>
      </c>
      <c r="U521" s="99" t="str">
        <f t="shared" si="85"/>
        <v>Low</v>
      </c>
      <c r="V521" s="99" t="str">
        <f t="shared" si="86"/>
        <v>Low</v>
      </c>
      <c r="W521" s="99" t="str">
        <f t="shared" si="87"/>
        <v>LLL</v>
      </c>
      <c r="X521" s="99" t="str">
        <f>VLOOKUP(W521,rfm[],2,FALSE)</f>
        <v>💤 Lost / Low Value</v>
      </c>
      <c r="AA521" s="99" t="s">
        <v>2552</v>
      </c>
      <c r="AB521" s="99" t="s">
        <v>8</v>
      </c>
      <c r="AC521" s="100">
        <v>45840</v>
      </c>
      <c r="AD521" s="101">
        <v>183</v>
      </c>
      <c r="AE521" s="101">
        <v>1</v>
      </c>
      <c r="AF521" s="101">
        <v>10250000</v>
      </c>
      <c r="AG521" s="99" t="str">
        <f>VLOOKUP(AA521,recency!$K$6:$P$818,6,0)</f>
        <v>Low</v>
      </c>
      <c r="AH521" s="132" t="str">
        <f>VLOOKUP(AA521,frequency!$F$6:$H$818,3,FALSE)</f>
        <v>Low</v>
      </c>
      <c r="AI521" s="129" t="str">
        <f>VLOOKUP(AA521,monetary!$B$5:$F$817,5,0)</f>
        <v>Low</v>
      </c>
      <c r="AJ521" s="99" t="str">
        <f t="shared" si="88"/>
        <v>LLL</v>
      </c>
      <c r="AK521" s="99" t="str">
        <f>VLOOKUP(AJ521,rfm[],2,0)</f>
        <v>💤 Lost / Low Value</v>
      </c>
      <c r="AN521" s="99" t="b">
        <f t="shared" si="89"/>
        <v>1</v>
      </c>
    </row>
    <row r="522" spans="2:40" x14ac:dyDescent="0.3">
      <c r="B522" s="99" t="s">
        <v>1410</v>
      </c>
      <c r="C522" s="100">
        <v>45754</v>
      </c>
      <c r="D522" s="99" t="s">
        <v>42</v>
      </c>
      <c r="E522" s="99" t="s">
        <v>43</v>
      </c>
      <c r="F522" s="99" t="s">
        <v>16</v>
      </c>
      <c r="G522" s="99">
        <v>49</v>
      </c>
      <c r="H522" s="112">
        <v>1200000</v>
      </c>
      <c r="I522" s="112">
        <v>58800000</v>
      </c>
      <c r="J522" s="99" t="s">
        <v>2759</v>
      </c>
      <c r="K522" s="99" t="s">
        <v>60</v>
      </c>
      <c r="N522" s="99" t="s">
        <v>2553</v>
      </c>
      <c r="O522" s="99" t="s">
        <v>127</v>
      </c>
      <c r="P522" s="100">
        <f t="shared" si="81"/>
        <v>45967</v>
      </c>
      <c r="Q522" s="101">
        <f t="shared" si="80"/>
        <v>56</v>
      </c>
      <c r="R522" s="99">
        <f t="shared" si="82"/>
        <v>3</v>
      </c>
      <c r="S522" s="101">
        <f t="shared" si="83"/>
        <v>6990000</v>
      </c>
      <c r="T522" s="99" t="str">
        <f t="shared" si="84"/>
        <v>High</v>
      </c>
      <c r="U522" s="99" t="str">
        <f t="shared" si="85"/>
        <v>High</v>
      </c>
      <c r="V522" s="99" t="str">
        <f t="shared" si="86"/>
        <v>Low</v>
      </c>
      <c r="W522" s="99" t="str">
        <f t="shared" si="87"/>
        <v>HHL</v>
      </c>
      <c r="X522" s="99" t="str">
        <f>VLOOKUP(W522,rfm[],2,FALSE)</f>
        <v>💎 Loyal High Value</v>
      </c>
      <c r="AA522" s="99" t="s">
        <v>2553</v>
      </c>
      <c r="AB522" s="99" t="s">
        <v>127</v>
      </c>
      <c r="AC522" s="100">
        <v>45967</v>
      </c>
      <c r="AD522" s="101">
        <v>56</v>
      </c>
      <c r="AE522" s="101">
        <v>3</v>
      </c>
      <c r="AF522" s="101">
        <v>6990000</v>
      </c>
      <c r="AG522" s="99" t="str">
        <f>VLOOKUP(AA522,recency!$K$6:$P$818,6,0)</f>
        <v>High</v>
      </c>
      <c r="AH522" s="132" t="str">
        <f>VLOOKUP(AA522,frequency!$F$6:$H$818,3,FALSE)</f>
        <v>High</v>
      </c>
      <c r="AI522" s="129" t="str">
        <f>VLOOKUP(AA522,monetary!$B$5:$F$817,5,0)</f>
        <v>Low</v>
      </c>
      <c r="AJ522" s="99" t="str">
        <f t="shared" si="88"/>
        <v>HHL</v>
      </c>
      <c r="AK522" s="99" t="str">
        <f>VLOOKUP(AJ522,rfm[],2,0)</f>
        <v>💎 Loyal High Value</v>
      </c>
      <c r="AN522" s="99" t="b">
        <f t="shared" si="89"/>
        <v>1</v>
      </c>
    </row>
    <row r="523" spans="2:40" x14ac:dyDescent="0.3">
      <c r="B523" s="99" t="s">
        <v>1411</v>
      </c>
      <c r="C523" s="100">
        <v>45754</v>
      </c>
      <c r="D523" s="99" t="s">
        <v>28</v>
      </c>
      <c r="E523" s="99" t="s">
        <v>29</v>
      </c>
      <c r="F523" s="99" t="s">
        <v>20</v>
      </c>
      <c r="G523" s="99">
        <v>39</v>
      </c>
      <c r="H523" s="112">
        <v>450000</v>
      </c>
      <c r="I523" s="112">
        <v>17550000</v>
      </c>
      <c r="J523" s="99" t="s">
        <v>2706</v>
      </c>
      <c r="K523" s="99" t="s">
        <v>60</v>
      </c>
      <c r="N523" s="99" t="s">
        <v>2554</v>
      </c>
      <c r="O523" s="99" t="s">
        <v>127</v>
      </c>
      <c r="P523" s="100">
        <f t="shared" si="81"/>
        <v>45919</v>
      </c>
      <c r="Q523" s="101">
        <f t="shared" si="80"/>
        <v>104</v>
      </c>
      <c r="R523" s="99">
        <f t="shared" si="82"/>
        <v>3</v>
      </c>
      <c r="S523" s="101">
        <f t="shared" si="83"/>
        <v>23375000</v>
      </c>
      <c r="T523" s="99" t="str">
        <f t="shared" si="84"/>
        <v>Low</v>
      </c>
      <c r="U523" s="99" t="str">
        <f t="shared" si="85"/>
        <v>High</v>
      </c>
      <c r="V523" s="99" t="str">
        <f t="shared" si="86"/>
        <v>High</v>
      </c>
      <c r="W523" s="99" t="str">
        <f t="shared" si="87"/>
        <v>LHH</v>
      </c>
      <c r="X523" s="99" t="str">
        <f>VLOOKUP(W523,rfm[],2,FALSE)</f>
        <v>⚠️ At Risk High Value</v>
      </c>
      <c r="AA523" s="99" t="s">
        <v>2554</v>
      </c>
      <c r="AB523" s="99" t="s">
        <v>127</v>
      </c>
      <c r="AC523" s="100">
        <v>45919</v>
      </c>
      <c r="AD523" s="101">
        <v>104</v>
      </c>
      <c r="AE523" s="101">
        <v>3</v>
      </c>
      <c r="AF523" s="101">
        <v>23375000</v>
      </c>
      <c r="AG523" s="99" t="str">
        <f>VLOOKUP(AA523,recency!$K$6:$P$818,6,0)</f>
        <v>Low</v>
      </c>
      <c r="AH523" s="132" t="str">
        <f>VLOOKUP(AA523,frequency!$F$6:$H$818,3,FALSE)</f>
        <v>High</v>
      </c>
      <c r="AI523" s="129" t="str">
        <f>VLOOKUP(AA523,monetary!$B$5:$F$817,5,0)</f>
        <v>Low</v>
      </c>
      <c r="AJ523" s="99" t="str">
        <f t="shared" si="88"/>
        <v>LHL</v>
      </c>
      <c r="AK523" s="99" t="str">
        <f>VLOOKUP(AJ523,rfm[],2,0)</f>
        <v>🔁 Former Loyal Low Spend</v>
      </c>
      <c r="AN523" s="99" t="b">
        <f t="shared" si="89"/>
        <v>0</v>
      </c>
    </row>
    <row r="524" spans="2:40" x14ac:dyDescent="0.3">
      <c r="B524" s="99" t="s">
        <v>1440</v>
      </c>
      <c r="C524" s="100">
        <v>45754</v>
      </c>
      <c r="D524" s="99" t="s">
        <v>31</v>
      </c>
      <c r="E524" s="99" t="s">
        <v>32</v>
      </c>
      <c r="F524" s="99" t="s">
        <v>20</v>
      </c>
      <c r="G524" s="99">
        <v>6</v>
      </c>
      <c r="H524" s="112">
        <v>180000</v>
      </c>
      <c r="I524" s="112">
        <v>1080000</v>
      </c>
      <c r="J524" s="99" t="s">
        <v>2513</v>
      </c>
      <c r="K524" s="99" t="s">
        <v>47</v>
      </c>
      <c r="N524" s="99" t="s">
        <v>2555</v>
      </c>
      <c r="O524" s="99" t="s">
        <v>127</v>
      </c>
      <c r="P524" s="100">
        <f t="shared" si="81"/>
        <v>45821</v>
      </c>
      <c r="Q524" s="101">
        <f t="shared" si="80"/>
        <v>202</v>
      </c>
      <c r="R524" s="99">
        <f t="shared" si="82"/>
        <v>1</v>
      </c>
      <c r="S524" s="101">
        <f t="shared" si="83"/>
        <v>1080000</v>
      </c>
      <c r="T524" s="99" t="str">
        <f t="shared" si="84"/>
        <v>Low</v>
      </c>
      <c r="U524" s="99" t="str">
        <f t="shared" si="85"/>
        <v>Low</v>
      </c>
      <c r="V524" s="99" t="str">
        <f t="shared" si="86"/>
        <v>Low</v>
      </c>
      <c r="W524" s="99" t="str">
        <f t="shared" si="87"/>
        <v>LLL</v>
      </c>
      <c r="X524" s="99" t="str">
        <f>VLOOKUP(W524,rfm[],2,FALSE)</f>
        <v>💤 Lost / Low Value</v>
      </c>
      <c r="AA524" s="99" t="s">
        <v>2555</v>
      </c>
      <c r="AB524" s="99" t="s">
        <v>127</v>
      </c>
      <c r="AC524" s="100">
        <v>45821</v>
      </c>
      <c r="AD524" s="101">
        <v>202</v>
      </c>
      <c r="AE524" s="101">
        <v>1</v>
      </c>
      <c r="AF524" s="101">
        <v>1080000</v>
      </c>
      <c r="AG524" s="99" t="str">
        <f>VLOOKUP(AA524,recency!$K$6:$P$818,6,0)</f>
        <v>Low</v>
      </c>
      <c r="AH524" s="132" t="str">
        <f>VLOOKUP(AA524,frequency!$F$6:$H$818,3,FALSE)</f>
        <v>Low</v>
      </c>
      <c r="AI524" s="129" t="str">
        <f>VLOOKUP(AA524,monetary!$B$5:$F$817,5,0)</f>
        <v>Low</v>
      </c>
      <c r="AJ524" s="99" t="str">
        <f t="shared" si="88"/>
        <v>LLL</v>
      </c>
      <c r="AK524" s="99" t="str">
        <f>VLOOKUP(AJ524,rfm[],2,0)</f>
        <v>💤 Lost / Low Value</v>
      </c>
      <c r="AN524" s="99" t="b">
        <f t="shared" si="89"/>
        <v>1</v>
      </c>
    </row>
    <row r="525" spans="2:40" x14ac:dyDescent="0.3">
      <c r="B525" s="99" t="s">
        <v>1441</v>
      </c>
      <c r="C525" s="100">
        <v>45754</v>
      </c>
      <c r="D525" s="99" t="s">
        <v>22</v>
      </c>
      <c r="E525" s="99" t="s">
        <v>23</v>
      </c>
      <c r="F525" s="99" t="s">
        <v>12</v>
      </c>
      <c r="G525" s="99">
        <v>9</v>
      </c>
      <c r="H525" s="112">
        <v>25000</v>
      </c>
      <c r="I525" s="112">
        <v>225000</v>
      </c>
      <c r="J525" s="99" t="s">
        <v>2462</v>
      </c>
      <c r="K525" s="99" t="s">
        <v>60</v>
      </c>
      <c r="N525" s="99" t="s">
        <v>2556</v>
      </c>
      <c r="O525" s="99" t="s">
        <v>8</v>
      </c>
      <c r="P525" s="100">
        <f t="shared" si="81"/>
        <v>45996</v>
      </c>
      <c r="Q525" s="101">
        <f t="shared" si="80"/>
        <v>27</v>
      </c>
      <c r="R525" s="99">
        <f t="shared" si="82"/>
        <v>4</v>
      </c>
      <c r="S525" s="101">
        <f t="shared" si="83"/>
        <v>41675000</v>
      </c>
      <c r="T525" s="99" t="str">
        <f t="shared" si="84"/>
        <v>High</v>
      </c>
      <c r="U525" s="99" t="str">
        <f t="shared" si="85"/>
        <v>High</v>
      </c>
      <c r="V525" s="99" t="str">
        <f t="shared" si="86"/>
        <v>High</v>
      </c>
      <c r="W525" s="99" t="str">
        <f t="shared" si="87"/>
        <v>HHH</v>
      </c>
      <c r="X525" s="99" t="str">
        <f>VLOOKUP(W525,rfm[],2,FALSE)</f>
        <v>🥇 Champions</v>
      </c>
      <c r="AA525" s="99" t="s">
        <v>2556</v>
      </c>
      <c r="AB525" s="99" t="s">
        <v>8</v>
      </c>
      <c r="AC525" s="100">
        <v>45996</v>
      </c>
      <c r="AD525" s="101">
        <v>27</v>
      </c>
      <c r="AE525" s="101">
        <v>4</v>
      </c>
      <c r="AF525" s="101">
        <v>41675000</v>
      </c>
      <c r="AG525" s="99" t="str">
        <f>VLOOKUP(AA525,recency!$K$6:$P$818,6,0)</f>
        <v>High</v>
      </c>
      <c r="AH525" s="132" t="str">
        <f>VLOOKUP(AA525,frequency!$F$6:$H$818,3,FALSE)</f>
        <v>High</v>
      </c>
      <c r="AI525" s="129" t="str">
        <f>VLOOKUP(AA525,monetary!$B$5:$F$817,5,0)</f>
        <v>Low</v>
      </c>
      <c r="AJ525" s="99" t="str">
        <f t="shared" si="88"/>
        <v>HHL</v>
      </c>
      <c r="AK525" s="99" t="str">
        <f>VLOOKUP(AJ525,rfm[],2,0)</f>
        <v>💎 Loyal High Value</v>
      </c>
      <c r="AN525" s="99" t="b">
        <f t="shared" si="89"/>
        <v>0</v>
      </c>
    </row>
    <row r="526" spans="2:40" x14ac:dyDescent="0.3">
      <c r="B526" s="99" t="s">
        <v>1442</v>
      </c>
      <c r="C526" s="100">
        <v>45754</v>
      </c>
      <c r="D526" s="99" t="s">
        <v>40</v>
      </c>
      <c r="E526" s="99" t="s">
        <v>41</v>
      </c>
      <c r="F526" s="99" t="s">
        <v>16</v>
      </c>
      <c r="G526" s="99">
        <v>15</v>
      </c>
      <c r="H526" s="112">
        <v>950000</v>
      </c>
      <c r="I526" s="112">
        <v>14250000</v>
      </c>
      <c r="J526" s="99" t="s">
        <v>2356</v>
      </c>
      <c r="K526" s="99" t="s">
        <v>8</v>
      </c>
      <c r="N526" s="99" t="s">
        <v>2557</v>
      </c>
      <c r="O526" s="99" t="s">
        <v>127</v>
      </c>
      <c r="P526" s="100">
        <f t="shared" si="81"/>
        <v>45905</v>
      </c>
      <c r="Q526" s="101">
        <f t="shared" si="80"/>
        <v>118</v>
      </c>
      <c r="R526" s="99">
        <f t="shared" si="82"/>
        <v>4</v>
      </c>
      <c r="S526" s="101">
        <f t="shared" si="83"/>
        <v>48300000</v>
      </c>
      <c r="T526" s="99" t="str">
        <f t="shared" si="84"/>
        <v>Low</v>
      </c>
      <c r="U526" s="99" t="str">
        <f t="shared" si="85"/>
        <v>High</v>
      </c>
      <c r="V526" s="99" t="str">
        <f t="shared" si="86"/>
        <v>High</v>
      </c>
      <c r="W526" s="99" t="str">
        <f t="shared" si="87"/>
        <v>LHH</v>
      </c>
      <c r="X526" s="99" t="str">
        <f>VLOOKUP(W526,rfm[],2,FALSE)</f>
        <v>⚠️ At Risk High Value</v>
      </c>
      <c r="AA526" s="99" t="s">
        <v>2557</v>
      </c>
      <c r="AB526" s="99" t="s">
        <v>127</v>
      </c>
      <c r="AC526" s="100">
        <v>45905</v>
      </c>
      <c r="AD526" s="101">
        <v>118</v>
      </c>
      <c r="AE526" s="101">
        <v>4</v>
      </c>
      <c r="AF526" s="101">
        <v>48300000</v>
      </c>
      <c r="AG526" s="99" t="str">
        <f>VLOOKUP(AA526,recency!$K$6:$P$818,6,0)</f>
        <v>Low</v>
      </c>
      <c r="AH526" s="132" t="str">
        <f>VLOOKUP(AA526,frequency!$F$6:$H$818,3,FALSE)</f>
        <v>High</v>
      </c>
      <c r="AI526" s="129" t="str">
        <f>VLOOKUP(AA526,monetary!$B$5:$F$817,5,0)</f>
        <v>Low</v>
      </c>
      <c r="AJ526" s="99" t="str">
        <f t="shared" si="88"/>
        <v>LHL</v>
      </c>
      <c r="AK526" s="99" t="str">
        <f>VLOOKUP(AJ526,rfm[],2,0)</f>
        <v>🔁 Former Loyal Low Spend</v>
      </c>
      <c r="AN526" s="99" t="b">
        <f t="shared" si="89"/>
        <v>0</v>
      </c>
    </row>
    <row r="527" spans="2:40" x14ac:dyDescent="0.3">
      <c r="B527" s="99" t="s">
        <v>1443</v>
      </c>
      <c r="C527" s="100">
        <v>45754</v>
      </c>
      <c r="D527" s="99" t="s">
        <v>38</v>
      </c>
      <c r="E527" s="99" t="s">
        <v>39</v>
      </c>
      <c r="F527" s="99" t="s">
        <v>16</v>
      </c>
      <c r="G527" s="99">
        <v>33</v>
      </c>
      <c r="H527" s="112">
        <v>200000</v>
      </c>
      <c r="I527" s="112">
        <v>6600000</v>
      </c>
      <c r="J527" s="99" t="s">
        <v>2176</v>
      </c>
      <c r="K527" s="99" t="s">
        <v>127</v>
      </c>
      <c r="N527" s="99" t="s">
        <v>2558</v>
      </c>
      <c r="O527" s="99" t="s">
        <v>8</v>
      </c>
      <c r="P527" s="100">
        <f t="shared" si="81"/>
        <v>45950</v>
      </c>
      <c r="Q527" s="101">
        <f t="shared" si="80"/>
        <v>73</v>
      </c>
      <c r="R527" s="99">
        <f t="shared" si="82"/>
        <v>2</v>
      </c>
      <c r="S527" s="101">
        <f t="shared" si="83"/>
        <v>40290000</v>
      </c>
      <c r="T527" s="99" t="str">
        <f t="shared" si="84"/>
        <v>High</v>
      </c>
      <c r="U527" s="99" t="str">
        <f t="shared" si="85"/>
        <v>Low</v>
      </c>
      <c r="V527" s="99" t="str">
        <f t="shared" si="86"/>
        <v>High</v>
      </c>
      <c r="W527" s="99" t="str">
        <f t="shared" si="87"/>
        <v>HLH</v>
      </c>
      <c r="X527" s="99" t="str">
        <f>VLOOKUP(W527,rfm[],2,FALSE)</f>
        <v>🛒 Big Spenders (Occasional)</v>
      </c>
      <c r="AA527" s="99" t="s">
        <v>2558</v>
      </c>
      <c r="AB527" s="99" t="s">
        <v>8</v>
      </c>
      <c r="AC527" s="100">
        <v>45950</v>
      </c>
      <c r="AD527" s="101">
        <v>73</v>
      </c>
      <c r="AE527" s="101">
        <v>2</v>
      </c>
      <c r="AF527" s="101">
        <v>40290000</v>
      </c>
      <c r="AG527" s="99" t="str">
        <f>VLOOKUP(AA527,recency!$K$6:$P$818,6,0)</f>
        <v>Low</v>
      </c>
      <c r="AH527" s="132" t="str">
        <f>VLOOKUP(AA527,frequency!$F$6:$H$818,3,FALSE)</f>
        <v>Low</v>
      </c>
      <c r="AI527" s="129" t="str">
        <f>VLOOKUP(AA527,monetary!$B$5:$F$817,5,0)</f>
        <v>Low</v>
      </c>
      <c r="AJ527" s="99" t="str">
        <f t="shared" si="88"/>
        <v>LLL</v>
      </c>
      <c r="AK527" s="99" t="str">
        <f>VLOOKUP(AJ527,rfm[],2,0)</f>
        <v>💤 Lost / Low Value</v>
      </c>
      <c r="AN527" s="99" t="b">
        <f t="shared" si="89"/>
        <v>0</v>
      </c>
    </row>
    <row r="528" spans="2:40" x14ac:dyDescent="0.3">
      <c r="B528" s="99" t="s">
        <v>1444</v>
      </c>
      <c r="C528" s="100">
        <v>45754</v>
      </c>
      <c r="D528" s="99" t="s">
        <v>18</v>
      </c>
      <c r="E528" s="99" t="s">
        <v>19</v>
      </c>
      <c r="F528" s="99" t="s">
        <v>20</v>
      </c>
      <c r="G528" s="99">
        <v>42</v>
      </c>
      <c r="H528" s="112">
        <v>500000</v>
      </c>
      <c r="I528" s="112">
        <v>21000000</v>
      </c>
      <c r="J528" s="99" t="s">
        <v>2665</v>
      </c>
      <c r="K528" s="99" t="s">
        <v>127</v>
      </c>
      <c r="N528" s="99" t="s">
        <v>2559</v>
      </c>
      <c r="O528" s="99" t="s">
        <v>47</v>
      </c>
      <c r="P528" s="100">
        <f t="shared" si="81"/>
        <v>45905</v>
      </c>
      <c r="Q528" s="101">
        <f t="shared" si="80"/>
        <v>118</v>
      </c>
      <c r="R528" s="99">
        <f t="shared" si="82"/>
        <v>3</v>
      </c>
      <c r="S528" s="101">
        <f t="shared" si="83"/>
        <v>30100000</v>
      </c>
      <c r="T528" s="99" t="str">
        <f t="shared" si="84"/>
        <v>Low</v>
      </c>
      <c r="U528" s="99" t="str">
        <f t="shared" si="85"/>
        <v>High</v>
      </c>
      <c r="V528" s="99" t="str">
        <f t="shared" si="86"/>
        <v>High</v>
      </c>
      <c r="W528" s="99" t="str">
        <f t="shared" si="87"/>
        <v>LHH</v>
      </c>
      <c r="X528" s="99" t="str">
        <f>VLOOKUP(W528,rfm[],2,FALSE)</f>
        <v>⚠️ At Risk High Value</v>
      </c>
      <c r="AA528" s="99" t="s">
        <v>2559</v>
      </c>
      <c r="AB528" s="99" t="s">
        <v>47</v>
      </c>
      <c r="AC528" s="100">
        <v>45905</v>
      </c>
      <c r="AD528" s="101">
        <v>118</v>
      </c>
      <c r="AE528" s="101">
        <v>3</v>
      </c>
      <c r="AF528" s="101">
        <v>30100000</v>
      </c>
      <c r="AG528" s="99" t="str">
        <f>VLOOKUP(AA528,recency!$K$6:$P$818,6,0)</f>
        <v>Low</v>
      </c>
      <c r="AH528" s="132" t="str">
        <f>VLOOKUP(AA528,frequency!$F$6:$H$818,3,FALSE)</f>
        <v>High</v>
      </c>
      <c r="AI528" s="129" t="str">
        <f>VLOOKUP(AA528,monetary!$B$5:$F$817,5,0)</f>
        <v>Low</v>
      </c>
      <c r="AJ528" s="99" t="str">
        <f t="shared" si="88"/>
        <v>LHL</v>
      </c>
      <c r="AK528" s="99" t="str">
        <f>VLOOKUP(AJ528,rfm[],2,0)</f>
        <v>🔁 Former Loyal Low Spend</v>
      </c>
      <c r="AN528" s="99" t="b">
        <f t="shared" si="89"/>
        <v>0</v>
      </c>
    </row>
    <row r="529" spans="2:40" x14ac:dyDescent="0.3">
      <c r="B529" s="99" t="s">
        <v>1481</v>
      </c>
      <c r="C529" s="100">
        <v>45754</v>
      </c>
      <c r="D529" s="99" t="s">
        <v>38</v>
      </c>
      <c r="E529" s="99" t="s">
        <v>39</v>
      </c>
      <c r="F529" s="99" t="s">
        <v>16</v>
      </c>
      <c r="G529" s="99">
        <v>22</v>
      </c>
      <c r="H529" s="112">
        <v>200000</v>
      </c>
      <c r="I529" s="112">
        <v>4400000</v>
      </c>
      <c r="J529" s="99" t="s">
        <v>2263</v>
      </c>
      <c r="K529" s="99" t="s">
        <v>8</v>
      </c>
      <c r="N529" s="99" t="s">
        <v>2560</v>
      </c>
      <c r="O529" s="99" t="s">
        <v>47</v>
      </c>
      <c r="P529" s="100">
        <f t="shared" si="81"/>
        <v>45875</v>
      </c>
      <c r="Q529" s="101">
        <f t="shared" si="80"/>
        <v>148</v>
      </c>
      <c r="R529" s="99">
        <f t="shared" si="82"/>
        <v>3</v>
      </c>
      <c r="S529" s="101">
        <f t="shared" si="83"/>
        <v>28160000</v>
      </c>
      <c r="T529" s="99" t="str">
        <f t="shared" si="84"/>
        <v>Low</v>
      </c>
      <c r="U529" s="99" t="str">
        <f t="shared" si="85"/>
        <v>High</v>
      </c>
      <c r="V529" s="99" t="str">
        <f t="shared" si="86"/>
        <v>High</v>
      </c>
      <c r="W529" s="99" t="str">
        <f t="shared" si="87"/>
        <v>LHH</v>
      </c>
      <c r="X529" s="99" t="str">
        <f>VLOOKUP(W529,rfm[],2,FALSE)</f>
        <v>⚠️ At Risk High Value</v>
      </c>
      <c r="AA529" s="99" t="s">
        <v>2560</v>
      </c>
      <c r="AB529" s="99" t="s">
        <v>47</v>
      </c>
      <c r="AC529" s="100">
        <v>45875</v>
      </c>
      <c r="AD529" s="101">
        <v>148</v>
      </c>
      <c r="AE529" s="101">
        <v>3</v>
      </c>
      <c r="AF529" s="101">
        <v>28160000</v>
      </c>
      <c r="AG529" s="99" t="str">
        <f>VLOOKUP(AA529,recency!$K$6:$P$818,6,0)</f>
        <v>Low</v>
      </c>
      <c r="AH529" s="132" t="str">
        <f>VLOOKUP(AA529,frequency!$F$6:$H$818,3,FALSE)</f>
        <v>High</v>
      </c>
      <c r="AI529" s="129" t="str">
        <f>VLOOKUP(AA529,monetary!$B$5:$F$817,5,0)</f>
        <v>Low</v>
      </c>
      <c r="AJ529" s="99" t="str">
        <f t="shared" si="88"/>
        <v>LHL</v>
      </c>
      <c r="AK529" s="99" t="str">
        <f>VLOOKUP(AJ529,rfm[],2,0)</f>
        <v>🔁 Former Loyal Low Spend</v>
      </c>
      <c r="AN529" s="99" t="b">
        <f t="shared" si="89"/>
        <v>0</v>
      </c>
    </row>
    <row r="530" spans="2:40" x14ac:dyDescent="0.3">
      <c r="B530" s="99" t="s">
        <v>1482</v>
      </c>
      <c r="C530" s="100">
        <v>45755</v>
      </c>
      <c r="D530" s="99" t="s">
        <v>10</v>
      </c>
      <c r="E530" s="99" t="s">
        <v>11</v>
      </c>
      <c r="F530" s="99" t="s">
        <v>12</v>
      </c>
      <c r="G530" s="99">
        <v>30</v>
      </c>
      <c r="H530" s="112">
        <v>120000</v>
      </c>
      <c r="I530" s="112">
        <v>3600000</v>
      </c>
      <c r="J530" s="99" t="s">
        <v>2413</v>
      </c>
      <c r="K530" s="99" t="s">
        <v>8</v>
      </c>
      <c r="N530" s="99" t="s">
        <v>2561</v>
      </c>
      <c r="O530" s="99" t="s">
        <v>8</v>
      </c>
      <c r="P530" s="100">
        <f t="shared" si="81"/>
        <v>45985</v>
      </c>
      <c r="Q530" s="101">
        <f t="shared" si="80"/>
        <v>38</v>
      </c>
      <c r="R530" s="99">
        <f t="shared" si="82"/>
        <v>2</v>
      </c>
      <c r="S530" s="101">
        <f t="shared" si="83"/>
        <v>2800000</v>
      </c>
      <c r="T530" s="99" t="str">
        <f t="shared" si="84"/>
        <v>High</v>
      </c>
      <c r="U530" s="99" t="str">
        <f t="shared" si="85"/>
        <v>Low</v>
      </c>
      <c r="V530" s="99" t="str">
        <f t="shared" si="86"/>
        <v>Low</v>
      </c>
      <c r="W530" s="99" t="str">
        <f t="shared" si="87"/>
        <v>HLL</v>
      </c>
      <c r="X530" s="99" t="str">
        <f>VLOOKUP(W530,rfm[],2,FALSE)</f>
        <v>🌱 Potential Loyalists</v>
      </c>
      <c r="AA530" s="99" t="s">
        <v>2561</v>
      </c>
      <c r="AB530" s="99" t="s">
        <v>8</v>
      </c>
      <c r="AC530" s="100">
        <v>45985</v>
      </c>
      <c r="AD530" s="101">
        <v>38</v>
      </c>
      <c r="AE530" s="101">
        <v>2</v>
      </c>
      <c r="AF530" s="101">
        <v>2800000</v>
      </c>
      <c r="AG530" s="99" t="str">
        <f>VLOOKUP(AA530,recency!$K$6:$P$818,6,0)</f>
        <v>High</v>
      </c>
      <c r="AH530" s="132" t="str">
        <f>VLOOKUP(AA530,frequency!$F$6:$H$818,3,FALSE)</f>
        <v>Low</v>
      </c>
      <c r="AI530" s="129" t="str">
        <f>VLOOKUP(AA530,monetary!$B$5:$F$817,5,0)</f>
        <v>Low</v>
      </c>
      <c r="AJ530" s="99" t="str">
        <f t="shared" si="88"/>
        <v>HLL</v>
      </c>
      <c r="AK530" s="99" t="str">
        <f>VLOOKUP(AJ530,rfm[],2,0)</f>
        <v>🌱 Potential Loyalists</v>
      </c>
      <c r="AN530" s="99" t="b">
        <f t="shared" si="89"/>
        <v>1</v>
      </c>
    </row>
    <row r="531" spans="2:40" x14ac:dyDescent="0.3">
      <c r="B531" s="99" t="s">
        <v>1483</v>
      </c>
      <c r="C531" s="100">
        <v>45755</v>
      </c>
      <c r="D531" s="99" t="s">
        <v>10</v>
      </c>
      <c r="E531" s="99" t="s">
        <v>11</v>
      </c>
      <c r="F531" s="99" t="s">
        <v>12</v>
      </c>
      <c r="G531" s="99">
        <v>8</v>
      </c>
      <c r="H531" s="112">
        <v>120000</v>
      </c>
      <c r="I531" s="112">
        <v>960000</v>
      </c>
      <c r="J531" s="99" t="s">
        <v>2466</v>
      </c>
      <c r="K531" s="99" t="s">
        <v>127</v>
      </c>
      <c r="N531" s="99" t="s">
        <v>2562</v>
      </c>
      <c r="O531" s="99" t="s">
        <v>8</v>
      </c>
      <c r="P531" s="100">
        <f t="shared" si="81"/>
        <v>45805</v>
      </c>
      <c r="Q531" s="101">
        <f t="shared" si="80"/>
        <v>218</v>
      </c>
      <c r="R531" s="99">
        <f t="shared" si="82"/>
        <v>2</v>
      </c>
      <c r="S531" s="101">
        <f t="shared" si="83"/>
        <v>11775000</v>
      </c>
      <c r="T531" s="99" t="str">
        <f t="shared" si="84"/>
        <v>Low</v>
      </c>
      <c r="U531" s="99" t="str">
        <f t="shared" si="85"/>
        <v>Low</v>
      </c>
      <c r="V531" s="99" t="str">
        <f t="shared" si="86"/>
        <v>Low</v>
      </c>
      <c r="W531" s="99" t="str">
        <f t="shared" si="87"/>
        <v>LLL</v>
      </c>
      <c r="X531" s="99" t="str">
        <f>VLOOKUP(W531,rfm[],2,FALSE)</f>
        <v>💤 Lost / Low Value</v>
      </c>
      <c r="AA531" s="99" t="s">
        <v>2562</v>
      </c>
      <c r="AB531" s="99" t="s">
        <v>8</v>
      </c>
      <c r="AC531" s="100">
        <v>45805</v>
      </c>
      <c r="AD531" s="101">
        <v>218</v>
      </c>
      <c r="AE531" s="101">
        <v>2</v>
      </c>
      <c r="AF531" s="101">
        <v>11775000</v>
      </c>
      <c r="AG531" s="99" t="str">
        <f>VLOOKUP(AA531,recency!$K$6:$P$818,6,0)</f>
        <v>Low</v>
      </c>
      <c r="AH531" s="132" t="str">
        <f>VLOOKUP(AA531,frequency!$F$6:$H$818,3,FALSE)</f>
        <v>Low</v>
      </c>
      <c r="AI531" s="129" t="str">
        <f>VLOOKUP(AA531,monetary!$B$5:$F$817,5,0)</f>
        <v>Low</v>
      </c>
      <c r="AJ531" s="99" t="str">
        <f t="shared" si="88"/>
        <v>LLL</v>
      </c>
      <c r="AK531" s="99" t="str">
        <f>VLOOKUP(AJ531,rfm[],2,0)</f>
        <v>💤 Lost / Low Value</v>
      </c>
      <c r="AN531" s="99" t="b">
        <f t="shared" si="89"/>
        <v>1</v>
      </c>
    </row>
    <row r="532" spans="2:40" x14ac:dyDescent="0.3">
      <c r="B532" s="99" t="s">
        <v>1484</v>
      </c>
      <c r="C532" s="100">
        <v>45755</v>
      </c>
      <c r="D532" s="99" t="s">
        <v>44</v>
      </c>
      <c r="E532" s="99" t="s">
        <v>45</v>
      </c>
      <c r="F532" s="99" t="s">
        <v>16</v>
      </c>
      <c r="G532" s="99">
        <v>22</v>
      </c>
      <c r="H532" s="112">
        <v>250000</v>
      </c>
      <c r="I532" s="112">
        <v>5500000</v>
      </c>
      <c r="J532" s="99" t="s">
        <v>2433</v>
      </c>
      <c r="K532" s="99" t="s">
        <v>69</v>
      </c>
      <c r="N532" s="99" t="s">
        <v>2563</v>
      </c>
      <c r="O532" s="99" t="s">
        <v>47</v>
      </c>
      <c r="P532" s="100">
        <f t="shared" si="81"/>
        <v>45895</v>
      </c>
      <c r="Q532" s="101">
        <f t="shared" si="80"/>
        <v>128</v>
      </c>
      <c r="R532" s="99">
        <f t="shared" si="82"/>
        <v>5</v>
      </c>
      <c r="S532" s="101">
        <f t="shared" si="83"/>
        <v>400750000</v>
      </c>
      <c r="T532" s="99" t="str">
        <f t="shared" si="84"/>
        <v>Low</v>
      </c>
      <c r="U532" s="99" t="str">
        <f t="shared" si="85"/>
        <v>High</v>
      </c>
      <c r="V532" s="99" t="str">
        <f t="shared" si="86"/>
        <v>High</v>
      </c>
      <c r="W532" s="99" t="str">
        <f t="shared" si="87"/>
        <v>LHH</v>
      </c>
      <c r="X532" s="99" t="str">
        <f>VLOOKUP(W532,rfm[],2,FALSE)</f>
        <v>⚠️ At Risk High Value</v>
      </c>
      <c r="AA532" s="99" t="s">
        <v>2563</v>
      </c>
      <c r="AB532" s="99" t="s">
        <v>47</v>
      </c>
      <c r="AC532" s="100">
        <v>45895</v>
      </c>
      <c r="AD532" s="101">
        <v>128</v>
      </c>
      <c r="AE532" s="101">
        <v>5</v>
      </c>
      <c r="AF532" s="101">
        <v>400750000</v>
      </c>
      <c r="AG532" s="99" t="str">
        <f>VLOOKUP(AA532,recency!$K$6:$P$818,6,0)</f>
        <v>Low</v>
      </c>
      <c r="AH532" s="132" t="str">
        <f>VLOOKUP(AA532,frequency!$F$6:$H$818,3,FALSE)</f>
        <v>High</v>
      </c>
      <c r="AI532" s="129" t="str">
        <f>VLOOKUP(AA532,monetary!$B$5:$F$817,5,0)</f>
        <v>High</v>
      </c>
      <c r="AJ532" s="99" t="str">
        <f t="shared" si="88"/>
        <v>LHH</v>
      </c>
      <c r="AK532" s="99" t="str">
        <f>VLOOKUP(AJ532,rfm[],2,0)</f>
        <v>⚠️ At Risk High Value</v>
      </c>
      <c r="AN532" s="99" t="b">
        <f t="shared" si="89"/>
        <v>1</v>
      </c>
    </row>
    <row r="533" spans="2:40" x14ac:dyDescent="0.3">
      <c r="B533" s="99" t="s">
        <v>1529</v>
      </c>
      <c r="C533" s="100">
        <v>45755</v>
      </c>
      <c r="D533" s="99" t="s">
        <v>18</v>
      </c>
      <c r="E533" s="99" t="s">
        <v>19</v>
      </c>
      <c r="F533" s="99" t="s">
        <v>20</v>
      </c>
      <c r="G533" s="99">
        <v>7</v>
      </c>
      <c r="H533" s="112">
        <v>500000</v>
      </c>
      <c r="I533" s="112">
        <v>3500000</v>
      </c>
      <c r="J533" s="99" t="s">
        <v>2280</v>
      </c>
      <c r="K533" s="99" t="s">
        <v>60</v>
      </c>
      <c r="N533" s="99" t="s">
        <v>2564</v>
      </c>
      <c r="O533" s="99" t="s">
        <v>127</v>
      </c>
      <c r="P533" s="100">
        <f t="shared" si="81"/>
        <v>45937</v>
      </c>
      <c r="Q533" s="101">
        <f t="shared" si="80"/>
        <v>86</v>
      </c>
      <c r="R533" s="99">
        <f t="shared" si="82"/>
        <v>1</v>
      </c>
      <c r="S533" s="101">
        <f t="shared" si="83"/>
        <v>3780000</v>
      </c>
      <c r="T533" s="99" t="str">
        <f t="shared" si="84"/>
        <v>High</v>
      </c>
      <c r="U533" s="99" t="str">
        <f t="shared" si="85"/>
        <v>Low</v>
      </c>
      <c r="V533" s="99" t="str">
        <f t="shared" si="86"/>
        <v>Low</v>
      </c>
      <c r="W533" s="99" t="str">
        <f t="shared" si="87"/>
        <v>HLL</v>
      </c>
      <c r="X533" s="99" t="str">
        <f>VLOOKUP(W533,rfm[],2,FALSE)</f>
        <v>🌱 Potential Loyalists</v>
      </c>
      <c r="AA533" s="99" t="s">
        <v>2564</v>
      </c>
      <c r="AB533" s="99" t="s">
        <v>127</v>
      </c>
      <c r="AC533" s="100">
        <v>45937</v>
      </c>
      <c r="AD533" s="101">
        <v>86</v>
      </c>
      <c r="AE533" s="101">
        <v>1</v>
      </c>
      <c r="AF533" s="101">
        <v>3780000</v>
      </c>
      <c r="AG533" s="99" t="str">
        <f>VLOOKUP(AA533,recency!$K$6:$P$818,6,0)</f>
        <v>Low</v>
      </c>
      <c r="AH533" s="132" t="str">
        <f>VLOOKUP(AA533,frequency!$F$6:$H$818,3,FALSE)</f>
        <v>Low</v>
      </c>
      <c r="AI533" s="129" t="str">
        <f>VLOOKUP(AA533,monetary!$B$5:$F$817,5,0)</f>
        <v>Low</v>
      </c>
      <c r="AJ533" s="99" t="str">
        <f t="shared" si="88"/>
        <v>LLL</v>
      </c>
      <c r="AK533" s="99" t="str">
        <f>VLOOKUP(AJ533,rfm[],2,0)</f>
        <v>💤 Lost / Low Value</v>
      </c>
      <c r="AN533" s="99" t="b">
        <f t="shared" si="89"/>
        <v>0</v>
      </c>
    </row>
    <row r="534" spans="2:40" x14ac:dyDescent="0.3">
      <c r="B534" s="99" t="s">
        <v>1530</v>
      </c>
      <c r="C534" s="100">
        <v>45755</v>
      </c>
      <c r="D534" s="99" t="s">
        <v>42</v>
      </c>
      <c r="E534" s="99" t="s">
        <v>43</v>
      </c>
      <c r="F534" s="99" t="s">
        <v>16</v>
      </c>
      <c r="G534" s="99">
        <v>14</v>
      </c>
      <c r="H534" s="112">
        <v>1200000</v>
      </c>
      <c r="I534" s="112">
        <v>16800000</v>
      </c>
      <c r="J534" s="99" t="s">
        <v>2833</v>
      </c>
      <c r="K534" s="99" t="s">
        <v>60</v>
      </c>
      <c r="N534" s="99" t="s">
        <v>2565</v>
      </c>
      <c r="O534" s="99" t="s">
        <v>8</v>
      </c>
      <c r="P534" s="100">
        <f t="shared" si="81"/>
        <v>46015</v>
      </c>
      <c r="Q534" s="101">
        <f t="shared" si="80"/>
        <v>8</v>
      </c>
      <c r="R534" s="99">
        <f t="shared" si="82"/>
        <v>3</v>
      </c>
      <c r="S534" s="101">
        <f t="shared" si="83"/>
        <v>6175000</v>
      </c>
      <c r="T534" s="99" t="str">
        <f t="shared" si="84"/>
        <v>High</v>
      </c>
      <c r="U534" s="99" t="str">
        <f t="shared" si="85"/>
        <v>High</v>
      </c>
      <c r="V534" s="99" t="str">
        <f t="shared" si="86"/>
        <v>Low</v>
      </c>
      <c r="W534" s="99" t="str">
        <f t="shared" si="87"/>
        <v>HHL</v>
      </c>
      <c r="X534" s="99" t="str">
        <f>VLOOKUP(W534,rfm[],2,FALSE)</f>
        <v>💎 Loyal High Value</v>
      </c>
      <c r="AA534" s="99" t="s">
        <v>2565</v>
      </c>
      <c r="AB534" s="99" t="s">
        <v>8</v>
      </c>
      <c r="AC534" s="100">
        <v>46015</v>
      </c>
      <c r="AD534" s="101">
        <v>8</v>
      </c>
      <c r="AE534" s="101">
        <v>3</v>
      </c>
      <c r="AF534" s="101">
        <v>6175000</v>
      </c>
      <c r="AG534" s="99" t="str">
        <f>VLOOKUP(AA534,recency!$K$6:$P$818,6,0)</f>
        <v>High</v>
      </c>
      <c r="AH534" s="132" t="str">
        <f>VLOOKUP(AA534,frequency!$F$6:$H$818,3,FALSE)</f>
        <v>High</v>
      </c>
      <c r="AI534" s="129" t="str">
        <f>VLOOKUP(AA534,monetary!$B$5:$F$817,5,0)</f>
        <v>Low</v>
      </c>
      <c r="AJ534" s="99" t="str">
        <f t="shared" si="88"/>
        <v>HHL</v>
      </c>
      <c r="AK534" s="99" t="str">
        <f>VLOOKUP(AJ534,rfm[],2,0)</f>
        <v>💎 Loyal High Value</v>
      </c>
      <c r="AN534" s="99" t="b">
        <f t="shared" si="89"/>
        <v>1</v>
      </c>
    </row>
    <row r="535" spans="2:40" x14ac:dyDescent="0.3">
      <c r="B535" s="99" t="s">
        <v>1531</v>
      </c>
      <c r="C535" s="100">
        <v>45755</v>
      </c>
      <c r="D535" s="99" t="s">
        <v>18</v>
      </c>
      <c r="E535" s="99" t="s">
        <v>19</v>
      </c>
      <c r="F535" s="99" t="s">
        <v>20</v>
      </c>
      <c r="G535" s="99">
        <v>8</v>
      </c>
      <c r="H535" s="112">
        <v>500000</v>
      </c>
      <c r="I535" s="112">
        <v>4000000</v>
      </c>
      <c r="J535" s="99" t="s">
        <v>2548</v>
      </c>
      <c r="K535" s="99" t="s">
        <v>47</v>
      </c>
      <c r="N535" s="99" t="s">
        <v>2566</v>
      </c>
      <c r="O535" s="99" t="s">
        <v>8</v>
      </c>
      <c r="P535" s="100">
        <f t="shared" si="81"/>
        <v>45658</v>
      </c>
      <c r="Q535" s="101">
        <f t="shared" si="80"/>
        <v>365</v>
      </c>
      <c r="R535" s="99">
        <f t="shared" si="82"/>
        <v>1</v>
      </c>
      <c r="S535" s="101">
        <f t="shared" si="83"/>
        <v>1750000</v>
      </c>
      <c r="T535" s="99" t="str">
        <f t="shared" si="84"/>
        <v>Low</v>
      </c>
      <c r="U535" s="99" t="str">
        <f t="shared" si="85"/>
        <v>Low</v>
      </c>
      <c r="V535" s="99" t="str">
        <f t="shared" si="86"/>
        <v>Low</v>
      </c>
      <c r="W535" s="99" t="str">
        <f t="shared" si="87"/>
        <v>LLL</v>
      </c>
      <c r="X535" s="99" t="str">
        <f>VLOOKUP(W535,rfm[],2,FALSE)</f>
        <v>💤 Lost / Low Value</v>
      </c>
      <c r="AA535" s="99" t="s">
        <v>2566</v>
      </c>
      <c r="AB535" s="99" t="s">
        <v>8</v>
      </c>
      <c r="AC535" s="100">
        <v>45658</v>
      </c>
      <c r="AD535" s="101">
        <v>365</v>
      </c>
      <c r="AE535" s="101">
        <v>1</v>
      </c>
      <c r="AF535" s="101">
        <v>1750000</v>
      </c>
      <c r="AG535" s="99" t="str">
        <f>VLOOKUP(AA535,recency!$K$6:$P$818,6,0)</f>
        <v>Low</v>
      </c>
      <c r="AH535" s="132" t="str">
        <f>VLOOKUP(AA535,frequency!$F$6:$H$818,3,FALSE)</f>
        <v>Low</v>
      </c>
      <c r="AI535" s="129" t="str">
        <f>VLOOKUP(AA535,monetary!$B$5:$F$817,5,0)</f>
        <v>Low</v>
      </c>
      <c r="AJ535" s="99" t="str">
        <f t="shared" si="88"/>
        <v>LLL</v>
      </c>
      <c r="AK535" s="99" t="str">
        <f>VLOOKUP(AJ535,rfm[],2,0)</f>
        <v>💤 Lost / Low Value</v>
      </c>
      <c r="AN535" s="99" t="b">
        <f t="shared" si="89"/>
        <v>1</v>
      </c>
    </row>
    <row r="536" spans="2:40" x14ac:dyDescent="0.3">
      <c r="B536" s="99" t="s">
        <v>1532</v>
      </c>
      <c r="C536" s="100">
        <v>45755</v>
      </c>
      <c r="D536" s="99" t="s">
        <v>22</v>
      </c>
      <c r="E536" s="99" t="s">
        <v>23</v>
      </c>
      <c r="F536" s="99" t="s">
        <v>12</v>
      </c>
      <c r="G536" s="99">
        <v>5</v>
      </c>
      <c r="H536" s="112">
        <v>25000</v>
      </c>
      <c r="I536" s="112">
        <v>125000</v>
      </c>
      <c r="J536" s="99" t="s">
        <v>1855</v>
      </c>
      <c r="K536" s="99" t="s">
        <v>69</v>
      </c>
      <c r="N536" s="99" t="s">
        <v>2567</v>
      </c>
      <c r="O536" s="99" t="s">
        <v>8</v>
      </c>
      <c r="P536" s="100">
        <f t="shared" si="81"/>
        <v>45999</v>
      </c>
      <c r="Q536" s="101">
        <f t="shared" si="80"/>
        <v>24</v>
      </c>
      <c r="R536" s="99">
        <f t="shared" si="82"/>
        <v>8</v>
      </c>
      <c r="S536" s="101">
        <f t="shared" si="83"/>
        <v>1017000000</v>
      </c>
      <c r="T536" s="99" t="str">
        <f t="shared" si="84"/>
        <v>High</v>
      </c>
      <c r="U536" s="99" t="str">
        <f t="shared" si="85"/>
        <v>High</v>
      </c>
      <c r="V536" s="99" t="str">
        <f t="shared" si="86"/>
        <v>High</v>
      </c>
      <c r="W536" s="99" t="str">
        <f t="shared" si="87"/>
        <v>HHH</v>
      </c>
      <c r="X536" s="99" t="str">
        <f>VLOOKUP(W536,rfm[],2,FALSE)</f>
        <v>🥇 Champions</v>
      </c>
      <c r="AA536" s="99" t="s">
        <v>2567</v>
      </c>
      <c r="AB536" s="99" t="s">
        <v>8</v>
      </c>
      <c r="AC536" s="100">
        <v>45999</v>
      </c>
      <c r="AD536" s="101">
        <v>24</v>
      </c>
      <c r="AE536" s="101">
        <v>8</v>
      </c>
      <c r="AF536" s="101">
        <v>1017000000</v>
      </c>
      <c r="AG536" s="99" t="str">
        <f>VLOOKUP(AA536,recency!$K$6:$P$818,6,0)</f>
        <v>High</v>
      </c>
      <c r="AH536" s="132" t="str">
        <f>VLOOKUP(AA536,frequency!$F$6:$H$818,3,FALSE)</f>
        <v>High</v>
      </c>
      <c r="AI536" s="129" t="str">
        <f>VLOOKUP(AA536,monetary!$B$5:$F$817,5,0)</f>
        <v>High</v>
      </c>
      <c r="AJ536" s="99" t="str">
        <f t="shared" si="88"/>
        <v>HHH</v>
      </c>
      <c r="AK536" s="99" t="str">
        <f>VLOOKUP(AJ536,rfm[],2,0)</f>
        <v>🥇 Champions</v>
      </c>
      <c r="AN536" s="99" t="b">
        <f t="shared" si="89"/>
        <v>1</v>
      </c>
    </row>
    <row r="537" spans="2:40" x14ac:dyDescent="0.3">
      <c r="B537" s="99" t="s">
        <v>1533</v>
      </c>
      <c r="C537" s="100">
        <v>45756</v>
      </c>
      <c r="D537" s="99" t="s">
        <v>22</v>
      </c>
      <c r="E537" s="99" t="s">
        <v>23</v>
      </c>
      <c r="F537" s="99" t="s">
        <v>12</v>
      </c>
      <c r="G537" s="99">
        <v>21</v>
      </c>
      <c r="H537" s="112">
        <v>25000</v>
      </c>
      <c r="I537" s="112">
        <v>525000</v>
      </c>
      <c r="J537" s="99" t="s">
        <v>2295</v>
      </c>
      <c r="K537" s="99" t="s">
        <v>127</v>
      </c>
      <c r="N537" s="99" t="s">
        <v>2568</v>
      </c>
      <c r="O537" s="99" t="s">
        <v>8</v>
      </c>
      <c r="P537" s="100">
        <f t="shared" si="81"/>
        <v>45994</v>
      </c>
      <c r="Q537" s="101">
        <f t="shared" si="80"/>
        <v>29</v>
      </c>
      <c r="R537" s="99">
        <f t="shared" si="82"/>
        <v>1</v>
      </c>
      <c r="S537" s="101">
        <f t="shared" si="83"/>
        <v>9500000</v>
      </c>
      <c r="T537" s="99" t="str">
        <f t="shared" si="84"/>
        <v>High</v>
      </c>
      <c r="U537" s="99" t="str">
        <f t="shared" si="85"/>
        <v>Low</v>
      </c>
      <c r="V537" s="99" t="str">
        <f t="shared" si="86"/>
        <v>Low</v>
      </c>
      <c r="W537" s="99" t="str">
        <f t="shared" si="87"/>
        <v>HLL</v>
      </c>
      <c r="X537" s="99" t="str">
        <f>VLOOKUP(W537,rfm[],2,FALSE)</f>
        <v>🌱 Potential Loyalists</v>
      </c>
      <c r="AA537" s="99" t="s">
        <v>2568</v>
      </c>
      <c r="AB537" s="99" t="s">
        <v>8</v>
      </c>
      <c r="AC537" s="100">
        <v>45994</v>
      </c>
      <c r="AD537" s="101">
        <v>29</v>
      </c>
      <c r="AE537" s="101">
        <v>1</v>
      </c>
      <c r="AF537" s="101">
        <v>9500000</v>
      </c>
      <c r="AG537" s="99" t="str">
        <f>VLOOKUP(AA537,recency!$K$6:$P$818,6,0)</f>
        <v>High</v>
      </c>
      <c r="AH537" s="132" t="str">
        <f>VLOOKUP(AA537,frequency!$F$6:$H$818,3,FALSE)</f>
        <v>Low</v>
      </c>
      <c r="AI537" s="129" t="str">
        <f>VLOOKUP(AA537,monetary!$B$5:$F$817,5,0)</f>
        <v>Low</v>
      </c>
      <c r="AJ537" s="99" t="str">
        <f t="shared" si="88"/>
        <v>HLL</v>
      </c>
      <c r="AK537" s="99" t="str">
        <f>VLOOKUP(AJ537,rfm[],2,0)</f>
        <v>🌱 Potential Loyalists</v>
      </c>
      <c r="AN537" s="99" t="b">
        <f t="shared" si="89"/>
        <v>1</v>
      </c>
    </row>
    <row r="538" spans="2:40" x14ac:dyDescent="0.3">
      <c r="B538" s="99" t="s">
        <v>1562</v>
      </c>
      <c r="C538" s="100">
        <v>45756</v>
      </c>
      <c r="D538" s="99" t="s">
        <v>18</v>
      </c>
      <c r="E538" s="99" t="s">
        <v>19</v>
      </c>
      <c r="F538" s="99" t="s">
        <v>20</v>
      </c>
      <c r="G538" s="99">
        <v>400</v>
      </c>
      <c r="H538" s="112">
        <v>500000</v>
      </c>
      <c r="I538" s="112">
        <v>200000000</v>
      </c>
      <c r="J538" s="99" t="s">
        <v>2432</v>
      </c>
      <c r="K538" s="99" t="s">
        <v>8</v>
      </c>
      <c r="N538" s="99" t="s">
        <v>2569</v>
      </c>
      <c r="O538" s="99" t="s">
        <v>127</v>
      </c>
      <c r="P538" s="100">
        <f t="shared" si="81"/>
        <v>45924</v>
      </c>
      <c r="Q538" s="101">
        <f t="shared" si="80"/>
        <v>99</v>
      </c>
      <c r="R538" s="99">
        <f t="shared" si="82"/>
        <v>9</v>
      </c>
      <c r="S538" s="101">
        <f t="shared" si="83"/>
        <v>62530000</v>
      </c>
      <c r="T538" s="99" t="str">
        <f t="shared" si="84"/>
        <v>Low</v>
      </c>
      <c r="U538" s="99" t="str">
        <f t="shared" si="85"/>
        <v>High</v>
      </c>
      <c r="V538" s="99" t="str">
        <f t="shared" si="86"/>
        <v>High</v>
      </c>
      <c r="W538" s="99" t="str">
        <f t="shared" si="87"/>
        <v>LHH</v>
      </c>
      <c r="X538" s="99" t="str">
        <f>VLOOKUP(W538,rfm[],2,FALSE)</f>
        <v>⚠️ At Risk High Value</v>
      </c>
      <c r="AA538" s="99" t="s">
        <v>2569</v>
      </c>
      <c r="AB538" s="99" t="s">
        <v>127</v>
      </c>
      <c r="AC538" s="100">
        <v>45924</v>
      </c>
      <c r="AD538" s="101">
        <v>99</v>
      </c>
      <c r="AE538" s="101">
        <v>9</v>
      </c>
      <c r="AF538" s="101">
        <v>62530000</v>
      </c>
      <c r="AG538" s="99" t="str">
        <f>VLOOKUP(AA538,recency!$K$6:$P$818,6,0)</f>
        <v>Low</v>
      </c>
      <c r="AH538" s="132" t="str">
        <f>VLOOKUP(AA538,frequency!$F$6:$H$818,3,FALSE)</f>
        <v>High</v>
      </c>
      <c r="AI538" s="129" t="str">
        <f>VLOOKUP(AA538,monetary!$B$5:$F$817,5,0)</f>
        <v>High</v>
      </c>
      <c r="AJ538" s="99" t="str">
        <f t="shared" si="88"/>
        <v>LHH</v>
      </c>
      <c r="AK538" s="99" t="str">
        <f>VLOOKUP(AJ538,rfm[],2,0)</f>
        <v>⚠️ At Risk High Value</v>
      </c>
      <c r="AN538" s="99" t="b">
        <f t="shared" si="89"/>
        <v>1</v>
      </c>
    </row>
    <row r="539" spans="2:40" x14ac:dyDescent="0.3">
      <c r="B539" s="99" t="s">
        <v>1563</v>
      </c>
      <c r="C539" s="100">
        <v>45756</v>
      </c>
      <c r="D539" s="99" t="s">
        <v>38</v>
      </c>
      <c r="E539" s="99" t="s">
        <v>39</v>
      </c>
      <c r="F539" s="99" t="s">
        <v>16</v>
      </c>
      <c r="G539" s="99">
        <v>22</v>
      </c>
      <c r="H539" s="112">
        <v>200000</v>
      </c>
      <c r="I539" s="112">
        <v>4400000</v>
      </c>
      <c r="J539" s="99" t="s">
        <v>2796</v>
      </c>
      <c r="K539" s="99" t="s">
        <v>127</v>
      </c>
      <c r="N539" s="99" t="s">
        <v>2570</v>
      </c>
      <c r="O539" s="99" t="s">
        <v>8</v>
      </c>
      <c r="P539" s="100">
        <f t="shared" si="81"/>
        <v>46013</v>
      </c>
      <c r="Q539" s="101">
        <f t="shared" si="80"/>
        <v>10</v>
      </c>
      <c r="R539" s="99">
        <f t="shared" si="82"/>
        <v>10</v>
      </c>
      <c r="S539" s="101">
        <f t="shared" si="83"/>
        <v>59100000</v>
      </c>
      <c r="T539" s="99" t="str">
        <f t="shared" si="84"/>
        <v>High</v>
      </c>
      <c r="U539" s="99" t="str">
        <f t="shared" si="85"/>
        <v>High</v>
      </c>
      <c r="V539" s="99" t="str">
        <f t="shared" si="86"/>
        <v>High</v>
      </c>
      <c r="W539" s="99" t="str">
        <f t="shared" si="87"/>
        <v>HHH</v>
      </c>
      <c r="X539" s="99" t="str">
        <f>VLOOKUP(W539,rfm[],2,FALSE)</f>
        <v>🥇 Champions</v>
      </c>
      <c r="AA539" s="99" t="s">
        <v>2570</v>
      </c>
      <c r="AB539" s="99" t="s">
        <v>8</v>
      </c>
      <c r="AC539" s="100">
        <v>46013</v>
      </c>
      <c r="AD539" s="101">
        <v>10</v>
      </c>
      <c r="AE539" s="101">
        <v>10</v>
      </c>
      <c r="AF539" s="101">
        <v>59100000</v>
      </c>
      <c r="AG539" s="99" t="str">
        <f>VLOOKUP(AA539,recency!$K$6:$P$818,6,0)</f>
        <v>High</v>
      </c>
      <c r="AH539" s="132" t="str">
        <f>VLOOKUP(AA539,frequency!$F$6:$H$818,3,FALSE)</f>
        <v>High</v>
      </c>
      <c r="AI539" s="129" t="str">
        <f>VLOOKUP(AA539,monetary!$B$5:$F$817,5,0)</f>
        <v>High</v>
      </c>
      <c r="AJ539" s="99" t="str">
        <f t="shared" si="88"/>
        <v>HHH</v>
      </c>
      <c r="AK539" s="99" t="str">
        <f>VLOOKUP(AJ539,rfm[],2,0)</f>
        <v>🥇 Champions</v>
      </c>
      <c r="AN539" s="99" t="b">
        <f t="shared" si="89"/>
        <v>1</v>
      </c>
    </row>
    <row r="540" spans="2:40" x14ac:dyDescent="0.3">
      <c r="B540" s="99" t="s">
        <v>1564</v>
      </c>
      <c r="C540" s="100">
        <v>45756</v>
      </c>
      <c r="D540" s="99" t="s">
        <v>18</v>
      </c>
      <c r="E540" s="99" t="s">
        <v>19</v>
      </c>
      <c r="F540" s="99" t="s">
        <v>20</v>
      </c>
      <c r="G540" s="99">
        <v>49</v>
      </c>
      <c r="H540" s="112">
        <v>500000</v>
      </c>
      <c r="I540" s="112">
        <v>24500000</v>
      </c>
      <c r="J540" s="99" t="s">
        <v>2217</v>
      </c>
      <c r="K540" s="99" t="s">
        <v>8</v>
      </c>
      <c r="N540" s="99" t="s">
        <v>2571</v>
      </c>
      <c r="O540" s="99" t="s">
        <v>60</v>
      </c>
      <c r="P540" s="100">
        <f t="shared" si="81"/>
        <v>45677</v>
      </c>
      <c r="Q540" s="101">
        <f t="shared" si="80"/>
        <v>346</v>
      </c>
      <c r="R540" s="99">
        <f t="shared" si="82"/>
        <v>1</v>
      </c>
      <c r="S540" s="101">
        <f t="shared" si="83"/>
        <v>2500000</v>
      </c>
      <c r="T540" s="99" t="str">
        <f t="shared" si="84"/>
        <v>Low</v>
      </c>
      <c r="U540" s="99" t="str">
        <f t="shared" si="85"/>
        <v>Low</v>
      </c>
      <c r="V540" s="99" t="str">
        <f t="shared" si="86"/>
        <v>Low</v>
      </c>
      <c r="W540" s="99" t="str">
        <f t="shared" si="87"/>
        <v>LLL</v>
      </c>
      <c r="X540" s="99" t="str">
        <f>VLOOKUP(W540,rfm[],2,FALSE)</f>
        <v>💤 Lost / Low Value</v>
      </c>
      <c r="AA540" s="99" t="s">
        <v>2571</v>
      </c>
      <c r="AB540" s="99" t="s">
        <v>60</v>
      </c>
      <c r="AC540" s="100">
        <v>45677</v>
      </c>
      <c r="AD540" s="101">
        <v>346</v>
      </c>
      <c r="AE540" s="101">
        <v>1</v>
      </c>
      <c r="AF540" s="101">
        <v>2500000</v>
      </c>
      <c r="AG540" s="99" t="str">
        <f>VLOOKUP(AA540,recency!$K$6:$P$818,6,0)</f>
        <v>Low</v>
      </c>
      <c r="AH540" s="132" t="str">
        <f>VLOOKUP(AA540,frequency!$F$6:$H$818,3,FALSE)</f>
        <v>Low</v>
      </c>
      <c r="AI540" s="129" t="str">
        <f>VLOOKUP(AA540,monetary!$B$5:$F$817,5,0)</f>
        <v>Low</v>
      </c>
      <c r="AJ540" s="99" t="str">
        <f t="shared" si="88"/>
        <v>LLL</v>
      </c>
      <c r="AK540" s="99" t="str">
        <f>VLOOKUP(AJ540,rfm[],2,0)</f>
        <v>💤 Lost / Low Value</v>
      </c>
      <c r="AN540" s="99" t="b">
        <f t="shared" si="89"/>
        <v>1</v>
      </c>
    </row>
    <row r="541" spans="2:40" x14ac:dyDescent="0.3">
      <c r="B541" s="99" t="s">
        <v>1565</v>
      </c>
      <c r="C541" s="100">
        <v>45756</v>
      </c>
      <c r="D541" s="99" t="s">
        <v>22</v>
      </c>
      <c r="E541" s="99" t="s">
        <v>23</v>
      </c>
      <c r="F541" s="99" t="s">
        <v>12</v>
      </c>
      <c r="G541" s="99">
        <v>50</v>
      </c>
      <c r="H541" s="112">
        <v>25000</v>
      </c>
      <c r="I541" s="112">
        <v>1250000</v>
      </c>
      <c r="J541" s="99" t="s">
        <v>2673</v>
      </c>
      <c r="K541" s="99" t="s">
        <v>8</v>
      </c>
      <c r="N541" s="99" t="s">
        <v>2572</v>
      </c>
      <c r="O541" s="99" t="s">
        <v>8</v>
      </c>
      <c r="P541" s="100">
        <f t="shared" si="81"/>
        <v>45742</v>
      </c>
      <c r="Q541" s="101">
        <f t="shared" si="80"/>
        <v>281</v>
      </c>
      <c r="R541" s="99">
        <f t="shared" si="82"/>
        <v>2</v>
      </c>
      <c r="S541" s="101">
        <f t="shared" si="83"/>
        <v>14775000</v>
      </c>
      <c r="T541" s="99" t="str">
        <f t="shared" si="84"/>
        <v>Low</v>
      </c>
      <c r="U541" s="99" t="str">
        <f t="shared" si="85"/>
        <v>Low</v>
      </c>
      <c r="V541" s="99" t="str">
        <f t="shared" si="86"/>
        <v>Low</v>
      </c>
      <c r="W541" s="99" t="str">
        <f t="shared" si="87"/>
        <v>LLL</v>
      </c>
      <c r="X541" s="99" t="str">
        <f>VLOOKUP(W541,rfm[],2,FALSE)</f>
        <v>💤 Lost / Low Value</v>
      </c>
      <c r="AA541" s="99" t="s">
        <v>2572</v>
      </c>
      <c r="AB541" s="99" t="s">
        <v>8</v>
      </c>
      <c r="AC541" s="100">
        <v>45742</v>
      </c>
      <c r="AD541" s="101">
        <v>281</v>
      </c>
      <c r="AE541" s="101">
        <v>2</v>
      </c>
      <c r="AF541" s="101">
        <v>14775000</v>
      </c>
      <c r="AG541" s="99" t="str">
        <f>VLOOKUP(AA541,recency!$K$6:$P$818,6,0)</f>
        <v>Low</v>
      </c>
      <c r="AH541" s="132" t="str">
        <f>VLOOKUP(AA541,frequency!$F$6:$H$818,3,FALSE)</f>
        <v>Low</v>
      </c>
      <c r="AI541" s="129" t="str">
        <f>VLOOKUP(AA541,monetary!$B$5:$F$817,5,0)</f>
        <v>Low</v>
      </c>
      <c r="AJ541" s="99" t="str">
        <f t="shared" si="88"/>
        <v>LLL</v>
      </c>
      <c r="AK541" s="99" t="str">
        <f>VLOOKUP(AJ541,rfm[],2,0)</f>
        <v>💤 Lost / Low Value</v>
      </c>
      <c r="AN541" s="99" t="b">
        <f t="shared" si="89"/>
        <v>1</v>
      </c>
    </row>
    <row r="542" spans="2:40" x14ac:dyDescent="0.3">
      <c r="B542" s="99" t="s">
        <v>1590</v>
      </c>
      <c r="C542" s="100">
        <v>45756</v>
      </c>
      <c r="D542" s="99" t="s">
        <v>40</v>
      </c>
      <c r="E542" s="99" t="s">
        <v>41</v>
      </c>
      <c r="F542" s="99" t="s">
        <v>16</v>
      </c>
      <c r="G542" s="99">
        <v>37</v>
      </c>
      <c r="H542" s="112">
        <v>950000</v>
      </c>
      <c r="I542" s="112">
        <v>35150000</v>
      </c>
      <c r="J542" s="99" t="s">
        <v>2479</v>
      </c>
      <c r="K542" s="99" t="s">
        <v>127</v>
      </c>
      <c r="N542" s="99" t="s">
        <v>2573</v>
      </c>
      <c r="O542" s="99" t="s">
        <v>8</v>
      </c>
      <c r="P542" s="100">
        <f t="shared" si="81"/>
        <v>45660</v>
      </c>
      <c r="Q542" s="101">
        <f t="shared" si="80"/>
        <v>363</v>
      </c>
      <c r="R542" s="99">
        <f t="shared" si="82"/>
        <v>1</v>
      </c>
      <c r="S542" s="101">
        <f t="shared" si="83"/>
        <v>15750000</v>
      </c>
      <c r="T542" s="99" t="str">
        <f t="shared" si="84"/>
        <v>Low</v>
      </c>
      <c r="U542" s="99" t="str">
        <f t="shared" si="85"/>
        <v>Low</v>
      </c>
      <c r="V542" s="99" t="str">
        <f t="shared" si="86"/>
        <v>Low</v>
      </c>
      <c r="W542" s="99" t="str">
        <f t="shared" si="87"/>
        <v>LLL</v>
      </c>
      <c r="X542" s="99" t="str">
        <f>VLOOKUP(W542,rfm[],2,FALSE)</f>
        <v>💤 Lost / Low Value</v>
      </c>
      <c r="AA542" s="99" t="s">
        <v>2573</v>
      </c>
      <c r="AB542" s="99" t="s">
        <v>8</v>
      </c>
      <c r="AC542" s="100">
        <v>45660</v>
      </c>
      <c r="AD542" s="101">
        <v>363</v>
      </c>
      <c r="AE542" s="101">
        <v>1</v>
      </c>
      <c r="AF542" s="101">
        <v>15750000</v>
      </c>
      <c r="AG542" s="99" t="str">
        <f>VLOOKUP(AA542,recency!$K$6:$P$818,6,0)</f>
        <v>Low</v>
      </c>
      <c r="AH542" s="132" t="str">
        <f>VLOOKUP(AA542,frequency!$F$6:$H$818,3,FALSE)</f>
        <v>Low</v>
      </c>
      <c r="AI542" s="129" t="str">
        <f>VLOOKUP(AA542,monetary!$B$5:$F$817,5,0)</f>
        <v>Low</v>
      </c>
      <c r="AJ542" s="99" t="str">
        <f t="shared" si="88"/>
        <v>LLL</v>
      </c>
      <c r="AK542" s="99" t="str">
        <f>VLOOKUP(AJ542,rfm[],2,0)</f>
        <v>💤 Lost / Low Value</v>
      </c>
      <c r="AN542" s="99" t="b">
        <f t="shared" si="89"/>
        <v>1</v>
      </c>
    </row>
    <row r="543" spans="2:40" x14ac:dyDescent="0.3">
      <c r="B543" s="99" t="s">
        <v>1610</v>
      </c>
      <c r="C543" s="100">
        <v>45756</v>
      </c>
      <c r="D543" s="99" t="s">
        <v>14</v>
      </c>
      <c r="E543" s="99" t="s">
        <v>15</v>
      </c>
      <c r="F543" s="99" t="s">
        <v>16</v>
      </c>
      <c r="G543" s="99">
        <v>8</v>
      </c>
      <c r="H543" s="112">
        <v>350000</v>
      </c>
      <c r="I543" s="112">
        <v>2800000</v>
      </c>
      <c r="J543" s="99" t="s">
        <v>2673</v>
      </c>
      <c r="K543" s="99" t="s">
        <v>8</v>
      </c>
      <c r="N543" s="99" t="s">
        <v>2574</v>
      </c>
      <c r="O543" s="99" t="s">
        <v>60</v>
      </c>
      <c r="P543" s="100">
        <f t="shared" si="81"/>
        <v>45911</v>
      </c>
      <c r="Q543" s="101">
        <f t="shared" si="80"/>
        <v>112</v>
      </c>
      <c r="R543" s="99">
        <f t="shared" si="82"/>
        <v>1</v>
      </c>
      <c r="S543" s="101">
        <f t="shared" si="83"/>
        <v>10350000</v>
      </c>
      <c r="T543" s="99" t="str">
        <f t="shared" si="84"/>
        <v>Low</v>
      </c>
      <c r="U543" s="99" t="str">
        <f t="shared" si="85"/>
        <v>Low</v>
      </c>
      <c r="V543" s="99" t="str">
        <f t="shared" si="86"/>
        <v>Low</v>
      </c>
      <c r="W543" s="99" t="str">
        <f t="shared" si="87"/>
        <v>LLL</v>
      </c>
      <c r="X543" s="99" t="str">
        <f>VLOOKUP(W543,rfm[],2,FALSE)</f>
        <v>💤 Lost / Low Value</v>
      </c>
      <c r="AA543" s="99" t="s">
        <v>2574</v>
      </c>
      <c r="AB543" s="99" t="s">
        <v>60</v>
      </c>
      <c r="AC543" s="100">
        <v>45911</v>
      </c>
      <c r="AD543" s="101">
        <v>112</v>
      </c>
      <c r="AE543" s="101">
        <v>1</v>
      </c>
      <c r="AF543" s="101">
        <v>10350000</v>
      </c>
      <c r="AG543" s="99" t="str">
        <f>VLOOKUP(AA543,recency!$K$6:$P$818,6,0)</f>
        <v>Low</v>
      </c>
      <c r="AH543" s="132" t="str">
        <f>VLOOKUP(AA543,frequency!$F$6:$H$818,3,FALSE)</f>
        <v>Low</v>
      </c>
      <c r="AI543" s="129" t="str">
        <f>VLOOKUP(AA543,monetary!$B$5:$F$817,5,0)</f>
        <v>Low</v>
      </c>
      <c r="AJ543" s="99" t="str">
        <f t="shared" si="88"/>
        <v>LLL</v>
      </c>
      <c r="AK543" s="99" t="str">
        <f>VLOOKUP(AJ543,rfm[],2,0)</f>
        <v>💤 Lost / Low Value</v>
      </c>
      <c r="AN543" s="99" t="b">
        <f t="shared" si="89"/>
        <v>1</v>
      </c>
    </row>
    <row r="544" spans="2:40" x14ac:dyDescent="0.3">
      <c r="B544" s="99" t="s">
        <v>1611</v>
      </c>
      <c r="C544" s="100">
        <v>45756</v>
      </c>
      <c r="D544" s="99" t="s">
        <v>22</v>
      </c>
      <c r="E544" s="99" t="s">
        <v>23</v>
      </c>
      <c r="F544" s="99" t="s">
        <v>12</v>
      </c>
      <c r="G544" s="99">
        <v>6</v>
      </c>
      <c r="H544" s="112">
        <v>25000</v>
      </c>
      <c r="I544" s="112">
        <v>150000</v>
      </c>
      <c r="J544" s="99" t="s">
        <v>2780</v>
      </c>
      <c r="K544" s="99" t="s">
        <v>127</v>
      </c>
      <c r="N544" s="99" t="s">
        <v>2575</v>
      </c>
      <c r="O544" s="99" t="s">
        <v>8</v>
      </c>
      <c r="P544" s="100">
        <f t="shared" si="81"/>
        <v>46014</v>
      </c>
      <c r="Q544" s="101">
        <f t="shared" si="80"/>
        <v>9</v>
      </c>
      <c r="R544" s="99">
        <f t="shared" si="82"/>
        <v>2</v>
      </c>
      <c r="S544" s="101">
        <f t="shared" si="83"/>
        <v>10680000</v>
      </c>
      <c r="T544" s="99" t="str">
        <f t="shared" si="84"/>
        <v>High</v>
      </c>
      <c r="U544" s="99" t="str">
        <f t="shared" si="85"/>
        <v>Low</v>
      </c>
      <c r="V544" s="99" t="str">
        <f t="shared" si="86"/>
        <v>Low</v>
      </c>
      <c r="W544" s="99" t="str">
        <f t="shared" si="87"/>
        <v>HLL</v>
      </c>
      <c r="X544" s="99" t="str">
        <f>VLOOKUP(W544,rfm[],2,FALSE)</f>
        <v>🌱 Potential Loyalists</v>
      </c>
      <c r="AA544" s="99" t="s">
        <v>2575</v>
      </c>
      <c r="AB544" s="99" t="s">
        <v>8</v>
      </c>
      <c r="AC544" s="100">
        <v>46014</v>
      </c>
      <c r="AD544" s="101">
        <v>9</v>
      </c>
      <c r="AE544" s="101">
        <v>2</v>
      </c>
      <c r="AF544" s="101">
        <v>10680000</v>
      </c>
      <c r="AG544" s="99" t="str">
        <f>VLOOKUP(AA544,recency!$K$6:$P$818,6,0)</f>
        <v>High</v>
      </c>
      <c r="AH544" s="132" t="str">
        <f>VLOOKUP(AA544,frequency!$F$6:$H$818,3,FALSE)</f>
        <v>Low</v>
      </c>
      <c r="AI544" s="129" t="str">
        <f>VLOOKUP(AA544,monetary!$B$5:$F$817,5,0)</f>
        <v>Low</v>
      </c>
      <c r="AJ544" s="99" t="str">
        <f t="shared" si="88"/>
        <v>HLL</v>
      </c>
      <c r="AK544" s="99" t="str">
        <f>VLOOKUP(AJ544,rfm[],2,0)</f>
        <v>🌱 Potential Loyalists</v>
      </c>
      <c r="AN544" s="99" t="b">
        <f t="shared" si="89"/>
        <v>1</v>
      </c>
    </row>
    <row r="545" spans="2:40" x14ac:dyDescent="0.3">
      <c r="B545" s="99" t="s">
        <v>1612</v>
      </c>
      <c r="C545" s="100">
        <v>45756</v>
      </c>
      <c r="D545" s="99" t="s">
        <v>18</v>
      </c>
      <c r="E545" s="99" t="s">
        <v>19</v>
      </c>
      <c r="F545" s="99" t="s">
        <v>20</v>
      </c>
      <c r="G545" s="99">
        <v>32</v>
      </c>
      <c r="H545" s="112">
        <v>500000</v>
      </c>
      <c r="I545" s="112">
        <v>16000000</v>
      </c>
      <c r="J545" s="99" t="s">
        <v>2650</v>
      </c>
      <c r="K545" s="99" t="s">
        <v>127</v>
      </c>
      <c r="N545" s="99" t="s">
        <v>2576</v>
      </c>
      <c r="O545" s="99" t="s">
        <v>69</v>
      </c>
      <c r="P545" s="100">
        <f t="shared" si="81"/>
        <v>45992</v>
      </c>
      <c r="Q545" s="101">
        <f t="shared" si="80"/>
        <v>31</v>
      </c>
      <c r="R545" s="99">
        <f t="shared" si="82"/>
        <v>2</v>
      </c>
      <c r="S545" s="101">
        <f t="shared" si="83"/>
        <v>6280000</v>
      </c>
      <c r="T545" s="99" t="str">
        <f t="shared" si="84"/>
        <v>High</v>
      </c>
      <c r="U545" s="99" t="str">
        <f t="shared" si="85"/>
        <v>Low</v>
      </c>
      <c r="V545" s="99" t="str">
        <f t="shared" si="86"/>
        <v>Low</v>
      </c>
      <c r="W545" s="99" t="str">
        <f t="shared" si="87"/>
        <v>HLL</v>
      </c>
      <c r="X545" s="99" t="str">
        <f>VLOOKUP(W545,rfm[],2,FALSE)</f>
        <v>🌱 Potential Loyalists</v>
      </c>
      <c r="AA545" s="99" t="s">
        <v>2576</v>
      </c>
      <c r="AB545" s="99" t="s">
        <v>69</v>
      </c>
      <c r="AC545" s="100">
        <v>45992</v>
      </c>
      <c r="AD545" s="101">
        <v>31</v>
      </c>
      <c r="AE545" s="101">
        <v>2</v>
      </c>
      <c r="AF545" s="101">
        <v>6280000</v>
      </c>
      <c r="AG545" s="99" t="str">
        <f>VLOOKUP(AA545,recency!$K$6:$P$818,6,0)</f>
        <v>High</v>
      </c>
      <c r="AH545" s="132" t="str">
        <f>VLOOKUP(AA545,frequency!$F$6:$H$818,3,FALSE)</f>
        <v>Low</v>
      </c>
      <c r="AI545" s="129" t="str">
        <f>VLOOKUP(AA545,monetary!$B$5:$F$817,5,0)</f>
        <v>Low</v>
      </c>
      <c r="AJ545" s="99" t="str">
        <f t="shared" si="88"/>
        <v>HLL</v>
      </c>
      <c r="AK545" s="99" t="str">
        <f>VLOOKUP(AJ545,rfm[],2,0)</f>
        <v>🌱 Potential Loyalists</v>
      </c>
      <c r="AN545" s="99" t="b">
        <f t="shared" si="89"/>
        <v>1</v>
      </c>
    </row>
    <row r="546" spans="2:40" x14ac:dyDescent="0.3">
      <c r="B546" s="99" t="s">
        <v>1613</v>
      </c>
      <c r="C546" s="100">
        <v>45756</v>
      </c>
      <c r="D546" s="99" t="s">
        <v>44</v>
      </c>
      <c r="E546" s="99" t="s">
        <v>45</v>
      </c>
      <c r="F546" s="99" t="s">
        <v>16</v>
      </c>
      <c r="G546" s="99">
        <v>180</v>
      </c>
      <c r="H546" s="112">
        <v>250000</v>
      </c>
      <c r="I546" s="112">
        <v>45000000</v>
      </c>
      <c r="J546" s="99" t="s">
        <v>2776</v>
      </c>
      <c r="K546" s="99" t="s">
        <v>8</v>
      </c>
      <c r="N546" s="99" t="s">
        <v>2577</v>
      </c>
      <c r="O546" s="99" t="s">
        <v>47</v>
      </c>
      <c r="P546" s="100">
        <f t="shared" si="81"/>
        <v>46015</v>
      </c>
      <c r="Q546" s="101">
        <f t="shared" si="80"/>
        <v>8</v>
      </c>
      <c r="R546" s="99">
        <f t="shared" si="82"/>
        <v>4</v>
      </c>
      <c r="S546" s="101">
        <f t="shared" si="83"/>
        <v>404900000</v>
      </c>
      <c r="T546" s="99" t="str">
        <f t="shared" si="84"/>
        <v>High</v>
      </c>
      <c r="U546" s="99" t="str">
        <f t="shared" si="85"/>
        <v>High</v>
      </c>
      <c r="V546" s="99" t="str">
        <f t="shared" si="86"/>
        <v>High</v>
      </c>
      <c r="W546" s="99" t="str">
        <f t="shared" si="87"/>
        <v>HHH</v>
      </c>
      <c r="X546" s="99" t="str">
        <f>VLOOKUP(W546,rfm[],2,FALSE)</f>
        <v>🥇 Champions</v>
      </c>
      <c r="AA546" s="99" t="s">
        <v>2577</v>
      </c>
      <c r="AB546" s="99" t="s">
        <v>47</v>
      </c>
      <c r="AC546" s="100">
        <v>46015</v>
      </c>
      <c r="AD546" s="101">
        <v>8</v>
      </c>
      <c r="AE546" s="101">
        <v>4</v>
      </c>
      <c r="AF546" s="101">
        <v>404900000</v>
      </c>
      <c r="AG546" s="99" t="str">
        <f>VLOOKUP(AA546,recency!$K$6:$P$818,6,0)</f>
        <v>High</v>
      </c>
      <c r="AH546" s="132" t="str">
        <f>VLOOKUP(AA546,frequency!$F$6:$H$818,3,FALSE)</f>
        <v>High</v>
      </c>
      <c r="AI546" s="129" t="str">
        <f>VLOOKUP(AA546,monetary!$B$5:$F$817,5,0)</f>
        <v>High</v>
      </c>
      <c r="AJ546" s="99" t="str">
        <f t="shared" si="88"/>
        <v>HHH</v>
      </c>
      <c r="AK546" s="99" t="str">
        <f>VLOOKUP(AJ546,rfm[],2,0)</f>
        <v>🥇 Champions</v>
      </c>
      <c r="AN546" s="99" t="b">
        <f t="shared" si="89"/>
        <v>1</v>
      </c>
    </row>
    <row r="547" spans="2:40" x14ac:dyDescent="0.3">
      <c r="B547" s="99" t="s">
        <v>1614</v>
      </c>
      <c r="C547" s="100">
        <v>45756</v>
      </c>
      <c r="D547" s="99" t="s">
        <v>40</v>
      </c>
      <c r="E547" s="99" t="s">
        <v>41</v>
      </c>
      <c r="F547" s="99" t="s">
        <v>16</v>
      </c>
      <c r="G547" s="99">
        <v>47</v>
      </c>
      <c r="H547" s="112">
        <v>950000</v>
      </c>
      <c r="I547" s="112">
        <v>44650000</v>
      </c>
      <c r="J547" s="99" t="s">
        <v>2175</v>
      </c>
      <c r="K547" s="99" t="s">
        <v>127</v>
      </c>
      <c r="N547" s="99" t="s">
        <v>2578</v>
      </c>
      <c r="O547" s="99" t="s">
        <v>60</v>
      </c>
      <c r="P547" s="100">
        <f t="shared" si="81"/>
        <v>45666</v>
      </c>
      <c r="Q547" s="101">
        <f t="shared" si="80"/>
        <v>357</v>
      </c>
      <c r="R547" s="99">
        <f t="shared" si="82"/>
        <v>1</v>
      </c>
      <c r="S547" s="101">
        <f t="shared" si="83"/>
        <v>45600000</v>
      </c>
      <c r="T547" s="99" t="str">
        <f t="shared" si="84"/>
        <v>Low</v>
      </c>
      <c r="U547" s="99" t="str">
        <f t="shared" si="85"/>
        <v>Low</v>
      </c>
      <c r="V547" s="99" t="str">
        <f t="shared" si="86"/>
        <v>High</v>
      </c>
      <c r="W547" s="99" t="str">
        <f t="shared" si="87"/>
        <v>LLH</v>
      </c>
      <c r="X547" s="99" t="str">
        <f>VLOOKUP(W547,rfm[],2,FALSE)</f>
        <v>💸 Lost High Spenders</v>
      </c>
      <c r="AA547" s="99" t="s">
        <v>2578</v>
      </c>
      <c r="AB547" s="99" t="s">
        <v>60</v>
      </c>
      <c r="AC547" s="100">
        <v>45666</v>
      </c>
      <c r="AD547" s="101">
        <v>357</v>
      </c>
      <c r="AE547" s="101">
        <v>1</v>
      </c>
      <c r="AF547" s="101">
        <v>45600000</v>
      </c>
      <c r="AG547" s="99" t="str">
        <f>VLOOKUP(AA547,recency!$K$6:$P$818,6,0)</f>
        <v>Low</v>
      </c>
      <c r="AH547" s="132" t="str">
        <f>VLOOKUP(AA547,frequency!$F$6:$H$818,3,FALSE)</f>
        <v>Low</v>
      </c>
      <c r="AI547" s="129" t="str">
        <f>VLOOKUP(AA547,monetary!$B$5:$F$817,5,0)</f>
        <v>Low</v>
      </c>
      <c r="AJ547" s="99" t="str">
        <f t="shared" si="88"/>
        <v>LLL</v>
      </c>
      <c r="AK547" s="99" t="str">
        <f>VLOOKUP(AJ547,rfm[],2,0)</f>
        <v>💤 Lost / Low Value</v>
      </c>
      <c r="AN547" s="99" t="b">
        <f t="shared" si="89"/>
        <v>0</v>
      </c>
    </row>
    <row r="548" spans="2:40" x14ac:dyDescent="0.3">
      <c r="B548" s="99" t="s">
        <v>1615</v>
      </c>
      <c r="C548" s="100">
        <v>45758</v>
      </c>
      <c r="D548" s="99" t="s">
        <v>10</v>
      </c>
      <c r="E548" s="99" t="s">
        <v>11</v>
      </c>
      <c r="F548" s="99" t="s">
        <v>12</v>
      </c>
      <c r="G548" s="99">
        <v>17</v>
      </c>
      <c r="H548" s="112">
        <v>120000</v>
      </c>
      <c r="I548" s="112">
        <v>2040000</v>
      </c>
      <c r="J548" s="99" t="s">
        <v>2575</v>
      </c>
      <c r="K548" s="99" t="s">
        <v>8</v>
      </c>
      <c r="N548" s="99" t="s">
        <v>2579</v>
      </c>
      <c r="O548" s="99" t="s">
        <v>60</v>
      </c>
      <c r="P548" s="100">
        <f t="shared" si="81"/>
        <v>45982</v>
      </c>
      <c r="Q548" s="101">
        <f t="shared" si="80"/>
        <v>41</v>
      </c>
      <c r="R548" s="99">
        <f t="shared" si="82"/>
        <v>2</v>
      </c>
      <c r="S548" s="101">
        <f t="shared" si="83"/>
        <v>22050000</v>
      </c>
      <c r="T548" s="99" t="str">
        <f t="shared" si="84"/>
        <v>High</v>
      </c>
      <c r="U548" s="99" t="str">
        <f t="shared" si="85"/>
        <v>Low</v>
      </c>
      <c r="V548" s="99" t="str">
        <f t="shared" si="86"/>
        <v>High</v>
      </c>
      <c r="W548" s="99" t="str">
        <f t="shared" si="87"/>
        <v>HLH</v>
      </c>
      <c r="X548" s="99" t="str">
        <f>VLOOKUP(W548,rfm[],2,FALSE)</f>
        <v>🛒 Big Spenders (Occasional)</v>
      </c>
      <c r="AA548" s="99" t="s">
        <v>2579</v>
      </c>
      <c r="AB548" s="99" t="s">
        <v>60</v>
      </c>
      <c r="AC548" s="100">
        <v>45982</v>
      </c>
      <c r="AD548" s="101">
        <v>41</v>
      </c>
      <c r="AE548" s="101">
        <v>2</v>
      </c>
      <c r="AF548" s="101">
        <v>22050000</v>
      </c>
      <c r="AG548" s="99" t="str">
        <f>VLOOKUP(AA548,recency!$K$6:$P$818,6,0)</f>
        <v>High</v>
      </c>
      <c r="AH548" s="132" t="str">
        <f>VLOOKUP(AA548,frequency!$F$6:$H$818,3,FALSE)</f>
        <v>Low</v>
      </c>
      <c r="AI548" s="129" t="str">
        <f>VLOOKUP(AA548,monetary!$B$5:$F$817,5,0)</f>
        <v>Low</v>
      </c>
      <c r="AJ548" s="99" t="str">
        <f t="shared" si="88"/>
        <v>HLL</v>
      </c>
      <c r="AK548" s="99" t="str">
        <f>VLOOKUP(AJ548,rfm[],2,0)</f>
        <v>🌱 Potential Loyalists</v>
      </c>
      <c r="AN548" s="99" t="b">
        <f t="shared" si="89"/>
        <v>0</v>
      </c>
    </row>
    <row r="549" spans="2:40" x14ac:dyDescent="0.3">
      <c r="B549" s="99" t="s">
        <v>1616</v>
      </c>
      <c r="C549" s="100">
        <v>45758</v>
      </c>
      <c r="D549" s="99" t="s">
        <v>40</v>
      </c>
      <c r="E549" s="99" t="s">
        <v>41</v>
      </c>
      <c r="F549" s="99" t="s">
        <v>16</v>
      </c>
      <c r="G549" s="99">
        <v>80</v>
      </c>
      <c r="H549" s="112">
        <v>950000</v>
      </c>
      <c r="I549" s="112">
        <v>76000000</v>
      </c>
      <c r="J549" s="99" t="s">
        <v>2824</v>
      </c>
      <c r="K549" s="99" t="s">
        <v>127</v>
      </c>
      <c r="N549" s="99" t="s">
        <v>2580</v>
      </c>
      <c r="O549" s="99" t="s">
        <v>60</v>
      </c>
      <c r="P549" s="100">
        <f t="shared" si="81"/>
        <v>45982</v>
      </c>
      <c r="Q549" s="101">
        <f t="shared" si="80"/>
        <v>41</v>
      </c>
      <c r="R549" s="99">
        <f t="shared" si="82"/>
        <v>4</v>
      </c>
      <c r="S549" s="101">
        <f t="shared" si="83"/>
        <v>47700000</v>
      </c>
      <c r="T549" s="99" t="str">
        <f t="shared" si="84"/>
        <v>High</v>
      </c>
      <c r="U549" s="99" t="str">
        <f t="shared" si="85"/>
        <v>High</v>
      </c>
      <c r="V549" s="99" t="str">
        <f t="shared" si="86"/>
        <v>High</v>
      </c>
      <c r="W549" s="99" t="str">
        <f t="shared" si="87"/>
        <v>HHH</v>
      </c>
      <c r="X549" s="99" t="str">
        <f>VLOOKUP(W549,rfm[],2,FALSE)</f>
        <v>🥇 Champions</v>
      </c>
      <c r="AA549" s="99" t="s">
        <v>2580</v>
      </c>
      <c r="AB549" s="99" t="s">
        <v>60</v>
      </c>
      <c r="AC549" s="100">
        <v>45982</v>
      </c>
      <c r="AD549" s="101">
        <v>41</v>
      </c>
      <c r="AE549" s="101">
        <v>4</v>
      </c>
      <c r="AF549" s="101">
        <v>47700000</v>
      </c>
      <c r="AG549" s="99" t="str">
        <f>VLOOKUP(AA549,recency!$K$6:$P$818,6,0)</f>
        <v>High</v>
      </c>
      <c r="AH549" s="132" t="str">
        <f>VLOOKUP(AA549,frequency!$F$6:$H$818,3,FALSE)</f>
        <v>High</v>
      </c>
      <c r="AI549" s="129" t="str">
        <f>VLOOKUP(AA549,monetary!$B$5:$F$817,5,0)</f>
        <v>Low</v>
      </c>
      <c r="AJ549" s="99" t="str">
        <f t="shared" si="88"/>
        <v>HHL</v>
      </c>
      <c r="AK549" s="99" t="str">
        <f>VLOOKUP(AJ549,rfm[],2,0)</f>
        <v>💎 Loyal High Value</v>
      </c>
      <c r="AN549" s="99" t="b">
        <f t="shared" si="89"/>
        <v>0</v>
      </c>
    </row>
    <row r="550" spans="2:40" x14ac:dyDescent="0.3">
      <c r="B550" s="99" t="s">
        <v>1647</v>
      </c>
      <c r="C550" s="100">
        <v>45758</v>
      </c>
      <c r="D550" s="99" t="s">
        <v>31</v>
      </c>
      <c r="E550" s="99" t="s">
        <v>32</v>
      </c>
      <c r="F550" s="99" t="s">
        <v>20</v>
      </c>
      <c r="G550" s="99">
        <v>42</v>
      </c>
      <c r="H550" s="112">
        <v>180000</v>
      </c>
      <c r="I550" s="112">
        <v>7560000</v>
      </c>
      <c r="J550" s="99" t="s">
        <v>2640</v>
      </c>
      <c r="K550" s="99" t="s">
        <v>60</v>
      </c>
      <c r="N550" s="99" t="s">
        <v>2581</v>
      </c>
      <c r="O550" s="99" t="s">
        <v>60</v>
      </c>
      <c r="P550" s="100">
        <f t="shared" si="81"/>
        <v>45807</v>
      </c>
      <c r="Q550" s="101">
        <f t="shared" si="80"/>
        <v>216</v>
      </c>
      <c r="R550" s="99">
        <f t="shared" si="82"/>
        <v>1</v>
      </c>
      <c r="S550" s="101">
        <f t="shared" si="83"/>
        <v>4320000</v>
      </c>
      <c r="T550" s="99" t="str">
        <f t="shared" si="84"/>
        <v>Low</v>
      </c>
      <c r="U550" s="99" t="str">
        <f t="shared" si="85"/>
        <v>Low</v>
      </c>
      <c r="V550" s="99" t="str">
        <f t="shared" si="86"/>
        <v>Low</v>
      </c>
      <c r="W550" s="99" t="str">
        <f t="shared" si="87"/>
        <v>LLL</v>
      </c>
      <c r="X550" s="99" t="str">
        <f>VLOOKUP(W550,rfm[],2,FALSE)</f>
        <v>💤 Lost / Low Value</v>
      </c>
      <c r="AA550" s="99" t="s">
        <v>2581</v>
      </c>
      <c r="AB550" s="99" t="s">
        <v>60</v>
      </c>
      <c r="AC550" s="100">
        <v>45807</v>
      </c>
      <c r="AD550" s="101">
        <v>216</v>
      </c>
      <c r="AE550" s="101">
        <v>1</v>
      </c>
      <c r="AF550" s="101">
        <v>4320000</v>
      </c>
      <c r="AG550" s="99" t="str">
        <f>VLOOKUP(AA550,recency!$K$6:$P$818,6,0)</f>
        <v>Low</v>
      </c>
      <c r="AH550" s="132" t="str">
        <f>VLOOKUP(AA550,frequency!$F$6:$H$818,3,FALSE)</f>
        <v>Low</v>
      </c>
      <c r="AI550" s="129" t="str">
        <f>VLOOKUP(AA550,monetary!$B$5:$F$817,5,0)</f>
        <v>Low</v>
      </c>
      <c r="AJ550" s="99" t="str">
        <f t="shared" si="88"/>
        <v>LLL</v>
      </c>
      <c r="AK550" s="99" t="str">
        <f>VLOOKUP(AJ550,rfm[],2,0)</f>
        <v>💤 Lost / Low Value</v>
      </c>
      <c r="AN550" s="99" t="b">
        <f t="shared" si="89"/>
        <v>1</v>
      </c>
    </row>
    <row r="551" spans="2:40" x14ac:dyDescent="0.3">
      <c r="B551" s="99" t="s">
        <v>1648</v>
      </c>
      <c r="C551" s="100">
        <v>45758</v>
      </c>
      <c r="D551" s="99" t="s">
        <v>31</v>
      </c>
      <c r="E551" s="99" t="s">
        <v>32</v>
      </c>
      <c r="F551" s="99" t="s">
        <v>20</v>
      </c>
      <c r="G551" s="99">
        <v>220</v>
      </c>
      <c r="H551" s="112">
        <v>180000</v>
      </c>
      <c r="I551" s="112">
        <v>39600000</v>
      </c>
      <c r="J551" s="99" t="s">
        <v>2162</v>
      </c>
      <c r="K551" s="99" t="s">
        <v>8</v>
      </c>
      <c r="N551" s="99" t="s">
        <v>2582</v>
      </c>
      <c r="O551" s="99" t="s">
        <v>69</v>
      </c>
      <c r="P551" s="100">
        <f t="shared" si="81"/>
        <v>45763</v>
      </c>
      <c r="Q551" s="101">
        <f t="shared" si="80"/>
        <v>260</v>
      </c>
      <c r="R551" s="99">
        <f t="shared" si="82"/>
        <v>3</v>
      </c>
      <c r="S551" s="101">
        <f t="shared" si="83"/>
        <v>18600000</v>
      </c>
      <c r="T551" s="99" t="str">
        <f t="shared" si="84"/>
        <v>Low</v>
      </c>
      <c r="U551" s="99" t="str">
        <f t="shared" si="85"/>
        <v>High</v>
      </c>
      <c r="V551" s="99" t="str">
        <f t="shared" si="86"/>
        <v>High</v>
      </c>
      <c r="W551" s="99" t="str">
        <f t="shared" si="87"/>
        <v>LHH</v>
      </c>
      <c r="X551" s="99" t="str">
        <f>VLOOKUP(W551,rfm[],2,FALSE)</f>
        <v>⚠️ At Risk High Value</v>
      </c>
      <c r="AA551" s="99" t="s">
        <v>2582</v>
      </c>
      <c r="AB551" s="99" t="s">
        <v>69</v>
      </c>
      <c r="AC551" s="100">
        <v>45763</v>
      </c>
      <c r="AD551" s="101">
        <v>260</v>
      </c>
      <c r="AE551" s="101">
        <v>3</v>
      </c>
      <c r="AF551" s="101">
        <v>18600000</v>
      </c>
      <c r="AG551" s="99" t="str">
        <f>VLOOKUP(AA551,recency!$K$6:$P$818,6,0)</f>
        <v>Low</v>
      </c>
      <c r="AH551" s="132" t="str">
        <f>VLOOKUP(AA551,frequency!$F$6:$H$818,3,FALSE)</f>
        <v>High</v>
      </c>
      <c r="AI551" s="129" t="str">
        <f>VLOOKUP(AA551,monetary!$B$5:$F$817,5,0)</f>
        <v>Low</v>
      </c>
      <c r="AJ551" s="99" t="str">
        <f t="shared" si="88"/>
        <v>LHL</v>
      </c>
      <c r="AK551" s="99" t="str">
        <f>VLOOKUP(AJ551,rfm[],2,0)</f>
        <v>🔁 Former Loyal Low Spend</v>
      </c>
      <c r="AN551" s="99" t="b">
        <f t="shared" si="89"/>
        <v>0</v>
      </c>
    </row>
    <row r="552" spans="2:40" x14ac:dyDescent="0.3">
      <c r="B552" s="99" t="s">
        <v>1649</v>
      </c>
      <c r="C552" s="100">
        <v>45758</v>
      </c>
      <c r="D552" s="99" t="s">
        <v>40</v>
      </c>
      <c r="E552" s="99" t="s">
        <v>41</v>
      </c>
      <c r="F552" s="99" t="s">
        <v>16</v>
      </c>
      <c r="G552" s="99">
        <v>14</v>
      </c>
      <c r="H552" s="112">
        <v>950000</v>
      </c>
      <c r="I552" s="112">
        <v>13300000</v>
      </c>
      <c r="J552" s="99" t="s">
        <v>2587</v>
      </c>
      <c r="K552" s="99" t="s">
        <v>8</v>
      </c>
      <c r="N552" s="99" t="s">
        <v>2583</v>
      </c>
      <c r="O552" s="99" t="s">
        <v>69</v>
      </c>
      <c r="P552" s="100">
        <f t="shared" si="81"/>
        <v>45951</v>
      </c>
      <c r="Q552" s="101">
        <f t="shared" si="80"/>
        <v>72</v>
      </c>
      <c r="R552" s="99">
        <f t="shared" si="82"/>
        <v>2</v>
      </c>
      <c r="S552" s="101">
        <f t="shared" si="83"/>
        <v>9650000</v>
      </c>
      <c r="T552" s="99" t="str">
        <f t="shared" si="84"/>
        <v>High</v>
      </c>
      <c r="U552" s="99" t="str">
        <f t="shared" si="85"/>
        <v>Low</v>
      </c>
      <c r="V552" s="99" t="str">
        <f t="shared" si="86"/>
        <v>Low</v>
      </c>
      <c r="W552" s="99" t="str">
        <f t="shared" si="87"/>
        <v>HLL</v>
      </c>
      <c r="X552" s="99" t="str">
        <f>VLOOKUP(W552,rfm[],2,FALSE)</f>
        <v>🌱 Potential Loyalists</v>
      </c>
      <c r="AA552" s="99" t="s">
        <v>2583</v>
      </c>
      <c r="AB552" s="99" t="s">
        <v>69</v>
      </c>
      <c r="AC552" s="100">
        <v>45951</v>
      </c>
      <c r="AD552" s="101">
        <v>72</v>
      </c>
      <c r="AE552" s="101">
        <v>2</v>
      </c>
      <c r="AF552" s="101">
        <v>9650000</v>
      </c>
      <c r="AG552" s="99" t="str">
        <f>VLOOKUP(AA552,recency!$K$6:$P$818,6,0)</f>
        <v>Low</v>
      </c>
      <c r="AH552" s="132" t="str">
        <f>VLOOKUP(AA552,frequency!$F$6:$H$818,3,FALSE)</f>
        <v>Low</v>
      </c>
      <c r="AI552" s="129" t="str">
        <f>VLOOKUP(AA552,monetary!$B$5:$F$817,5,0)</f>
        <v>Low</v>
      </c>
      <c r="AJ552" s="99" t="str">
        <f t="shared" si="88"/>
        <v>LLL</v>
      </c>
      <c r="AK552" s="99" t="str">
        <f>VLOOKUP(AJ552,rfm[],2,0)</f>
        <v>💤 Lost / Low Value</v>
      </c>
      <c r="AN552" s="99" t="b">
        <f t="shared" si="89"/>
        <v>0</v>
      </c>
    </row>
    <row r="553" spans="2:40" x14ac:dyDescent="0.3">
      <c r="B553" s="99" t="s">
        <v>1650</v>
      </c>
      <c r="C553" s="100">
        <v>45758</v>
      </c>
      <c r="D553" s="99" t="s">
        <v>10</v>
      </c>
      <c r="E553" s="99" t="s">
        <v>11</v>
      </c>
      <c r="F553" s="99" t="s">
        <v>12</v>
      </c>
      <c r="G553" s="99">
        <v>7</v>
      </c>
      <c r="H553" s="112">
        <v>120000</v>
      </c>
      <c r="I553" s="112">
        <v>840000</v>
      </c>
      <c r="J553" s="99" t="s">
        <v>1584</v>
      </c>
      <c r="K553" s="99" t="s">
        <v>127</v>
      </c>
      <c r="N553" s="99" t="s">
        <v>2584</v>
      </c>
      <c r="O553" s="99" t="s">
        <v>60</v>
      </c>
      <c r="P553" s="100">
        <f t="shared" si="81"/>
        <v>45988</v>
      </c>
      <c r="Q553" s="101">
        <f t="shared" si="80"/>
        <v>35</v>
      </c>
      <c r="R553" s="99">
        <f t="shared" si="82"/>
        <v>2</v>
      </c>
      <c r="S553" s="101">
        <f t="shared" si="83"/>
        <v>7400000</v>
      </c>
      <c r="T553" s="99" t="str">
        <f t="shared" si="84"/>
        <v>High</v>
      </c>
      <c r="U553" s="99" t="str">
        <f t="shared" si="85"/>
        <v>Low</v>
      </c>
      <c r="V553" s="99" t="str">
        <f t="shared" si="86"/>
        <v>Low</v>
      </c>
      <c r="W553" s="99" t="str">
        <f t="shared" si="87"/>
        <v>HLL</v>
      </c>
      <c r="X553" s="99" t="str">
        <f>VLOOKUP(W553,rfm[],2,FALSE)</f>
        <v>🌱 Potential Loyalists</v>
      </c>
      <c r="AA553" s="99" t="s">
        <v>2584</v>
      </c>
      <c r="AB553" s="99" t="s">
        <v>60</v>
      </c>
      <c r="AC553" s="100">
        <v>45988</v>
      </c>
      <c r="AD553" s="101">
        <v>35</v>
      </c>
      <c r="AE553" s="101">
        <v>2</v>
      </c>
      <c r="AF553" s="101">
        <v>7400000</v>
      </c>
      <c r="AG553" s="99" t="str">
        <f>VLOOKUP(AA553,recency!$K$6:$P$818,6,0)</f>
        <v>High</v>
      </c>
      <c r="AH553" s="132" t="str">
        <f>VLOOKUP(AA553,frequency!$F$6:$H$818,3,FALSE)</f>
        <v>Low</v>
      </c>
      <c r="AI553" s="129" t="str">
        <f>VLOOKUP(AA553,monetary!$B$5:$F$817,5,0)</f>
        <v>Low</v>
      </c>
      <c r="AJ553" s="99" t="str">
        <f t="shared" si="88"/>
        <v>HLL</v>
      </c>
      <c r="AK553" s="99" t="str">
        <f>VLOOKUP(AJ553,rfm[],2,0)</f>
        <v>🌱 Potential Loyalists</v>
      </c>
      <c r="AN553" s="99" t="b">
        <f t="shared" si="89"/>
        <v>1</v>
      </c>
    </row>
    <row r="554" spans="2:40" x14ac:dyDescent="0.3">
      <c r="B554" s="99" t="s">
        <v>1651</v>
      </c>
      <c r="C554" s="100">
        <v>45758</v>
      </c>
      <c r="D554" s="99" t="s">
        <v>14</v>
      </c>
      <c r="E554" s="99" t="s">
        <v>15</v>
      </c>
      <c r="F554" s="99" t="s">
        <v>16</v>
      </c>
      <c r="G554" s="99">
        <v>34</v>
      </c>
      <c r="H554" s="112">
        <v>350000</v>
      </c>
      <c r="I554" s="112">
        <v>11900000</v>
      </c>
      <c r="J554" s="99" t="s">
        <v>2817</v>
      </c>
      <c r="K554" s="99" t="s">
        <v>127</v>
      </c>
      <c r="N554" s="99" t="s">
        <v>2585</v>
      </c>
      <c r="O554" s="99" t="s">
        <v>8</v>
      </c>
      <c r="P554" s="100">
        <f t="shared" si="81"/>
        <v>45952</v>
      </c>
      <c r="Q554" s="101">
        <f t="shared" si="80"/>
        <v>71</v>
      </c>
      <c r="R554" s="99">
        <f t="shared" si="82"/>
        <v>4</v>
      </c>
      <c r="S554" s="101">
        <f t="shared" si="83"/>
        <v>28660000</v>
      </c>
      <c r="T554" s="99" t="str">
        <f t="shared" si="84"/>
        <v>High</v>
      </c>
      <c r="U554" s="99" t="str">
        <f t="shared" si="85"/>
        <v>High</v>
      </c>
      <c r="V554" s="99" t="str">
        <f t="shared" si="86"/>
        <v>High</v>
      </c>
      <c r="W554" s="99" t="str">
        <f t="shared" si="87"/>
        <v>HHH</v>
      </c>
      <c r="X554" s="99" t="str">
        <f>VLOOKUP(W554,rfm[],2,FALSE)</f>
        <v>🥇 Champions</v>
      </c>
      <c r="AA554" s="99" t="s">
        <v>2585</v>
      </c>
      <c r="AB554" s="99" t="s">
        <v>8</v>
      </c>
      <c r="AC554" s="100">
        <v>45952</v>
      </c>
      <c r="AD554" s="101">
        <v>71</v>
      </c>
      <c r="AE554" s="101">
        <v>4</v>
      </c>
      <c r="AF554" s="101">
        <v>28660000</v>
      </c>
      <c r="AG554" s="99" t="str">
        <f>VLOOKUP(AA554,recency!$K$6:$P$818,6,0)</f>
        <v>Low</v>
      </c>
      <c r="AH554" s="132" t="str">
        <f>VLOOKUP(AA554,frequency!$F$6:$H$818,3,FALSE)</f>
        <v>High</v>
      </c>
      <c r="AI554" s="129" t="str">
        <f>VLOOKUP(AA554,monetary!$B$5:$F$817,5,0)</f>
        <v>Low</v>
      </c>
      <c r="AJ554" s="99" t="str">
        <f t="shared" si="88"/>
        <v>LHL</v>
      </c>
      <c r="AK554" s="99" t="str">
        <f>VLOOKUP(AJ554,rfm[],2,0)</f>
        <v>🔁 Former Loyal Low Spend</v>
      </c>
      <c r="AN554" s="99" t="b">
        <f t="shared" si="89"/>
        <v>0</v>
      </c>
    </row>
    <row r="555" spans="2:40" x14ac:dyDescent="0.3">
      <c r="B555" s="99" t="s">
        <v>1652</v>
      </c>
      <c r="C555" s="100">
        <v>45758</v>
      </c>
      <c r="D555" s="99" t="s">
        <v>22</v>
      </c>
      <c r="E555" s="99" t="s">
        <v>23</v>
      </c>
      <c r="F555" s="99" t="s">
        <v>12</v>
      </c>
      <c r="G555" s="99">
        <v>49</v>
      </c>
      <c r="H555" s="112">
        <v>25000</v>
      </c>
      <c r="I555" s="112">
        <v>1225000</v>
      </c>
      <c r="J555" s="99" t="s">
        <v>2394</v>
      </c>
      <c r="K555" s="99" t="s">
        <v>127</v>
      </c>
      <c r="N555" s="99" t="s">
        <v>2586</v>
      </c>
      <c r="O555" s="99" t="s">
        <v>8</v>
      </c>
      <c r="P555" s="100">
        <f t="shared" si="81"/>
        <v>45778</v>
      </c>
      <c r="Q555" s="101">
        <f t="shared" si="80"/>
        <v>245</v>
      </c>
      <c r="R555" s="99">
        <f t="shared" si="82"/>
        <v>2</v>
      </c>
      <c r="S555" s="101">
        <f t="shared" si="83"/>
        <v>8975000</v>
      </c>
      <c r="T555" s="99" t="str">
        <f t="shared" si="84"/>
        <v>Low</v>
      </c>
      <c r="U555" s="99" t="str">
        <f t="shared" si="85"/>
        <v>Low</v>
      </c>
      <c r="V555" s="99" t="str">
        <f t="shared" si="86"/>
        <v>Low</v>
      </c>
      <c r="W555" s="99" t="str">
        <f t="shared" si="87"/>
        <v>LLL</v>
      </c>
      <c r="X555" s="99" t="str">
        <f>VLOOKUP(W555,rfm[],2,FALSE)</f>
        <v>💤 Lost / Low Value</v>
      </c>
      <c r="AA555" s="99" t="s">
        <v>2586</v>
      </c>
      <c r="AB555" s="99" t="s">
        <v>8</v>
      </c>
      <c r="AC555" s="100">
        <v>45778</v>
      </c>
      <c r="AD555" s="101">
        <v>245</v>
      </c>
      <c r="AE555" s="101">
        <v>2</v>
      </c>
      <c r="AF555" s="101">
        <v>8975000</v>
      </c>
      <c r="AG555" s="99" t="str">
        <f>VLOOKUP(AA555,recency!$K$6:$P$818,6,0)</f>
        <v>Low</v>
      </c>
      <c r="AH555" s="132" t="str">
        <f>VLOOKUP(AA555,frequency!$F$6:$H$818,3,FALSE)</f>
        <v>Low</v>
      </c>
      <c r="AI555" s="129" t="str">
        <f>VLOOKUP(AA555,monetary!$B$5:$F$817,5,0)</f>
        <v>Low</v>
      </c>
      <c r="AJ555" s="99" t="str">
        <f t="shared" si="88"/>
        <v>LLL</v>
      </c>
      <c r="AK555" s="99" t="str">
        <f>VLOOKUP(AJ555,rfm[],2,0)</f>
        <v>💤 Lost / Low Value</v>
      </c>
      <c r="AN555" s="99" t="b">
        <f t="shared" si="89"/>
        <v>1</v>
      </c>
    </row>
    <row r="556" spans="2:40" x14ac:dyDescent="0.3">
      <c r="B556" s="99" t="s">
        <v>1653</v>
      </c>
      <c r="C556" s="100">
        <v>45758</v>
      </c>
      <c r="D556" s="99" t="s">
        <v>44</v>
      </c>
      <c r="E556" s="99" t="s">
        <v>45</v>
      </c>
      <c r="F556" s="99" t="s">
        <v>16</v>
      </c>
      <c r="G556" s="99">
        <v>12</v>
      </c>
      <c r="H556" s="112">
        <v>250000</v>
      </c>
      <c r="I556" s="112">
        <v>3000000</v>
      </c>
      <c r="J556" s="99" t="s">
        <v>229</v>
      </c>
      <c r="K556" s="99" t="s">
        <v>8</v>
      </c>
      <c r="N556" s="99" t="s">
        <v>2587</v>
      </c>
      <c r="O556" s="99" t="s">
        <v>8</v>
      </c>
      <c r="P556" s="100">
        <f t="shared" si="81"/>
        <v>45979</v>
      </c>
      <c r="Q556" s="101">
        <f t="shared" si="80"/>
        <v>44</v>
      </c>
      <c r="R556" s="99">
        <f t="shared" si="82"/>
        <v>3</v>
      </c>
      <c r="S556" s="101">
        <f t="shared" si="83"/>
        <v>72100000</v>
      </c>
      <c r="T556" s="99" t="str">
        <f t="shared" si="84"/>
        <v>High</v>
      </c>
      <c r="U556" s="99" t="str">
        <f t="shared" si="85"/>
        <v>High</v>
      </c>
      <c r="V556" s="99" t="str">
        <f t="shared" si="86"/>
        <v>High</v>
      </c>
      <c r="W556" s="99" t="str">
        <f t="shared" si="87"/>
        <v>HHH</v>
      </c>
      <c r="X556" s="99" t="str">
        <f>VLOOKUP(W556,rfm[],2,FALSE)</f>
        <v>🥇 Champions</v>
      </c>
      <c r="AA556" s="99" t="s">
        <v>2587</v>
      </c>
      <c r="AB556" s="99" t="s">
        <v>8</v>
      </c>
      <c r="AC556" s="100">
        <v>45979</v>
      </c>
      <c r="AD556" s="101">
        <v>44</v>
      </c>
      <c r="AE556" s="101">
        <v>3</v>
      </c>
      <c r="AF556" s="101">
        <v>72100000</v>
      </c>
      <c r="AG556" s="99" t="str">
        <f>VLOOKUP(AA556,recency!$K$6:$P$818,6,0)</f>
        <v>High</v>
      </c>
      <c r="AH556" s="132" t="str">
        <f>VLOOKUP(AA556,frequency!$F$6:$H$818,3,FALSE)</f>
        <v>High</v>
      </c>
      <c r="AI556" s="129" t="str">
        <f>VLOOKUP(AA556,monetary!$B$5:$F$817,5,0)</f>
        <v>High</v>
      </c>
      <c r="AJ556" s="99" t="str">
        <f t="shared" si="88"/>
        <v>HHH</v>
      </c>
      <c r="AK556" s="99" t="str">
        <f>VLOOKUP(AJ556,rfm[],2,0)</f>
        <v>🥇 Champions</v>
      </c>
      <c r="AN556" s="99" t="b">
        <f t="shared" si="89"/>
        <v>1</v>
      </c>
    </row>
    <row r="557" spans="2:40" x14ac:dyDescent="0.3">
      <c r="B557" s="99" t="s">
        <v>1687</v>
      </c>
      <c r="C557" s="100">
        <v>45758</v>
      </c>
      <c r="D557" s="99" t="s">
        <v>40</v>
      </c>
      <c r="E557" s="99" t="s">
        <v>41</v>
      </c>
      <c r="F557" s="99" t="s">
        <v>16</v>
      </c>
      <c r="G557" s="99">
        <v>46</v>
      </c>
      <c r="H557" s="112">
        <v>950000</v>
      </c>
      <c r="I557" s="112">
        <v>43700000</v>
      </c>
      <c r="J557" s="99" t="s">
        <v>2172</v>
      </c>
      <c r="K557" s="99" t="s">
        <v>60</v>
      </c>
      <c r="N557" s="99" t="s">
        <v>2588</v>
      </c>
      <c r="O557" s="99" t="s">
        <v>47</v>
      </c>
      <c r="P557" s="100">
        <f t="shared" si="81"/>
        <v>45938</v>
      </c>
      <c r="Q557" s="101">
        <f t="shared" si="80"/>
        <v>85</v>
      </c>
      <c r="R557" s="99">
        <f t="shared" si="82"/>
        <v>4</v>
      </c>
      <c r="S557" s="101">
        <f t="shared" si="83"/>
        <v>19340000</v>
      </c>
      <c r="T557" s="99" t="str">
        <f t="shared" si="84"/>
        <v>High</v>
      </c>
      <c r="U557" s="99" t="str">
        <f t="shared" si="85"/>
        <v>High</v>
      </c>
      <c r="V557" s="99" t="str">
        <f t="shared" si="86"/>
        <v>High</v>
      </c>
      <c r="W557" s="99" t="str">
        <f t="shared" si="87"/>
        <v>HHH</v>
      </c>
      <c r="X557" s="99" t="str">
        <f>VLOOKUP(W557,rfm[],2,FALSE)</f>
        <v>🥇 Champions</v>
      </c>
      <c r="AA557" s="99" t="s">
        <v>2588</v>
      </c>
      <c r="AB557" s="99" t="s">
        <v>47</v>
      </c>
      <c r="AC557" s="100">
        <v>45938</v>
      </c>
      <c r="AD557" s="101">
        <v>85</v>
      </c>
      <c r="AE557" s="101">
        <v>4</v>
      </c>
      <c r="AF557" s="101">
        <v>19340000</v>
      </c>
      <c r="AG557" s="99" t="str">
        <f>VLOOKUP(AA557,recency!$K$6:$P$818,6,0)</f>
        <v>Low</v>
      </c>
      <c r="AH557" s="132" t="str">
        <f>VLOOKUP(AA557,frequency!$F$6:$H$818,3,FALSE)</f>
        <v>High</v>
      </c>
      <c r="AI557" s="129" t="str">
        <f>VLOOKUP(AA557,monetary!$B$5:$F$817,5,0)</f>
        <v>Low</v>
      </c>
      <c r="AJ557" s="99" t="str">
        <f t="shared" si="88"/>
        <v>LHL</v>
      </c>
      <c r="AK557" s="99" t="str">
        <f>VLOOKUP(AJ557,rfm[],2,0)</f>
        <v>🔁 Former Loyal Low Spend</v>
      </c>
      <c r="AN557" s="99" t="b">
        <f t="shared" si="89"/>
        <v>0</v>
      </c>
    </row>
    <row r="558" spans="2:40" x14ac:dyDescent="0.3">
      <c r="B558" s="99" t="s">
        <v>1688</v>
      </c>
      <c r="C558" s="100">
        <v>45758</v>
      </c>
      <c r="D558" s="99" t="s">
        <v>40</v>
      </c>
      <c r="E558" s="99" t="s">
        <v>41</v>
      </c>
      <c r="F558" s="99" t="s">
        <v>16</v>
      </c>
      <c r="G558" s="99">
        <v>19</v>
      </c>
      <c r="H558" s="112">
        <v>950000</v>
      </c>
      <c r="I558" s="112">
        <v>18050000</v>
      </c>
      <c r="J558" s="99" t="s">
        <v>2711</v>
      </c>
      <c r="K558" s="99" t="s">
        <v>127</v>
      </c>
      <c r="N558" s="99" t="s">
        <v>2589</v>
      </c>
      <c r="O558" s="99" t="s">
        <v>127</v>
      </c>
      <c r="P558" s="100">
        <f t="shared" si="81"/>
        <v>46008</v>
      </c>
      <c r="Q558" s="101">
        <f t="shared" si="80"/>
        <v>15</v>
      </c>
      <c r="R558" s="99">
        <f t="shared" si="82"/>
        <v>3</v>
      </c>
      <c r="S558" s="101">
        <f t="shared" si="83"/>
        <v>22040000</v>
      </c>
      <c r="T558" s="99" t="str">
        <f t="shared" si="84"/>
        <v>High</v>
      </c>
      <c r="U558" s="99" t="str">
        <f t="shared" si="85"/>
        <v>High</v>
      </c>
      <c r="V558" s="99" t="str">
        <f t="shared" si="86"/>
        <v>High</v>
      </c>
      <c r="W558" s="99" t="str">
        <f t="shared" si="87"/>
        <v>HHH</v>
      </c>
      <c r="X558" s="99" t="str">
        <f>VLOOKUP(W558,rfm[],2,FALSE)</f>
        <v>🥇 Champions</v>
      </c>
      <c r="AA558" s="99" t="s">
        <v>2589</v>
      </c>
      <c r="AB558" s="99" t="s">
        <v>127</v>
      </c>
      <c r="AC558" s="100">
        <v>46008</v>
      </c>
      <c r="AD558" s="101">
        <v>15</v>
      </c>
      <c r="AE558" s="101">
        <v>3</v>
      </c>
      <c r="AF558" s="101">
        <v>22040000</v>
      </c>
      <c r="AG558" s="99" t="str">
        <f>VLOOKUP(AA558,recency!$K$6:$P$818,6,0)</f>
        <v>High</v>
      </c>
      <c r="AH558" s="132" t="str">
        <f>VLOOKUP(AA558,frequency!$F$6:$H$818,3,FALSE)</f>
        <v>High</v>
      </c>
      <c r="AI558" s="129" t="str">
        <f>VLOOKUP(AA558,monetary!$B$5:$F$817,5,0)</f>
        <v>Low</v>
      </c>
      <c r="AJ558" s="99" t="str">
        <f t="shared" si="88"/>
        <v>HHL</v>
      </c>
      <c r="AK558" s="99" t="str">
        <f>VLOOKUP(AJ558,rfm[],2,0)</f>
        <v>💎 Loyal High Value</v>
      </c>
      <c r="AN558" s="99" t="b">
        <f t="shared" si="89"/>
        <v>0</v>
      </c>
    </row>
    <row r="559" spans="2:40" x14ac:dyDescent="0.3">
      <c r="B559" s="99" t="s">
        <v>1689</v>
      </c>
      <c r="C559" s="100">
        <v>45762</v>
      </c>
      <c r="D559" s="99" t="s">
        <v>40</v>
      </c>
      <c r="E559" s="99" t="s">
        <v>41</v>
      </c>
      <c r="F559" s="99" t="s">
        <v>16</v>
      </c>
      <c r="G559" s="99">
        <v>33</v>
      </c>
      <c r="H559" s="112">
        <v>950000</v>
      </c>
      <c r="I559" s="112">
        <v>31350000</v>
      </c>
      <c r="J559" s="99" t="s">
        <v>2731</v>
      </c>
      <c r="K559" s="99" t="s">
        <v>47</v>
      </c>
      <c r="N559" s="99" t="s">
        <v>2590</v>
      </c>
      <c r="O559" s="99" t="s">
        <v>60</v>
      </c>
      <c r="P559" s="100">
        <f t="shared" si="81"/>
        <v>45750</v>
      </c>
      <c r="Q559" s="101">
        <f t="shared" si="80"/>
        <v>273</v>
      </c>
      <c r="R559" s="99">
        <f t="shared" si="82"/>
        <v>1</v>
      </c>
      <c r="S559" s="101">
        <f t="shared" si="83"/>
        <v>15600000</v>
      </c>
      <c r="T559" s="99" t="str">
        <f t="shared" si="84"/>
        <v>Low</v>
      </c>
      <c r="U559" s="99" t="str">
        <f t="shared" si="85"/>
        <v>Low</v>
      </c>
      <c r="V559" s="99" t="str">
        <f t="shared" si="86"/>
        <v>Low</v>
      </c>
      <c r="W559" s="99" t="str">
        <f t="shared" si="87"/>
        <v>LLL</v>
      </c>
      <c r="X559" s="99" t="str">
        <f>VLOOKUP(W559,rfm[],2,FALSE)</f>
        <v>💤 Lost / Low Value</v>
      </c>
      <c r="AA559" s="99" t="s">
        <v>2590</v>
      </c>
      <c r="AB559" s="99" t="s">
        <v>60</v>
      </c>
      <c r="AC559" s="100">
        <v>45750</v>
      </c>
      <c r="AD559" s="101">
        <v>273</v>
      </c>
      <c r="AE559" s="101">
        <v>1</v>
      </c>
      <c r="AF559" s="101">
        <v>15600000</v>
      </c>
      <c r="AG559" s="99" t="str">
        <f>VLOOKUP(AA559,recency!$K$6:$P$818,6,0)</f>
        <v>Low</v>
      </c>
      <c r="AH559" s="132" t="str">
        <f>VLOOKUP(AA559,frequency!$F$6:$H$818,3,FALSE)</f>
        <v>Low</v>
      </c>
      <c r="AI559" s="129" t="str">
        <f>VLOOKUP(AA559,monetary!$B$5:$F$817,5,0)</f>
        <v>Low</v>
      </c>
      <c r="AJ559" s="99" t="str">
        <f t="shared" si="88"/>
        <v>LLL</v>
      </c>
      <c r="AK559" s="99" t="str">
        <f>VLOOKUP(AJ559,rfm[],2,0)</f>
        <v>💤 Lost / Low Value</v>
      </c>
      <c r="AN559" s="99" t="b">
        <f t="shared" si="89"/>
        <v>1</v>
      </c>
    </row>
    <row r="560" spans="2:40" x14ac:dyDescent="0.3">
      <c r="B560" s="99" t="s">
        <v>1724</v>
      </c>
      <c r="C560" s="100">
        <v>45762</v>
      </c>
      <c r="D560" s="99" t="s">
        <v>22</v>
      </c>
      <c r="E560" s="99" t="s">
        <v>23</v>
      </c>
      <c r="F560" s="99" t="s">
        <v>12</v>
      </c>
      <c r="G560" s="99">
        <v>10</v>
      </c>
      <c r="H560" s="112">
        <v>25000</v>
      </c>
      <c r="I560" s="112">
        <v>250000</v>
      </c>
      <c r="J560" s="99" t="s">
        <v>2135</v>
      </c>
      <c r="K560" s="99" t="s">
        <v>8</v>
      </c>
      <c r="N560" s="99" t="s">
        <v>2591</v>
      </c>
      <c r="O560" s="99" t="s">
        <v>127</v>
      </c>
      <c r="P560" s="100">
        <f t="shared" si="81"/>
        <v>45754</v>
      </c>
      <c r="Q560" s="101">
        <f t="shared" si="80"/>
        <v>269</v>
      </c>
      <c r="R560" s="99">
        <f t="shared" si="82"/>
        <v>4</v>
      </c>
      <c r="S560" s="101">
        <f t="shared" si="83"/>
        <v>24460000</v>
      </c>
      <c r="T560" s="99" t="str">
        <f t="shared" si="84"/>
        <v>Low</v>
      </c>
      <c r="U560" s="99" t="str">
        <f t="shared" si="85"/>
        <v>High</v>
      </c>
      <c r="V560" s="99" t="str">
        <f t="shared" si="86"/>
        <v>High</v>
      </c>
      <c r="W560" s="99" t="str">
        <f t="shared" si="87"/>
        <v>LHH</v>
      </c>
      <c r="X560" s="99" t="str">
        <f>VLOOKUP(W560,rfm[],2,FALSE)</f>
        <v>⚠️ At Risk High Value</v>
      </c>
      <c r="AA560" s="99" t="s">
        <v>2591</v>
      </c>
      <c r="AB560" s="99" t="s">
        <v>127</v>
      </c>
      <c r="AC560" s="100">
        <v>45754</v>
      </c>
      <c r="AD560" s="101">
        <v>269</v>
      </c>
      <c r="AE560" s="101">
        <v>4</v>
      </c>
      <c r="AF560" s="101">
        <v>24460000</v>
      </c>
      <c r="AG560" s="99" t="str">
        <f>VLOOKUP(AA560,recency!$K$6:$P$818,6,0)</f>
        <v>Low</v>
      </c>
      <c r="AH560" s="132" t="str">
        <f>VLOOKUP(AA560,frequency!$F$6:$H$818,3,FALSE)</f>
        <v>High</v>
      </c>
      <c r="AI560" s="129" t="str">
        <f>VLOOKUP(AA560,monetary!$B$5:$F$817,5,0)</f>
        <v>Low</v>
      </c>
      <c r="AJ560" s="99" t="str">
        <f t="shared" si="88"/>
        <v>LHL</v>
      </c>
      <c r="AK560" s="99" t="str">
        <f>VLOOKUP(AJ560,rfm[],2,0)</f>
        <v>🔁 Former Loyal Low Spend</v>
      </c>
      <c r="AN560" s="99" t="b">
        <f t="shared" si="89"/>
        <v>0</v>
      </c>
    </row>
    <row r="561" spans="2:40" x14ac:dyDescent="0.3">
      <c r="B561" s="99" t="s">
        <v>1725</v>
      </c>
      <c r="C561" s="100">
        <v>45762</v>
      </c>
      <c r="D561" s="99" t="s">
        <v>22</v>
      </c>
      <c r="E561" s="99" t="s">
        <v>23</v>
      </c>
      <c r="F561" s="99" t="s">
        <v>12</v>
      </c>
      <c r="G561" s="99">
        <v>43</v>
      </c>
      <c r="H561" s="112">
        <v>25000</v>
      </c>
      <c r="I561" s="112">
        <v>1075000</v>
      </c>
      <c r="J561" s="99" t="s">
        <v>2310</v>
      </c>
      <c r="K561" s="99" t="s">
        <v>8</v>
      </c>
      <c r="N561" s="99" t="s">
        <v>2592</v>
      </c>
      <c r="O561" s="99" t="s">
        <v>8</v>
      </c>
      <c r="P561" s="100">
        <f t="shared" si="81"/>
        <v>46010</v>
      </c>
      <c r="Q561" s="101">
        <f t="shared" si="80"/>
        <v>13</v>
      </c>
      <c r="R561" s="99">
        <f t="shared" si="82"/>
        <v>3</v>
      </c>
      <c r="S561" s="101">
        <f t="shared" si="83"/>
        <v>24250000</v>
      </c>
      <c r="T561" s="99" t="str">
        <f t="shared" si="84"/>
        <v>High</v>
      </c>
      <c r="U561" s="99" t="str">
        <f t="shared" si="85"/>
        <v>High</v>
      </c>
      <c r="V561" s="99" t="str">
        <f t="shared" si="86"/>
        <v>High</v>
      </c>
      <c r="W561" s="99" t="str">
        <f t="shared" si="87"/>
        <v>HHH</v>
      </c>
      <c r="X561" s="99" t="str">
        <f>VLOOKUP(W561,rfm[],2,FALSE)</f>
        <v>🥇 Champions</v>
      </c>
      <c r="AA561" s="99" t="s">
        <v>2592</v>
      </c>
      <c r="AB561" s="99" t="s">
        <v>8</v>
      </c>
      <c r="AC561" s="100">
        <v>46010</v>
      </c>
      <c r="AD561" s="101">
        <v>13</v>
      </c>
      <c r="AE561" s="101">
        <v>3</v>
      </c>
      <c r="AF561" s="101">
        <v>24250000</v>
      </c>
      <c r="AG561" s="99" t="str">
        <f>VLOOKUP(AA561,recency!$K$6:$P$818,6,0)</f>
        <v>High</v>
      </c>
      <c r="AH561" s="132" t="str">
        <f>VLOOKUP(AA561,frequency!$F$6:$H$818,3,FALSE)</f>
        <v>High</v>
      </c>
      <c r="AI561" s="129" t="str">
        <f>VLOOKUP(AA561,monetary!$B$5:$F$817,5,0)</f>
        <v>Low</v>
      </c>
      <c r="AJ561" s="99" t="str">
        <f t="shared" si="88"/>
        <v>HHL</v>
      </c>
      <c r="AK561" s="99" t="str">
        <f>VLOOKUP(AJ561,rfm[],2,0)</f>
        <v>💎 Loyal High Value</v>
      </c>
      <c r="AN561" s="99" t="b">
        <f t="shared" si="89"/>
        <v>0</v>
      </c>
    </row>
    <row r="562" spans="2:40" x14ac:dyDescent="0.3">
      <c r="B562" s="99" t="s">
        <v>1726</v>
      </c>
      <c r="C562" s="100">
        <v>45762</v>
      </c>
      <c r="D562" s="99" t="s">
        <v>22</v>
      </c>
      <c r="E562" s="99" t="s">
        <v>23</v>
      </c>
      <c r="F562" s="99" t="s">
        <v>12</v>
      </c>
      <c r="G562" s="99">
        <v>45</v>
      </c>
      <c r="H562" s="112">
        <v>25000</v>
      </c>
      <c r="I562" s="112">
        <v>1125000</v>
      </c>
      <c r="J562" s="99" t="s">
        <v>2675</v>
      </c>
      <c r="K562" s="99" t="s">
        <v>69</v>
      </c>
      <c r="N562" s="99" t="s">
        <v>2593</v>
      </c>
      <c r="O562" s="99" t="s">
        <v>69</v>
      </c>
      <c r="P562" s="100">
        <f t="shared" si="81"/>
        <v>45722</v>
      </c>
      <c r="Q562" s="101">
        <f t="shared" si="80"/>
        <v>301</v>
      </c>
      <c r="R562" s="99">
        <f t="shared" si="82"/>
        <v>1</v>
      </c>
      <c r="S562" s="101">
        <f t="shared" si="83"/>
        <v>975000</v>
      </c>
      <c r="T562" s="99" t="str">
        <f t="shared" si="84"/>
        <v>Low</v>
      </c>
      <c r="U562" s="99" t="str">
        <f t="shared" si="85"/>
        <v>Low</v>
      </c>
      <c r="V562" s="99" t="str">
        <f t="shared" si="86"/>
        <v>Low</v>
      </c>
      <c r="W562" s="99" t="str">
        <f t="shared" si="87"/>
        <v>LLL</v>
      </c>
      <c r="X562" s="99" t="str">
        <f>VLOOKUP(W562,rfm[],2,FALSE)</f>
        <v>💤 Lost / Low Value</v>
      </c>
      <c r="AA562" s="99" t="s">
        <v>2593</v>
      </c>
      <c r="AB562" s="99" t="s">
        <v>69</v>
      </c>
      <c r="AC562" s="100">
        <v>45722</v>
      </c>
      <c r="AD562" s="101">
        <v>301</v>
      </c>
      <c r="AE562" s="101">
        <v>1</v>
      </c>
      <c r="AF562" s="101">
        <v>975000</v>
      </c>
      <c r="AG562" s="99" t="str">
        <f>VLOOKUP(AA562,recency!$K$6:$P$818,6,0)</f>
        <v>Low</v>
      </c>
      <c r="AH562" s="132" t="str">
        <f>VLOOKUP(AA562,frequency!$F$6:$H$818,3,FALSE)</f>
        <v>Low</v>
      </c>
      <c r="AI562" s="129" t="str">
        <f>VLOOKUP(AA562,monetary!$B$5:$F$817,5,0)</f>
        <v>Low</v>
      </c>
      <c r="AJ562" s="99" t="str">
        <f t="shared" si="88"/>
        <v>LLL</v>
      </c>
      <c r="AK562" s="99" t="str">
        <f>VLOOKUP(AJ562,rfm[],2,0)</f>
        <v>💤 Lost / Low Value</v>
      </c>
      <c r="AN562" s="99" t="b">
        <f t="shared" si="89"/>
        <v>1</v>
      </c>
    </row>
    <row r="563" spans="2:40" x14ac:dyDescent="0.3">
      <c r="B563" s="99" t="s">
        <v>1762</v>
      </c>
      <c r="C563" s="100">
        <v>45762</v>
      </c>
      <c r="D563" s="99" t="s">
        <v>18</v>
      </c>
      <c r="E563" s="99" t="s">
        <v>19</v>
      </c>
      <c r="F563" s="99" t="s">
        <v>20</v>
      </c>
      <c r="G563" s="99">
        <v>49</v>
      </c>
      <c r="H563" s="112">
        <v>500000</v>
      </c>
      <c r="I563" s="112">
        <v>24500000</v>
      </c>
      <c r="J563" s="99" t="s">
        <v>2335</v>
      </c>
      <c r="K563" s="99" t="s">
        <v>47</v>
      </c>
      <c r="N563" s="99" t="s">
        <v>2594</v>
      </c>
      <c r="O563" s="99" t="s">
        <v>69</v>
      </c>
      <c r="P563" s="100">
        <f t="shared" si="81"/>
        <v>45769</v>
      </c>
      <c r="Q563" s="101">
        <f t="shared" si="80"/>
        <v>254</v>
      </c>
      <c r="R563" s="99">
        <f t="shared" si="82"/>
        <v>1</v>
      </c>
      <c r="S563" s="101">
        <f t="shared" si="83"/>
        <v>8400000</v>
      </c>
      <c r="T563" s="99" t="str">
        <f t="shared" si="84"/>
        <v>Low</v>
      </c>
      <c r="U563" s="99" t="str">
        <f t="shared" si="85"/>
        <v>Low</v>
      </c>
      <c r="V563" s="99" t="str">
        <f t="shared" si="86"/>
        <v>Low</v>
      </c>
      <c r="W563" s="99" t="str">
        <f t="shared" si="87"/>
        <v>LLL</v>
      </c>
      <c r="X563" s="99" t="str">
        <f>VLOOKUP(W563,rfm[],2,FALSE)</f>
        <v>💤 Lost / Low Value</v>
      </c>
      <c r="AA563" s="99" t="s">
        <v>2594</v>
      </c>
      <c r="AB563" s="99" t="s">
        <v>69</v>
      </c>
      <c r="AC563" s="100">
        <v>45769</v>
      </c>
      <c r="AD563" s="101">
        <v>254</v>
      </c>
      <c r="AE563" s="101">
        <v>1</v>
      </c>
      <c r="AF563" s="101">
        <v>8400000</v>
      </c>
      <c r="AG563" s="99" t="str">
        <f>VLOOKUP(AA563,recency!$K$6:$P$818,6,0)</f>
        <v>Low</v>
      </c>
      <c r="AH563" s="132" t="str">
        <f>VLOOKUP(AA563,frequency!$F$6:$H$818,3,FALSE)</f>
        <v>Low</v>
      </c>
      <c r="AI563" s="129" t="str">
        <f>VLOOKUP(AA563,monetary!$B$5:$F$817,5,0)</f>
        <v>Low</v>
      </c>
      <c r="AJ563" s="99" t="str">
        <f t="shared" si="88"/>
        <v>LLL</v>
      </c>
      <c r="AK563" s="99" t="str">
        <f>VLOOKUP(AJ563,rfm[],2,0)</f>
        <v>💤 Lost / Low Value</v>
      </c>
      <c r="AN563" s="99" t="b">
        <f t="shared" si="89"/>
        <v>1</v>
      </c>
    </row>
    <row r="564" spans="2:40" x14ac:dyDescent="0.3">
      <c r="B564" s="99" t="s">
        <v>1763</v>
      </c>
      <c r="C564" s="100">
        <v>45762</v>
      </c>
      <c r="D564" s="99" t="s">
        <v>28</v>
      </c>
      <c r="E564" s="99" t="s">
        <v>29</v>
      </c>
      <c r="F564" s="99" t="s">
        <v>20</v>
      </c>
      <c r="G564" s="99">
        <v>11</v>
      </c>
      <c r="H564" s="112">
        <v>450000</v>
      </c>
      <c r="I564" s="112">
        <v>4950000</v>
      </c>
      <c r="J564" s="99" t="s">
        <v>2146</v>
      </c>
      <c r="K564" s="99" t="s">
        <v>69</v>
      </c>
      <c r="N564" s="99" t="s">
        <v>2595</v>
      </c>
      <c r="O564" s="99" t="s">
        <v>127</v>
      </c>
      <c r="P564" s="100">
        <f t="shared" si="81"/>
        <v>45987</v>
      </c>
      <c r="Q564" s="101">
        <f t="shared" si="80"/>
        <v>36</v>
      </c>
      <c r="R564" s="99">
        <f t="shared" si="82"/>
        <v>1</v>
      </c>
      <c r="S564" s="101">
        <f t="shared" si="83"/>
        <v>8820000</v>
      </c>
      <c r="T564" s="99" t="str">
        <f t="shared" si="84"/>
        <v>High</v>
      </c>
      <c r="U564" s="99" t="str">
        <f t="shared" si="85"/>
        <v>Low</v>
      </c>
      <c r="V564" s="99" t="str">
        <f t="shared" si="86"/>
        <v>Low</v>
      </c>
      <c r="W564" s="99" t="str">
        <f t="shared" si="87"/>
        <v>HLL</v>
      </c>
      <c r="X564" s="99" t="str">
        <f>VLOOKUP(W564,rfm[],2,FALSE)</f>
        <v>🌱 Potential Loyalists</v>
      </c>
      <c r="AA564" s="99" t="s">
        <v>2595</v>
      </c>
      <c r="AB564" s="99" t="s">
        <v>127</v>
      </c>
      <c r="AC564" s="100">
        <v>45987</v>
      </c>
      <c r="AD564" s="101">
        <v>36</v>
      </c>
      <c r="AE564" s="101">
        <v>1</v>
      </c>
      <c r="AF564" s="101">
        <v>8820000</v>
      </c>
      <c r="AG564" s="99" t="str">
        <f>VLOOKUP(AA564,recency!$K$6:$P$818,6,0)</f>
        <v>High</v>
      </c>
      <c r="AH564" s="132" t="str">
        <f>VLOOKUP(AA564,frequency!$F$6:$H$818,3,FALSE)</f>
        <v>Low</v>
      </c>
      <c r="AI564" s="129" t="str">
        <f>VLOOKUP(AA564,monetary!$B$5:$F$817,5,0)</f>
        <v>Low</v>
      </c>
      <c r="AJ564" s="99" t="str">
        <f t="shared" si="88"/>
        <v>HLL</v>
      </c>
      <c r="AK564" s="99" t="str">
        <f>VLOOKUP(AJ564,rfm[],2,0)</f>
        <v>🌱 Potential Loyalists</v>
      </c>
      <c r="AN564" s="99" t="b">
        <f t="shared" si="89"/>
        <v>1</v>
      </c>
    </row>
    <row r="565" spans="2:40" x14ac:dyDescent="0.3">
      <c r="B565" s="99" t="s">
        <v>1764</v>
      </c>
      <c r="C565" s="100">
        <v>45762</v>
      </c>
      <c r="D565" s="99" t="s">
        <v>14</v>
      </c>
      <c r="E565" s="99" t="s">
        <v>15</v>
      </c>
      <c r="F565" s="99" t="s">
        <v>16</v>
      </c>
      <c r="G565" s="99">
        <v>17</v>
      </c>
      <c r="H565" s="112">
        <v>350000</v>
      </c>
      <c r="I565" s="112">
        <v>5950000</v>
      </c>
      <c r="J565" s="99" t="s">
        <v>2545</v>
      </c>
      <c r="K565" s="99" t="s">
        <v>60</v>
      </c>
      <c r="N565" s="99" t="s">
        <v>2596</v>
      </c>
      <c r="O565" s="99" t="s">
        <v>127</v>
      </c>
      <c r="P565" s="100">
        <f t="shared" si="81"/>
        <v>45663</v>
      </c>
      <c r="Q565" s="101">
        <f t="shared" si="80"/>
        <v>360</v>
      </c>
      <c r="R565" s="99">
        <f t="shared" si="82"/>
        <v>1</v>
      </c>
      <c r="S565" s="101">
        <f t="shared" si="83"/>
        <v>4440000</v>
      </c>
      <c r="T565" s="99" t="str">
        <f t="shared" si="84"/>
        <v>Low</v>
      </c>
      <c r="U565" s="99" t="str">
        <f t="shared" si="85"/>
        <v>Low</v>
      </c>
      <c r="V565" s="99" t="str">
        <f t="shared" si="86"/>
        <v>Low</v>
      </c>
      <c r="W565" s="99" t="str">
        <f t="shared" si="87"/>
        <v>LLL</v>
      </c>
      <c r="X565" s="99" t="str">
        <f>VLOOKUP(W565,rfm[],2,FALSE)</f>
        <v>💤 Lost / Low Value</v>
      </c>
      <c r="AA565" s="99" t="s">
        <v>2596</v>
      </c>
      <c r="AB565" s="99" t="s">
        <v>127</v>
      </c>
      <c r="AC565" s="100">
        <v>45663</v>
      </c>
      <c r="AD565" s="101">
        <v>360</v>
      </c>
      <c r="AE565" s="101">
        <v>1</v>
      </c>
      <c r="AF565" s="101">
        <v>4440000</v>
      </c>
      <c r="AG565" s="99" t="str">
        <f>VLOOKUP(AA565,recency!$K$6:$P$818,6,0)</f>
        <v>Low</v>
      </c>
      <c r="AH565" s="132" t="str">
        <f>VLOOKUP(AA565,frequency!$F$6:$H$818,3,FALSE)</f>
        <v>Low</v>
      </c>
      <c r="AI565" s="129" t="str">
        <f>VLOOKUP(AA565,monetary!$B$5:$F$817,5,0)</f>
        <v>Low</v>
      </c>
      <c r="AJ565" s="99" t="str">
        <f t="shared" si="88"/>
        <v>LLL</v>
      </c>
      <c r="AK565" s="99" t="str">
        <f>VLOOKUP(AJ565,rfm[],2,0)</f>
        <v>💤 Lost / Low Value</v>
      </c>
      <c r="AN565" s="99" t="b">
        <f t="shared" si="89"/>
        <v>1</v>
      </c>
    </row>
    <row r="566" spans="2:40" x14ac:dyDescent="0.3">
      <c r="B566" s="99" t="s">
        <v>1765</v>
      </c>
      <c r="C566" s="100">
        <v>45762</v>
      </c>
      <c r="D566" s="99" t="s">
        <v>10</v>
      </c>
      <c r="E566" s="99" t="s">
        <v>11</v>
      </c>
      <c r="F566" s="99" t="s">
        <v>12</v>
      </c>
      <c r="G566" s="99">
        <v>35</v>
      </c>
      <c r="H566" s="112">
        <v>120000</v>
      </c>
      <c r="I566" s="112">
        <v>4200000</v>
      </c>
      <c r="J566" s="99" t="s">
        <v>2190</v>
      </c>
      <c r="K566" s="99" t="s">
        <v>8</v>
      </c>
      <c r="N566" s="99" t="s">
        <v>2597</v>
      </c>
      <c r="O566" s="99" t="s">
        <v>8</v>
      </c>
      <c r="P566" s="100">
        <f t="shared" si="81"/>
        <v>45842</v>
      </c>
      <c r="Q566" s="101">
        <f t="shared" si="80"/>
        <v>181</v>
      </c>
      <c r="R566" s="99">
        <f t="shared" si="82"/>
        <v>2</v>
      </c>
      <c r="S566" s="101">
        <f t="shared" si="83"/>
        <v>16420000</v>
      </c>
      <c r="T566" s="99" t="str">
        <f t="shared" si="84"/>
        <v>Low</v>
      </c>
      <c r="U566" s="99" t="str">
        <f t="shared" si="85"/>
        <v>Low</v>
      </c>
      <c r="V566" s="99" t="str">
        <f t="shared" si="86"/>
        <v>Low</v>
      </c>
      <c r="W566" s="99" t="str">
        <f t="shared" si="87"/>
        <v>LLL</v>
      </c>
      <c r="X566" s="99" t="str">
        <f>VLOOKUP(W566,rfm[],2,FALSE)</f>
        <v>💤 Lost / Low Value</v>
      </c>
      <c r="AA566" s="99" t="s">
        <v>2597</v>
      </c>
      <c r="AB566" s="99" t="s">
        <v>8</v>
      </c>
      <c r="AC566" s="100">
        <v>45842</v>
      </c>
      <c r="AD566" s="101">
        <v>181</v>
      </c>
      <c r="AE566" s="101">
        <v>2</v>
      </c>
      <c r="AF566" s="101">
        <v>16420000</v>
      </c>
      <c r="AG566" s="99" t="str">
        <f>VLOOKUP(AA566,recency!$K$6:$P$818,6,0)</f>
        <v>Low</v>
      </c>
      <c r="AH566" s="132" t="str">
        <f>VLOOKUP(AA566,frequency!$F$6:$H$818,3,FALSE)</f>
        <v>Low</v>
      </c>
      <c r="AI566" s="129" t="str">
        <f>VLOOKUP(AA566,monetary!$B$5:$F$817,5,0)</f>
        <v>Low</v>
      </c>
      <c r="AJ566" s="99" t="str">
        <f t="shared" si="88"/>
        <v>LLL</v>
      </c>
      <c r="AK566" s="99" t="str">
        <f>VLOOKUP(AJ566,rfm[],2,0)</f>
        <v>💤 Lost / Low Value</v>
      </c>
      <c r="AN566" s="99" t="b">
        <f t="shared" si="89"/>
        <v>1</v>
      </c>
    </row>
    <row r="567" spans="2:40" x14ac:dyDescent="0.3">
      <c r="B567" s="99" t="s">
        <v>1766</v>
      </c>
      <c r="C567" s="100">
        <v>45762</v>
      </c>
      <c r="D567" s="99" t="s">
        <v>42</v>
      </c>
      <c r="E567" s="99" t="s">
        <v>43</v>
      </c>
      <c r="F567" s="99" t="s">
        <v>16</v>
      </c>
      <c r="G567" s="99">
        <v>8</v>
      </c>
      <c r="H567" s="112">
        <v>1200000</v>
      </c>
      <c r="I567" s="112">
        <v>9600000</v>
      </c>
      <c r="J567" s="99" t="s">
        <v>2483</v>
      </c>
      <c r="K567" s="99" t="s">
        <v>8</v>
      </c>
      <c r="N567" s="99" t="s">
        <v>2598</v>
      </c>
      <c r="O567" s="99" t="s">
        <v>127</v>
      </c>
      <c r="P567" s="100">
        <f t="shared" si="81"/>
        <v>46000</v>
      </c>
      <c r="Q567" s="101">
        <f t="shared" si="80"/>
        <v>23</v>
      </c>
      <c r="R567" s="99">
        <f t="shared" si="82"/>
        <v>4</v>
      </c>
      <c r="S567" s="101">
        <f t="shared" si="83"/>
        <v>33080000</v>
      </c>
      <c r="T567" s="99" t="str">
        <f t="shared" si="84"/>
        <v>High</v>
      </c>
      <c r="U567" s="99" t="str">
        <f t="shared" si="85"/>
        <v>High</v>
      </c>
      <c r="V567" s="99" t="str">
        <f t="shared" si="86"/>
        <v>High</v>
      </c>
      <c r="W567" s="99" t="str">
        <f t="shared" si="87"/>
        <v>HHH</v>
      </c>
      <c r="X567" s="99" t="str">
        <f>VLOOKUP(W567,rfm[],2,FALSE)</f>
        <v>🥇 Champions</v>
      </c>
      <c r="AA567" s="99" t="s">
        <v>2598</v>
      </c>
      <c r="AB567" s="99" t="s">
        <v>127</v>
      </c>
      <c r="AC567" s="100">
        <v>46000</v>
      </c>
      <c r="AD567" s="101">
        <v>23</v>
      </c>
      <c r="AE567" s="101">
        <v>4</v>
      </c>
      <c r="AF567" s="101">
        <v>33080000</v>
      </c>
      <c r="AG567" s="99" t="str">
        <f>VLOOKUP(AA567,recency!$K$6:$P$818,6,0)</f>
        <v>High</v>
      </c>
      <c r="AH567" s="132" t="str">
        <f>VLOOKUP(AA567,frequency!$F$6:$H$818,3,FALSE)</f>
        <v>High</v>
      </c>
      <c r="AI567" s="129" t="str">
        <f>VLOOKUP(AA567,monetary!$B$5:$F$817,5,0)</f>
        <v>Low</v>
      </c>
      <c r="AJ567" s="99" t="str">
        <f t="shared" si="88"/>
        <v>HHL</v>
      </c>
      <c r="AK567" s="99" t="str">
        <f>VLOOKUP(AJ567,rfm[],2,0)</f>
        <v>💎 Loyal High Value</v>
      </c>
      <c r="AN567" s="99" t="b">
        <f t="shared" si="89"/>
        <v>0</v>
      </c>
    </row>
    <row r="568" spans="2:40" x14ac:dyDescent="0.3">
      <c r="B568" s="99" t="s">
        <v>1767</v>
      </c>
      <c r="C568" s="100">
        <v>45762</v>
      </c>
      <c r="D568" s="99" t="s">
        <v>18</v>
      </c>
      <c r="E568" s="99" t="s">
        <v>19</v>
      </c>
      <c r="F568" s="99" t="s">
        <v>20</v>
      </c>
      <c r="G568" s="99">
        <v>8</v>
      </c>
      <c r="H568" s="112">
        <v>500000</v>
      </c>
      <c r="I568" s="112">
        <v>4000000</v>
      </c>
      <c r="J568" s="99" t="s">
        <v>2250</v>
      </c>
      <c r="K568" s="99" t="s">
        <v>69</v>
      </c>
      <c r="N568" s="99" t="s">
        <v>2599</v>
      </c>
      <c r="O568" s="99" t="s">
        <v>127</v>
      </c>
      <c r="P568" s="100">
        <f t="shared" si="81"/>
        <v>45940</v>
      </c>
      <c r="Q568" s="101">
        <f t="shared" si="80"/>
        <v>83</v>
      </c>
      <c r="R568" s="99">
        <f t="shared" si="82"/>
        <v>3</v>
      </c>
      <c r="S568" s="101">
        <f t="shared" si="83"/>
        <v>47880000</v>
      </c>
      <c r="T568" s="99" t="str">
        <f t="shared" si="84"/>
        <v>High</v>
      </c>
      <c r="U568" s="99" t="str">
        <f t="shared" si="85"/>
        <v>High</v>
      </c>
      <c r="V568" s="99" t="str">
        <f t="shared" si="86"/>
        <v>High</v>
      </c>
      <c r="W568" s="99" t="str">
        <f t="shared" si="87"/>
        <v>HHH</v>
      </c>
      <c r="X568" s="99" t="str">
        <f>VLOOKUP(W568,rfm[],2,FALSE)</f>
        <v>🥇 Champions</v>
      </c>
      <c r="AA568" s="99" t="s">
        <v>2599</v>
      </c>
      <c r="AB568" s="99" t="s">
        <v>127</v>
      </c>
      <c r="AC568" s="100">
        <v>45940</v>
      </c>
      <c r="AD568" s="101">
        <v>83</v>
      </c>
      <c r="AE568" s="101">
        <v>3</v>
      </c>
      <c r="AF568" s="101">
        <v>47880000</v>
      </c>
      <c r="AG568" s="99" t="str">
        <f>VLOOKUP(AA568,recency!$K$6:$P$818,6,0)</f>
        <v>Low</v>
      </c>
      <c r="AH568" s="132" t="str">
        <f>VLOOKUP(AA568,frequency!$F$6:$H$818,3,FALSE)</f>
        <v>High</v>
      </c>
      <c r="AI568" s="129" t="str">
        <f>VLOOKUP(AA568,monetary!$B$5:$F$817,5,0)</f>
        <v>Low</v>
      </c>
      <c r="AJ568" s="99" t="str">
        <f t="shared" si="88"/>
        <v>LHL</v>
      </c>
      <c r="AK568" s="99" t="str">
        <f>VLOOKUP(AJ568,rfm[],2,0)</f>
        <v>🔁 Former Loyal Low Spend</v>
      </c>
      <c r="AN568" s="99" t="b">
        <f t="shared" si="89"/>
        <v>0</v>
      </c>
    </row>
    <row r="569" spans="2:40" x14ac:dyDescent="0.3">
      <c r="B569" s="99" t="s">
        <v>1796</v>
      </c>
      <c r="C569" s="100">
        <v>45762</v>
      </c>
      <c r="D569" s="99" t="s">
        <v>18</v>
      </c>
      <c r="E569" s="99" t="s">
        <v>19</v>
      </c>
      <c r="F569" s="99" t="s">
        <v>20</v>
      </c>
      <c r="G569" s="99">
        <v>310</v>
      </c>
      <c r="H569" s="112">
        <v>500000</v>
      </c>
      <c r="I569" s="112">
        <v>155000000</v>
      </c>
      <c r="J569" s="99" t="s">
        <v>2684</v>
      </c>
      <c r="K569" s="99" t="s">
        <v>127</v>
      </c>
      <c r="N569" s="99" t="s">
        <v>2600</v>
      </c>
      <c r="O569" s="99" t="s">
        <v>8</v>
      </c>
      <c r="P569" s="100">
        <f t="shared" si="81"/>
        <v>45742</v>
      </c>
      <c r="Q569" s="101">
        <f t="shared" si="80"/>
        <v>281</v>
      </c>
      <c r="R569" s="99">
        <f t="shared" si="82"/>
        <v>1</v>
      </c>
      <c r="S569" s="101">
        <f t="shared" si="83"/>
        <v>23000000</v>
      </c>
      <c r="T569" s="99" t="str">
        <f t="shared" si="84"/>
        <v>Low</v>
      </c>
      <c r="U569" s="99" t="str">
        <f t="shared" si="85"/>
        <v>Low</v>
      </c>
      <c r="V569" s="99" t="str">
        <f t="shared" si="86"/>
        <v>High</v>
      </c>
      <c r="W569" s="99" t="str">
        <f t="shared" si="87"/>
        <v>LLH</v>
      </c>
      <c r="X569" s="99" t="str">
        <f>VLOOKUP(W569,rfm[],2,FALSE)</f>
        <v>💸 Lost High Spenders</v>
      </c>
      <c r="AA569" s="99" t="s">
        <v>2600</v>
      </c>
      <c r="AB569" s="99" t="s">
        <v>8</v>
      </c>
      <c r="AC569" s="100">
        <v>45742</v>
      </c>
      <c r="AD569" s="101">
        <v>281</v>
      </c>
      <c r="AE569" s="101">
        <v>1</v>
      </c>
      <c r="AF569" s="101">
        <v>23000000</v>
      </c>
      <c r="AG569" s="99" t="str">
        <f>VLOOKUP(AA569,recency!$K$6:$P$818,6,0)</f>
        <v>Low</v>
      </c>
      <c r="AH569" s="132" t="str">
        <f>VLOOKUP(AA569,frequency!$F$6:$H$818,3,FALSE)</f>
        <v>Low</v>
      </c>
      <c r="AI569" s="129" t="str">
        <f>VLOOKUP(AA569,monetary!$B$5:$F$817,5,0)</f>
        <v>Low</v>
      </c>
      <c r="AJ569" s="99" t="str">
        <f t="shared" si="88"/>
        <v>LLL</v>
      </c>
      <c r="AK569" s="99" t="str">
        <f>VLOOKUP(AJ569,rfm[],2,0)</f>
        <v>💤 Lost / Low Value</v>
      </c>
      <c r="AN569" s="99" t="b">
        <f t="shared" si="89"/>
        <v>0</v>
      </c>
    </row>
    <row r="570" spans="2:40" x14ac:dyDescent="0.3">
      <c r="B570" s="99" t="s">
        <v>1797</v>
      </c>
      <c r="C570" s="100">
        <v>45762</v>
      </c>
      <c r="D570" s="99" t="s">
        <v>22</v>
      </c>
      <c r="E570" s="99" t="s">
        <v>23</v>
      </c>
      <c r="F570" s="99" t="s">
        <v>12</v>
      </c>
      <c r="G570" s="99">
        <v>42</v>
      </c>
      <c r="H570" s="112">
        <v>25000</v>
      </c>
      <c r="I570" s="112">
        <v>1050000</v>
      </c>
      <c r="J570" s="99" t="s">
        <v>1242</v>
      </c>
      <c r="K570" s="99" t="s">
        <v>60</v>
      </c>
      <c r="N570" s="99" t="s">
        <v>2601</v>
      </c>
      <c r="O570" s="99" t="s">
        <v>127</v>
      </c>
      <c r="P570" s="100">
        <f t="shared" si="81"/>
        <v>45960</v>
      </c>
      <c r="Q570" s="101">
        <f t="shared" si="80"/>
        <v>63</v>
      </c>
      <c r="R570" s="99">
        <f t="shared" si="82"/>
        <v>3</v>
      </c>
      <c r="S570" s="101">
        <f t="shared" si="83"/>
        <v>40750000</v>
      </c>
      <c r="T570" s="99" t="str">
        <f t="shared" si="84"/>
        <v>High</v>
      </c>
      <c r="U570" s="99" t="str">
        <f t="shared" si="85"/>
        <v>High</v>
      </c>
      <c r="V570" s="99" t="str">
        <f t="shared" si="86"/>
        <v>High</v>
      </c>
      <c r="W570" s="99" t="str">
        <f t="shared" si="87"/>
        <v>HHH</v>
      </c>
      <c r="X570" s="99" t="str">
        <f>VLOOKUP(W570,rfm[],2,FALSE)</f>
        <v>🥇 Champions</v>
      </c>
      <c r="AA570" s="99" t="s">
        <v>2601</v>
      </c>
      <c r="AB570" s="99" t="s">
        <v>127</v>
      </c>
      <c r="AC570" s="100">
        <v>45960</v>
      </c>
      <c r="AD570" s="101">
        <v>63</v>
      </c>
      <c r="AE570" s="101">
        <v>3</v>
      </c>
      <c r="AF570" s="101">
        <v>40750000</v>
      </c>
      <c r="AG570" s="99" t="str">
        <f>VLOOKUP(AA570,recency!$K$6:$P$818,6,0)</f>
        <v>Low</v>
      </c>
      <c r="AH570" s="132" t="str">
        <f>VLOOKUP(AA570,frequency!$F$6:$H$818,3,FALSE)</f>
        <v>High</v>
      </c>
      <c r="AI570" s="129" t="str">
        <f>VLOOKUP(AA570,monetary!$B$5:$F$817,5,0)</f>
        <v>Low</v>
      </c>
      <c r="AJ570" s="99" t="str">
        <f t="shared" si="88"/>
        <v>LHL</v>
      </c>
      <c r="AK570" s="99" t="str">
        <f>VLOOKUP(AJ570,rfm[],2,0)</f>
        <v>🔁 Former Loyal Low Spend</v>
      </c>
      <c r="AN570" s="99" t="b">
        <f t="shared" si="89"/>
        <v>0</v>
      </c>
    </row>
    <row r="571" spans="2:40" x14ac:dyDescent="0.3">
      <c r="B571" s="99" t="s">
        <v>1798</v>
      </c>
      <c r="C571" s="100">
        <v>45762</v>
      </c>
      <c r="D571" s="99" t="s">
        <v>10</v>
      </c>
      <c r="E571" s="99" t="s">
        <v>11</v>
      </c>
      <c r="F571" s="99" t="s">
        <v>12</v>
      </c>
      <c r="G571" s="99">
        <v>48</v>
      </c>
      <c r="H571" s="112">
        <v>120000</v>
      </c>
      <c r="I571" s="112">
        <v>5760000</v>
      </c>
      <c r="J571" s="99" t="s">
        <v>2422</v>
      </c>
      <c r="K571" s="99" t="s">
        <v>8</v>
      </c>
      <c r="N571" s="99" t="s">
        <v>2602</v>
      </c>
      <c r="O571" s="99" t="s">
        <v>8</v>
      </c>
      <c r="P571" s="100">
        <f t="shared" si="81"/>
        <v>46000</v>
      </c>
      <c r="Q571" s="101">
        <f t="shared" si="80"/>
        <v>23</v>
      </c>
      <c r="R571" s="99">
        <f t="shared" si="82"/>
        <v>2</v>
      </c>
      <c r="S571" s="101">
        <f t="shared" si="83"/>
        <v>18100000</v>
      </c>
      <c r="T571" s="99" t="str">
        <f t="shared" si="84"/>
        <v>High</v>
      </c>
      <c r="U571" s="99" t="str">
        <f t="shared" si="85"/>
        <v>Low</v>
      </c>
      <c r="V571" s="99" t="str">
        <f t="shared" si="86"/>
        <v>Low</v>
      </c>
      <c r="W571" s="99" t="str">
        <f t="shared" si="87"/>
        <v>HLL</v>
      </c>
      <c r="X571" s="99" t="str">
        <f>VLOOKUP(W571,rfm[],2,FALSE)</f>
        <v>🌱 Potential Loyalists</v>
      </c>
      <c r="AA571" s="99" t="s">
        <v>2602</v>
      </c>
      <c r="AB571" s="99" t="s">
        <v>8</v>
      </c>
      <c r="AC571" s="100">
        <v>46000</v>
      </c>
      <c r="AD571" s="101">
        <v>23</v>
      </c>
      <c r="AE571" s="101">
        <v>2</v>
      </c>
      <c r="AF571" s="101">
        <v>18100000</v>
      </c>
      <c r="AG571" s="99" t="str">
        <f>VLOOKUP(AA571,recency!$K$6:$P$818,6,0)</f>
        <v>High</v>
      </c>
      <c r="AH571" s="132" t="str">
        <f>VLOOKUP(AA571,frequency!$F$6:$H$818,3,FALSE)</f>
        <v>Low</v>
      </c>
      <c r="AI571" s="129" t="str">
        <f>VLOOKUP(AA571,monetary!$B$5:$F$817,5,0)</f>
        <v>Low</v>
      </c>
      <c r="AJ571" s="99" t="str">
        <f t="shared" si="88"/>
        <v>HLL</v>
      </c>
      <c r="AK571" s="99" t="str">
        <f>VLOOKUP(AJ571,rfm[],2,0)</f>
        <v>🌱 Potential Loyalists</v>
      </c>
      <c r="AN571" s="99" t="b">
        <f t="shared" si="89"/>
        <v>1</v>
      </c>
    </row>
    <row r="572" spans="2:40" x14ac:dyDescent="0.3">
      <c r="B572" s="99" t="s">
        <v>1799</v>
      </c>
      <c r="C572" s="100">
        <v>45762</v>
      </c>
      <c r="D572" s="99" t="s">
        <v>22</v>
      </c>
      <c r="E572" s="99" t="s">
        <v>23</v>
      </c>
      <c r="F572" s="99" t="s">
        <v>12</v>
      </c>
      <c r="G572" s="99">
        <v>45</v>
      </c>
      <c r="H572" s="112">
        <v>25000</v>
      </c>
      <c r="I572" s="112">
        <v>1125000</v>
      </c>
      <c r="J572" s="99" t="s">
        <v>2128</v>
      </c>
      <c r="K572" s="99" t="s">
        <v>69</v>
      </c>
      <c r="N572" s="99" t="s">
        <v>2603</v>
      </c>
      <c r="O572" s="99" t="s">
        <v>8</v>
      </c>
      <c r="P572" s="100">
        <f t="shared" si="81"/>
        <v>45790</v>
      </c>
      <c r="Q572" s="101">
        <f t="shared" si="80"/>
        <v>233</v>
      </c>
      <c r="R572" s="99">
        <f t="shared" si="82"/>
        <v>2</v>
      </c>
      <c r="S572" s="101">
        <f t="shared" si="83"/>
        <v>38650000</v>
      </c>
      <c r="T572" s="99" t="str">
        <f t="shared" si="84"/>
        <v>Low</v>
      </c>
      <c r="U572" s="99" t="str">
        <f t="shared" si="85"/>
        <v>Low</v>
      </c>
      <c r="V572" s="99" t="str">
        <f t="shared" si="86"/>
        <v>High</v>
      </c>
      <c r="W572" s="99" t="str">
        <f t="shared" si="87"/>
        <v>LLH</v>
      </c>
      <c r="X572" s="99" t="str">
        <f>VLOOKUP(W572,rfm[],2,FALSE)</f>
        <v>💸 Lost High Spenders</v>
      </c>
      <c r="AA572" s="99" t="s">
        <v>2603</v>
      </c>
      <c r="AB572" s="99" t="s">
        <v>8</v>
      </c>
      <c r="AC572" s="100">
        <v>45790</v>
      </c>
      <c r="AD572" s="101">
        <v>233</v>
      </c>
      <c r="AE572" s="101">
        <v>2</v>
      </c>
      <c r="AF572" s="101">
        <v>38650000</v>
      </c>
      <c r="AG572" s="99" t="str">
        <f>VLOOKUP(AA572,recency!$K$6:$P$818,6,0)</f>
        <v>Low</v>
      </c>
      <c r="AH572" s="132" t="str">
        <f>VLOOKUP(AA572,frequency!$F$6:$H$818,3,FALSE)</f>
        <v>Low</v>
      </c>
      <c r="AI572" s="129" t="str">
        <f>VLOOKUP(AA572,monetary!$B$5:$F$817,5,0)</f>
        <v>Low</v>
      </c>
      <c r="AJ572" s="99" t="str">
        <f t="shared" si="88"/>
        <v>LLL</v>
      </c>
      <c r="AK572" s="99" t="str">
        <f>VLOOKUP(AJ572,rfm[],2,0)</f>
        <v>💤 Lost / Low Value</v>
      </c>
      <c r="AN572" s="99" t="b">
        <f t="shared" si="89"/>
        <v>0</v>
      </c>
    </row>
    <row r="573" spans="2:40" x14ac:dyDescent="0.3">
      <c r="B573" s="99" t="s">
        <v>1829</v>
      </c>
      <c r="C573" s="100">
        <v>45762</v>
      </c>
      <c r="D573" s="99" t="s">
        <v>28</v>
      </c>
      <c r="E573" s="99" t="s">
        <v>29</v>
      </c>
      <c r="F573" s="99" t="s">
        <v>20</v>
      </c>
      <c r="G573" s="99">
        <v>45</v>
      </c>
      <c r="H573" s="112">
        <v>450000</v>
      </c>
      <c r="I573" s="112">
        <v>20250000</v>
      </c>
      <c r="J573" s="99" t="s">
        <v>2520</v>
      </c>
      <c r="K573" s="99" t="s">
        <v>8</v>
      </c>
      <c r="N573" s="99" t="s">
        <v>2604</v>
      </c>
      <c r="O573" s="99" t="s">
        <v>47</v>
      </c>
      <c r="P573" s="100">
        <f t="shared" si="81"/>
        <v>45965</v>
      </c>
      <c r="Q573" s="101">
        <f t="shared" si="80"/>
        <v>58</v>
      </c>
      <c r="R573" s="99">
        <f t="shared" si="82"/>
        <v>4</v>
      </c>
      <c r="S573" s="101">
        <f t="shared" si="83"/>
        <v>872000000</v>
      </c>
      <c r="T573" s="99" t="str">
        <f t="shared" si="84"/>
        <v>High</v>
      </c>
      <c r="U573" s="99" t="str">
        <f t="shared" si="85"/>
        <v>High</v>
      </c>
      <c r="V573" s="99" t="str">
        <f t="shared" si="86"/>
        <v>High</v>
      </c>
      <c r="W573" s="99" t="str">
        <f t="shared" si="87"/>
        <v>HHH</v>
      </c>
      <c r="X573" s="99" t="str">
        <f>VLOOKUP(W573,rfm[],2,FALSE)</f>
        <v>🥇 Champions</v>
      </c>
      <c r="AA573" s="99" t="s">
        <v>2604</v>
      </c>
      <c r="AB573" s="99" t="s">
        <v>47</v>
      </c>
      <c r="AC573" s="100">
        <v>45965</v>
      </c>
      <c r="AD573" s="101">
        <v>58</v>
      </c>
      <c r="AE573" s="101">
        <v>4</v>
      </c>
      <c r="AF573" s="101">
        <v>872000000</v>
      </c>
      <c r="AG573" s="99" t="str">
        <f>VLOOKUP(AA573,recency!$K$6:$P$818,6,0)</f>
        <v>High</v>
      </c>
      <c r="AH573" s="132" t="str">
        <f>VLOOKUP(AA573,frequency!$F$6:$H$818,3,FALSE)</f>
        <v>High</v>
      </c>
      <c r="AI573" s="129" t="str">
        <f>VLOOKUP(AA573,monetary!$B$5:$F$817,5,0)</f>
        <v>High</v>
      </c>
      <c r="AJ573" s="99" t="str">
        <f t="shared" si="88"/>
        <v>HHH</v>
      </c>
      <c r="AK573" s="99" t="str">
        <f>VLOOKUP(AJ573,rfm[],2,0)</f>
        <v>🥇 Champions</v>
      </c>
      <c r="AN573" s="99" t="b">
        <f t="shared" si="89"/>
        <v>1</v>
      </c>
    </row>
    <row r="574" spans="2:40" x14ac:dyDescent="0.3">
      <c r="B574" s="99" t="s">
        <v>1830</v>
      </c>
      <c r="C574" s="100">
        <v>45763</v>
      </c>
      <c r="D574" s="99" t="s">
        <v>44</v>
      </c>
      <c r="E574" s="99" t="s">
        <v>45</v>
      </c>
      <c r="F574" s="99" t="s">
        <v>16</v>
      </c>
      <c r="G574" s="99">
        <v>21</v>
      </c>
      <c r="H574" s="112">
        <v>250000</v>
      </c>
      <c r="I574" s="112">
        <v>5250000</v>
      </c>
      <c r="J574" s="99" t="s">
        <v>2411</v>
      </c>
      <c r="K574" s="99" t="s">
        <v>47</v>
      </c>
      <c r="N574" s="99" t="s">
        <v>2605</v>
      </c>
      <c r="O574" s="99" t="s">
        <v>127</v>
      </c>
      <c r="P574" s="100">
        <f t="shared" si="81"/>
        <v>45952</v>
      </c>
      <c r="Q574" s="101">
        <f t="shared" si="80"/>
        <v>71</v>
      </c>
      <c r="R574" s="99">
        <f t="shared" si="82"/>
        <v>2</v>
      </c>
      <c r="S574" s="101">
        <f t="shared" si="83"/>
        <v>28500000</v>
      </c>
      <c r="T574" s="99" t="str">
        <f t="shared" si="84"/>
        <v>High</v>
      </c>
      <c r="U574" s="99" t="str">
        <f t="shared" si="85"/>
        <v>Low</v>
      </c>
      <c r="V574" s="99" t="str">
        <f t="shared" si="86"/>
        <v>High</v>
      </c>
      <c r="W574" s="99" t="str">
        <f t="shared" si="87"/>
        <v>HLH</v>
      </c>
      <c r="X574" s="99" t="str">
        <f>VLOOKUP(W574,rfm[],2,FALSE)</f>
        <v>🛒 Big Spenders (Occasional)</v>
      </c>
      <c r="AA574" s="99" t="s">
        <v>2605</v>
      </c>
      <c r="AB574" s="99" t="s">
        <v>127</v>
      </c>
      <c r="AC574" s="100">
        <v>45952</v>
      </c>
      <c r="AD574" s="101">
        <v>71</v>
      </c>
      <c r="AE574" s="101">
        <v>2</v>
      </c>
      <c r="AF574" s="101">
        <v>28500000</v>
      </c>
      <c r="AG574" s="99" t="str">
        <f>VLOOKUP(AA574,recency!$K$6:$P$818,6,0)</f>
        <v>Low</v>
      </c>
      <c r="AH574" s="132" t="str">
        <f>VLOOKUP(AA574,frequency!$F$6:$H$818,3,FALSE)</f>
        <v>Low</v>
      </c>
      <c r="AI574" s="129" t="str">
        <f>VLOOKUP(AA574,monetary!$B$5:$F$817,5,0)</f>
        <v>Low</v>
      </c>
      <c r="AJ574" s="99" t="str">
        <f t="shared" si="88"/>
        <v>LLL</v>
      </c>
      <c r="AK574" s="99" t="str">
        <f>VLOOKUP(AJ574,rfm[],2,0)</f>
        <v>💤 Lost / Low Value</v>
      </c>
      <c r="AN574" s="99" t="b">
        <f t="shared" si="89"/>
        <v>0</v>
      </c>
    </row>
    <row r="575" spans="2:40" x14ac:dyDescent="0.3">
      <c r="B575" s="99" t="s">
        <v>1831</v>
      </c>
      <c r="C575" s="100">
        <v>45763</v>
      </c>
      <c r="D575" s="99" t="s">
        <v>14</v>
      </c>
      <c r="E575" s="99" t="s">
        <v>15</v>
      </c>
      <c r="F575" s="99" t="s">
        <v>16</v>
      </c>
      <c r="G575" s="99">
        <v>27</v>
      </c>
      <c r="H575" s="112">
        <v>350000</v>
      </c>
      <c r="I575" s="112">
        <v>9450000</v>
      </c>
      <c r="J575" s="99" t="s">
        <v>2524</v>
      </c>
      <c r="K575" s="99" t="s">
        <v>127</v>
      </c>
      <c r="N575" s="99" t="s">
        <v>2606</v>
      </c>
      <c r="O575" s="99" t="s">
        <v>47</v>
      </c>
      <c r="P575" s="100">
        <f t="shared" si="81"/>
        <v>46015</v>
      </c>
      <c r="Q575" s="101">
        <f t="shared" si="80"/>
        <v>8</v>
      </c>
      <c r="R575" s="99">
        <f t="shared" si="82"/>
        <v>1</v>
      </c>
      <c r="S575" s="101">
        <f t="shared" si="83"/>
        <v>11700000</v>
      </c>
      <c r="T575" s="99" t="str">
        <f t="shared" si="84"/>
        <v>High</v>
      </c>
      <c r="U575" s="99" t="str">
        <f t="shared" si="85"/>
        <v>Low</v>
      </c>
      <c r="V575" s="99" t="str">
        <f t="shared" si="86"/>
        <v>Low</v>
      </c>
      <c r="W575" s="99" t="str">
        <f t="shared" si="87"/>
        <v>HLL</v>
      </c>
      <c r="X575" s="99" t="str">
        <f>VLOOKUP(W575,rfm[],2,FALSE)</f>
        <v>🌱 Potential Loyalists</v>
      </c>
      <c r="AA575" s="99" t="s">
        <v>2606</v>
      </c>
      <c r="AB575" s="99" t="s">
        <v>47</v>
      </c>
      <c r="AC575" s="100">
        <v>46015</v>
      </c>
      <c r="AD575" s="101">
        <v>8</v>
      </c>
      <c r="AE575" s="101">
        <v>1</v>
      </c>
      <c r="AF575" s="101">
        <v>11700000</v>
      </c>
      <c r="AG575" s="99" t="str">
        <f>VLOOKUP(AA575,recency!$K$6:$P$818,6,0)</f>
        <v>High</v>
      </c>
      <c r="AH575" s="132" t="str">
        <f>VLOOKUP(AA575,frequency!$F$6:$H$818,3,FALSE)</f>
        <v>Low</v>
      </c>
      <c r="AI575" s="129" t="str">
        <f>VLOOKUP(AA575,monetary!$B$5:$F$817,5,0)</f>
        <v>Low</v>
      </c>
      <c r="AJ575" s="99" t="str">
        <f t="shared" si="88"/>
        <v>HLL</v>
      </c>
      <c r="AK575" s="99" t="str">
        <f>VLOOKUP(AJ575,rfm[],2,0)</f>
        <v>🌱 Potential Loyalists</v>
      </c>
      <c r="AN575" s="99" t="b">
        <f t="shared" si="89"/>
        <v>1</v>
      </c>
    </row>
    <row r="576" spans="2:40" x14ac:dyDescent="0.3">
      <c r="B576" s="99" t="s">
        <v>1860</v>
      </c>
      <c r="C576" s="100">
        <v>45763</v>
      </c>
      <c r="D576" s="99" t="s">
        <v>44</v>
      </c>
      <c r="E576" s="99" t="s">
        <v>45</v>
      </c>
      <c r="F576" s="99" t="s">
        <v>16</v>
      </c>
      <c r="G576" s="99">
        <v>49</v>
      </c>
      <c r="H576" s="112">
        <v>250000</v>
      </c>
      <c r="I576" s="112">
        <v>12250000</v>
      </c>
      <c r="J576" s="99" t="s">
        <v>2316</v>
      </c>
      <c r="K576" s="99" t="s">
        <v>60</v>
      </c>
      <c r="N576" s="99" t="s">
        <v>2607</v>
      </c>
      <c r="O576" s="99" t="s">
        <v>47</v>
      </c>
      <c r="P576" s="100">
        <f t="shared" si="81"/>
        <v>45944</v>
      </c>
      <c r="Q576" s="101">
        <f t="shared" si="80"/>
        <v>79</v>
      </c>
      <c r="R576" s="99">
        <f t="shared" si="82"/>
        <v>2</v>
      </c>
      <c r="S576" s="101">
        <f t="shared" si="83"/>
        <v>24450000</v>
      </c>
      <c r="T576" s="99" t="str">
        <f t="shared" si="84"/>
        <v>High</v>
      </c>
      <c r="U576" s="99" t="str">
        <f t="shared" si="85"/>
        <v>Low</v>
      </c>
      <c r="V576" s="99" t="str">
        <f t="shared" si="86"/>
        <v>High</v>
      </c>
      <c r="W576" s="99" t="str">
        <f t="shared" si="87"/>
        <v>HLH</v>
      </c>
      <c r="X576" s="99" t="str">
        <f>VLOOKUP(W576,rfm[],2,FALSE)</f>
        <v>🛒 Big Spenders (Occasional)</v>
      </c>
      <c r="AA576" s="99" t="s">
        <v>2607</v>
      </c>
      <c r="AB576" s="99" t="s">
        <v>47</v>
      </c>
      <c r="AC576" s="100">
        <v>45944</v>
      </c>
      <c r="AD576" s="101">
        <v>79</v>
      </c>
      <c r="AE576" s="101">
        <v>2</v>
      </c>
      <c r="AF576" s="101">
        <v>24450000</v>
      </c>
      <c r="AG576" s="99" t="str">
        <f>VLOOKUP(AA576,recency!$K$6:$P$818,6,0)</f>
        <v>Low</v>
      </c>
      <c r="AH576" s="132" t="str">
        <f>VLOOKUP(AA576,frequency!$F$6:$H$818,3,FALSE)</f>
        <v>Low</v>
      </c>
      <c r="AI576" s="129" t="str">
        <f>VLOOKUP(AA576,monetary!$B$5:$F$817,5,0)</f>
        <v>Low</v>
      </c>
      <c r="AJ576" s="99" t="str">
        <f t="shared" si="88"/>
        <v>LLL</v>
      </c>
      <c r="AK576" s="99" t="str">
        <f>VLOOKUP(AJ576,rfm[],2,0)</f>
        <v>💤 Lost / Low Value</v>
      </c>
      <c r="AN576" s="99" t="b">
        <f t="shared" si="89"/>
        <v>0</v>
      </c>
    </row>
    <row r="577" spans="2:40" x14ac:dyDescent="0.3">
      <c r="B577" s="99" t="s">
        <v>1861</v>
      </c>
      <c r="C577" s="100">
        <v>45763</v>
      </c>
      <c r="D577" s="99" t="s">
        <v>40</v>
      </c>
      <c r="E577" s="99" t="s">
        <v>41</v>
      </c>
      <c r="F577" s="99" t="s">
        <v>16</v>
      </c>
      <c r="G577" s="99">
        <v>470</v>
      </c>
      <c r="H577" s="112">
        <v>950000</v>
      </c>
      <c r="I577" s="112">
        <v>446500000</v>
      </c>
      <c r="J577" s="99" t="s">
        <v>2169</v>
      </c>
      <c r="K577" s="99" t="s">
        <v>127</v>
      </c>
      <c r="N577" s="99" t="s">
        <v>2608</v>
      </c>
      <c r="O577" s="99" t="s">
        <v>60</v>
      </c>
      <c r="P577" s="100">
        <f t="shared" si="81"/>
        <v>45951</v>
      </c>
      <c r="Q577" s="101">
        <f t="shared" si="80"/>
        <v>72</v>
      </c>
      <c r="R577" s="99">
        <f t="shared" si="82"/>
        <v>3</v>
      </c>
      <c r="S577" s="101">
        <f t="shared" si="83"/>
        <v>14380000</v>
      </c>
      <c r="T577" s="99" t="str">
        <f t="shared" si="84"/>
        <v>High</v>
      </c>
      <c r="U577" s="99" t="str">
        <f t="shared" si="85"/>
        <v>High</v>
      </c>
      <c r="V577" s="99" t="str">
        <f t="shared" si="86"/>
        <v>Low</v>
      </c>
      <c r="W577" s="99" t="str">
        <f t="shared" si="87"/>
        <v>HHL</v>
      </c>
      <c r="X577" s="99" t="str">
        <f>VLOOKUP(W577,rfm[],2,FALSE)</f>
        <v>💎 Loyal High Value</v>
      </c>
      <c r="AA577" s="99" t="s">
        <v>2608</v>
      </c>
      <c r="AB577" s="99" t="s">
        <v>60</v>
      </c>
      <c r="AC577" s="100">
        <v>45951</v>
      </c>
      <c r="AD577" s="101">
        <v>72</v>
      </c>
      <c r="AE577" s="101">
        <v>3</v>
      </c>
      <c r="AF577" s="101">
        <v>14380000</v>
      </c>
      <c r="AG577" s="99" t="str">
        <f>VLOOKUP(AA577,recency!$K$6:$P$818,6,0)</f>
        <v>Low</v>
      </c>
      <c r="AH577" s="132" t="str">
        <f>VLOOKUP(AA577,frequency!$F$6:$H$818,3,FALSE)</f>
        <v>High</v>
      </c>
      <c r="AI577" s="129" t="str">
        <f>VLOOKUP(AA577,monetary!$B$5:$F$817,5,0)</f>
        <v>Low</v>
      </c>
      <c r="AJ577" s="99" t="str">
        <f t="shared" si="88"/>
        <v>LHL</v>
      </c>
      <c r="AK577" s="99" t="str">
        <f>VLOOKUP(AJ577,rfm[],2,0)</f>
        <v>🔁 Former Loyal Low Spend</v>
      </c>
      <c r="AN577" s="99" t="b">
        <f t="shared" si="89"/>
        <v>0</v>
      </c>
    </row>
    <row r="578" spans="2:40" x14ac:dyDescent="0.3">
      <c r="B578" s="99" t="s">
        <v>1862</v>
      </c>
      <c r="C578" s="100">
        <v>45763</v>
      </c>
      <c r="D578" s="99" t="s">
        <v>18</v>
      </c>
      <c r="E578" s="99" t="s">
        <v>19</v>
      </c>
      <c r="F578" s="99" t="s">
        <v>20</v>
      </c>
      <c r="G578" s="99">
        <v>17</v>
      </c>
      <c r="H578" s="112">
        <v>500000</v>
      </c>
      <c r="I578" s="112">
        <v>8500000</v>
      </c>
      <c r="J578" s="99" t="s">
        <v>2582</v>
      </c>
      <c r="K578" s="99" t="s">
        <v>69</v>
      </c>
      <c r="N578" s="99" t="s">
        <v>2609</v>
      </c>
      <c r="O578" s="99" t="s">
        <v>60</v>
      </c>
      <c r="P578" s="100">
        <f t="shared" si="81"/>
        <v>45779</v>
      </c>
      <c r="Q578" s="101">
        <f t="shared" si="80"/>
        <v>244</v>
      </c>
      <c r="R578" s="99">
        <f t="shared" si="82"/>
        <v>2</v>
      </c>
      <c r="S578" s="101">
        <f t="shared" si="83"/>
        <v>28550000</v>
      </c>
      <c r="T578" s="99" t="str">
        <f t="shared" si="84"/>
        <v>Low</v>
      </c>
      <c r="U578" s="99" t="str">
        <f t="shared" si="85"/>
        <v>Low</v>
      </c>
      <c r="V578" s="99" t="str">
        <f t="shared" si="86"/>
        <v>High</v>
      </c>
      <c r="W578" s="99" t="str">
        <f t="shared" si="87"/>
        <v>LLH</v>
      </c>
      <c r="X578" s="99" t="str">
        <f>VLOOKUP(W578,rfm[],2,FALSE)</f>
        <v>💸 Lost High Spenders</v>
      </c>
      <c r="AA578" s="99" t="s">
        <v>2609</v>
      </c>
      <c r="AB578" s="99" t="s">
        <v>60</v>
      </c>
      <c r="AC578" s="100">
        <v>45779</v>
      </c>
      <c r="AD578" s="101">
        <v>244</v>
      </c>
      <c r="AE578" s="101">
        <v>2</v>
      </c>
      <c r="AF578" s="101">
        <v>28550000</v>
      </c>
      <c r="AG578" s="99" t="str">
        <f>VLOOKUP(AA578,recency!$K$6:$P$818,6,0)</f>
        <v>Low</v>
      </c>
      <c r="AH578" s="132" t="str">
        <f>VLOOKUP(AA578,frequency!$F$6:$H$818,3,FALSE)</f>
        <v>Low</v>
      </c>
      <c r="AI578" s="129" t="str">
        <f>VLOOKUP(AA578,monetary!$B$5:$F$817,5,0)</f>
        <v>Low</v>
      </c>
      <c r="AJ578" s="99" t="str">
        <f t="shared" si="88"/>
        <v>LLL</v>
      </c>
      <c r="AK578" s="99" t="str">
        <f>VLOOKUP(AJ578,rfm[],2,0)</f>
        <v>💤 Lost / Low Value</v>
      </c>
      <c r="AN578" s="99" t="b">
        <f t="shared" si="89"/>
        <v>0</v>
      </c>
    </row>
    <row r="579" spans="2:40" x14ac:dyDescent="0.3">
      <c r="B579" s="99" t="s">
        <v>1887</v>
      </c>
      <c r="C579" s="100">
        <v>45763</v>
      </c>
      <c r="D579" s="99" t="s">
        <v>14</v>
      </c>
      <c r="E579" s="99" t="s">
        <v>15</v>
      </c>
      <c r="F579" s="99" t="s">
        <v>16</v>
      </c>
      <c r="G579" s="99">
        <v>11</v>
      </c>
      <c r="H579" s="112">
        <v>350000</v>
      </c>
      <c r="I579" s="112">
        <v>3850000</v>
      </c>
      <c r="J579" s="99" t="s">
        <v>2259</v>
      </c>
      <c r="K579" s="99" t="s">
        <v>127</v>
      </c>
      <c r="N579" s="99" t="s">
        <v>2610</v>
      </c>
      <c r="O579" s="99" t="s">
        <v>60</v>
      </c>
      <c r="P579" s="100">
        <f t="shared" si="81"/>
        <v>46008</v>
      </c>
      <c r="Q579" s="101">
        <f t="shared" si="80"/>
        <v>15</v>
      </c>
      <c r="R579" s="99">
        <f t="shared" si="82"/>
        <v>1</v>
      </c>
      <c r="S579" s="101">
        <f t="shared" si="83"/>
        <v>4200000</v>
      </c>
      <c r="T579" s="99" t="str">
        <f t="shared" si="84"/>
        <v>High</v>
      </c>
      <c r="U579" s="99" t="str">
        <f t="shared" si="85"/>
        <v>Low</v>
      </c>
      <c r="V579" s="99" t="str">
        <f t="shared" si="86"/>
        <v>Low</v>
      </c>
      <c r="W579" s="99" t="str">
        <f t="shared" si="87"/>
        <v>HLL</v>
      </c>
      <c r="X579" s="99" t="str">
        <f>VLOOKUP(W579,rfm[],2,FALSE)</f>
        <v>🌱 Potential Loyalists</v>
      </c>
      <c r="AA579" s="99" t="s">
        <v>2610</v>
      </c>
      <c r="AB579" s="99" t="s">
        <v>60</v>
      </c>
      <c r="AC579" s="100">
        <v>46008</v>
      </c>
      <c r="AD579" s="101">
        <v>15</v>
      </c>
      <c r="AE579" s="101">
        <v>1</v>
      </c>
      <c r="AF579" s="101">
        <v>4200000</v>
      </c>
      <c r="AG579" s="99" t="str">
        <f>VLOOKUP(AA579,recency!$K$6:$P$818,6,0)</f>
        <v>High</v>
      </c>
      <c r="AH579" s="132" t="str">
        <f>VLOOKUP(AA579,frequency!$F$6:$H$818,3,FALSE)</f>
        <v>Low</v>
      </c>
      <c r="AI579" s="129" t="str">
        <f>VLOOKUP(AA579,monetary!$B$5:$F$817,5,0)</f>
        <v>Low</v>
      </c>
      <c r="AJ579" s="99" t="str">
        <f t="shared" si="88"/>
        <v>HLL</v>
      </c>
      <c r="AK579" s="99" t="str">
        <f>VLOOKUP(AJ579,rfm[],2,0)</f>
        <v>🌱 Potential Loyalists</v>
      </c>
      <c r="AN579" s="99" t="b">
        <f t="shared" si="89"/>
        <v>1</v>
      </c>
    </row>
    <row r="580" spans="2:40" x14ac:dyDescent="0.3">
      <c r="B580" s="99" t="s">
        <v>1888</v>
      </c>
      <c r="C580" s="100">
        <v>45763</v>
      </c>
      <c r="D580" s="99" t="s">
        <v>22</v>
      </c>
      <c r="E580" s="99" t="s">
        <v>23</v>
      </c>
      <c r="F580" s="99" t="s">
        <v>12</v>
      </c>
      <c r="G580" s="99">
        <v>370</v>
      </c>
      <c r="H580" s="112">
        <v>25000</v>
      </c>
      <c r="I580" s="112">
        <v>9250000</v>
      </c>
      <c r="J580" s="99" t="s">
        <v>2160</v>
      </c>
      <c r="K580" s="99" t="s">
        <v>60</v>
      </c>
      <c r="N580" s="99" t="s">
        <v>2611</v>
      </c>
      <c r="O580" s="99" t="s">
        <v>8</v>
      </c>
      <c r="P580" s="100">
        <f t="shared" si="81"/>
        <v>46008</v>
      </c>
      <c r="Q580" s="101">
        <f t="shared" si="80"/>
        <v>15</v>
      </c>
      <c r="R580" s="99">
        <f t="shared" si="82"/>
        <v>1</v>
      </c>
      <c r="S580" s="101">
        <f t="shared" si="83"/>
        <v>17100000</v>
      </c>
      <c r="T580" s="99" t="str">
        <f t="shared" si="84"/>
        <v>High</v>
      </c>
      <c r="U580" s="99" t="str">
        <f t="shared" si="85"/>
        <v>Low</v>
      </c>
      <c r="V580" s="99" t="str">
        <f t="shared" si="86"/>
        <v>Low</v>
      </c>
      <c r="W580" s="99" t="str">
        <f t="shared" si="87"/>
        <v>HLL</v>
      </c>
      <c r="X580" s="99" t="str">
        <f>VLOOKUP(W580,rfm[],2,FALSE)</f>
        <v>🌱 Potential Loyalists</v>
      </c>
      <c r="AA580" s="99" t="s">
        <v>2611</v>
      </c>
      <c r="AB580" s="99" t="s">
        <v>8</v>
      </c>
      <c r="AC580" s="100">
        <v>46008</v>
      </c>
      <c r="AD580" s="101">
        <v>15</v>
      </c>
      <c r="AE580" s="101">
        <v>1</v>
      </c>
      <c r="AF580" s="101">
        <v>17100000</v>
      </c>
      <c r="AG580" s="99" t="str">
        <f>VLOOKUP(AA580,recency!$K$6:$P$818,6,0)</f>
        <v>High</v>
      </c>
      <c r="AH580" s="132" t="str">
        <f>VLOOKUP(AA580,frequency!$F$6:$H$818,3,FALSE)</f>
        <v>Low</v>
      </c>
      <c r="AI580" s="129" t="str">
        <f>VLOOKUP(AA580,monetary!$B$5:$F$817,5,0)</f>
        <v>Low</v>
      </c>
      <c r="AJ580" s="99" t="str">
        <f t="shared" si="88"/>
        <v>HLL</v>
      </c>
      <c r="AK580" s="99" t="str">
        <f>VLOOKUP(AJ580,rfm[],2,0)</f>
        <v>🌱 Potential Loyalists</v>
      </c>
      <c r="AN580" s="99" t="b">
        <f t="shared" si="89"/>
        <v>1</v>
      </c>
    </row>
    <row r="581" spans="2:40" x14ac:dyDescent="0.3">
      <c r="B581" s="99" t="s">
        <v>1889</v>
      </c>
      <c r="C581" s="100">
        <v>45763</v>
      </c>
      <c r="D581" s="99" t="s">
        <v>38</v>
      </c>
      <c r="E581" s="99" t="s">
        <v>39</v>
      </c>
      <c r="F581" s="99" t="s">
        <v>16</v>
      </c>
      <c r="G581" s="99">
        <v>46</v>
      </c>
      <c r="H581" s="112">
        <v>200000</v>
      </c>
      <c r="I581" s="112">
        <v>9200000</v>
      </c>
      <c r="J581" s="99" t="s">
        <v>2676</v>
      </c>
      <c r="K581" s="99" t="s">
        <v>69</v>
      </c>
      <c r="N581" s="99" t="s">
        <v>2612</v>
      </c>
      <c r="O581" s="99" t="s">
        <v>60</v>
      </c>
      <c r="P581" s="100">
        <f t="shared" si="81"/>
        <v>46017</v>
      </c>
      <c r="Q581" s="101">
        <f t="shared" si="80"/>
        <v>6</v>
      </c>
      <c r="R581" s="99">
        <f t="shared" si="82"/>
        <v>3</v>
      </c>
      <c r="S581" s="101">
        <f t="shared" si="83"/>
        <v>28850000</v>
      </c>
      <c r="T581" s="99" t="str">
        <f t="shared" si="84"/>
        <v>High</v>
      </c>
      <c r="U581" s="99" t="str">
        <f t="shared" si="85"/>
        <v>High</v>
      </c>
      <c r="V581" s="99" t="str">
        <f t="shared" si="86"/>
        <v>High</v>
      </c>
      <c r="W581" s="99" t="str">
        <f t="shared" si="87"/>
        <v>HHH</v>
      </c>
      <c r="X581" s="99" t="str">
        <f>VLOOKUP(W581,rfm[],2,FALSE)</f>
        <v>🥇 Champions</v>
      </c>
      <c r="AA581" s="99" t="s">
        <v>2612</v>
      </c>
      <c r="AB581" s="99" t="s">
        <v>60</v>
      </c>
      <c r="AC581" s="100">
        <v>46017</v>
      </c>
      <c r="AD581" s="101">
        <v>6</v>
      </c>
      <c r="AE581" s="101">
        <v>3</v>
      </c>
      <c r="AF581" s="101">
        <v>28850000</v>
      </c>
      <c r="AG581" s="99" t="str">
        <f>VLOOKUP(AA581,recency!$K$6:$P$818,6,0)</f>
        <v>High</v>
      </c>
      <c r="AH581" s="132" t="str">
        <f>VLOOKUP(AA581,frequency!$F$6:$H$818,3,FALSE)</f>
        <v>High</v>
      </c>
      <c r="AI581" s="129" t="str">
        <f>VLOOKUP(AA581,monetary!$B$5:$F$817,5,0)</f>
        <v>Low</v>
      </c>
      <c r="AJ581" s="99" t="str">
        <f t="shared" si="88"/>
        <v>HHL</v>
      </c>
      <c r="AK581" s="99" t="str">
        <f>VLOOKUP(AJ581,rfm[],2,0)</f>
        <v>💎 Loyal High Value</v>
      </c>
      <c r="AN581" s="99" t="b">
        <f t="shared" si="89"/>
        <v>0</v>
      </c>
    </row>
    <row r="582" spans="2:40" x14ac:dyDescent="0.3">
      <c r="B582" s="99" t="s">
        <v>1901</v>
      </c>
      <c r="C582" s="100">
        <v>45763</v>
      </c>
      <c r="D582" s="99" t="s">
        <v>18</v>
      </c>
      <c r="E582" s="99" t="s">
        <v>19</v>
      </c>
      <c r="F582" s="99" t="s">
        <v>20</v>
      </c>
      <c r="G582" s="99">
        <v>50</v>
      </c>
      <c r="H582" s="112">
        <v>500000</v>
      </c>
      <c r="I582" s="112">
        <v>25000000</v>
      </c>
      <c r="J582" s="99" t="s">
        <v>2634</v>
      </c>
      <c r="K582" s="99" t="s">
        <v>69</v>
      </c>
      <c r="N582" s="99" t="s">
        <v>2613</v>
      </c>
      <c r="O582" s="99" t="s">
        <v>69</v>
      </c>
      <c r="P582" s="100">
        <f t="shared" si="81"/>
        <v>45663</v>
      </c>
      <c r="Q582" s="101">
        <f t="shared" ref="Q582:Q645" si="90">analysis_date-P582</f>
        <v>360</v>
      </c>
      <c r="R582" s="99">
        <f t="shared" si="82"/>
        <v>1</v>
      </c>
      <c r="S582" s="101">
        <f t="shared" si="83"/>
        <v>9250000</v>
      </c>
      <c r="T582" s="99" t="str">
        <f t="shared" si="84"/>
        <v>Low</v>
      </c>
      <c r="U582" s="99" t="str">
        <f t="shared" si="85"/>
        <v>Low</v>
      </c>
      <c r="V582" s="99" t="str">
        <f t="shared" si="86"/>
        <v>Low</v>
      </c>
      <c r="W582" s="99" t="str">
        <f t="shared" si="87"/>
        <v>LLL</v>
      </c>
      <c r="X582" s="99" t="str">
        <f>VLOOKUP(W582,rfm[],2,FALSE)</f>
        <v>💤 Lost / Low Value</v>
      </c>
      <c r="AA582" s="99" t="s">
        <v>2613</v>
      </c>
      <c r="AB582" s="99" t="s">
        <v>69</v>
      </c>
      <c r="AC582" s="100">
        <v>45663</v>
      </c>
      <c r="AD582" s="101">
        <v>360</v>
      </c>
      <c r="AE582" s="101">
        <v>1</v>
      </c>
      <c r="AF582" s="101">
        <v>9250000</v>
      </c>
      <c r="AG582" s="99" t="str">
        <f>VLOOKUP(AA582,recency!$K$6:$P$818,6,0)</f>
        <v>Low</v>
      </c>
      <c r="AH582" s="132" t="str">
        <f>VLOOKUP(AA582,frequency!$F$6:$H$818,3,FALSE)</f>
        <v>Low</v>
      </c>
      <c r="AI582" s="129" t="str">
        <f>VLOOKUP(AA582,monetary!$B$5:$F$817,5,0)</f>
        <v>Low</v>
      </c>
      <c r="AJ582" s="99" t="str">
        <f t="shared" si="88"/>
        <v>LLL</v>
      </c>
      <c r="AK582" s="99" t="str">
        <f>VLOOKUP(AJ582,rfm[],2,0)</f>
        <v>💤 Lost / Low Value</v>
      </c>
      <c r="AN582" s="99" t="b">
        <f t="shared" si="89"/>
        <v>1</v>
      </c>
    </row>
    <row r="583" spans="2:40" x14ac:dyDescent="0.3">
      <c r="B583" s="99" t="s">
        <v>1902</v>
      </c>
      <c r="C583" s="100">
        <v>45763</v>
      </c>
      <c r="D583" s="99" t="s">
        <v>18</v>
      </c>
      <c r="E583" s="99" t="s">
        <v>19</v>
      </c>
      <c r="F583" s="99" t="s">
        <v>20</v>
      </c>
      <c r="G583" s="99">
        <v>29</v>
      </c>
      <c r="H583" s="112">
        <v>500000</v>
      </c>
      <c r="I583" s="112">
        <v>14500000</v>
      </c>
      <c r="J583" s="99" t="s">
        <v>1959</v>
      </c>
      <c r="K583" s="99" t="s">
        <v>8</v>
      </c>
      <c r="N583" s="99" t="s">
        <v>2614</v>
      </c>
      <c r="O583" s="99" t="s">
        <v>60</v>
      </c>
      <c r="P583" s="100">
        <f t="shared" ref="P583:P646" si="91">_xlfn.MAXIFS($C$6:$C$2005,$J$6:$J$2005,N583)</f>
        <v>45943</v>
      </c>
      <c r="Q583" s="101">
        <f t="shared" si="90"/>
        <v>80</v>
      </c>
      <c r="R583" s="99">
        <f t="shared" ref="R583:R646" si="92">COUNTIFS($J$6:$J$2005,N583)</f>
        <v>1</v>
      </c>
      <c r="S583" s="101">
        <f t="shared" ref="S583:S646" si="93">SUMIFS($I$6:$I$2005,$J$6:$J$2005,N583)</f>
        <v>5580000</v>
      </c>
      <c r="T583" s="99" t="str">
        <f t="shared" ref="T583:T646" si="94">IF(Q583&lt;MEDIAN($Q$6:$Q$817),"High","Low")</f>
        <v>High</v>
      </c>
      <c r="U583" s="99" t="str">
        <f t="shared" ref="U583:U646" si="95">IF(R583&gt;MEDIAN($R$6:$R$817),"High","Low")</f>
        <v>Low</v>
      </c>
      <c r="V583" s="99" t="str">
        <f t="shared" ref="V583:V646" si="96">IF(S583&gt;MEDIAN($S$6:$S$817),"High","Low")</f>
        <v>Low</v>
      </c>
      <c r="W583" s="99" t="str">
        <f t="shared" ref="W583:W646" si="97">_xlfn.CONCAT(LEFT(T583,1),LEFT(U583,1),LEFT(V583,1))</f>
        <v>HLL</v>
      </c>
      <c r="X583" s="99" t="str">
        <f>VLOOKUP(W583,rfm[],2,FALSE)</f>
        <v>🌱 Potential Loyalists</v>
      </c>
      <c r="AA583" s="99" t="s">
        <v>2614</v>
      </c>
      <c r="AB583" s="99" t="s">
        <v>60</v>
      </c>
      <c r="AC583" s="100">
        <v>45943</v>
      </c>
      <c r="AD583" s="101">
        <v>80</v>
      </c>
      <c r="AE583" s="101">
        <v>1</v>
      </c>
      <c r="AF583" s="101">
        <v>5580000</v>
      </c>
      <c r="AG583" s="99" t="str">
        <f>VLOOKUP(AA583,recency!$K$6:$P$818,6,0)</f>
        <v>Low</v>
      </c>
      <c r="AH583" s="132" t="str">
        <f>VLOOKUP(AA583,frequency!$F$6:$H$818,3,FALSE)</f>
        <v>Low</v>
      </c>
      <c r="AI583" s="129" t="str">
        <f>VLOOKUP(AA583,monetary!$B$5:$F$817,5,0)</f>
        <v>Low</v>
      </c>
      <c r="AJ583" s="99" t="str">
        <f t="shared" ref="AJ583:AJ646" si="98">_xlfn.CONCAT(LEFT(AG583,1),LEFT(AH583,1),LEFT(AI583,1))</f>
        <v>LLL</v>
      </c>
      <c r="AK583" s="99" t="str">
        <f>VLOOKUP(AJ583,rfm[],2,0)</f>
        <v>💤 Lost / Low Value</v>
      </c>
      <c r="AN583" s="99" t="b">
        <f t="shared" ref="AN583:AN646" si="99">AJ583=W583</f>
        <v>0</v>
      </c>
    </row>
    <row r="584" spans="2:40" x14ac:dyDescent="0.3">
      <c r="B584" s="99" t="s">
        <v>1903</v>
      </c>
      <c r="C584" s="100">
        <v>45763</v>
      </c>
      <c r="D584" s="99" t="s">
        <v>42</v>
      </c>
      <c r="E584" s="99" t="s">
        <v>43</v>
      </c>
      <c r="F584" s="99" t="s">
        <v>16</v>
      </c>
      <c r="G584" s="99">
        <v>220</v>
      </c>
      <c r="H584" s="112">
        <v>1200000</v>
      </c>
      <c r="I584" s="112">
        <v>264000000</v>
      </c>
      <c r="J584" s="99" t="s">
        <v>2488</v>
      </c>
      <c r="K584" s="99" t="s">
        <v>8</v>
      </c>
      <c r="N584" s="99" t="s">
        <v>2615</v>
      </c>
      <c r="O584" s="99" t="s">
        <v>69</v>
      </c>
      <c r="P584" s="100">
        <f t="shared" si="91"/>
        <v>45820</v>
      </c>
      <c r="Q584" s="101">
        <f t="shared" si="90"/>
        <v>203</v>
      </c>
      <c r="R584" s="99">
        <f t="shared" si="92"/>
        <v>1</v>
      </c>
      <c r="S584" s="101">
        <f t="shared" si="93"/>
        <v>1175000</v>
      </c>
      <c r="T584" s="99" t="str">
        <f t="shared" si="94"/>
        <v>Low</v>
      </c>
      <c r="U584" s="99" t="str">
        <f t="shared" si="95"/>
        <v>Low</v>
      </c>
      <c r="V584" s="99" t="str">
        <f t="shared" si="96"/>
        <v>Low</v>
      </c>
      <c r="W584" s="99" t="str">
        <f t="shared" si="97"/>
        <v>LLL</v>
      </c>
      <c r="X584" s="99" t="str">
        <f>VLOOKUP(W584,rfm[],2,FALSE)</f>
        <v>💤 Lost / Low Value</v>
      </c>
      <c r="AA584" s="99" t="s">
        <v>2615</v>
      </c>
      <c r="AB584" s="99" t="s">
        <v>69</v>
      </c>
      <c r="AC584" s="100">
        <v>45820</v>
      </c>
      <c r="AD584" s="101">
        <v>203</v>
      </c>
      <c r="AE584" s="101">
        <v>1</v>
      </c>
      <c r="AF584" s="101">
        <v>1175000</v>
      </c>
      <c r="AG584" s="99" t="str">
        <f>VLOOKUP(AA584,recency!$K$6:$P$818,6,0)</f>
        <v>Low</v>
      </c>
      <c r="AH584" s="132" t="str">
        <f>VLOOKUP(AA584,frequency!$F$6:$H$818,3,FALSE)</f>
        <v>Low</v>
      </c>
      <c r="AI584" s="129" t="str">
        <f>VLOOKUP(AA584,monetary!$B$5:$F$817,5,0)</f>
        <v>Low</v>
      </c>
      <c r="AJ584" s="99" t="str">
        <f t="shared" si="98"/>
        <v>LLL</v>
      </c>
      <c r="AK584" s="99" t="str">
        <f>VLOOKUP(AJ584,rfm[],2,0)</f>
        <v>💤 Lost / Low Value</v>
      </c>
      <c r="AN584" s="99" t="b">
        <f t="shared" si="99"/>
        <v>1</v>
      </c>
    </row>
    <row r="585" spans="2:40" x14ac:dyDescent="0.3">
      <c r="B585" s="99" t="s">
        <v>1931</v>
      </c>
      <c r="C585" s="100">
        <v>45764</v>
      </c>
      <c r="D585" s="99" t="s">
        <v>10</v>
      </c>
      <c r="E585" s="99" t="s">
        <v>11</v>
      </c>
      <c r="F585" s="99" t="s">
        <v>12</v>
      </c>
      <c r="G585" s="99">
        <v>39</v>
      </c>
      <c r="H585" s="112">
        <v>120000</v>
      </c>
      <c r="I585" s="112">
        <v>4680000</v>
      </c>
      <c r="J585" s="99" t="s">
        <v>2815</v>
      </c>
      <c r="K585" s="99" t="s">
        <v>127</v>
      </c>
      <c r="N585" s="99" t="s">
        <v>2616</v>
      </c>
      <c r="O585" s="99" t="s">
        <v>60</v>
      </c>
      <c r="P585" s="100">
        <f t="shared" si="91"/>
        <v>46021</v>
      </c>
      <c r="Q585" s="101">
        <f t="shared" si="90"/>
        <v>2</v>
      </c>
      <c r="R585" s="99">
        <f t="shared" si="92"/>
        <v>2</v>
      </c>
      <c r="S585" s="101">
        <f t="shared" si="93"/>
        <v>13920000</v>
      </c>
      <c r="T585" s="99" t="str">
        <f t="shared" si="94"/>
        <v>High</v>
      </c>
      <c r="U585" s="99" t="str">
        <f t="shared" si="95"/>
        <v>Low</v>
      </c>
      <c r="V585" s="99" t="str">
        <f t="shared" si="96"/>
        <v>Low</v>
      </c>
      <c r="W585" s="99" t="str">
        <f t="shared" si="97"/>
        <v>HLL</v>
      </c>
      <c r="X585" s="99" t="str">
        <f>VLOOKUP(W585,rfm[],2,FALSE)</f>
        <v>🌱 Potential Loyalists</v>
      </c>
      <c r="AA585" s="99" t="s">
        <v>2616</v>
      </c>
      <c r="AB585" s="99" t="s">
        <v>60</v>
      </c>
      <c r="AC585" s="100">
        <v>46021</v>
      </c>
      <c r="AD585" s="101">
        <v>2</v>
      </c>
      <c r="AE585" s="101">
        <v>2</v>
      </c>
      <c r="AF585" s="101">
        <v>13920000</v>
      </c>
      <c r="AG585" s="99" t="str">
        <f>VLOOKUP(AA585,recency!$K$6:$P$818,6,0)</f>
        <v>High</v>
      </c>
      <c r="AH585" s="132" t="str">
        <f>VLOOKUP(AA585,frequency!$F$6:$H$818,3,FALSE)</f>
        <v>Low</v>
      </c>
      <c r="AI585" s="129" t="str">
        <f>VLOOKUP(AA585,monetary!$B$5:$F$817,5,0)</f>
        <v>Low</v>
      </c>
      <c r="AJ585" s="99" t="str">
        <f t="shared" si="98"/>
        <v>HLL</v>
      </c>
      <c r="AK585" s="99" t="str">
        <f>VLOOKUP(AJ585,rfm[],2,0)</f>
        <v>🌱 Potential Loyalists</v>
      </c>
      <c r="AN585" s="99" t="b">
        <f t="shared" si="99"/>
        <v>1</v>
      </c>
    </row>
    <row r="586" spans="2:40" x14ac:dyDescent="0.3">
      <c r="B586" s="99" t="s">
        <v>1932</v>
      </c>
      <c r="C586" s="100">
        <v>45764</v>
      </c>
      <c r="D586" s="99" t="s">
        <v>44</v>
      </c>
      <c r="E586" s="99" t="s">
        <v>45</v>
      </c>
      <c r="F586" s="99" t="s">
        <v>16</v>
      </c>
      <c r="G586" s="99">
        <v>48</v>
      </c>
      <c r="H586" s="112">
        <v>250000</v>
      </c>
      <c r="I586" s="112">
        <v>12000000</v>
      </c>
      <c r="J586" s="99" t="s">
        <v>2171</v>
      </c>
      <c r="K586" s="99" t="s">
        <v>47</v>
      </c>
      <c r="N586" s="99" t="s">
        <v>2617</v>
      </c>
      <c r="O586" s="99" t="s">
        <v>47</v>
      </c>
      <c r="P586" s="100">
        <f t="shared" si="91"/>
        <v>45931</v>
      </c>
      <c r="Q586" s="101">
        <f t="shared" si="90"/>
        <v>92</v>
      </c>
      <c r="R586" s="99">
        <f t="shared" si="92"/>
        <v>1</v>
      </c>
      <c r="S586" s="101">
        <f t="shared" si="93"/>
        <v>9200000</v>
      </c>
      <c r="T586" s="99" t="str">
        <f t="shared" si="94"/>
        <v>High</v>
      </c>
      <c r="U586" s="99" t="str">
        <f t="shared" si="95"/>
        <v>Low</v>
      </c>
      <c r="V586" s="99" t="str">
        <f t="shared" si="96"/>
        <v>Low</v>
      </c>
      <c r="W586" s="99" t="str">
        <f t="shared" si="97"/>
        <v>HLL</v>
      </c>
      <c r="X586" s="99" t="str">
        <f>VLOOKUP(W586,rfm[],2,FALSE)</f>
        <v>🌱 Potential Loyalists</v>
      </c>
      <c r="AA586" s="99" t="s">
        <v>2617</v>
      </c>
      <c r="AB586" s="99" t="s">
        <v>47</v>
      </c>
      <c r="AC586" s="100">
        <v>45931</v>
      </c>
      <c r="AD586" s="101">
        <v>92</v>
      </c>
      <c r="AE586" s="101">
        <v>1</v>
      </c>
      <c r="AF586" s="101">
        <v>9200000</v>
      </c>
      <c r="AG586" s="99" t="str">
        <f>VLOOKUP(AA586,recency!$K$6:$P$818,6,0)</f>
        <v>Low</v>
      </c>
      <c r="AH586" s="132" t="str">
        <f>VLOOKUP(AA586,frequency!$F$6:$H$818,3,FALSE)</f>
        <v>Low</v>
      </c>
      <c r="AI586" s="129" t="str">
        <f>VLOOKUP(AA586,monetary!$B$5:$F$817,5,0)</f>
        <v>Low</v>
      </c>
      <c r="AJ586" s="99" t="str">
        <f t="shared" si="98"/>
        <v>LLL</v>
      </c>
      <c r="AK586" s="99" t="str">
        <f>VLOOKUP(AJ586,rfm[],2,0)</f>
        <v>💤 Lost / Low Value</v>
      </c>
      <c r="AN586" s="99" t="b">
        <f t="shared" si="99"/>
        <v>0</v>
      </c>
    </row>
    <row r="587" spans="2:40" x14ac:dyDescent="0.3">
      <c r="B587" s="99" t="s">
        <v>1942</v>
      </c>
      <c r="C587" s="100">
        <v>45764</v>
      </c>
      <c r="D587" s="99" t="s">
        <v>40</v>
      </c>
      <c r="E587" s="99" t="s">
        <v>41</v>
      </c>
      <c r="F587" s="99" t="s">
        <v>16</v>
      </c>
      <c r="G587" s="99">
        <v>8</v>
      </c>
      <c r="H587" s="112">
        <v>950000</v>
      </c>
      <c r="I587" s="112">
        <v>7600000</v>
      </c>
      <c r="J587" s="99" t="s">
        <v>2798</v>
      </c>
      <c r="K587" s="99" t="s">
        <v>47</v>
      </c>
      <c r="N587" s="99" t="s">
        <v>2618</v>
      </c>
      <c r="O587" s="99" t="s">
        <v>8</v>
      </c>
      <c r="P587" s="100">
        <f t="shared" si="91"/>
        <v>45947</v>
      </c>
      <c r="Q587" s="101">
        <f t="shared" si="90"/>
        <v>76</v>
      </c>
      <c r="R587" s="99">
        <f t="shared" si="92"/>
        <v>8</v>
      </c>
      <c r="S587" s="101">
        <f t="shared" si="93"/>
        <v>889200000</v>
      </c>
      <c r="T587" s="99" t="str">
        <f t="shared" si="94"/>
        <v>High</v>
      </c>
      <c r="U587" s="99" t="str">
        <f t="shared" si="95"/>
        <v>High</v>
      </c>
      <c r="V587" s="99" t="str">
        <f t="shared" si="96"/>
        <v>High</v>
      </c>
      <c r="W587" s="99" t="str">
        <f t="shared" si="97"/>
        <v>HHH</v>
      </c>
      <c r="X587" s="99" t="str">
        <f>VLOOKUP(W587,rfm[],2,FALSE)</f>
        <v>🥇 Champions</v>
      </c>
      <c r="AA587" s="99" t="s">
        <v>2618</v>
      </c>
      <c r="AB587" s="99" t="s">
        <v>8</v>
      </c>
      <c r="AC587" s="100">
        <v>45947</v>
      </c>
      <c r="AD587" s="101">
        <v>76</v>
      </c>
      <c r="AE587" s="101">
        <v>8</v>
      </c>
      <c r="AF587" s="101">
        <v>889200000</v>
      </c>
      <c r="AG587" s="99" t="str">
        <f>VLOOKUP(AA587,recency!$K$6:$P$818,6,0)</f>
        <v>Low</v>
      </c>
      <c r="AH587" s="132" t="str">
        <f>VLOOKUP(AA587,frequency!$F$6:$H$818,3,FALSE)</f>
        <v>High</v>
      </c>
      <c r="AI587" s="129" t="str">
        <f>VLOOKUP(AA587,monetary!$B$5:$F$817,5,0)</f>
        <v>High</v>
      </c>
      <c r="AJ587" s="99" t="str">
        <f t="shared" si="98"/>
        <v>LHH</v>
      </c>
      <c r="AK587" s="99" t="str">
        <f>VLOOKUP(AJ587,rfm[],2,0)</f>
        <v>⚠️ At Risk High Value</v>
      </c>
      <c r="AN587" s="99" t="b">
        <f t="shared" si="99"/>
        <v>0</v>
      </c>
    </row>
    <row r="588" spans="2:40" x14ac:dyDescent="0.3">
      <c r="B588" s="99" t="s">
        <v>1943</v>
      </c>
      <c r="C588" s="100">
        <v>45764</v>
      </c>
      <c r="D588" s="99" t="s">
        <v>40</v>
      </c>
      <c r="E588" s="99" t="s">
        <v>41</v>
      </c>
      <c r="F588" s="99" t="s">
        <v>16</v>
      </c>
      <c r="G588" s="99">
        <v>310</v>
      </c>
      <c r="H588" s="112">
        <v>950000</v>
      </c>
      <c r="I588" s="112">
        <v>294500000</v>
      </c>
      <c r="J588" s="99" t="s">
        <v>728</v>
      </c>
      <c r="K588" s="99" t="s">
        <v>47</v>
      </c>
      <c r="N588" s="99" t="s">
        <v>2619</v>
      </c>
      <c r="O588" s="99" t="s">
        <v>8</v>
      </c>
      <c r="P588" s="100">
        <f t="shared" si="91"/>
        <v>45944</v>
      </c>
      <c r="Q588" s="101">
        <f t="shared" si="90"/>
        <v>79</v>
      </c>
      <c r="R588" s="99">
        <f t="shared" si="92"/>
        <v>3</v>
      </c>
      <c r="S588" s="101">
        <f t="shared" si="93"/>
        <v>60540000</v>
      </c>
      <c r="T588" s="99" t="str">
        <f t="shared" si="94"/>
        <v>High</v>
      </c>
      <c r="U588" s="99" t="str">
        <f t="shared" si="95"/>
        <v>High</v>
      </c>
      <c r="V588" s="99" t="str">
        <f t="shared" si="96"/>
        <v>High</v>
      </c>
      <c r="W588" s="99" t="str">
        <f t="shared" si="97"/>
        <v>HHH</v>
      </c>
      <c r="X588" s="99" t="str">
        <f>VLOOKUP(W588,rfm[],2,FALSE)</f>
        <v>🥇 Champions</v>
      </c>
      <c r="AA588" s="99" t="s">
        <v>2619</v>
      </c>
      <c r="AB588" s="99" t="s">
        <v>8</v>
      </c>
      <c r="AC588" s="100">
        <v>45944</v>
      </c>
      <c r="AD588" s="101">
        <v>79</v>
      </c>
      <c r="AE588" s="101">
        <v>3</v>
      </c>
      <c r="AF588" s="101">
        <v>60540000</v>
      </c>
      <c r="AG588" s="99" t="str">
        <f>VLOOKUP(AA588,recency!$K$6:$P$818,6,0)</f>
        <v>Low</v>
      </c>
      <c r="AH588" s="132" t="str">
        <f>VLOOKUP(AA588,frequency!$F$6:$H$818,3,FALSE)</f>
        <v>High</v>
      </c>
      <c r="AI588" s="129" t="str">
        <f>VLOOKUP(AA588,monetary!$B$5:$F$817,5,0)</f>
        <v>High</v>
      </c>
      <c r="AJ588" s="99" t="str">
        <f t="shared" si="98"/>
        <v>LHH</v>
      </c>
      <c r="AK588" s="99" t="str">
        <f>VLOOKUP(AJ588,rfm[],2,0)</f>
        <v>⚠️ At Risk High Value</v>
      </c>
      <c r="AN588" s="99" t="b">
        <f t="shared" si="99"/>
        <v>0</v>
      </c>
    </row>
    <row r="589" spans="2:40" x14ac:dyDescent="0.3">
      <c r="B589" s="99" t="s">
        <v>1961</v>
      </c>
      <c r="C589" s="100">
        <v>45764</v>
      </c>
      <c r="D589" s="99" t="s">
        <v>22</v>
      </c>
      <c r="E589" s="99" t="s">
        <v>23</v>
      </c>
      <c r="F589" s="99" t="s">
        <v>12</v>
      </c>
      <c r="G589" s="99">
        <v>340</v>
      </c>
      <c r="H589" s="112">
        <v>25000</v>
      </c>
      <c r="I589" s="112">
        <v>8500000</v>
      </c>
      <c r="J589" s="99" t="s">
        <v>2668</v>
      </c>
      <c r="K589" s="99" t="s">
        <v>127</v>
      </c>
      <c r="N589" s="99" t="s">
        <v>2620</v>
      </c>
      <c r="O589" s="99" t="s">
        <v>127</v>
      </c>
      <c r="P589" s="100">
        <f t="shared" si="91"/>
        <v>45821</v>
      </c>
      <c r="Q589" s="101">
        <f t="shared" si="90"/>
        <v>202</v>
      </c>
      <c r="R589" s="99">
        <f t="shared" si="92"/>
        <v>1</v>
      </c>
      <c r="S589" s="101">
        <f t="shared" si="93"/>
        <v>650000</v>
      </c>
      <c r="T589" s="99" t="str">
        <f t="shared" si="94"/>
        <v>Low</v>
      </c>
      <c r="U589" s="99" t="str">
        <f t="shared" si="95"/>
        <v>Low</v>
      </c>
      <c r="V589" s="99" t="str">
        <f t="shared" si="96"/>
        <v>Low</v>
      </c>
      <c r="W589" s="99" t="str">
        <f t="shared" si="97"/>
        <v>LLL</v>
      </c>
      <c r="X589" s="99" t="str">
        <f>VLOOKUP(W589,rfm[],2,FALSE)</f>
        <v>💤 Lost / Low Value</v>
      </c>
      <c r="AA589" s="99" t="s">
        <v>2620</v>
      </c>
      <c r="AB589" s="99" t="s">
        <v>127</v>
      </c>
      <c r="AC589" s="100">
        <v>45821</v>
      </c>
      <c r="AD589" s="101">
        <v>202</v>
      </c>
      <c r="AE589" s="101">
        <v>1</v>
      </c>
      <c r="AF589" s="101">
        <v>650000</v>
      </c>
      <c r="AG589" s="99" t="str">
        <f>VLOOKUP(AA589,recency!$K$6:$P$818,6,0)</f>
        <v>Low</v>
      </c>
      <c r="AH589" s="132" t="str">
        <f>VLOOKUP(AA589,frequency!$F$6:$H$818,3,FALSE)</f>
        <v>Low</v>
      </c>
      <c r="AI589" s="129" t="str">
        <f>VLOOKUP(AA589,monetary!$B$5:$F$817,5,0)</f>
        <v>Low</v>
      </c>
      <c r="AJ589" s="99" t="str">
        <f t="shared" si="98"/>
        <v>LLL</v>
      </c>
      <c r="AK589" s="99" t="str">
        <f>VLOOKUP(AJ589,rfm[],2,0)</f>
        <v>💤 Lost / Low Value</v>
      </c>
      <c r="AN589" s="99" t="b">
        <f t="shared" si="99"/>
        <v>1</v>
      </c>
    </row>
    <row r="590" spans="2:40" x14ac:dyDescent="0.3">
      <c r="B590" s="99" t="s">
        <v>1962</v>
      </c>
      <c r="C590" s="100">
        <v>45764</v>
      </c>
      <c r="D590" s="99" t="s">
        <v>38</v>
      </c>
      <c r="E590" s="99" t="s">
        <v>39</v>
      </c>
      <c r="F590" s="99" t="s">
        <v>16</v>
      </c>
      <c r="G590" s="99">
        <v>28</v>
      </c>
      <c r="H590" s="112">
        <v>200000</v>
      </c>
      <c r="I590" s="112">
        <v>5600000</v>
      </c>
      <c r="J590" s="99" t="s">
        <v>1470</v>
      </c>
      <c r="K590" s="99" t="s">
        <v>69</v>
      </c>
      <c r="N590" s="99" t="s">
        <v>2621</v>
      </c>
      <c r="O590" s="99" t="s">
        <v>47</v>
      </c>
      <c r="P590" s="100">
        <f t="shared" si="91"/>
        <v>45660</v>
      </c>
      <c r="Q590" s="101">
        <f t="shared" si="90"/>
        <v>363</v>
      </c>
      <c r="R590" s="99">
        <f t="shared" si="92"/>
        <v>1</v>
      </c>
      <c r="S590" s="101">
        <f t="shared" si="93"/>
        <v>8750000</v>
      </c>
      <c r="T590" s="99" t="str">
        <f t="shared" si="94"/>
        <v>Low</v>
      </c>
      <c r="U590" s="99" t="str">
        <f t="shared" si="95"/>
        <v>Low</v>
      </c>
      <c r="V590" s="99" t="str">
        <f t="shared" si="96"/>
        <v>Low</v>
      </c>
      <c r="W590" s="99" t="str">
        <f t="shared" si="97"/>
        <v>LLL</v>
      </c>
      <c r="X590" s="99" t="str">
        <f>VLOOKUP(W590,rfm[],2,FALSE)</f>
        <v>💤 Lost / Low Value</v>
      </c>
      <c r="AA590" s="99" t="s">
        <v>2621</v>
      </c>
      <c r="AB590" s="99" t="s">
        <v>47</v>
      </c>
      <c r="AC590" s="100">
        <v>45660</v>
      </c>
      <c r="AD590" s="101">
        <v>363</v>
      </c>
      <c r="AE590" s="101">
        <v>1</v>
      </c>
      <c r="AF590" s="101">
        <v>8750000</v>
      </c>
      <c r="AG590" s="99" t="str">
        <f>VLOOKUP(AA590,recency!$K$6:$P$818,6,0)</f>
        <v>Low</v>
      </c>
      <c r="AH590" s="132" t="str">
        <f>VLOOKUP(AA590,frequency!$F$6:$H$818,3,FALSE)</f>
        <v>Low</v>
      </c>
      <c r="AI590" s="129" t="str">
        <f>VLOOKUP(AA590,monetary!$B$5:$F$817,5,0)</f>
        <v>Low</v>
      </c>
      <c r="AJ590" s="99" t="str">
        <f t="shared" si="98"/>
        <v>LLL</v>
      </c>
      <c r="AK590" s="99" t="str">
        <f>VLOOKUP(AJ590,rfm[],2,0)</f>
        <v>💤 Lost / Low Value</v>
      </c>
      <c r="AN590" s="99" t="b">
        <f t="shared" si="99"/>
        <v>1</v>
      </c>
    </row>
    <row r="591" spans="2:40" x14ac:dyDescent="0.3">
      <c r="B591" s="99" t="s">
        <v>1974</v>
      </c>
      <c r="C591" s="100">
        <v>45764</v>
      </c>
      <c r="D591" s="99" t="s">
        <v>10</v>
      </c>
      <c r="E591" s="99" t="s">
        <v>11</v>
      </c>
      <c r="F591" s="99" t="s">
        <v>12</v>
      </c>
      <c r="G591" s="99">
        <v>28</v>
      </c>
      <c r="H591" s="112">
        <v>120000</v>
      </c>
      <c r="I591" s="112">
        <v>3360000</v>
      </c>
      <c r="J591" s="99" t="s">
        <v>2173</v>
      </c>
      <c r="K591" s="99" t="s">
        <v>8</v>
      </c>
      <c r="N591" s="99" t="s">
        <v>2622</v>
      </c>
      <c r="O591" s="99" t="s">
        <v>60</v>
      </c>
      <c r="P591" s="100">
        <f t="shared" si="91"/>
        <v>45894</v>
      </c>
      <c r="Q591" s="101">
        <f t="shared" si="90"/>
        <v>129</v>
      </c>
      <c r="R591" s="99">
        <f t="shared" si="92"/>
        <v>2</v>
      </c>
      <c r="S591" s="101">
        <f t="shared" si="93"/>
        <v>34600000</v>
      </c>
      <c r="T591" s="99" t="str">
        <f t="shared" si="94"/>
        <v>Low</v>
      </c>
      <c r="U591" s="99" t="str">
        <f t="shared" si="95"/>
        <v>Low</v>
      </c>
      <c r="V591" s="99" t="str">
        <f t="shared" si="96"/>
        <v>High</v>
      </c>
      <c r="W591" s="99" t="str">
        <f t="shared" si="97"/>
        <v>LLH</v>
      </c>
      <c r="X591" s="99" t="str">
        <f>VLOOKUP(W591,rfm[],2,FALSE)</f>
        <v>💸 Lost High Spenders</v>
      </c>
      <c r="AA591" s="99" t="s">
        <v>2622</v>
      </c>
      <c r="AB591" s="99" t="s">
        <v>60</v>
      </c>
      <c r="AC591" s="100">
        <v>45894</v>
      </c>
      <c r="AD591" s="101">
        <v>129</v>
      </c>
      <c r="AE591" s="101">
        <v>2</v>
      </c>
      <c r="AF591" s="101">
        <v>34600000</v>
      </c>
      <c r="AG591" s="99" t="str">
        <f>VLOOKUP(AA591,recency!$K$6:$P$818,6,0)</f>
        <v>Low</v>
      </c>
      <c r="AH591" s="132" t="str">
        <f>VLOOKUP(AA591,frequency!$F$6:$H$818,3,FALSE)</f>
        <v>Low</v>
      </c>
      <c r="AI591" s="129" t="str">
        <f>VLOOKUP(AA591,monetary!$B$5:$F$817,5,0)</f>
        <v>Low</v>
      </c>
      <c r="AJ591" s="99" t="str">
        <f t="shared" si="98"/>
        <v>LLL</v>
      </c>
      <c r="AK591" s="99" t="str">
        <f>VLOOKUP(AJ591,rfm[],2,0)</f>
        <v>💤 Lost / Low Value</v>
      </c>
      <c r="AN591" s="99" t="b">
        <f t="shared" si="99"/>
        <v>0</v>
      </c>
    </row>
    <row r="592" spans="2:40" x14ac:dyDescent="0.3">
      <c r="B592" s="99" t="s">
        <v>1979</v>
      </c>
      <c r="C592" s="100">
        <v>45764</v>
      </c>
      <c r="D592" s="99" t="s">
        <v>40</v>
      </c>
      <c r="E592" s="99" t="s">
        <v>41</v>
      </c>
      <c r="F592" s="99" t="s">
        <v>16</v>
      </c>
      <c r="G592" s="99">
        <v>40</v>
      </c>
      <c r="H592" s="112">
        <v>950000</v>
      </c>
      <c r="I592" s="112">
        <v>38000000</v>
      </c>
      <c r="J592" s="99" t="s">
        <v>2662</v>
      </c>
      <c r="K592" s="99" t="s">
        <v>127</v>
      </c>
      <c r="N592" s="99" t="s">
        <v>2623</v>
      </c>
      <c r="O592" s="99" t="s">
        <v>127</v>
      </c>
      <c r="P592" s="100">
        <f t="shared" si="91"/>
        <v>45980</v>
      </c>
      <c r="Q592" s="101">
        <f t="shared" si="90"/>
        <v>43</v>
      </c>
      <c r="R592" s="99">
        <f t="shared" si="92"/>
        <v>2</v>
      </c>
      <c r="S592" s="101">
        <f t="shared" si="93"/>
        <v>11025000</v>
      </c>
      <c r="T592" s="99" t="str">
        <f t="shared" si="94"/>
        <v>High</v>
      </c>
      <c r="U592" s="99" t="str">
        <f t="shared" si="95"/>
        <v>Low</v>
      </c>
      <c r="V592" s="99" t="str">
        <f t="shared" si="96"/>
        <v>Low</v>
      </c>
      <c r="W592" s="99" t="str">
        <f t="shared" si="97"/>
        <v>HLL</v>
      </c>
      <c r="X592" s="99" t="str">
        <f>VLOOKUP(W592,rfm[],2,FALSE)</f>
        <v>🌱 Potential Loyalists</v>
      </c>
      <c r="AA592" s="99" t="s">
        <v>2623</v>
      </c>
      <c r="AB592" s="99" t="s">
        <v>127</v>
      </c>
      <c r="AC592" s="100">
        <v>45980</v>
      </c>
      <c r="AD592" s="101">
        <v>43</v>
      </c>
      <c r="AE592" s="101">
        <v>2</v>
      </c>
      <c r="AF592" s="101">
        <v>11025000</v>
      </c>
      <c r="AG592" s="99" t="str">
        <f>VLOOKUP(AA592,recency!$K$6:$P$818,6,0)</f>
        <v>High</v>
      </c>
      <c r="AH592" s="132" t="str">
        <f>VLOOKUP(AA592,frequency!$F$6:$H$818,3,FALSE)</f>
        <v>Low</v>
      </c>
      <c r="AI592" s="129" t="str">
        <f>VLOOKUP(AA592,monetary!$B$5:$F$817,5,0)</f>
        <v>Low</v>
      </c>
      <c r="AJ592" s="99" t="str">
        <f t="shared" si="98"/>
        <v>HLL</v>
      </c>
      <c r="AK592" s="99" t="str">
        <f>VLOOKUP(AJ592,rfm[],2,0)</f>
        <v>🌱 Potential Loyalists</v>
      </c>
      <c r="AN592" s="99" t="b">
        <f t="shared" si="99"/>
        <v>1</v>
      </c>
    </row>
    <row r="593" spans="2:40" x14ac:dyDescent="0.3">
      <c r="B593" s="99" t="s">
        <v>1980</v>
      </c>
      <c r="C593" s="100">
        <v>45764</v>
      </c>
      <c r="D593" s="99" t="s">
        <v>44</v>
      </c>
      <c r="E593" s="99" t="s">
        <v>45</v>
      </c>
      <c r="F593" s="99" t="s">
        <v>16</v>
      </c>
      <c r="G593" s="99">
        <v>40</v>
      </c>
      <c r="H593" s="112">
        <v>250000</v>
      </c>
      <c r="I593" s="112">
        <v>10000000</v>
      </c>
      <c r="J593" s="99" t="s">
        <v>2323</v>
      </c>
      <c r="K593" s="99" t="s">
        <v>47</v>
      </c>
      <c r="N593" s="99" t="s">
        <v>2624</v>
      </c>
      <c r="O593" s="99" t="s">
        <v>60</v>
      </c>
      <c r="P593" s="100">
        <f t="shared" si="91"/>
        <v>45988</v>
      </c>
      <c r="Q593" s="101">
        <f t="shared" si="90"/>
        <v>35</v>
      </c>
      <c r="R593" s="99">
        <f t="shared" si="92"/>
        <v>6</v>
      </c>
      <c r="S593" s="101">
        <f t="shared" si="93"/>
        <v>1516250000</v>
      </c>
      <c r="T593" s="99" t="str">
        <f t="shared" si="94"/>
        <v>High</v>
      </c>
      <c r="U593" s="99" t="str">
        <f t="shared" si="95"/>
        <v>High</v>
      </c>
      <c r="V593" s="99" t="str">
        <f t="shared" si="96"/>
        <v>High</v>
      </c>
      <c r="W593" s="99" t="str">
        <f t="shared" si="97"/>
        <v>HHH</v>
      </c>
      <c r="X593" s="99" t="str">
        <f>VLOOKUP(W593,rfm[],2,FALSE)</f>
        <v>🥇 Champions</v>
      </c>
      <c r="AA593" s="99" t="s">
        <v>2624</v>
      </c>
      <c r="AB593" s="99" t="s">
        <v>60</v>
      </c>
      <c r="AC593" s="100">
        <v>45988</v>
      </c>
      <c r="AD593" s="101">
        <v>35</v>
      </c>
      <c r="AE593" s="101">
        <v>6</v>
      </c>
      <c r="AF593" s="101">
        <v>1516250000</v>
      </c>
      <c r="AG593" s="99" t="str">
        <f>VLOOKUP(AA593,recency!$K$6:$P$818,6,0)</f>
        <v>High</v>
      </c>
      <c r="AH593" s="132" t="str">
        <f>VLOOKUP(AA593,frequency!$F$6:$H$818,3,FALSE)</f>
        <v>High</v>
      </c>
      <c r="AI593" s="129" t="str">
        <f>VLOOKUP(AA593,monetary!$B$5:$F$817,5,0)</f>
        <v>High</v>
      </c>
      <c r="AJ593" s="99" t="str">
        <f t="shared" si="98"/>
        <v>HHH</v>
      </c>
      <c r="AK593" s="99" t="str">
        <f>VLOOKUP(AJ593,rfm[],2,0)</f>
        <v>🥇 Champions</v>
      </c>
      <c r="AN593" s="99" t="b">
        <f t="shared" si="99"/>
        <v>1</v>
      </c>
    </row>
    <row r="594" spans="2:40" x14ac:dyDescent="0.3">
      <c r="B594" s="99" t="s">
        <v>1989</v>
      </c>
      <c r="C594" s="100">
        <v>45768</v>
      </c>
      <c r="D594" s="99" t="s">
        <v>38</v>
      </c>
      <c r="E594" s="99" t="s">
        <v>39</v>
      </c>
      <c r="F594" s="99" t="s">
        <v>16</v>
      </c>
      <c r="G594" s="99">
        <v>6</v>
      </c>
      <c r="H594" s="112">
        <v>200000</v>
      </c>
      <c r="I594" s="112">
        <v>1200000</v>
      </c>
      <c r="J594" s="99" t="s">
        <v>2789</v>
      </c>
      <c r="K594" s="99" t="s">
        <v>127</v>
      </c>
      <c r="N594" s="99" t="s">
        <v>2625</v>
      </c>
      <c r="O594" s="99" t="s">
        <v>8</v>
      </c>
      <c r="P594" s="100">
        <f t="shared" si="91"/>
        <v>45960</v>
      </c>
      <c r="Q594" s="101">
        <f t="shared" si="90"/>
        <v>63</v>
      </c>
      <c r="R594" s="99">
        <f t="shared" si="92"/>
        <v>1</v>
      </c>
      <c r="S594" s="101">
        <f t="shared" si="93"/>
        <v>4560000</v>
      </c>
      <c r="T594" s="99" t="str">
        <f t="shared" si="94"/>
        <v>High</v>
      </c>
      <c r="U594" s="99" t="str">
        <f t="shared" si="95"/>
        <v>Low</v>
      </c>
      <c r="V594" s="99" t="str">
        <f t="shared" si="96"/>
        <v>Low</v>
      </c>
      <c r="W594" s="99" t="str">
        <f t="shared" si="97"/>
        <v>HLL</v>
      </c>
      <c r="X594" s="99" t="str">
        <f>VLOOKUP(W594,rfm[],2,FALSE)</f>
        <v>🌱 Potential Loyalists</v>
      </c>
      <c r="AA594" s="99" t="s">
        <v>2625</v>
      </c>
      <c r="AB594" s="99" t="s">
        <v>8</v>
      </c>
      <c r="AC594" s="100">
        <v>45960</v>
      </c>
      <c r="AD594" s="101">
        <v>63</v>
      </c>
      <c r="AE594" s="101">
        <v>1</v>
      </c>
      <c r="AF594" s="101">
        <v>4560000</v>
      </c>
      <c r="AG594" s="99" t="str">
        <f>VLOOKUP(AA594,recency!$K$6:$P$818,6,0)</f>
        <v>Low</v>
      </c>
      <c r="AH594" s="132" t="str">
        <f>VLOOKUP(AA594,frequency!$F$6:$H$818,3,FALSE)</f>
        <v>Low</v>
      </c>
      <c r="AI594" s="129" t="str">
        <f>VLOOKUP(AA594,monetary!$B$5:$F$817,5,0)</f>
        <v>Low</v>
      </c>
      <c r="AJ594" s="99" t="str">
        <f t="shared" si="98"/>
        <v>LLL</v>
      </c>
      <c r="AK594" s="99" t="str">
        <f>VLOOKUP(AJ594,rfm[],2,0)</f>
        <v>💤 Lost / Low Value</v>
      </c>
      <c r="AN594" s="99" t="b">
        <f t="shared" si="99"/>
        <v>0</v>
      </c>
    </row>
    <row r="595" spans="2:40" x14ac:dyDescent="0.3">
      <c r="B595" s="99" t="s">
        <v>1990</v>
      </c>
      <c r="C595" s="100">
        <v>45768</v>
      </c>
      <c r="D595" s="99" t="s">
        <v>14</v>
      </c>
      <c r="E595" s="99" t="s">
        <v>15</v>
      </c>
      <c r="F595" s="99" t="s">
        <v>16</v>
      </c>
      <c r="G595" s="99">
        <v>35</v>
      </c>
      <c r="H595" s="112">
        <v>350000</v>
      </c>
      <c r="I595" s="112">
        <v>12250000</v>
      </c>
      <c r="J595" s="99" t="s">
        <v>2178</v>
      </c>
      <c r="K595" s="99" t="s">
        <v>47</v>
      </c>
      <c r="N595" s="99" t="s">
        <v>2626</v>
      </c>
      <c r="O595" s="99" t="s">
        <v>8</v>
      </c>
      <c r="P595" s="100">
        <f t="shared" si="91"/>
        <v>46013</v>
      </c>
      <c r="Q595" s="101">
        <f t="shared" si="90"/>
        <v>10</v>
      </c>
      <c r="R595" s="99">
        <f t="shared" si="92"/>
        <v>2</v>
      </c>
      <c r="S595" s="101">
        <f t="shared" si="93"/>
        <v>12000000</v>
      </c>
      <c r="T595" s="99" t="str">
        <f t="shared" si="94"/>
        <v>High</v>
      </c>
      <c r="U595" s="99" t="str">
        <f t="shared" si="95"/>
        <v>Low</v>
      </c>
      <c r="V595" s="99" t="str">
        <f t="shared" si="96"/>
        <v>Low</v>
      </c>
      <c r="W595" s="99" t="str">
        <f t="shared" si="97"/>
        <v>HLL</v>
      </c>
      <c r="X595" s="99" t="str">
        <f>VLOOKUP(W595,rfm[],2,FALSE)</f>
        <v>🌱 Potential Loyalists</v>
      </c>
      <c r="AA595" s="99" t="s">
        <v>2626</v>
      </c>
      <c r="AB595" s="99" t="s">
        <v>8</v>
      </c>
      <c r="AC595" s="100">
        <v>46013</v>
      </c>
      <c r="AD595" s="101">
        <v>10</v>
      </c>
      <c r="AE595" s="101">
        <v>2</v>
      </c>
      <c r="AF595" s="101">
        <v>12000000</v>
      </c>
      <c r="AG595" s="99" t="str">
        <f>VLOOKUP(AA595,recency!$K$6:$P$818,6,0)</f>
        <v>High</v>
      </c>
      <c r="AH595" s="132" t="str">
        <f>VLOOKUP(AA595,frequency!$F$6:$H$818,3,FALSE)</f>
        <v>Low</v>
      </c>
      <c r="AI595" s="129" t="str">
        <f>VLOOKUP(AA595,monetary!$B$5:$F$817,5,0)</f>
        <v>Low</v>
      </c>
      <c r="AJ595" s="99" t="str">
        <f t="shared" si="98"/>
        <v>HLL</v>
      </c>
      <c r="AK595" s="99" t="str">
        <f>VLOOKUP(AJ595,rfm[],2,0)</f>
        <v>🌱 Potential Loyalists</v>
      </c>
      <c r="AN595" s="99" t="b">
        <f t="shared" si="99"/>
        <v>1</v>
      </c>
    </row>
    <row r="596" spans="2:40" x14ac:dyDescent="0.3">
      <c r="B596" s="99" t="s">
        <v>1991</v>
      </c>
      <c r="C596" s="100">
        <v>45768</v>
      </c>
      <c r="D596" s="99" t="s">
        <v>22</v>
      </c>
      <c r="E596" s="99" t="s">
        <v>23</v>
      </c>
      <c r="F596" s="99" t="s">
        <v>12</v>
      </c>
      <c r="G596" s="99">
        <v>27</v>
      </c>
      <c r="H596" s="112">
        <v>25000</v>
      </c>
      <c r="I596" s="112">
        <v>675000</v>
      </c>
      <c r="J596" s="99" t="s">
        <v>2161</v>
      </c>
      <c r="K596" s="99" t="s">
        <v>69</v>
      </c>
      <c r="N596" s="99" t="s">
        <v>2627</v>
      </c>
      <c r="O596" s="99" t="s">
        <v>8</v>
      </c>
      <c r="P596" s="100">
        <f t="shared" si="91"/>
        <v>45922</v>
      </c>
      <c r="Q596" s="101">
        <f t="shared" si="90"/>
        <v>101</v>
      </c>
      <c r="R596" s="99">
        <f t="shared" si="92"/>
        <v>2</v>
      </c>
      <c r="S596" s="101">
        <f t="shared" si="93"/>
        <v>41200000</v>
      </c>
      <c r="T596" s="99" t="str">
        <f t="shared" si="94"/>
        <v>Low</v>
      </c>
      <c r="U596" s="99" t="str">
        <f t="shared" si="95"/>
        <v>Low</v>
      </c>
      <c r="V596" s="99" t="str">
        <f t="shared" si="96"/>
        <v>High</v>
      </c>
      <c r="W596" s="99" t="str">
        <f t="shared" si="97"/>
        <v>LLH</v>
      </c>
      <c r="X596" s="99" t="str">
        <f>VLOOKUP(W596,rfm[],2,FALSE)</f>
        <v>💸 Lost High Spenders</v>
      </c>
      <c r="AA596" s="99" t="s">
        <v>2627</v>
      </c>
      <c r="AB596" s="99" t="s">
        <v>8</v>
      </c>
      <c r="AC596" s="100">
        <v>45922</v>
      </c>
      <c r="AD596" s="101">
        <v>101</v>
      </c>
      <c r="AE596" s="101">
        <v>2</v>
      </c>
      <c r="AF596" s="101">
        <v>41200000</v>
      </c>
      <c r="AG596" s="99" t="str">
        <f>VLOOKUP(AA596,recency!$K$6:$P$818,6,0)</f>
        <v>Low</v>
      </c>
      <c r="AH596" s="132" t="str">
        <f>VLOOKUP(AA596,frequency!$F$6:$H$818,3,FALSE)</f>
        <v>Low</v>
      </c>
      <c r="AI596" s="129" t="str">
        <f>VLOOKUP(AA596,monetary!$B$5:$F$817,5,0)</f>
        <v>Low</v>
      </c>
      <c r="AJ596" s="99" t="str">
        <f t="shared" si="98"/>
        <v>LLL</v>
      </c>
      <c r="AK596" s="99" t="str">
        <f>VLOOKUP(AJ596,rfm[],2,0)</f>
        <v>💤 Lost / Low Value</v>
      </c>
      <c r="AN596" s="99" t="b">
        <f t="shared" si="99"/>
        <v>0</v>
      </c>
    </row>
    <row r="597" spans="2:40" x14ac:dyDescent="0.3">
      <c r="B597" s="99" t="s">
        <v>1992</v>
      </c>
      <c r="C597" s="100">
        <v>45768</v>
      </c>
      <c r="D597" s="99" t="s">
        <v>31</v>
      </c>
      <c r="E597" s="99" t="s">
        <v>32</v>
      </c>
      <c r="F597" s="99" t="s">
        <v>20</v>
      </c>
      <c r="G597" s="99">
        <v>29</v>
      </c>
      <c r="H597" s="112">
        <v>180000</v>
      </c>
      <c r="I597" s="112">
        <v>5220000</v>
      </c>
      <c r="J597" s="99" t="s">
        <v>2406</v>
      </c>
      <c r="K597" s="99" t="s">
        <v>47</v>
      </c>
      <c r="N597" s="99" t="s">
        <v>2628</v>
      </c>
      <c r="O597" s="99" t="s">
        <v>47</v>
      </c>
      <c r="P597" s="100">
        <f t="shared" si="91"/>
        <v>45733</v>
      </c>
      <c r="Q597" s="101">
        <f t="shared" si="90"/>
        <v>290</v>
      </c>
      <c r="R597" s="99">
        <f t="shared" si="92"/>
        <v>2</v>
      </c>
      <c r="S597" s="101">
        <f t="shared" si="93"/>
        <v>38450000</v>
      </c>
      <c r="T597" s="99" t="str">
        <f t="shared" si="94"/>
        <v>Low</v>
      </c>
      <c r="U597" s="99" t="str">
        <f t="shared" si="95"/>
        <v>Low</v>
      </c>
      <c r="V597" s="99" t="str">
        <f t="shared" si="96"/>
        <v>High</v>
      </c>
      <c r="W597" s="99" t="str">
        <f t="shared" si="97"/>
        <v>LLH</v>
      </c>
      <c r="X597" s="99" t="str">
        <f>VLOOKUP(W597,rfm[],2,FALSE)</f>
        <v>💸 Lost High Spenders</v>
      </c>
      <c r="AA597" s="99" t="s">
        <v>2628</v>
      </c>
      <c r="AB597" s="99" t="s">
        <v>47</v>
      </c>
      <c r="AC597" s="100">
        <v>45733</v>
      </c>
      <c r="AD597" s="101">
        <v>290</v>
      </c>
      <c r="AE597" s="101">
        <v>2</v>
      </c>
      <c r="AF597" s="101">
        <v>38450000</v>
      </c>
      <c r="AG597" s="99" t="str">
        <f>VLOOKUP(AA597,recency!$K$6:$P$818,6,0)</f>
        <v>Low</v>
      </c>
      <c r="AH597" s="132" t="str">
        <f>VLOOKUP(AA597,frequency!$F$6:$H$818,3,FALSE)</f>
        <v>Low</v>
      </c>
      <c r="AI597" s="129" t="str">
        <f>VLOOKUP(AA597,monetary!$B$5:$F$817,5,0)</f>
        <v>Low</v>
      </c>
      <c r="AJ597" s="99" t="str">
        <f t="shared" si="98"/>
        <v>LLL</v>
      </c>
      <c r="AK597" s="99" t="str">
        <f>VLOOKUP(AJ597,rfm[],2,0)</f>
        <v>💤 Lost / Low Value</v>
      </c>
      <c r="AN597" s="99" t="b">
        <f t="shared" si="99"/>
        <v>0</v>
      </c>
    </row>
    <row r="598" spans="2:40" x14ac:dyDescent="0.3">
      <c r="B598" s="99" t="s">
        <v>1993</v>
      </c>
      <c r="C598" s="100">
        <v>45768</v>
      </c>
      <c r="D598" s="99" t="s">
        <v>31</v>
      </c>
      <c r="E598" s="99" t="s">
        <v>32</v>
      </c>
      <c r="F598" s="99" t="s">
        <v>20</v>
      </c>
      <c r="G598" s="99">
        <v>23</v>
      </c>
      <c r="H598" s="112">
        <v>180000</v>
      </c>
      <c r="I598" s="112">
        <v>4140000</v>
      </c>
      <c r="J598" s="99" t="s">
        <v>2619</v>
      </c>
      <c r="K598" s="99" t="s">
        <v>8</v>
      </c>
      <c r="N598" s="99" t="s">
        <v>2629</v>
      </c>
      <c r="O598" s="99" t="s">
        <v>8</v>
      </c>
      <c r="P598" s="100">
        <f t="shared" si="91"/>
        <v>45821</v>
      </c>
      <c r="Q598" s="101">
        <f t="shared" si="90"/>
        <v>202</v>
      </c>
      <c r="R598" s="99">
        <f t="shared" si="92"/>
        <v>3</v>
      </c>
      <c r="S598" s="101">
        <f t="shared" si="93"/>
        <v>19130000</v>
      </c>
      <c r="T598" s="99" t="str">
        <f t="shared" si="94"/>
        <v>Low</v>
      </c>
      <c r="U598" s="99" t="str">
        <f t="shared" si="95"/>
        <v>High</v>
      </c>
      <c r="V598" s="99" t="str">
        <f t="shared" si="96"/>
        <v>High</v>
      </c>
      <c r="W598" s="99" t="str">
        <f t="shared" si="97"/>
        <v>LHH</v>
      </c>
      <c r="X598" s="99" t="str">
        <f>VLOOKUP(W598,rfm[],2,FALSE)</f>
        <v>⚠️ At Risk High Value</v>
      </c>
      <c r="AA598" s="99" t="s">
        <v>2629</v>
      </c>
      <c r="AB598" s="99" t="s">
        <v>8</v>
      </c>
      <c r="AC598" s="100">
        <v>45821</v>
      </c>
      <c r="AD598" s="101">
        <v>202</v>
      </c>
      <c r="AE598" s="101">
        <v>3</v>
      </c>
      <c r="AF598" s="101">
        <v>19130000</v>
      </c>
      <c r="AG598" s="99" t="str">
        <f>VLOOKUP(AA598,recency!$K$6:$P$818,6,0)</f>
        <v>Low</v>
      </c>
      <c r="AH598" s="132" t="str">
        <f>VLOOKUP(AA598,frequency!$F$6:$H$818,3,FALSE)</f>
        <v>High</v>
      </c>
      <c r="AI598" s="129" t="str">
        <f>VLOOKUP(AA598,monetary!$B$5:$F$817,5,0)</f>
        <v>Low</v>
      </c>
      <c r="AJ598" s="99" t="str">
        <f t="shared" si="98"/>
        <v>LHL</v>
      </c>
      <c r="AK598" s="99" t="str">
        <f>VLOOKUP(AJ598,rfm[],2,0)</f>
        <v>🔁 Former Loyal Low Spend</v>
      </c>
      <c r="AN598" s="99" t="b">
        <f t="shared" si="99"/>
        <v>0</v>
      </c>
    </row>
    <row r="599" spans="2:40" x14ac:dyDescent="0.3">
      <c r="B599" s="99" t="s">
        <v>2005</v>
      </c>
      <c r="C599" s="100">
        <v>45768</v>
      </c>
      <c r="D599" s="99" t="s">
        <v>18</v>
      </c>
      <c r="E599" s="99" t="s">
        <v>19</v>
      </c>
      <c r="F599" s="99" t="s">
        <v>20</v>
      </c>
      <c r="G599" s="99">
        <v>24</v>
      </c>
      <c r="H599" s="112">
        <v>500000</v>
      </c>
      <c r="I599" s="112">
        <v>12000000</v>
      </c>
      <c r="J599" s="99" t="s">
        <v>2351</v>
      </c>
      <c r="K599" s="99" t="s">
        <v>47</v>
      </c>
      <c r="N599" s="99" t="s">
        <v>2630</v>
      </c>
      <c r="O599" s="99" t="s">
        <v>8</v>
      </c>
      <c r="P599" s="100">
        <f t="shared" si="91"/>
        <v>46017</v>
      </c>
      <c r="Q599" s="101">
        <f t="shared" si="90"/>
        <v>6</v>
      </c>
      <c r="R599" s="99">
        <f t="shared" si="92"/>
        <v>2</v>
      </c>
      <c r="S599" s="101">
        <f t="shared" si="93"/>
        <v>15340000</v>
      </c>
      <c r="T599" s="99" t="str">
        <f t="shared" si="94"/>
        <v>High</v>
      </c>
      <c r="U599" s="99" t="str">
        <f t="shared" si="95"/>
        <v>Low</v>
      </c>
      <c r="V599" s="99" t="str">
        <f t="shared" si="96"/>
        <v>Low</v>
      </c>
      <c r="W599" s="99" t="str">
        <f t="shared" si="97"/>
        <v>HLL</v>
      </c>
      <c r="X599" s="99" t="str">
        <f>VLOOKUP(W599,rfm[],2,FALSE)</f>
        <v>🌱 Potential Loyalists</v>
      </c>
      <c r="AA599" s="99" t="s">
        <v>2630</v>
      </c>
      <c r="AB599" s="99" t="s">
        <v>8</v>
      </c>
      <c r="AC599" s="100">
        <v>46017</v>
      </c>
      <c r="AD599" s="101">
        <v>6</v>
      </c>
      <c r="AE599" s="101">
        <v>2</v>
      </c>
      <c r="AF599" s="101">
        <v>15340000</v>
      </c>
      <c r="AG599" s="99" t="str">
        <f>VLOOKUP(AA599,recency!$K$6:$P$818,6,0)</f>
        <v>High</v>
      </c>
      <c r="AH599" s="132" t="str">
        <f>VLOOKUP(AA599,frequency!$F$6:$H$818,3,FALSE)</f>
        <v>Low</v>
      </c>
      <c r="AI599" s="129" t="str">
        <f>VLOOKUP(AA599,monetary!$B$5:$F$817,5,0)</f>
        <v>Low</v>
      </c>
      <c r="AJ599" s="99" t="str">
        <f t="shared" si="98"/>
        <v>HLL</v>
      </c>
      <c r="AK599" s="99" t="str">
        <f>VLOOKUP(AJ599,rfm[],2,0)</f>
        <v>🌱 Potential Loyalists</v>
      </c>
      <c r="AN599" s="99" t="b">
        <f t="shared" si="99"/>
        <v>1</v>
      </c>
    </row>
    <row r="600" spans="2:40" x14ac:dyDescent="0.3">
      <c r="B600" s="99" t="s">
        <v>2018</v>
      </c>
      <c r="C600" s="100">
        <v>45768</v>
      </c>
      <c r="D600" s="99" t="s">
        <v>14</v>
      </c>
      <c r="E600" s="99" t="s">
        <v>15</v>
      </c>
      <c r="F600" s="99" t="s">
        <v>16</v>
      </c>
      <c r="G600" s="99">
        <v>43</v>
      </c>
      <c r="H600" s="112">
        <v>350000</v>
      </c>
      <c r="I600" s="112">
        <v>15050000</v>
      </c>
      <c r="J600" s="99" t="s">
        <v>2679</v>
      </c>
      <c r="K600" s="99" t="s">
        <v>69</v>
      </c>
      <c r="N600" s="99" t="s">
        <v>2631</v>
      </c>
      <c r="O600" s="99" t="s">
        <v>127</v>
      </c>
      <c r="P600" s="100">
        <f t="shared" si="91"/>
        <v>45992</v>
      </c>
      <c r="Q600" s="101">
        <f t="shared" si="90"/>
        <v>31</v>
      </c>
      <c r="R600" s="99">
        <f t="shared" si="92"/>
        <v>2</v>
      </c>
      <c r="S600" s="101">
        <f t="shared" si="93"/>
        <v>24100000</v>
      </c>
      <c r="T600" s="99" t="str">
        <f t="shared" si="94"/>
        <v>High</v>
      </c>
      <c r="U600" s="99" t="str">
        <f t="shared" si="95"/>
        <v>Low</v>
      </c>
      <c r="V600" s="99" t="str">
        <f t="shared" si="96"/>
        <v>High</v>
      </c>
      <c r="W600" s="99" t="str">
        <f t="shared" si="97"/>
        <v>HLH</v>
      </c>
      <c r="X600" s="99" t="str">
        <f>VLOOKUP(W600,rfm[],2,FALSE)</f>
        <v>🛒 Big Spenders (Occasional)</v>
      </c>
      <c r="AA600" s="99" t="s">
        <v>2631</v>
      </c>
      <c r="AB600" s="99" t="s">
        <v>127</v>
      </c>
      <c r="AC600" s="100">
        <v>45992</v>
      </c>
      <c r="AD600" s="101">
        <v>31</v>
      </c>
      <c r="AE600" s="101">
        <v>2</v>
      </c>
      <c r="AF600" s="101">
        <v>24100000</v>
      </c>
      <c r="AG600" s="99" t="str">
        <f>VLOOKUP(AA600,recency!$K$6:$P$818,6,0)</f>
        <v>High</v>
      </c>
      <c r="AH600" s="132" t="str">
        <f>VLOOKUP(AA600,frequency!$F$6:$H$818,3,FALSE)</f>
        <v>Low</v>
      </c>
      <c r="AI600" s="129" t="str">
        <f>VLOOKUP(AA600,monetary!$B$5:$F$817,5,0)</f>
        <v>Low</v>
      </c>
      <c r="AJ600" s="99" t="str">
        <f t="shared" si="98"/>
        <v>HLL</v>
      </c>
      <c r="AK600" s="99" t="str">
        <f>VLOOKUP(AJ600,rfm[],2,0)</f>
        <v>🌱 Potential Loyalists</v>
      </c>
      <c r="AN600" s="99" t="b">
        <f t="shared" si="99"/>
        <v>0</v>
      </c>
    </row>
    <row r="601" spans="2:40" x14ac:dyDescent="0.3">
      <c r="B601" s="99" t="s">
        <v>2019</v>
      </c>
      <c r="C601" s="100">
        <v>45768</v>
      </c>
      <c r="D601" s="99" t="s">
        <v>44</v>
      </c>
      <c r="E601" s="99" t="s">
        <v>45</v>
      </c>
      <c r="F601" s="99" t="s">
        <v>16</v>
      </c>
      <c r="G601" s="99">
        <v>39</v>
      </c>
      <c r="H601" s="112">
        <v>250000</v>
      </c>
      <c r="I601" s="112">
        <v>9750000</v>
      </c>
      <c r="J601" s="99" t="s">
        <v>2499</v>
      </c>
      <c r="K601" s="99" t="s">
        <v>60</v>
      </c>
      <c r="N601" s="99" t="s">
        <v>2632</v>
      </c>
      <c r="O601" s="99" t="s">
        <v>60</v>
      </c>
      <c r="P601" s="100">
        <f t="shared" si="91"/>
        <v>45996</v>
      </c>
      <c r="Q601" s="101">
        <f t="shared" si="90"/>
        <v>27</v>
      </c>
      <c r="R601" s="99">
        <f t="shared" si="92"/>
        <v>4</v>
      </c>
      <c r="S601" s="101">
        <f t="shared" si="93"/>
        <v>53750000</v>
      </c>
      <c r="T601" s="99" t="str">
        <f t="shared" si="94"/>
        <v>High</v>
      </c>
      <c r="U601" s="99" t="str">
        <f t="shared" si="95"/>
        <v>High</v>
      </c>
      <c r="V601" s="99" t="str">
        <f t="shared" si="96"/>
        <v>High</v>
      </c>
      <c r="W601" s="99" t="str">
        <f t="shared" si="97"/>
        <v>HHH</v>
      </c>
      <c r="X601" s="99" t="str">
        <f>VLOOKUP(W601,rfm[],2,FALSE)</f>
        <v>🥇 Champions</v>
      </c>
      <c r="AA601" s="99" t="s">
        <v>2632</v>
      </c>
      <c r="AB601" s="99" t="s">
        <v>60</v>
      </c>
      <c r="AC601" s="100">
        <v>45996</v>
      </c>
      <c r="AD601" s="101">
        <v>27</v>
      </c>
      <c r="AE601" s="101">
        <v>4</v>
      </c>
      <c r="AF601" s="101">
        <v>53750000</v>
      </c>
      <c r="AG601" s="99" t="str">
        <f>VLOOKUP(AA601,recency!$K$6:$P$818,6,0)</f>
        <v>High</v>
      </c>
      <c r="AH601" s="132" t="str">
        <f>VLOOKUP(AA601,frequency!$F$6:$H$818,3,FALSE)</f>
        <v>High</v>
      </c>
      <c r="AI601" s="129" t="str">
        <f>VLOOKUP(AA601,monetary!$B$5:$F$817,5,0)</f>
        <v>High</v>
      </c>
      <c r="AJ601" s="99" t="str">
        <f t="shared" si="98"/>
        <v>HHH</v>
      </c>
      <c r="AK601" s="99" t="str">
        <f>VLOOKUP(AJ601,rfm[],2,0)</f>
        <v>🥇 Champions</v>
      </c>
      <c r="AN601" s="99" t="b">
        <f t="shared" si="99"/>
        <v>1</v>
      </c>
    </row>
    <row r="602" spans="2:40" x14ac:dyDescent="0.3">
      <c r="B602" s="99" t="s">
        <v>2028</v>
      </c>
      <c r="C602" s="100">
        <v>45768</v>
      </c>
      <c r="D602" s="99" t="s">
        <v>31</v>
      </c>
      <c r="E602" s="99" t="s">
        <v>32</v>
      </c>
      <c r="F602" s="99" t="s">
        <v>20</v>
      </c>
      <c r="G602" s="99">
        <v>29</v>
      </c>
      <c r="H602" s="112">
        <v>180000</v>
      </c>
      <c r="I602" s="112">
        <v>5220000</v>
      </c>
      <c r="J602" s="99" t="s">
        <v>2148</v>
      </c>
      <c r="K602" s="99" t="s">
        <v>127</v>
      </c>
      <c r="N602" s="99" t="s">
        <v>2633</v>
      </c>
      <c r="O602" s="99" t="s">
        <v>60</v>
      </c>
      <c r="P602" s="100">
        <f t="shared" si="91"/>
        <v>45978</v>
      </c>
      <c r="Q602" s="101">
        <f t="shared" si="90"/>
        <v>45</v>
      </c>
      <c r="R602" s="99">
        <f t="shared" si="92"/>
        <v>5</v>
      </c>
      <c r="S602" s="101">
        <f t="shared" si="93"/>
        <v>40235000</v>
      </c>
      <c r="T602" s="99" t="str">
        <f t="shared" si="94"/>
        <v>High</v>
      </c>
      <c r="U602" s="99" t="str">
        <f t="shared" si="95"/>
        <v>High</v>
      </c>
      <c r="V602" s="99" t="str">
        <f t="shared" si="96"/>
        <v>High</v>
      </c>
      <c r="W602" s="99" t="str">
        <f t="shared" si="97"/>
        <v>HHH</v>
      </c>
      <c r="X602" s="99" t="str">
        <f>VLOOKUP(W602,rfm[],2,FALSE)</f>
        <v>🥇 Champions</v>
      </c>
      <c r="AA602" s="99" t="s">
        <v>2633</v>
      </c>
      <c r="AB602" s="99" t="s">
        <v>60</v>
      </c>
      <c r="AC602" s="100">
        <v>45978</v>
      </c>
      <c r="AD602" s="101">
        <v>45</v>
      </c>
      <c r="AE602" s="101">
        <v>5</v>
      </c>
      <c r="AF602" s="101">
        <v>40235000</v>
      </c>
      <c r="AG602" s="99" t="str">
        <f>VLOOKUP(AA602,recency!$K$6:$P$818,6,0)</f>
        <v>High</v>
      </c>
      <c r="AH602" s="132" t="str">
        <f>VLOOKUP(AA602,frequency!$F$6:$H$818,3,FALSE)</f>
        <v>High</v>
      </c>
      <c r="AI602" s="129" t="str">
        <f>VLOOKUP(AA602,monetary!$B$5:$F$817,5,0)</f>
        <v>Low</v>
      </c>
      <c r="AJ602" s="99" t="str">
        <f t="shared" si="98"/>
        <v>HHL</v>
      </c>
      <c r="AK602" s="99" t="str">
        <f>VLOOKUP(AJ602,rfm[],2,0)</f>
        <v>💎 Loyal High Value</v>
      </c>
      <c r="AN602" s="99" t="b">
        <f t="shared" si="99"/>
        <v>0</v>
      </c>
    </row>
    <row r="603" spans="2:40" x14ac:dyDescent="0.3">
      <c r="B603" s="99" t="s">
        <v>2029</v>
      </c>
      <c r="C603" s="100">
        <v>45768</v>
      </c>
      <c r="D603" s="99" t="s">
        <v>28</v>
      </c>
      <c r="E603" s="99" t="s">
        <v>29</v>
      </c>
      <c r="F603" s="99" t="s">
        <v>20</v>
      </c>
      <c r="G603" s="99">
        <v>30</v>
      </c>
      <c r="H603" s="112">
        <v>450000</v>
      </c>
      <c r="I603" s="112">
        <v>13500000</v>
      </c>
      <c r="J603" s="99" t="s">
        <v>2214</v>
      </c>
      <c r="K603" s="99" t="s">
        <v>69</v>
      </c>
      <c r="N603" s="99" t="s">
        <v>2634</v>
      </c>
      <c r="O603" s="99" t="s">
        <v>69</v>
      </c>
      <c r="P603" s="100">
        <f t="shared" si="91"/>
        <v>45918</v>
      </c>
      <c r="Q603" s="101">
        <f t="shared" si="90"/>
        <v>105</v>
      </c>
      <c r="R603" s="99">
        <f t="shared" si="92"/>
        <v>2</v>
      </c>
      <c r="S603" s="101">
        <f t="shared" si="93"/>
        <v>25500000</v>
      </c>
      <c r="T603" s="99" t="str">
        <f t="shared" si="94"/>
        <v>Low</v>
      </c>
      <c r="U603" s="99" t="str">
        <f t="shared" si="95"/>
        <v>Low</v>
      </c>
      <c r="V603" s="99" t="str">
        <f t="shared" si="96"/>
        <v>High</v>
      </c>
      <c r="W603" s="99" t="str">
        <f t="shared" si="97"/>
        <v>LLH</v>
      </c>
      <c r="X603" s="99" t="str">
        <f>VLOOKUP(W603,rfm[],2,FALSE)</f>
        <v>💸 Lost High Spenders</v>
      </c>
      <c r="AA603" s="99" t="s">
        <v>2634</v>
      </c>
      <c r="AB603" s="99" t="s">
        <v>69</v>
      </c>
      <c r="AC603" s="100">
        <v>45918</v>
      </c>
      <c r="AD603" s="101">
        <v>105</v>
      </c>
      <c r="AE603" s="101">
        <v>2</v>
      </c>
      <c r="AF603" s="101">
        <v>25500000</v>
      </c>
      <c r="AG603" s="99" t="str">
        <f>VLOOKUP(AA603,recency!$K$6:$P$818,6,0)</f>
        <v>Low</v>
      </c>
      <c r="AH603" s="132" t="str">
        <f>VLOOKUP(AA603,frequency!$F$6:$H$818,3,FALSE)</f>
        <v>Low</v>
      </c>
      <c r="AI603" s="129" t="str">
        <f>VLOOKUP(AA603,monetary!$B$5:$F$817,5,0)</f>
        <v>Low</v>
      </c>
      <c r="AJ603" s="99" t="str">
        <f t="shared" si="98"/>
        <v>LLL</v>
      </c>
      <c r="AK603" s="99" t="str">
        <f>VLOOKUP(AJ603,rfm[],2,0)</f>
        <v>💤 Lost / Low Value</v>
      </c>
      <c r="AN603" s="99" t="b">
        <f t="shared" si="99"/>
        <v>0</v>
      </c>
    </row>
    <row r="604" spans="2:40" x14ac:dyDescent="0.3">
      <c r="B604" s="99" t="s">
        <v>2042</v>
      </c>
      <c r="C604" s="100">
        <v>45768</v>
      </c>
      <c r="D604" s="99" t="s">
        <v>31</v>
      </c>
      <c r="E604" s="99" t="s">
        <v>32</v>
      </c>
      <c r="F604" s="99" t="s">
        <v>20</v>
      </c>
      <c r="G604" s="99">
        <v>30</v>
      </c>
      <c r="H604" s="112">
        <v>180000</v>
      </c>
      <c r="I604" s="112">
        <v>5400000</v>
      </c>
      <c r="J604" s="99" t="s">
        <v>126</v>
      </c>
      <c r="K604" s="99" t="s">
        <v>127</v>
      </c>
      <c r="N604" s="99" t="s">
        <v>2635</v>
      </c>
      <c r="O604" s="99" t="s">
        <v>47</v>
      </c>
      <c r="P604" s="100">
        <f t="shared" si="91"/>
        <v>45954</v>
      </c>
      <c r="Q604" s="101">
        <f t="shared" si="90"/>
        <v>69</v>
      </c>
      <c r="R604" s="99">
        <f t="shared" si="92"/>
        <v>3</v>
      </c>
      <c r="S604" s="101">
        <f t="shared" si="93"/>
        <v>34450000</v>
      </c>
      <c r="T604" s="99" t="str">
        <f t="shared" si="94"/>
        <v>High</v>
      </c>
      <c r="U604" s="99" t="str">
        <f t="shared" si="95"/>
        <v>High</v>
      </c>
      <c r="V604" s="99" t="str">
        <f t="shared" si="96"/>
        <v>High</v>
      </c>
      <c r="W604" s="99" t="str">
        <f t="shared" si="97"/>
        <v>HHH</v>
      </c>
      <c r="X604" s="99" t="str">
        <f>VLOOKUP(W604,rfm[],2,FALSE)</f>
        <v>🥇 Champions</v>
      </c>
      <c r="AA604" s="99" t="s">
        <v>2635</v>
      </c>
      <c r="AB604" s="99" t="s">
        <v>47</v>
      </c>
      <c r="AC604" s="100">
        <v>45954</v>
      </c>
      <c r="AD604" s="101">
        <v>69</v>
      </c>
      <c r="AE604" s="101">
        <v>3</v>
      </c>
      <c r="AF604" s="101">
        <v>34450000</v>
      </c>
      <c r="AG604" s="99" t="str">
        <f>VLOOKUP(AA604,recency!$K$6:$P$818,6,0)</f>
        <v>Low</v>
      </c>
      <c r="AH604" s="132" t="str">
        <f>VLOOKUP(AA604,frequency!$F$6:$H$818,3,FALSE)</f>
        <v>High</v>
      </c>
      <c r="AI604" s="129" t="str">
        <f>VLOOKUP(AA604,monetary!$B$5:$F$817,5,0)</f>
        <v>Low</v>
      </c>
      <c r="AJ604" s="99" t="str">
        <f t="shared" si="98"/>
        <v>LHL</v>
      </c>
      <c r="AK604" s="99" t="str">
        <f>VLOOKUP(AJ604,rfm[],2,0)</f>
        <v>🔁 Former Loyal Low Spend</v>
      </c>
      <c r="AN604" s="99" t="b">
        <f t="shared" si="99"/>
        <v>0</v>
      </c>
    </row>
    <row r="605" spans="2:40" x14ac:dyDescent="0.3">
      <c r="B605" s="99" t="s">
        <v>2043</v>
      </c>
      <c r="C605" s="100">
        <v>45768</v>
      </c>
      <c r="D605" s="99" t="s">
        <v>22</v>
      </c>
      <c r="E605" s="99" t="s">
        <v>23</v>
      </c>
      <c r="F605" s="99" t="s">
        <v>12</v>
      </c>
      <c r="G605" s="99">
        <v>19</v>
      </c>
      <c r="H605" s="112">
        <v>25000</v>
      </c>
      <c r="I605" s="112">
        <v>475000</v>
      </c>
      <c r="J605" s="99" t="s">
        <v>1885</v>
      </c>
      <c r="K605" s="99" t="s">
        <v>127</v>
      </c>
      <c r="N605" s="99" t="s">
        <v>2636</v>
      </c>
      <c r="O605" s="99" t="s">
        <v>60</v>
      </c>
      <c r="P605" s="100">
        <f t="shared" si="91"/>
        <v>46003</v>
      </c>
      <c r="Q605" s="101">
        <f t="shared" si="90"/>
        <v>20</v>
      </c>
      <c r="R605" s="99">
        <f t="shared" si="92"/>
        <v>2</v>
      </c>
      <c r="S605" s="101">
        <f t="shared" si="93"/>
        <v>33120000</v>
      </c>
      <c r="T605" s="99" t="str">
        <f t="shared" si="94"/>
        <v>High</v>
      </c>
      <c r="U605" s="99" t="str">
        <f t="shared" si="95"/>
        <v>Low</v>
      </c>
      <c r="V605" s="99" t="str">
        <f t="shared" si="96"/>
        <v>High</v>
      </c>
      <c r="W605" s="99" t="str">
        <f t="shared" si="97"/>
        <v>HLH</v>
      </c>
      <c r="X605" s="99" t="str">
        <f>VLOOKUP(W605,rfm[],2,FALSE)</f>
        <v>🛒 Big Spenders (Occasional)</v>
      </c>
      <c r="AA605" s="99" t="s">
        <v>2636</v>
      </c>
      <c r="AB605" s="99" t="s">
        <v>60</v>
      </c>
      <c r="AC605" s="100">
        <v>46003</v>
      </c>
      <c r="AD605" s="101">
        <v>20</v>
      </c>
      <c r="AE605" s="101">
        <v>2</v>
      </c>
      <c r="AF605" s="101">
        <v>33120000</v>
      </c>
      <c r="AG605" s="99" t="str">
        <f>VLOOKUP(AA605,recency!$K$6:$P$818,6,0)</f>
        <v>High</v>
      </c>
      <c r="AH605" s="132" t="str">
        <f>VLOOKUP(AA605,frequency!$F$6:$H$818,3,FALSE)</f>
        <v>Low</v>
      </c>
      <c r="AI605" s="129" t="str">
        <f>VLOOKUP(AA605,monetary!$B$5:$F$817,5,0)</f>
        <v>Low</v>
      </c>
      <c r="AJ605" s="99" t="str">
        <f t="shared" si="98"/>
        <v>HLL</v>
      </c>
      <c r="AK605" s="99" t="str">
        <f>VLOOKUP(AJ605,rfm[],2,0)</f>
        <v>🌱 Potential Loyalists</v>
      </c>
      <c r="AN605" s="99" t="b">
        <f t="shared" si="99"/>
        <v>0</v>
      </c>
    </row>
    <row r="606" spans="2:40" x14ac:dyDescent="0.3">
      <c r="B606" s="99" t="s">
        <v>2054</v>
      </c>
      <c r="C606" s="100">
        <v>45768</v>
      </c>
      <c r="D606" s="99" t="s">
        <v>14</v>
      </c>
      <c r="E606" s="99" t="s">
        <v>15</v>
      </c>
      <c r="F606" s="99" t="s">
        <v>16</v>
      </c>
      <c r="G606" s="99">
        <v>25</v>
      </c>
      <c r="H606" s="112">
        <v>350000</v>
      </c>
      <c r="I606" s="112">
        <v>8750000</v>
      </c>
      <c r="J606" s="99" t="s">
        <v>2771</v>
      </c>
      <c r="K606" s="99" t="s">
        <v>8</v>
      </c>
      <c r="N606" s="99" t="s">
        <v>2637</v>
      </c>
      <c r="O606" s="99" t="s">
        <v>47</v>
      </c>
      <c r="P606" s="100">
        <f t="shared" si="91"/>
        <v>45972</v>
      </c>
      <c r="Q606" s="101">
        <f t="shared" si="90"/>
        <v>51</v>
      </c>
      <c r="R606" s="99">
        <f t="shared" si="92"/>
        <v>3</v>
      </c>
      <c r="S606" s="101">
        <f t="shared" si="93"/>
        <v>5055000</v>
      </c>
      <c r="T606" s="99" t="str">
        <f t="shared" si="94"/>
        <v>High</v>
      </c>
      <c r="U606" s="99" t="str">
        <f t="shared" si="95"/>
        <v>High</v>
      </c>
      <c r="V606" s="99" t="str">
        <f t="shared" si="96"/>
        <v>Low</v>
      </c>
      <c r="W606" s="99" t="str">
        <f t="shared" si="97"/>
        <v>HHL</v>
      </c>
      <c r="X606" s="99" t="str">
        <f>VLOOKUP(W606,rfm[],2,FALSE)</f>
        <v>💎 Loyal High Value</v>
      </c>
      <c r="AA606" s="99" t="s">
        <v>2637</v>
      </c>
      <c r="AB606" s="99" t="s">
        <v>47</v>
      </c>
      <c r="AC606" s="100">
        <v>45972</v>
      </c>
      <c r="AD606" s="101">
        <v>51</v>
      </c>
      <c r="AE606" s="101">
        <v>3</v>
      </c>
      <c r="AF606" s="101">
        <v>5055000</v>
      </c>
      <c r="AG606" s="99" t="str">
        <f>VLOOKUP(AA606,recency!$K$6:$P$818,6,0)</f>
        <v>High</v>
      </c>
      <c r="AH606" s="132" t="str">
        <f>VLOOKUP(AA606,frequency!$F$6:$H$818,3,FALSE)</f>
        <v>High</v>
      </c>
      <c r="AI606" s="129" t="str">
        <f>VLOOKUP(AA606,monetary!$B$5:$F$817,5,0)</f>
        <v>Low</v>
      </c>
      <c r="AJ606" s="99" t="str">
        <f t="shared" si="98"/>
        <v>HHL</v>
      </c>
      <c r="AK606" s="99" t="str">
        <f>VLOOKUP(AJ606,rfm[],2,0)</f>
        <v>💎 Loyal High Value</v>
      </c>
      <c r="AN606" s="99" t="b">
        <f t="shared" si="99"/>
        <v>1</v>
      </c>
    </row>
    <row r="607" spans="2:40" x14ac:dyDescent="0.3">
      <c r="B607" s="99" t="s">
        <v>2055</v>
      </c>
      <c r="C607" s="100">
        <v>45768</v>
      </c>
      <c r="D607" s="99" t="s">
        <v>10</v>
      </c>
      <c r="E607" s="99" t="s">
        <v>11</v>
      </c>
      <c r="F607" s="99" t="s">
        <v>12</v>
      </c>
      <c r="G607" s="99">
        <v>34</v>
      </c>
      <c r="H607" s="112">
        <v>120000</v>
      </c>
      <c r="I607" s="112">
        <v>4080000</v>
      </c>
      <c r="J607" s="99" t="s">
        <v>2468</v>
      </c>
      <c r="K607" s="99" t="s">
        <v>60</v>
      </c>
      <c r="N607" s="99" t="s">
        <v>2638</v>
      </c>
      <c r="O607" s="99" t="s">
        <v>127</v>
      </c>
      <c r="P607" s="100">
        <f t="shared" si="91"/>
        <v>45721</v>
      </c>
      <c r="Q607" s="101">
        <f t="shared" si="90"/>
        <v>302</v>
      </c>
      <c r="R607" s="99">
        <f t="shared" si="92"/>
        <v>1</v>
      </c>
      <c r="S607" s="101">
        <f t="shared" si="93"/>
        <v>4000000</v>
      </c>
      <c r="T607" s="99" t="str">
        <f t="shared" si="94"/>
        <v>Low</v>
      </c>
      <c r="U607" s="99" t="str">
        <f t="shared" si="95"/>
        <v>Low</v>
      </c>
      <c r="V607" s="99" t="str">
        <f t="shared" si="96"/>
        <v>Low</v>
      </c>
      <c r="W607" s="99" t="str">
        <f t="shared" si="97"/>
        <v>LLL</v>
      </c>
      <c r="X607" s="99" t="str">
        <f>VLOOKUP(W607,rfm[],2,FALSE)</f>
        <v>💤 Lost / Low Value</v>
      </c>
      <c r="AA607" s="99" t="s">
        <v>2638</v>
      </c>
      <c r="AB607" s="99" t="s">
        <v>127</v>
      </c>
      <c r="AC607" s="100">
        <v>45721</v>
      </c>
      <c r="AD607" s="101">
        <v>302</v>
      </c>
      <c r="AE607" s="101">
        <v>1</v>
      </c>
      <c r="AF607" s="101">
        <v>4000000</v>
      </c>
      <c r="AG607" s="99" t="str">
        <f>VLOOKUP(AA607,recency!$K$6:$P$818,6,0)</f>
        <v>Low</v>
      </c>
      <c r="AH607" s="132" t="str">
        <f>VLOOKUP(AA607,frequency!$F$6:$H$818,3,FALSE)</f>
        <v>Low</v>
      </c>
      <c r="AI607" s="129" t="str">
        <f>VLOOKUP(AA607,monetary!$B$5:$F$817,5,0)</f>
        <v>Low</v>
      </c>
      <c r="AJ607" s="99" t="str">
        <f t="shared" si="98"/>
        <v>LLL</v>
      </c>
      <c r="AK607" s="99" t="str">
        <f>VLOOKUP(AJ607,rfm[],2,0)</f>
        <v>💤 Lost / Low Value</v>
      </c>
      <c r="AN607" s="99" t="b">
        <f t="shared" si="99"/>
        <v>1</v>
      </c>
    </row>
    <row r="608" spans="2:40" x14ac:dyDescent="0.3">
      <c r="B608" s="99" t="s">
        <v>2056</v>
      </c>
      <c r="C608" s="100">
        <v>45768</v>
      </c>
      <c r="D608" s="99" t="s">
        <v>42</v>
      </c>
      <c r="E608" s="99" t="s">
        <v>43</v>
      </c>
      <c r="F608" s="99" t="s">
        <v>16</v>
      </c>
      <c r="G608" s="99">
        <v>29</v>
      </c>
      <c r="H608" s="112">
        <v>1200000</v>
      </c>
      <c r="I608" s="112">
        <v>34800000</v>
      </c>
      <c r="J608" s="99" t="s">
        <v>2551</v>
      </c>
      <c r="K608" s="99" t="s">
        <v>8</v>
      </c>
      <c r="N608" s="99" t="s">
        <v>2639</v>
      </c>
      <c r="O608" s="99" t="s">
        <v>69</v>
      </c>
      <c r="P608" s="100">
        <f t="shared" si="91"/>
        <v>45961</v>
      </c>
      <c r="Q608" s="101">
        <f t="shared" si="90"/>
        <v>62</v>
      </c>
      <c r="R608" s="99">
        <f t="shared" si="92"/>
        <v>1</v>
      </c>
      <c r="S608" s="101">
        <f t="shared" si="93"/>
        <v>15750000</v>
      </c>
      <c r="T608" s="99" t="str">
        <f t="shared" si="94"/>
        <v>High</v>
      </c>
      <c r="U608" s="99" t="str">
        <f t="shared" si="95"/>
        <v>Low</v>
      </c>
      <c r="V608" s="99" t="str">
        <f t="shared" si="96"/>
        <v>Low</v>
      </c>
      <c r="W608" s="99" t="str">
        <f t="shared" si="97"/>
        <v>HLL</v>
      </c>
      <c r="X608" s="99" t="str">
        <f>VLOOKUP(W608,rfm[],2,FALSE)</f>
        <v>🌱 Potential Loyalists</v>
      </c>
      <c r="AA608" s="99" t="s">
        <v>2639</v>
      </c>
      <c r="AB608" s="99" t="s">
        <v>69</v>
      </c>
      <c r="AC608" s="100">
        <v>45961</v>
      </c>
      <c r="AD608" s="101">
        <v>62</v>
      </c>
      <c r="AE608" s="101">
        <v>1</v>
      </c>
      <c r="AF608" s="101">
        <v>15750000</v>
      </c>
      <c r="AG608" s="99" t="str">
        <f>VLOOKUP(AA608,recency!$K$6:$P$818,6,0)</f>
        <v>Low</v>
      </c>
      <c r="AH608" s="132" t="str">
        <f>VLOOKUP(AA608,frequency!$F$6:$H$818,3,FALSE)</f>
        <v>Low</v>
      </c>
      <c r="AI608" s="129" t="str">
        <f>VLOOKUP(AA608,monetary!$B$5:$F$817,5,0)</f>
        <v>Low</v>
      </c>
      <c r="AJ608" s="99" t="str">
        <f t="shared" si="98"/>
        <v>LLL</v>
      </c>
      <c r="AK608" s="99" t="str">
        <f>VLOOKUP(AJ608,rfm[],2,0)</f>
        <v>💤 Lost / Low Value</v>
      </c>
      <c r="AN608" s="99" t="b">
        <f t="shared" si="99"/>
        <v>0</v>
      </c>
    </row>
    <row r="609" spans="2:40" x14ac:dyDescent="0.3">
      <c r="B609" s="99" t="s">
        <v>2067</v>
      </c>
      <c r="C609" s="100">
        <v>45768</v>
      </c>
      <c r="D609" s="99" t="s">
        <v>14</v>
      </c>
      <c r="E609" s="99" t="s">
        <v>15</v>
      </c>
      <c r="F609" s="99" t="s">
        <v>16</v>
      </c>
      <c r="G609" s="99">
        <v>330</v>
      </c>
      <c r="H609" s="112">
        <v>350000</v>
      </c>
      <c r="I609" s="112">
        <v>115500000</v>
      </c>
      <c r="J609" s="99" t="s">
        <v>2266</v>
      </c>
      <c r="K609" s="99" t="s">
        <v>8</v>
      </c>
      <c r="N609" s="99" t="s">
        <v>2640</v>
      </c>
      <c r="O609" s="99" t="s">
        <v>60</v>
      </c>
      <c r="P609" s="100">
        <f t="shared" si="91"/>
        <v>45758</v>
      </c>
      <c r="Q609" s="101">
        <f t="shared" si="90"/>
        <v>265</v>
      </c>
      <c r="R609" s="99">
        <f t="shared" si="92"/>
        <v>1</v>
      </c>
      <c r="S609" s="101">
        <f t="shared" si="93"/>
        <v>7560000</v>
      </c>
      <c r="T609" s="99" t="str">
        <f t="shared" si="94"/>
        <v>Low</v>
      </c>
      <c r="U609" s="99" t="str">
        <f t="shared" si="95"/>
        <v>Low</v>
      </c>
      <c r="V609" s="99" t="str">
        <f t="shared" si="96"/>
        <v>Low</v>
      </c>
      <c r="W609" s="99" t="str">
        <f t="shared" si="97"/>
        <v>LLL</v>
      </c>
      <c r="X609" s="99" t="str">
        <f>VLOOKUP(W609,rfm[],2,FALSE)</f>
        <v>💤 Lost / Low Value</v>
      </c>
      <c r="AA609" s="99" t="s">
        <v>2640</v>
      </c>
      <c r="AB609" s="99" t="s">
        <v>60</v>
      </c>
      <c r="AC609" s="100">
        <v>45758</v>
      </c>
      <c r="AD609" s="101">
        <v>265</v>
      </c>
      <c r="AE609" s="101">
        <v>1</v>
      </c>
      <c r="AF609" s="101">
        <v>7560000</v>
      </c>
      <c r="AG609" s="99" t="str">
        <f>VLOOKUP(AA609,recency!$K$6:$P$818,6,0)</f>
        <v>Low</v>
      </c>
      <c r="AH609" s="132" t="str">
        <f>VLOOKUP(AA609,frequency!$F$6:$H$818,3,FALSE)</f>
        <v>Low</v>
      </c>
      <c r="AI609" s="129" t="str">
        <f>VLOOKUP(AA609,monetary!$B$5:$F$817,5,0)</f>
        <v>Low</v>
      </c>
      <c r="AJ609" s="99" t="str">
        <f t="shared" si="98"/>
        <v>LLL</v>
      </c>
      <c r="AK609" s="99" t="str">
        <f>VLOOKUP(AJ609,rfm[],2,0)</f>
        <v>💤 Lost / Low Value</v>
      </c>
      <c r="AN609" s="99" t="b">
        <f t="shared" si="99"/>
        <v>1</v>
      </c>
    </row>
    <row r="610" spans="2:40" x14ac:dyDescent="0.3">
      <c r="B610" s="99" t="s">
        <v>2068</v>
      </c>
      <c r="C610" s="100">
        <v>45768</v>
      </c>
      <c r="D610" s="99" t="s">
        <v>10</v>
      </c>
      <c r="E610" s="99" t="s">
        <v>11</v>
      </c>
      <c r="F610" s="99" t="s">
        <v>12</v>
      </c>
      <c r="G610" s="99">
        <v>39</v>
      </c>
      <c r="H610" s="112">
        <v>120000</v>
      </c>
      <c r="I610" s="112">
        <v>4680000</v>
      </c>
      <c r="J610" s="99" t="s">
        <v>2818</v>
      </c>
      <c r="K610" s="99" t="s">
        <v>127</v>
      </c>
      <c r="N610" s="99" t="s">
        <v>2641</v>
      </c>
      <c r="O610" s="99" t="s">
        <v>47</v>
      </c>
      <c r="P610" s="100">
        <f t="shared" si="91"/>
        <v>45840</v>
      </c>
      <c r="Q610" s="101">
        <f t="shared" si="90"/>
        <v>183</v>
      </c>
      <c r="R610" s="99">
        <f t="shared" si="92"/>
        <v>4</v>
      </c>
      <c r="S610" s="101">
        <f t="shared" si="93"/>
        <v>72570000</v>
      </c>
      <c r="T610" s="99" t="str">
        <f t="shared" si="94"/>
        <v>Low</v>
      </c>
      <c r="U610" s="99" t="str">
        <f t="shared" si="95"/>
        <v>High</v>
      </c>
      <c r="V610" s="99" t="str">
        <f t="shared" si="96"/>
        <v>High</v>
      </c>
      <c r="W610" s="99" t="str">
        <f t="shared" si="97"/>
        <v>LHH</v>
      </c>
      <c r="X610" s="99" t="str">
        <f>VLOOKUP(W610,rfm[],2,FALSE)</f>
        <v>⚠️ At Risk High Value</v>
      </c>
      <c r="AA610" s="99" t="s">
        <v>2641</v>
      </c>
      <c r="AB610" s="99" t="s">
        <v>47</v>
      </c>
      <c r="AC610" s="100">
        <v>45840</v>
      </c>
      <c r="AD610" s="101">
        <v>183</v>
      </c>
      <c r="AE610" s="101">
        <v>4</v>
      </c>
      <c r="AF610" s="101">
        <v>72570000</v>
      </c>
      <c r="AG610" s="99" t="str">
        <f>VLOOKUP(AA610,recency!$K$6:$P$818,6,0)</f>
        <v>Low</v>
      </c>
      <c r="AH610" s="132" t="str">
        <f>VLOOKUP(AA610,frequency!$F$6:$H$818,3,FALSE)</f>
        <v>High</v>
      </c>
      <c r="AI610" s="129" t="str">
        <f>VLOOKUP(AA610,monetary!$B$5:$F$817,5,0)</f>
        <v>High</v>
      </c>
      <c r="AJ610" s="99" t="str">
        <f t="shared" si="98"/>
        <v>LHH</v>
      </c>
      <c r="AK610" s="99" t="str">
        <f>VLOOKUP(AJ610,rfm[],2,0)</f>
        <v>⚠️ At Risk High Value</v>
      </c>
      <c r="AN610" s="99" t="b">
        <f t="shared" si="99"/>
        <v>1</v>
      </c>
    </row>
    <row r="611" spans="2:40" x14ac:dyDescent="0.3">
      <c r="B611" s="99" t="s">
        <v>2076</v>
      </c>
      <c r="C611" s="100">
        <v>45769</v>
      </c>
      <c r="D611" s="99" t="s">
        <v>42</v>
      </c>
      <c r="E611" s="99" t="s">
        <v>43</v>
      </c>
      <c r="F611" s="99" t="s">
        <v>16</v>
      </c>
      <c r="G611" s="99">
        <v>7</v>
      </c>
      <c r="H611" s="112">
        <v>1200000</v>
      </c>
      <c r="I611" s="112">
        <v>8400000</v>
      </c>
      <c r="J611" s="99" t="s">
        <v>2594</v>
      </c>
      <c r="K611" s="99" t="s">
        <v>69</v>
      </c>
      <c r="N611" s="99" t="s">
        <v>2642</v>
      </c>
      <c r="O611" s="99" t="s">
        <v>8</v>
      </c>
      <c r="P611" s="100">
        <f t="shared" si="91"/>
        <v>45884</v>
      </c>
      <c r="Q611" s="101">
        <f t="shared" si="90"/>
        <v>139</v>
      </c>
      <c r="R611" s="99">
        <f t="shared" si="92"/>
        <v>1</v>
      </c>
      <c r="S611" s="101">
        <f t="shared" si="93"/>
        <v>39900000</v>
      </c>
      <c r="T611" s="99" t="str">
        <f t="shared" si="94"/>
        <v>Low</v>
      </c>
      <c r="U611" s="99" t="str">
        <f t="shared" si="95"/>
        <v>Low</v>
      </c>
      <c r="V611" s="99" t="str">
        <f t="shared" si="96"/>
        <v>High</v>
      </c>
      <c r="W611" s="99" t="str">
        <f t="shared" si="97"/>
        <v>LLH</v>
      </c>
      <c r="X611" s="99" t="str">
        <f>VLOOKUP(W611,rfm[],2,FALSE)</f>
        <v>💸 Lost High Spenders</v>
      </c>
      <c r="AA611" s="99" t="s">
        <v>2642</v>
      </c>
      <c r="AB611" s="99" t="s">
        <v>8</v>
      </c>
      <c r="AC611" s="100">
        <v>45884</v>
      </c>
      <c r="AD611" s="101">
        <v>139</v>
      </c>
      <c r="AE611" s="101">
        <v>1</v>
      </c>
      <c r="AF611" s="101">
        <v>39900000</v>
      </c>
      <c r="AG611" s="99" t="str">
        <f>VLOOKUP(AA611,recency!$K$6:$P$818,6,0)</f>
        <v>Low</v>
      </c>
      <c r="AH611" s="132" t="str">
        <f>VLOOKUP(AA611,frequency!$F$6:$H$818,3,FALSE)</f>
        <v>Low</v>
      </c>
      <c r="AI611" s="129" t="str">
        <f>VLOOKUP(AA611,monetary!$B$5:$F$817,5,0)</f>
        <v>Low</v>
      </c>
      <c r="AJ611" s="99" t="str">
        <f t="shared" si="98"/>
        <v>LLL</v>
      </c>
      <c r="AK611" s="99" t="str">
        <f>VLOOKUP(AJ611,rfm[],2,0)</f>
        <v>💤 Lost / Low Value</v>
      </c>
      <c r="AN611" s="99" t="b">
        <f t="shared" si="99"/>
        <v>0</v>
      </c>
    </row>
    <row r="612" spans="2:40" x14ac:dyDescent="0.3">
      <c r="B612" s="99" t="s">
        <v>2077</v>
      </c>
      <c r="C612" s="100">
        <v>45769</v>
      </c>
      <c r="D612" s="99" t="s">
        <v>44</v>
      </c>
      <c r="E612" s="99" t="s">
        <v>45</v>
      </c>
      <c r="F612" s="99" t="s">
        <v>16</v>
      </c>
      <c r="G612" s="99">
        <v>44</v>
      </c>
      <c r="H612" s="112">
        <v>250000</v>
      </c>
      <c r="I612" s="112">
        <v>11000000</v>
      </c>
      <c r="J612" s="99" t="s">
        <v>2287</v>
      </c>
      <c r="K612" s="99" t="s">
        <v>127</v>
      </c>
      <c r="N612" s="99" t="s">
        <v>2643</v>
      </c>
      <c r="O612" s="99" t="s">
        <v>60</v>
      </c>
      <c r="P612" s="100">
        <f t="shared" si="91"/>
        <v>45807</v>
      </c>
      <c r="Q612" s="101">
        <f t="shared" si="90"/>
        <v>216</v>
      </c>
      <c r="R612" s="99">
        <f t="shared" si="92"/>
        <v>2</v>
      </c>
      <c r="S612" s="101">
        <f t="shared" si="93"/>
        <v>53500000</v>
      </c>
      <c r="T612" s="99" t="str">
        <f t="shared" si="94"/>
        <v>Low</v>
      </c>
      <c r="U612" s="99" t="str">
        <f t="shared" si="95"/>
        <v>Low</v>
      </c>
      <c r="V612" s="99" t="str">
        <f t="shared" si="96"/>
        <v>High</v>
      </c>
      <c r="W612" s="99" t="str">
        <f t="shared" si="97"/>
        <v>LLH</v>
      </c>
      <c r="X612" s="99" t="str">
        <f>VLOOKUP(W612,rfm[],2,FALSE)</f>
        <v>💸 Lost High Spenders</v>
      </c>
      <c r="AA612" s="99" t="s">
        <v>2643</v>
      </c>
      <c r="AB612" s="99" t="s">
        <v>60</v>
      </c>
      <c r="AC612" s="100">
        <v>45807</v>
      </c>
      <c r="AD612" s="101">
        <v>216</v>
      </c>
      <c r="AE612" s="101">
        <v>2</v>
      </c>
      <c r="AF612" s="101">
        <v>53500000</v>
      </c>
      <c r="AG612" s="99" t="str">
        <f>VLOOKUP(AA612,recency!$K$6:$P$818,6,0)</f>
        <v>Low</v>
      </c>
      <c r="AH612" s="132" t="str">
        <f>VLOOKUP(AA612,frequency!$F$6:$H$818,3,FALSE)</f>
        <v>Low</v>
      </c>
      <c r="AI612" s="129" t="str">
        <f>VLOOKUP(AA612,monetary!$B$5:$F$817,5,0)</f>
        <v>High</v>
      </c>
      <c r="AJ612" s="99" t="str">
        <f t="shared" si="98"/>
        <v>LLH</v>
      </c>
      <c r="AK612" s="99" t="str">
        <f>VLOOKUP(AJ612,rfm[],2,0)</f>
        <v>💸 Lost High Spenders</v>
      </c>
      <c r="AN612" s="99" t="b">
        <f t="shared" si="99"/>
        <v>1</v>
      </c>
    </row>
    <row r="613" spans="2:40" x14ac:dyDescent="0.3">
      <c r="B613" s="99" t="s">
        <v>2078</v>
      </c>
      <c r="C613" s="100">
        <v>45769</v>
      </c>
      <c r="D613" s="99" t="s">
        <v>14</v>
      </c>
      <c r="E613" s="99" t="s">
        <v>15</v>
      </c>
      <c r="F613" s="99" t="s">
        <v>16</v>
      </c>
      <c r="G613" s="99">
        <v>25</v>
      </c>
      <c r="H613" s="112">
        <v>350000</v>
      </c>
      <c r="I613" s="112">
        <v>8750000</v>
      </c>
      <c r="J613" s="99" t="s">
        <v>2127</v>
      </c>
      <c r="K613" s="99" t="s">
        <v>127</v>
      </c>
      <c r="N613" s="99" t="s">
        <v>2644</v>
      </c>
      <c r="O613" s="99" t="s">
        <v>69</v>
      </c>
      <c r="P613" s="100">
        <f t="shared" si="91"/>
        <v>45959</v>
      </c>
      <c r="Q613" s="101">
        <f t="shared" si="90"/>
        <v>64</v>
      </c>
      <c r="R613" s="99">
        <f t="shared" si="92"/>
        <v>2</v>
      </c>
      <c r="S613" s="101">
        <f t="shared" si="93"/>
        <v>37400000</v>
      </c>
      <c r="T613" s="99" t="str">
        <f t="shared" si="94"/>
        <v>High</v>
      </c>
      <c r="U613" s="99" t="str">
        <f t="shared" si="95"/>
        <v>Low</v>
      </c>
      <c r="V613" s="99" t="str">
        <f t="shared" si="96"/>
        <v>High</v>
      </c>
      <c r="W613" s="99" t="str">
        <f t="shared" si="97"/>
        <v>HLH</v>
      </c>
      <c r="X613" s="99" t="str">
        <f>VLOOKUP(W613,rfm[],2,FALSE)</f>
        <v>🛒 Big Spenders (Occasional)</v>
      </c>
      <c r="AA613" s="99" t="s">
        <v>2644</v>
      </c>
      <c r="AB613" s="99" t="s">
        <v>69</v>
      </c>
      <c r="AC613" s="100">
        <v>45959</v>
      </c>
      <c r="AD613" s="101">
        <v>64</v>
      </c>
      <c r="AE613" s="101">
        <v>2</v>
      </c>
      <c r="AF613" s="101">
        <v>37400000</v>
      </c>
      <c r="AG613" s="99" t="str">
        <f>VLOOKUP(AA613,recency!$K$6:$P$818,6,0)</f>
        <v>Low</v>
      </c>
      <c r="AH613" s="132" t="str">
        <f>VLOOKUP(AA613,frequency!$F$6:$H$818,3,FALSE)</f>
        <v>Low</v>
      </c>
      <c r="AI613" s="129" t="str">
        <f>VLOOKUP(AA613,monetary!$B$5:$F$817,5,0)</f>
        <v>Low</v>
      </c>
      <c r="AJ613" s="99" t="str">
        <f t="shared" si="98"/>
        <v>LLL</v>
      </c>
      <c r="AK613" s="99" t="str">
        <f>VLOOKUP(AJ613,rfm[],2,0)</f>
        <v>💤 Lost / Low Value</v>
      </c>
      <c r="AN613" s="99" t="b">
        <f t="shared" si="99"/>
        <v>0</v>
      </c>
    </row>
    <row r="614" spans="2:40" x14ac:dyDescent="0.3">
      <c r="B614" s="99" t="s">
        <v>2079</v>
      </c>
      <c r="C614" s="100">
        <v>45769</v>
      </c>
      <c r="D614" s="99" t="s">
        <v>14</v>
      </c>
      <c r="E614" s="99" t="s">
        <v>15</v>
      </c>
      <c r="F614" s="99" t="s">
        <v>16</v>
      </c>
      <c r="G614" s="99">
        <v>33</v>
      </c>
      <c r="H614" s="112">
        <v>350000</v>
      </c>
      <c r="I614" s="112">
        <v>11550000</v>
      </c>
      <c r="J614" s="99" t="s">
        <v>2413</v>
      </c>
      <c r="K614" s="99" t="s">
        <v>8</v>
      </c>
      <c r="N614" s="99" t="s">
        <v>2645</v>
      </c>
      <c r="O614" s="99" t="s">
        <v>127</v>
      </c>
      <c r="P614" s="100">
        <f t="shared" si="91"/>
        <v>45967</v>
      </c>
      <c r="Q614" s="101">
        <f t="shared" si="90"/>
        <v>56</v>
      </c>
      <c r="R614" s="99">
        <f t="shared" si="92"/>
        <v>7</v>
      </c>
      <c r="S614" s="101">
        <f t="shared" si="93"/>
        <v>41695000</v>
      </c>
      <c r="T614" s="99" t="str">
        <f t="shared" si="94"/>
        <v>High</v>
      </c>
      <c r="U614" s="99" t="str">
        <f t="shared" si="95"/>
        <v>High</v>
      </c>
      <c r="V614" s="99" t="str">
        <f t="shared" si="96"/>
        <v>High</v>
      </c>
      <c r="W614" s="99" t="str">
        <f t="shared" si="97"/>
        <v>HHH</v>
      </c>
      <c r="X614" s="99" t="str">
        <f>VLOOKUP(W614,rfm[],2,FALSE)</f>
        <v>🥇 Champions</v>
      </c>
      <c r="AA614" s="99" t="s">
        <v>2645</v>
      </c>
      <c r="AB614" s="99" t="s">
        <v>127</v>
      </c>
      <c r="AC614" s="100">
        <v>45967</v>
      </c>
      <c r="AD614" s="101">
        <v>56</v>
      </c>
      <c r="AE614" s="101">
        <v>7</v>
      </c>
      <c r="AF614" s="101">
        <v>41695000</v>
      </c>
      <c r="AG614" s="99" t="str">
        <f>VLOOKUP(AA614,recency!$K$6:$P$818,6,0)</f>
        <v>High</v>
      </c>
      <c r="AH614" s="132" t="str">
        <f>VLOOKUP(AA614,frequency!$F$6:$H$818,3,FALSE)</f>
        <v>High</v>
      </c>
      <c r="AI614" s="129" t="str">
        <f>VLOOKUP(AA614,monetary!$B$5:$F$817,5,0)</f>
        <v>Low</v>
      </c>
      <c r="AJ614" s="99" t="str">
        <f t="shared" si="98"/>
        <v>HHL</v>
      </c>
      <c r="AK614" s="99" t="str">
        <f>VLOOKUP(AJ614,rfm[],2,0)</f>
        <v>💎 Loyal High Value</v>
      </c>
      <c r="AN614" s="99" t="b">
        <f t="shared" si="99"/>
        <v>0</v>
      </c>
    </row>
    <row r="615" spans="2:40" x14ac:dyDescent="0.3">
      <c r="B615" s="99" t="s">
        <v>2089</v>
      </c>
      <c r="C615" s="100">
        <v>45769</v>
      </c>
      <c r="D615" s="99" t="s">
        <v>44</v>
      </c>
      <c r="E615" s="99" t="s">
        <v>45</v>
      </c>
      <c r="F615" s="99" t="s">
        <v>16</v>
      </c>
      <c r="G615" s="99">
        <v>35</v>
      </c>
      <c r="H615" s="112">
        <v>250000</v>
      </c>
      <c r="I615" s="112">
        <v>8750000</v>
      </c>
      <c r="J615" s="99" t="s">
        <v>2579</v>
      </c>
      <c r="K615" s="99" t="s">
        <v>60</v>
      </c>
      <c r="N615" s="99" t="s">
        <v>2646</v>
      </c>
      <c r="O615" s="99" t="s">
        <v>60</v>
      </c>
      <c r="P615" s="100">
        <f t="shared" si="91"/>
        <v>45951</v>
      </c>
      <c r="Q615" s="101">
        <f t="shared" si="90"/>
        <v>72</v>
      </c>
      <c r="R615" s="99">
        <f t="shared" si="92"/>
        <v>4</v>
      </c>
      <c r="S615" s="101">
        <f t="shared" si="93"/>
        <v>48400000</v>
      </c>
      <c r="T615" s="99" t="str">
        <f t="shared" si="94"/>
        <v>High</v>
      </c>
      <c r="U615" s="99" t="str">
        <f t="shared" si="95"/>
        <v>High</v>
      </c>
      <c r="V615" s="99" t="str">
        <f t="shared" si="96"/>
        <v>High</v>
      </c>
      <c r="W615" s="99" t="str">
        <f t="shared" si="97"/>
        <v>HHH</v>
      </c>
      <c r="X615" s="99" t="str">
        <f>VLOOKUP(W615,rfm[],2,FALSE)</f>
        <v>🥇 Champions</v>
      </c>
      <c r="AA615" s="99" t="s">
        <v>2646</v>
      </c>
      <c r="AB615" s="99" t="s">
        <v>60</v>
      </c>
      <c r="AC615" s="100">
        <v>45951</v>
      </c>
      <c r="AD615" s="101">
        <v>72</v>
      </c>
      <c r="AE615" s="101">
        <v>4</v>
      </c>
      <c r="AF615" s="101">
        <v>48400000</v>
      </c>
      <c r="AG615" s="99" t="str">
        <f>VLOOKUP(AA615,recency!$K$6:$P$818,6,0)</f>
        <v>Low</v>
      </c>
      <c r="AH615" s="132" t="str">
        <f>VLOOKUP(AA615,frequency!$F$6:$H$818,3,FALSE)</f>
        <v>High</v>
      </c>
      <c r="AI615" s="129" t="str">
        <f>VLOOKUP(AA615,monetary!$B$5:$F$817,5,0)</f>
        <v>Low</v>
      </c>
      <c r="AJ615" s="99" t="str">
        <f t="shared" si="98"/>
        <v>LHL</v>
      </c>
      <c r="AK615" s="99" t="str">
        <f>VLOOKUP(AJ615,rfm[],2,0)</f>
        <v>🔁 Former Loyal Low Spend</v>
      </c>
      <c r="AN615" s="99" t="b">
        <f t="shared" si="99"/>
        <v>0</v>
      </c>
    </row>
    <row r="616" spans="2:40" x14ac:dyDescent="0.3">
      <c r="B616" s="99" t="s">
        <v>2098</v>
      </c>
      <c r="C616" s="100">
        <v>45769</v>
      </c>
      <c r="D616" s="99" t="s">
        <v>18</v>
      </c>
      <c r="E616" s="99" t="s">
        <v>19</v>
      </c>
      <c r="F616" s="99" t="s">
        <v>20</v>
      </c>
      <c r="G616" s="99">
        <v>27</v>
      </c>
      <c r="H616" s="112">
        <v>500000</v>
      </c>
      <c r="I616" s="112">
        <v>13500000</v>
      </c>
      <c r="J616" s="99" t="s">
        <v>2156</v>
      </c>
      <c r="K616" s="99" t="s">
        <v>47</v>
      </c>
      <c r="N616" s="99" t="s">
        <v>2647</v>
      </c>
      <c r="O616" s="99" t="s">
        <v>8</v>
      </c>
      <c r="P616" s="100">
        <f t="shared" si="91"/>
        <v>45937</v>
      </c>
      <c r="Q616" s="101">
        <f t="shared" si="90"/>
        <v>86</v>
      </c>
      <c r="R616" s="99">
        <f t="shared" si="92"/>
        <v>5</v>
      </c>
      <c r="S616" s="101">
        <f t="shared" si="93"/>
        <v>50300000</v>
      </c>
      <c r="T616" s="99" t="str">
        <f t="shared" si="94"/>
        <v>High</v>
      </c>
      <c r="U616" s="99" t="str">
        <f t="shared" si="95"/>
        <v>High</v>
      </c>
      <c r="V616" s="99" t="str">
        <f t="shared" si="96"/>
        <v>High</v>
      </c>
      <c r="W616" s="99" t="str">
        <f t="shared" si="97"/>
        <v>HHH</v>
      </c>
      <c r="X616" s="99" t="str">
        <f>VLOOKUP(W616,rfm[],2,FALSE)</f>
        <v>🥇 Champions</v>
      </c>
      <c r="AA616" s="99" t="s">
        <v>2647</v>
      </c>
      <c r="AB616" s="99" t="s">
        <v>8</v>
      </c>
      <c r="AC616" s="100">
        <v>45937</v>
      </c>
      <c r="AD616" s="101">
        <v>86</v>
      </c>
      <c r="AE616" s="101">
        <v>5</v>
      </c>
      <c r="AF616" s="101">
        <v>50300000</v>
      </c>
      <c r="AG616" s="99" t="str">
        <f>VLOOKUP(AA616,recency!$K$6:$P$818,6,0)</f>
        <v>Low</v>
      </c>
      <c r="AH616" s="132" t="str">
        <f>VLOOKUP(AA616,frequency!$F$6:$H$818,3,FALSE)</f>
        <v>High</v>
      </c>
      <c r="AI616" s="129" t="str">
        <f>VLOOKUP(AA616,monetary!$B$5:$F$817,5,0)</f>
        <v>High</v>
      </c>
      <c r="AJ616" s="99" t="str">
        <f t="shared" si="98"/>
        <v>LHH</v>
      </c>
      <c r="AK616" s="99" t="str">
        <f>VLOOKUP(AJ616,rfm[],2,0)</f>
        <v>⚠️ At Risk High Value</v>
      </c>
      <c r="AN616" s="99" t="b">
        <f t="shared" si="99"/>
        <v>0</v>
      </c>
    </row>
    <row r="617" spans="2:40" x14ac:dyDescent="0.3">
      <c r="B617" s="99" t="s">
        <v>2106</v>
      </c>
      <c r="C617" s="100">
        <v>45769</v>
      </c>
      <c r="D617" s="99" t="s">
        <v>22</v>
      </c>
      <c r="E617" s="99" t="s">
        <v>23</v>
      </c>
      <c r="F617" s="99" t="s">
        <v>12</v>
      </c>
      <c r="G617" s="99">
        <v>48</v>
      </c>
      <c r="H617" s="112">
        <v>25000</v>
      </c>
      <c r="I617" s="112">
        <v>1200000</v>
      </c>
      <c r="J617" s="99" t="s">
        <v>2548</v>
      </c>
      <c r="K617" s="99" t="s">
        <v>47</v>
      </c>
      <c r="N617" s="99" t="s">
        <v>2648</v>
      </c>
      <c r="O617" s="99" t="s">
        <v>60</v>
      </c>
      <c r="P617" s="100">
        <f t="shared" si="91"/>
        <v>45716</v>
      </c>
      <c r="Q617" s="101">
        <f t="shared" si="90"/>
        <v>307</v>
      </c>
      <c r="R617" s="99">
        <f t="shared" si="92"/>
        <v>1</v>
      </c>
      <c r="S617" s="101">
        <f t="shared" si="93"/>
        <v>15200000</v>
      </c>
      <c r="T617" s="99" t="str">
        <f t="shared" si="94"/>
        <v>Low</v>
      </c>
      <c r="U617" s="99" t="str">
        <f t="shared" si="95"/>
        <v>Low</v>
      </c>
      <c r="V617" s="99" t="str">
        <f t="shared" si="96"/>
        <v>Low</v>
      </c>
      <c r="W617" s="99" t="str">
        <f t="shared" si="97"/>
        <v>LLL</v>
      </c>
      <c r="X617" s="99" t="str">
        <f>VLOOKUP(W617,rfm[],2,FALSE)</f>
        <v>💤 Lost / Low Value</v>
      </c>
      <c r="AA617" s="99" t="s">
        <v>2648</v>
      </c>
      <c r="AB617" s="99" t="s">
        <v>60</v>
      </c>
      <c r="AC617" s="100">
        <v>45716</v>
      </c>
      <c r="AD617" s="101">
        <v>307</v>
      </c>
      <c r="AE617" s="101">
        <v>1</v>
      </c>
      <c r="AF617" s="101">
        <v>15200000</v>
      </c>
      <c r="AG617" s="99" t="str">
        <f>VLOOKUP(AA617,recency!$K$6:$P$818,6,0)</f>
        <v>Low</v>
      </c>
      <c r="AH617" s="132" t="str">
        <f>VLOOKUP(AA617,frequency!$F$6:$H$818,3,FALSE)</f>
        <v>Low</v>
      </c>
      <c r="AI617" s="129" t="str">
        <f>VLOOKUP(AA617,monetary!$B$5:$F$817,5,0)</f>
        <v>Low</v>
      </c>
      <c r="AJ617" s="99" t="str">
        <f t="shared" si="98"/>
        <v>LLL</v>
      </c>
      <c r="AK617" s="99" t="str">
        <f>VLOOKUP(AJ617,rfm[],2,0)</f>
        <v>💤 Lost / Low Value</v>
      </c>
      <c r="AN617" s="99" t="b">
        <f t="shared" si="99"/>
        <v>1</v>
      </c>
    </row>
    <row r="618" spans="2:40" x14ac:dyDescent="0.3">
      <c r="B618" s="99" t="s">
        <v>2107</v>
      </c>
      <c r="C618" s="100">
        <v>45769</v>
      </c>
      <c r="D618" s="99" t="s">
        <v>22</v>
      </c>
      <c r="E618" s="99" t="s">
        <v>23</v>
      </c>
      <c r="F618" s="99" t="s">
        <v>12</v>
      </c>
      <c r="G618" s="99">
        <v>49</v>
      </c>
      <c r="H618" s="112">
        <v>25000</v>
      </c>
      <c r="I618" s="112">
        <v>1225000</v>
      </c>
      <c r="J618" s="99" t="s">
        <v>2442</v>
      </c>
      <c r="K618" s="99" t="s">
        <v>47</v>
      </c>
      <c r="N618" s="99" t="s">
        <v>2649</v>
      </c>
      <c r="O618" s="99" t="s">
        <v>60</v>
      </c>
      <c r="P618" s="100">
        <f t="shared" si="91"/>
        <v>45950</v>
      </c>
      <c r="Q618" s="101">
        <f t="shared" si="90"/>
        <v>73</v>
      </c>
      <c r="R618" s="99">
        <f t="shared" si="92"/>
        <v>2</v>
      </c>
      <c r="S618" s="101">
        <f t="shared" si="93"/>
        <v>13300000</v>
      </c>
      <c r="T618" s="99" t="str">
        <f t="shared" si="94"/>
        <v>High</v>
      </c>
      <c r="U618" s="99" t="str">
        <f t="shared" si="95"/>
        <v>Low</v>
      </c>
      <c r="V618" s="99" t="str">
        <f t="shared" si="96"/>
        <v>Low</v>
      </c>
      <c r="W618" s="99" t="str">
        <f t="shared" si="97"/>
        <v>HLL</v>
      </c>
      <c r="X618" s="99" t="str">
        <f>VLOOKUP(W618,rfm[],2,FALSE)</f>
        <v>🌱 Potential Loyalists</v>
      </c>
      <c r="AA618" s="99" t="s">
        <v>2649</v>
      </c>
      <c r="AB618" s="99" t="s">
        <v>60</v>
      </c>
      <c r="AC618" s="100">
        <v>45950</v>
      </c>
      <c r="AD618" s="101">
        <v>73</v>
      </c>
      <c r="AE618" s="101">
        <v>2</v>
      </c>
      <c r="AF618" s="101">
        <v>13300000</v>
      </c>
      <c r="AG618" s="99" t="str">
        <f>VLOOKUP(AA618,recency!$K$6:$P$818,6,0)</f>
        <v>Low</v>
      </c>
      <c r="AH618" s="132" t="str">
        <f>VLOOKUP(AA618,frequency!$F$6:$H$818,3,FALSE)</f>
        <v>Low</v>
      </c>
      <c r="AI618" s="129" t="str">
        <f>VLOOKUP(AA618,monetary!$B$5:$F$817,5,0)</f>
        <v>Low</v>
      </c>
      <c r="AJ618" s="99" t="str">
        <f t="shared" si="98"/>
        <v>LLL</v>
      </c>
      <c r="AK618" s="99" t="str">
        <f>VLOOKUP(AJ618,rfm[],2,0)</f>
        <v>💤 Lost / Low Value</v>
      </c>
      <c r="AN618" s="99" t="b">
        <f t="shared" si="99"/>
        <v>0</v>
      </c>
    </row>
    <row r="619" spans="2:40" x14ac:dyDescent="0.3">
      <c r="B619" s="99" t="s">
        <v>25</v>
      </c>
      <c r="C619" s="100">
        <v>45769</v>
      </c>
      <c r="D619" s="99" t="s">
        <v>31</v>
      </c>
      <c r="E619" s="99" t="s">
        <v>32</v>
      </c>
      <c r="F619" s="99" t="s">
        <v>20</v>
      </c>
      <c r="G619" s="99">
        <v>24</v>
      </c>
      <c r="H619" s="112">
        <v>180000</v>
      </c>
      <c r="I619" s="112">
        <v>4320000</v>
      </c>
      <c r="J619" s="99" t="s">
        <v>2657</v>
      </c>
      <c r="K619" s="99" t="s">
        <v>47</v>
      </c>
      <c r="N619" s="99" t="s">
        <v>2650</v>
      </c>
      <c r="O619" s="99" t="s">
        <v>127</v>
      </c>
      <c r="P619" s="100">
        <f t="shared" si="91"/>
        <v>45918</v>
      </c>
      <c r="Q619" s="101">
        <f t="shared" si="90"/>
        <v>105</v>
      </c>
      <c r="R619" s="99">
        <f t="shared" si="92"/>
        <v>5</v>
      </c>
      <c r="S619" s="101">
        <f t="shared" si="93"/>
        <v>45175000</v>
      </c>
      <c r="T619" s="99" t="str">
        <f t="shared" si="94"/>
        <v>Low</v>
      </c>
      <c r="U619" s="99" t="str">
        <f t="shared" si="95"/>
        <v>High</v>
      </c>
      <c r="V619" s="99" t="str">
        <f t="shared" si="96"/>
        <v>High</v>
      </c>
      <c r="W619" s="99" t="str">
        <f t="shared" si="97"/>
        <v>LHH</v>
      </c>
      <c r="X619" s="99" t="str">
        <f>VLOOKUP(W619,rfm[],2,FALSE)</f>
        <v>⚠️ At Risk High Value</v>
      </c>
      <c r="AA619" s="99" t="s">
        <v>2650</v>
      </c>
      <c r="AB619" s="99" t="s">
        <v>127</v>
      </c>
      <c r="AC619" s="100">
        <v>45918</v>
      </c>
      <c r="AD619" s="101">
        <v>105</v>
      </c>
      <c r="AE619" s="101">
        <v>5</v>
      </c>
      <c r="AF619" s="101">
        <v>45175000</v>
      </c>
      <c r="AG619" s="99" t="str">
        <f>VLOOKUP(AA619,recency!$K$6:$P$818,6,0)</f>
        <v>Low</v>
      </c>
      <c r="AH619" s="132" t="str">
        <f>VLOOKUP(AA619,frequency!$F$6:$H$818,3,FALSE)</f>
        <v>High</v>
      </c>
      <c r="AI619" s="129" t="str">
        <f>VLOOKUP(AA619,monetary!$B$5:$F$817,5,0)</f>
        <v>Low</v>
      </c>
      <c r="AJ619" s="99" t="str">
        <f t="shared" si="98"/>
        <v>LHL</v>
      </c>
      <c r="AK619" s="99" t="str">
        <f>VLOOKUP(AJ619,rfm[],2,0)</f>
        <v>🔁 Former Loyal Low Spend</v>
      </c>
      <c r="AN619" s="99" t="b">
        <f t="shared" si="99"/>
        <v>0</v>
      </c>
    </row>
    <row r="620" spans="2:40" x14ac:dyDescent="0.3">
      <c r="B620" s="99" t="s">
        <v>26</v>
      </c>
      <c r="C620" s="100">
        <v>45769</v>
      </c>
      <c r="D620" s="99" t="s">
        <v>10</v>
      </c>
      <c r="E620" s="99" t="s">
        <v>11</v>
      </c>
      <c r="F620" s="99" t="s">
        <v>12</v>
      </c>
      <c r="G620" s="99">
        <v>11</v>
      </c>
      <c r="H620" s="112">
        <v>120000</v>
      </c>
      <c r="I620" s="112">
        <v>1320000</v>
      </c>
      <c r="J620" s="99" t="s">
        <v>2693</v>
      </c>
      <c r="K620" s="99" t="s">
        <v>127</v>
      </c>
      <c r="N620" s="99" t="s">
        <v>2651</v>
      </c>
      <c r="O620" s="99" t="s">
        <v>47</v>
      </c>
      <c r="P620" s="100">
        <f t="shared" si="91"/>
        <v>45950</v>
      </c>
      <c r="Q620" s="101">
        <f t="shared" si="90"/>
        <v>73</v>
      </c>
      <c r="R620" s="99">
        <f t="shared" si="92"/>
        <v>3</v>
      </c>
      <c r="S620" s="101">
        <f t="shared" si="93"/>
        <v>53070000</v>
      </c>
      <c r="T620" s="99" t="str">
        <f t="shared" si="94"/>
        <v>High</v>
      </c>
      <c r="U620" s="99" t="str">
        <f t="shared" si="95"/>
        <v>High</v>
      </c>
      <c r="V620" s="99" t="str">
        <f t="shared" si="96"/>
        <v>High</v>
      </c>
      <c r="W620" s="99" t="str">
        <f t="shared" si="97"/>
        <v>HHH</v>
      </c>
      <c r="X620" s="99" t="str">
        <f>VLOOKUP(W620,rfm[],2,FALSE)</f>
        <v>🥇 Champions</v>
      </c>
      <c r="AA620" s="99" t="s">
        <v>2651</v>
      </c>
      <c r="AB620" s="99" t="s">
        <v>47</v>
      </c>
      <c r="AC620" s="100">
        <v>45950</v>
      </c>
      <c r="AD620" s="101">
        <v>73</v>
      </c>
      <c r="AE620" s="101">
        <v>3</v>
      </c>
      <c r="AF620" s="101">
        <v>53070000</v>
      </c>
      <c r="AG620" s="99" t="str">
        <f>VLOOKUP(AA620,recency!$K$6:$P$818,6,0)</f>
        <v>Low</v>
      </c>
      <c r="AH620" s="132" t="str">
        <f>VLOOKUP(AA620,frequency!$F$6:$H$818,3,FALSE)</f>
        <v>High</v>
      </c>
      <c r="AI620" s="129" t="str">
        <f>VLOOKUP(AA620,monetary!$B$5:$F$817,5,0)</f>
        <v>High</v>
      </c>
      <c r="AJ620" s="99" t="str">
        <f t="shared" si="98"/>
        <v>LHH</v>
      </c>
      <c r="AK620" s="99" t="str">
        <f>VLOOKUP(AJ620,rfm[],2,0)</f>
        <v>⚠️ At Risk High Value</v>
      </c>
      <c r="AN620" s="99" t="b">
        <f t="shared" si="99"/>
        <v>0</v>
      </c>
    </row>
    <row r="621" spans="2:40" x14ac:dyDescent="0.3">
      <c r="B621" s="99" t="s">
        <v>50</v>
      </c>
      <c r="C621" s="100">
        <v>45769</v>
      </c>
      <c r="D621" s="99" t="s">
        <v>14</v>
      </c>
      <c r="E621" s="99" t="s">
        <v>15</v>
      </c>
      <c r="F621" s="99" t="s">
        <v>16</v>
      </c>
      <c r="G621" s="99">
        <v>50</v>
      </c>
      <c r="H621" s="112">
        <v>350000</v>
      </c>
      <c r="I621" s="112">
        <v>17500000</v>
      </c>
      <c r="J621" s="99" t="s">
        <v>2229</v>
      </c>
      <c r="K621" s="99" t="s">
        <v>60</v>
      </c>
      <c r="N621" s="99" t="s">
        <v>2652</v>
      </c>
      <c r="O621" s="99" t="s">
        <v>8</v>
      </c>
      <c r="P621" s="100">
        <f t="shared" si="91"/>
        <v>45950</v>
      </c>
      <c r="Q621" s="101">
        <f t="shared" si="90"/>
        <v>73</v>
      </c>
      <c r="R621" s="99">
        <f t="shared" si="92"/>
        <v>2</v>
      </c>
      <c r="S621" s="101">
        <f t="shared" si="93"/>
        <v>34000000</v>
      </c>
      <c r="T621" s="99" t="str">
        <f t="shared" si="94"/>
        <v>High</v>
      </c>
      <c r="U621" s="99" t="str">
        <f t="shared" si="95"/>
        <v>Low</v>
      </c>
      <c r="V621" s="99" t="str">
        <f t="shared" si="96"/>
        <v>High</v>
      </c>
      <c r="W621" s="99" t="str">
        <f t="shared" si="97"/>
        <v>HLH</v>
      </c>
      <c r="X621" s="99" t="str">
        <f>VLOOKUP(W621,rfm[],2,FALSE)</f>
        <v>🛒 Big Spenders (Occasional)</v>
      </c>
      <c r="AA621" s="99" t="s">
        <v>2652</v>
      </c>
      <c r="AB621" s="99" t="s">
        <v>8</v>
      </c>
      <c r="AC621" s="100">
        <v>45950</v>
      </c>
      <c r="AD621" s="101">
        <v>73</v>
      </c>
      <c r="AE621" s="101">
        <v>2</v>
      </c>
      <c r="AF621" s="101">
        <v>34000000</v>
      </c>
      <c r="AG621" s="99" t="str">
        <f>VLOOKUP(AA621,recency!$K$6:$P$818,6,0)</f>
        <v>Low</v>
      </c>
      <c r="AH621" s="132" t="str">
        <f>VLOOKUP(AA621,frequency!$F$6:$H$818,3,FALSE)</f>
        <v>Low</v>
      </c>
      <c r="AI621" s="129" t="str">
        <f>VLOOKUP(AA621,monetary!$B$5:$F$817,5,0)</f>
        <v>Low</v>
      </c>
      <c r="AJ621" s="99" t="str">
        <f t="shared" si="98"/>
        <v>LLL</v>
      </c>
      <c r="AK621" s="99" t="str">
        <f>VLOOKUP(AJ621,rfm[],2,0)</f>
        <v>💤 Lost / Low Value</v>
      </c>
      <c r="AN621" s="99" t="b">
        <f t="shared" si="99"/>
        <v>0</v>
      </c>
    </row>
    <row r="622" spans="2:40" x14ac:dyDescent="0.3">
      <c r="B622" s="99" t="s">
        <v>51</v>
      </c>
      <c r="C622" s="100">
        <v>45769</v>
      </c>
      <c r="D622" s="99" t="s">
        <v>38</v>
      </c>
      <c r="E622" s="99" t="s">
        <v>39</v>
      </c>
      <c r="F622" s="99" t="s">
        <v>16</v>
      </c>
      <c r="G622" s="99">
        <v>50</v>
      </c>
      <c r="H622" s="112">
        <v>200000</v>
      </c>
      <c r="I622" s="112">
        <v>10000000</v>
      </c>
      <c r="J622" s="99" t="s">
        <v>2135</v>
      </c>
      <c r="K622" s="99" t="s">
        <v>8</v>
      </c>
      <c r="N622" s="99" t="s">
        <v>2653</v>
      </c>
      <c r="O622" s="99" t="s">
        <v>60</v>
      </c>
      <c r="P622" s="100">
        <f t="shared" si="91"/>
        <v>45778</v>
      </c>
      <c r="Q622" s="101">
        <f t="shared" si="90"/>
        <v>245</v>
      </c>
      <c r="R622" s="99">
        <f t="shared" si="92"/>
        <v>1</v>
      </c>
      <c r="S622" s="101">
        <f t="shared" si="93"/>
        <v>19000000</v>
      </c>
      <c r="T622" s="99" t="str">
        <f t="shared" si="94"/>
        <v>Low</v>
      </c>
      <c r="U622" s="99" t="str">
        <f t="shared" si="95"/>
        <v>Low</v>
      </c>
      <c r="V622" s="99" t="str">
        <f t="shared" si="96"/>
        <v>High</v>
      </c>
      <c r="W622" s="99" t="str">
        <f t="shared" si="97"/>
        <v>LLH</v>
      </c>
      <c r="X622" s="99" t="str">
        <f>VLOOKUP(W622,rfm[],2,FALSE)</f>
        <v>💸 Lost High Spenders</v>
      </c>
      <c r="AA622" s="99" t="s">
        <v>2653</v>
      </c>
      <c r="AB622" s="99" t="s">
        <v>60</v>
      </c>
      <c r="AC622" s="100">
        <v>45778</v>
      </c>
      <c r="AD622" s="101">
        <v>245</v>
      </c>
      <c r="AE622" s="101">
        <v>1</v>
      </c>
      <c r="AF622" s="101">
        <v>19000000</v>
      </c>
      <c r="AG622" s="99" t="str">
        <f>VLOOKUP(AA622,recency!$K$6:$P$818,6,0)</f>
        <v>Low</v>
      </c>
      <c r="AH622" s="132" t="str">
        <f>VLOOKUP(AA622,frequency!$F$6:$H$818,3,FALSE)</f>
        <v>Low</v>
      </c>
      <c r="AI622" s="129" t="str">
        <f>VLOOKUP(AA622,monetary!$B$5:$F$817,5,0)</f>
        <v>Low</v>
      </c>
      <c r="AJ622" s="99" t="str">
        <f t="shared" si="98"/>
        <v>LLL</v>
      </c>
      <c r="AK622" s="99" t="str">
        <f>VLOOKUP(AJ622,rfm[],2,0)</f>
        <v>💤 Lost / Low Value</v>
      </c>
      <c r="AN622" s="99" t="b">
        <f t="shared" si="99"/>
        <v>0</v>
      </c>
    </row>
    <row r="623" spans="2:40" x14ac:dyDescent="0.3">
      <c r="B623" s="99" t="s">
        <v>72</v>
      </c>
      <c r="C623" s="100">
        <v>45769</v>
      </c>
      <c r="D623" s="99" t="s">
        <v>28</v>
      </c>
      <c r="E623" s="99" t="s">
        <v>29</v>
      </c>
      <c r="F623" s="99" t="s">
        <v>20</v>
      </c>
      <c r="G623" s="99">
        <v>33</v>
      </c>
      <c r="H623" s="112">
        <v>450000</v>
      </c>
      <c r="I623" s="112">
        <v>14850000</v>
      </c>
      <c r="J623" s="99" t="s">
        <v>2647</v>
      </c>
      <c r="K623" s="99" t="s">
        <v>8</v>
      </c>
      <c r="N623" s="99" t="s">
        <v>2654</v>
      </c>
      <c r="O623" s="99" t="s">
        <v>60</v>
      </c>
      <c r="P623" s="100">
        <f t="shared" si="91"/>
        <v>45910</v>
      </c>
      <c r="Q623" s="101">
        <f t="shared" si="90"/>
        <v>113</v>
      </c>
      <c r="R623" s="99">
        <f t="shared" si="92"/>
        <v>1</v>
      </c>
      <c r="S623" s="101">
        <f t="shared" si="93"/>
        <v>9000000</v>
      </c>
      <c r="T623" s="99" t="str">
        <f t="shared" si="94"/>
        <v>Low</v>
      </c>
      <c r="U623" s="99" t="str">
        <f t="shared" si="95"/>
        <v>Low</v>
      </c>
      <c r="V623" s="99" t="str">
        <f t="shared" si="96"/>
        <v>Low</v>
      </c>
      <c r="W623" s="99" t="str">
        <f t="shared" si="97"/>
        <v>LLL</v>
      </c>
      <c r="X623" s="99" t="str">
        <f>VLOOKUP(W623,rfm[],2,FALSE)</f>
        <v>💤 Lost / Low Value</v>
      </c>
      <c r="AA623" s="99" t="s">
        <v>2654</v>
      </c>
      <c r="AB623" s="99" t="s">
        <v>60</v>
      </c>
      <c r="AC623" s="100">
        <v>45910</v>
      </c>
      <c r="AD623" s="101">
        <v>113</v>
      </c>
      <c r="AE623" s="101">
        <v>1</v>
      </c>
      <c r="AF623" s="101">
        <v>9000000</v>
      </c>
      <c r="AG623" s="99" t="str">
        <f>VLOOKUP(AA623,recency!$K$6:$P$818,6,0)</f>
        <v>Low</v>
      </c>
      <c r="AH623" s="132" t="str">
        <f>VLOOKUP(AA623,frequency!$F$6:$H$818,3,FALSE)</f>
        <v>Low</v>
      </c>
      <c r="AI623" s="129" t="str">
        <f>VLOOKUP(AA623,monetary!$B$5:$F$817,5,0)</f>
        <v>Low</v>
      </c>
      <c r="AJ623" s="99" t="str">
        <f t="shared" si="98"/>
        <v>LLL</v>
      </c>
      <c r="AK623" s="99" t="str">
        <f>VLOOKUP(AJ623,rfm[],2,0)</f>
        <v>💤 Lost / Low Value</v>
      </c>
      <c r="AN623" s="99" t="b">
        <f t="shared" si="99"/>
        <v>1</v>
      </c>
    </row>
    <row r="624" spans="2:40" x14ac:dyDescent="0.3">
      <c r="B624" s="99" t="s">
        <v>83</v>
      </c>
      <c r="C624" s="100">
        <v>45769</v>
      </c>
      <c r="D624" s="99" t="s">
        <v>28</v>
      </c>
      <c r="E624" s="99" t="s">
        <v>29</v>
      </c>
      <c r="F624" s="99" t="s">
        <v>20</v>
      </c>
      <c r="G624" s="99">
        <v>48</v>
      </c>
      <c r="H624" s="112">
        <v>450000</v>
      </c>
      <c r="I624" s="112">
        <v>21600000</v>
      </c>
      <c r="J624" s="99" t="s">
        <v>2519</v>
      </c>
      <c r="K624" s="99" t="s">
        <v>127</v>
      </c>
      <c r="N624" s="99" t="s">
        <v>2655</v>
      </c>
      <c r="O624" s="99" t="s">
        <v>8</v>
      </c>
      <c r="P624" s="100">
        <f t="shared" si="91"/>
        <v>46003</v>
      </c>
      <c r="Q624" s="101">
        <f t="shared" si="90"/>
        <v>20</v>
      </c>
      <c r="R624" s="99">
        <f t="shared" si="92"/>
        <v>4</v>
      </c>
      <c r="S624" s="101">
        <f t="shared" si="93"/>
        <v>39980000</v>
      </c>
      <c r="T624" s="99" t="str">
        <f t="shared" si="94"/>
        <v>High</v>
      </c>
      <c r="U624" s="99" t="str">
        <f t="shared" si="95"/>
        <v>High</v>
      </c>
      <c r="V624" s="99" t="str">
        <f t="shared" si="96"/>
        <v>High</v>
      </c>
      <c r="W624" s="99" t="str">
        <f t="shared" si="97"/>
        <v>HHH</v>
      </c>
      <c r="X624" s="99" t="str">
        <f>VLOOKUP(W624,rfm[],2,FALSE)</f>
        <v>🥇 Champions</v>
      </c>
      <c r="AA624" s="99" t="s">
        <v>2655</v>
      </c>
      <c r="AB624" s="99" t="s">
        <v>8</v>
      </c>
      <c r="AC624" s="100">
        <v>46003</v>
      </c>
      <c r="AD624" s="101">
        <v>20</v>
      </c>
      <c r="AE624" s="101">
        <v>4</v>
      </c>
      <c r="AF624" s="101">
        <v>39980000</v>
      </c>
      <c r="AG624" s="99" t="str">
        <f>VLOOKUP(AA624,recency!$K$6:$P$818,6,0)</f>
        <v>High</v>
      </c>
      <c r="AH624" s="132" t="str">
        <f>VLOOKUP(AA624,frequency!$F$6:$H$818,3,FALSE)</f>
        <v>High</v>
      </c>
      <c r="AI624" s="129" t="str">
        <f>VLOOKUP(AA624,monetary!$B$5:$F$817,5,0)</f>
        <v>Low</v>
      </c>
      <c r="AJ624" s="99" t="str">
        <f t="shared" si="98"/>
        <v>HHL</v>
      </c>
      <c r="AK624" s="99" t="str">
        <f>VLOOKUP(AJ624,rfm[],2,0)</f>
        <v>💎 Loyal High Value</v>
      </c>
      <c r="AN624" s="99" t="b">
        <f t="shared" si="99"/>
        <v>0</v>
      </c>
    </row>
    <row r="625" spans="2:40" x14ac:dyDescent="0.3">
      <c r="B625" s="99" t="s">
        <v>93</v>
      </c>
      <c r="C625" s="100">
        <v>45769</v>
      </c>
      <c r="D625" s="99" t="s">
        <v>14</v>
      </c>
      <c r="E625" s="99" t="s">
        <v>15</v>
      </c>
      <c r="F625" s="99" t="s">
        <v>16</v>
      </c>
      <c r="G625" s="99">
        <v>21</v>
      </c>
      <c r="H625" s="112">
        <v>350000</v>
      </c>
      <c r="I625" s="112">
        <v>7350000</v>
      </c>
      <c r="J625" s="99" t="s">
        <v>2585</v>
      </c>
      <c r="K625" s="99" t="s">
        <v>8</v>
      </c>
      <c r="N625" s="99" t="s">
        <v>2656</v>
      </c>
      <c r="O625" s="99" t="s">
        <v>127</v>
      </c>
      <c r="P625" s="100">
        <f t="shared" si="91"/>
        <v>46017</v>
      </c>
      <c r="Q625" s="101">
        <f t="shared" si="90"/>
        <v>6</v>
      </c>
      <c r="R625" s="99">
        <f t="shared" si="92"/>
        <v>4</v>
      </c>
      <c r="S625" s="101">
        <f t="shared" si="93"/>
        <v>30450000</v>
      </c>
      <c r="T625" s="99" t="str">
        <f t="shared" si="94"/>
        <v>High</v>
      </c>
      <c r="U625" s="99" t="str">
        <f t="shared" si="95"/>
        <v>High</v>
      </c>
      <c r="V625" s="99" t="str">
        <f t="shared" si="96"/>
        <v>High</v>
      </c>
      <c r="W625" s="99" t="str">
        <f t="shared" si="97"/>
        <v>HHH</v>
      </c>
      <c r="X625" s="99" t="str">
        <f>VLOOKUP(W625,rfm[],2,FALSE)</f>
        <v>🥇 Champions</v>
      </c>
      <c r="AA625" s="99" t="s">
        <v>2656</v>
      </c>
      <c r="AB625" s="99" t="s">
        <v>127</v>
      </c>
      <c r="AC625" s="100">
        <v>46017</v>
      </c>
      <c r="AD625" s="101">
        <v>6</v>
      </c>
      <c r="AE625" s="101">
        <v>4</v>
      </c>
      <c r="AF625" s="101">
        <v>30450000</v>
      </c>
      <c r="AG625" s="99" t="str">
        <f>VLOOKUP(AA625,recency!$K$6:$P$818,6,0)</f>
        <v>High</v>
      </c>
      <c r="AH625" s="132" t="str">
        <f>VLOOKUP(AA625,frequency!$F$6:$H$818,3,FALSE)</f>
        <v>High</v>
      </c>
      <c r="AI625" s="129" t="str">
        <f>VLOOKUP(AA625,monetary!$B$5:$F$817,5,0)</f>
        <v>Low</v>
      </c>
      <c r="AJ625" s="99" t="str">
        <f t="shared" si="98"/>
        <v>HHL</v>
      </c>
      <c r="AK625" s="99" t="str">
        <f>VLOOKUP(AJ625,rfm[],2,0)</f>
        <v>💎 Loyal High Value</v>
      </c>
      <c r="AN625" s="99" t="b">
        <f t="shared" si="99"/>
        <v>0</v>
      </c>
    </row>
    <row r="626" spans="2:40" x14ac:dyDescent="0.3">
      <c r="B626" s="99" t="s">
        <v>94</v>
      </c>
      <c r="C626" s="100">
        <v>45769</v>
      </c>
      <c r="D626" s="99" t="s">
        <v>40</v>
      </c>
      <c r="E626" s="99" t="s">
        <v>41</v>
      </c>
      <c r="F626" s="99" t="s">
        <v>16</v>
      </c>
      <c r="G626" s="99">
        <v>44</v>
      </c>
      <c r="H626" s="112">
        <v>950000</v>
      </c>
      <c r="I626" s="112">
        <v>41800000</v>
      </c>
      <c r="J626" s="99" t="s">
        <v>2716</v>
      </c>
      <c r="K626" s="99" t="s">
        <v>127</v>
      </c>
      <c r="N626" s="99" t="s">
        <v>2657</v>
      </c>
      <c r="O626" s="99" t="s">
        <v>47</v>
      </c>
      <c r="P626" s="100">
        <f t="shared" si="91"/>
        <v>45855</v>
      </c>
      <c r="Q626" s="101">
        <f t="shared" si="90"/>
        <v>168</v>
      </c>
      <c r="R626" s="99">
        <f t="shared" si="92"/>
        <v>5</v>
      </c>
      <c r="S626" s="101">
        <f t="shared" si="93"/>
        <v>40730000</v>
      </c>
      <c r="T626" s="99" t="str">
        <f t="shared" si="94"/>
        <v>Low</v>
      </c>
      <c r="U626" s="99" t="str">
        <f t="shared" si="95"/>
        <v>High</v>
      </c>
      <c r="V626" s="99" t="str">
        <f t="shared" si="96"/>
        <v>High</v>
      </c>
      <c r="W626" s="99" t="str">
        <f t="shared" si="97"/>
        <v>LHH</v>
      </c>
      <c r="X626" s="99" t="str">
        <f>VLOOKUP(W626,rfm[],2,FALSE)</f>
        <v>⚠️ At Risk High Value</v>
      </c>
      <c r="AA626" s="99" t="s">
        <v>2657</v>
      </c>
      <c r="AB626" s="99" t="s">
        <v>47</v>
      </c>
      <c r="AC626" s="100">
        <v>45855</v>
      </c>
      <c r="AD626" s="101">
        <v>168</v>
      </c>
      <c r="AE626" s="101">
        <v>5</v>
      </c>
      <c r="AF626" s="101">
        <v>40730000</v>
      </c>
      <c r="AG626" s="99" t="str">
        <f>VLOOKUP(AA626,recency!$K$6:$P$818,6,0)</f>
        <v>Low</v>
      </c>
      <c r="AH626" s="132" t="str">
        <f>VLOOKUP(AA626,frequency!$F$6:$H$818,3,FALSE)</f>
        <v>High</v>
      </c>
      <c r="AI626" s="129" t="str">
        <f>VLOOKUP(AA626,monetary!$B$5:$F$817,5,0)</f>
        <v>Low</v>
      </c>
      <c r="AJ626" s="99" t="str">
        <f t="shared" si="98"/>
        <v>LHL</v>
      </c>
      <c r="AK626" s="99" t="str">
        <f>VLOOKUP(AJ626,rfm[],2,0)</f>
        <v>🔁 Former Loyal Low Spend</v>
      </c>
      <c r="AN626" s="99" t="b">
        <f t="shared" si="99"/>
        <v>0</v>
      </c>
    </row>
    <row r="627" spans="2:40" x14ac:dyDescent="0.3">
      <c r="B627" s="99" t="s">
        <v>95</v>
      </c>
      <c r="C627" s="100">
        <v>45769</v>
      </c>
      <c r="D627" s="99" t="s">
        <v>44</v>
      </c>
      <c r="E627" s="99" t="s">
        <v>45</v>
      </c>
      <c r="F627" s="99" t="s">
        <v>16</v>
      </c>
      <c r="G627" s="99">
        <v>38</v>
      </c>
      <c r="H627" s="112">
        <v>250000</v>
      </c>
      <c r="I627" s="112">
        <v>9500000</v>
      </c>
      <c r="J627" s="99" t="s">
        <v>2369</v>
      </c>
      <c r="K627" s="99" t="s">
        <v>127</v>
      </c>
      <c r="N627" s="99" t="s">
        <v>2658</v>
      </c>
      <c r="O627" s="99" t="s">
        <v>8</v>
      </c>
      <c r="P627" s="100">
        <f t="shared" si="91"/>
        <v>45960</v>
      </c>
      <c r="Q627" s="101">
        <f t="shared" si="90"/>
        <v>63</v>
      </c>
      <c r="R627" s="99">
        <f t="shared" si="92"/>
        <v>1</v>
      </c>
      <c r="S627" s="101">
        <f t="shared" si="93"/>
        <v>4320000</v>
      </c>
      <c r="T627" s="99" t="str">
        <f t="shared" si="94"/>
        <v>High</v>
      </c>
      <c r="U627" s="99" t="str">
        <f t="shared" si="95"/>
        <v>Low</v>
      </c>
      <c r="V627" s="99" t="str">
        <f t="shared" si="96"/>
        <v>Low</v>
      </c>
      <c r="W627" s="99" t="str">
        <f t="shared" si="97"/>
        <v>HLL</v>
      </c>
      <c r="X627" s="99" t="str">
        <f>VLOOKUP(W627,rfm[],2,FALSE)</f>
        <v>🌱 Potential Loyalists</v>
      </c>
      <c r="AA627" s="99" t="s">
        <v>2658</v>
      </c>
      <c r="AB627" s="99" t="s">
        <v>8</v>
      </c>
      <c r="AC627" s="100">
        <v>45960</v>
      </c>
      <c r="AD627" s="101">
        <v>63</v>
      </c>
      <c r="AE627" s="101">
        <v>1</v>
      </c>
      <c r="AF627" s="101">
        <v>4320000</v>
      </c>
      <c r="AG627" s="99" t="str">
        <f>VLOOKUP(AA627,recency!$K$6:$P$818,6,0)</f>
        <v>Low</v>
      </c>
      <c r="AH627" s="132" t="str">
        <f>VLOOKUP(AA627,frequency!$F$6:$H$818,3,FALSE)</f>
        <v>Low</v>
      </c>
      <c r="AI627" s="129" t="str">
        <f>VLOOKUP(AA627,monetary!$B$5:$F$817,5,0)</f>
        <v>Low</v>
      </c>
      <c r="AJ627" s="99" t="str">
        <f t="shared" si="98"/>
        <v>LLL</v>
      </c>
      <c r="AK627" s="99" t="str">
        <f>VLOOKUP(AJ627,rfm[],2,0)</f>
        <v>💤 Lost / Low Value</v>
      </c>
      <c r="AN627" s="99" t="b">
        <f t="shared" si="99"/>
        <v>0</v>
      </c>
    </row>
    <row r="628" spans="2:40" x14ac:dyDescent="0.3">
      <c r="B628" s="99" t="s">
        <v>96</v>
      </c>
      <c r="C628" s="100">
        <v>45770</v>
      </c>
      <c r="D628" s="99" t="s">
        <v>42</v>
      </c>
      <c r="E628" s="99" t="s">
        <v>43</v>
      </c>
      <c r="F628" s="99" t="s">
        <v>16</v>
      </c>
      <c r="G628" s="99">
        <v>12</v>
      </c>
      <c r="H628" s="112">
        <v>1200000</v>
      </c>
      <c r="I628" s="112">
        <v>14400000</v>
      </c>
      <c r="J628" s="99" t="s">
        <v>2570</v>
      </c>
      <c r="K628" s="99" t="s">
        <v>8</v>
      </c>
      <c r="N628" s="99" t="s">
        <v>2659</v>
      </c>
      <c r="O628" s="99" t="s">
        <v>47</v>
      </c>
      <c r="P628" s="100">
        <f t="shared" si="91"/>
        <v>45929</v>
      </c>
      <c r="Q628" s="101">
        <f t="shared" si="90"/>
        <v>94</v>
      </c>
      <c r="R628" s="99">
        <f t="shared" si="92"/>
        <v>1</v>
      </c>
      <c r="S628" s="101">
        <f t="shared" si="93"/>
        <v>9500000</v>
      </c>
      <c r="T628" s="99" t="str">
        <f t="shared" si="94"/>
        <v>Low</v>
      </c>
      <c r="U628" s="99" t="str">
        <f t="shared" si="95"/>
        <v>Low</v>
      </c>
      <c r="V628" s="99" t="str">
        <f t="shared" si="96"/>
        <v>Low</v>
      </c>
      <c r="W628" s="99" t="str">
        <f t="shared" si="97"/>
        <v>LLL</v>
      </c>
      <c r="X628" s="99" t="str">
        <f>VLOOKUP(W628,rfm[],2,FALSE)</f>
        <v>💤 Lost / Low Value</v>
      </c>
      <c r="AA628" s="99" t="s">
        <v>2659</v>
      </c>
      <c r="AB628" s="99" t="s">
        <v>47</v>
      </c>
      <c r="AC628" s="100">
        <v>45929</v>
      </c>
      <c r="AD628" s="101">
        <v>94</v>
      </c>
      <c r="AE628" s="101">
        <v>1</v>
      </c>
      <c r="AF628" s="101">
        <v>9500000</v>
      </c>
      <c r="AG628" s="99" t="str">
        <f>VLOOKUP(AA628,recency!$K$6:$P$818,6,0)</f>
        <v>Low</v>
      </c>
      <c r="AH628" s="132" t="str">
        <f>VLOOKUP(AA628,frequency!$F$6:$H$818,3,FALSE)</f>
        <v>Low</v>
      </c>
      <c r="AI628" s="129" t="str">
        <f>VLOOKUP(AA628,monetary!$B$5:$F$817,5,0)</f>
        <v>Low</v>
      </c>
      <c r="AJ628" s="99" t="str">
        <f t="shared" si="98"/>
        <v>LLL</v>
      </c>
      <c r="AK628" s="99" t="str">
        <f>VLOOKUP(AJ628,rfm[],2,0)</f>
        <v>💤 Lost / Low Value</v>
      </c>
      <c r="AN628" s="99" t="b">
        <f t="shared" si="99"/>
        <v>1</v>
      </c>
    </row>
    <row r="629" spans="2:40" x14ac:dyDescent="0.3">
      <c r="B629" s="99" t="s">
        <v>109</v>
      </c>
      <c r="C629" s="100">
        <v>45770</v>
      </c>
      <c r="D629" s="99" t="s">
        <v>22</v>
      </c>
      <c r="E629" s="99" t="s">
        <v>23</v>
      </c>
      <c r="F629" s="99" t="s">
        <v>12</v>
      </c>
      <c r="G629" s="99">
        <v>39</v>
      </c>
      <c r="H629" s="112">
        <v>25000</v>
      </c>
      <c r="I629" s="112">
        <v>975000</v>
      </c>
      <c r="J629" s="99" t="s">
        <v>2562</v>
      </c>
      <c r="K629" s="99" t="s">
        <v>8</v>
      </c>
      <c r="N629" s="99" t="s">
        <v>2660</v>
      </c>
      <c r="O629" s="99" t="s">
        <v>69</v>
      </c>
      <c r="P629" s="100">
        <f t="shared" si="91"/>
        <v>45950</v>
      </c>
      <c r="Q629" s="101">
        <f t="shared" si="90"/>
        <v>73</v>
      </c>
      <c r="R629" s="99">
        <f t="shared" si="92"/>
        <v>4</v>
      </c>
      <c r="S629" s="101">
        <f t="shared" si="93"/>
        <v>69800000</v>
      </c>
      <c r="T629" s="99" t="str">
        <f t="shared" si="94"/>
        <v>High</v>
      </c>
      <c r="U629" s="99" t="str">
        <f t="shared" si="95"/>
        <v>High</v>
      </c>
      <c r="V629" s="99" t="str">
        <f t="shared" si="96"/>
        <v>High</v>
      </c>
      <c r="W629" s="99" t="str">
        <f t="shared" si="97"/>
        <v>HHH</v>
      </c>
      <c r="X629" s="99" t="str">
        <f>VLOOKUP(W629,rfm[],2,FALSE)</f>
        <v>🥇 Champions</v>
      </c>
      <c r="AA629" s="99" t="s">
        <v>2660</v>
      </c>
      <c r="AB629" s="99" t="s">
        <v>69</v>
      </c>
      <c r="AC629" s="100">
        <v>45950</v>
      </c>
      <c r="AD629" s="101">
        <v>73</v>
      </c>
      <c r="AE629" s="101">
        <v>4</v>
      </c>
      <c r="AF629" s="101">
        <v>69800000</v>
      </c>
      <c r="AG629" s="99" t="str">
        <f>VLOOKUP(AA629,recency!$K$6:$P$818,6,0)</f>
        <v>Low</v>
      </c>
      <c r="AH629" s="132" t="str">
        <f>VLOOKUP(AA629,frequency!$F$6:$H$818,3,FALSE)</f>
        <v>High</v>
      </c>
      <c r="AI629" s="129" t="str">
        <f>VLOOKUP(AA629,monetary!$B$5:$F$817,5,0)</f>
        <v>High</v>
      </c>
      <c r="AJ629" s="99" t="str">
        <f t="shared" si="98"/>
        <v>LHH</v>
      </c>
      <c r="AK629" s="99" t="str">
        <f>VLOOKUP(AJ629,rfm[],2,0)</f>
        <v>⚠️ At Risk High Value</v>
      </c>
      <c r="AN629" s="99" t="b">
        <f t="shared" si="99"/>
        <v>0</v>
      </c>
    </row>
    <row r="630" spans="2:40" x14ac:dyDescent="0.3">
      <c r="B630" s="99" t="s">
        <v>121</v>
      </c>
      <c r="C630" s="100">
        <v>45770</v>
      </c>
      <c r="D630" s="99" t="s">
        <v>31</v>
      </c>
      <c r="E630" s="99" t="s">
        <v>32</v>
      </c>
      <c r="F630" s="99" t="s">
        <v>20</v>
      </c>
      <c r="G630" s="99">
        <v>22</v>
      </c>
      <c r="H630" s="112">
        <v>180000</v>
      </c>
      <c r="I630" s="112">
        <v>3960000</v>
      </c>
      <c r="J630" s="99" t="s">
        <v>2806</v>
      </c>
      <c r="K630" s="99" t="s">
        <v>69</v>
      </c>
      <c r="N630" s="99" t="s">
        <v>2661</v>
      </c>
      <c r="O630" s="99" t="s">
        <v>60</v>
      </c>
      <c r="P630" s="100">
        <f t="shared" si="91"/>
        <v>45919</v>
      </c>
      <c r="Q630" s="101">
        <f t="shared" si="90"/>
        <v>104</v>
      </c>
      <c r="R630" s="99">
        <f t="shared" si="92"/>
        <v>2</v>
      </c>
      <c r="S630" s="101">
        <f t="shared" si="93"/>
        <v>46560000</v>
      </c>
      <c r="T630" s="99" t="str">
        <f t="shared" si="94"/>
        <v>Low</v>
      </c>
      <c r="U630" s="99" t="str">
        <f t="shared" si="95"/>
        <v>Low</v>
      </c>
      <c r="V630" s="99" t="str">
        <f t="shared" si="96"/>
        <v>High</v>
      </c>
      <c r="W630" s="99" t="str">
        <f t="shared" si="97"/>
        <v>LLH</v>
      </c>
      <c r="X630" s="99" t="str">
        <f>VLOOKUP(W630,rfm[],2,FALSE)</f>
        <v>💸 Lost High Spenders</v>
      </c>
      <c r="AA630" s="99" t="s">
        <v>2661</v>
      </c>
      <c r="AB630" s="99" t="s">
        <v>60</v>
      </c>
      <c r="AC630" s="100">
        <v>45919</v>
      </c>
      <c r="AD630" s="101">
        <v>104</v>
      </c>
      <c r="AE630" s="101">
        <v>2</v>
      </c>
      <c r="AF630" s="101">
        <v>46560000</v>
      </c>
      <c r="AG630" s="99" t="str">
        <f>VLOOKUP(AA630,recency!$K$6:$P$818,6,0)</f>
        <v>Low</v>
      </c>
      <c r="AH630" s="132" t="str">
        <f>VLOOKUP(AA630,frequency!$F$6:$H$818,3,FALSE)</f>
        <v>Low</v>
      </c>
      <c r="AI630" s="129" t="str">
        <f>VLOOKUP(AA630,monetary!$B$5:$F$817,5,0)</f>
        <v>Low</v>
      </c>
      <c r="AJ630" s="99" t="str">
        <f t="shared" si="98"/>
        <v>LLL</v>
      </c>
      <c r="AK630" s="99" t="str">
        <f>VLOOKUP(AJ630,rfm[],2,0)</f>
        <v>💤 Lost / Low Value</v>
      </c>
      <c r="AN630" s="99" t="b">
        <f t="shared" si="99"/>
        <v>0</v>
      </c>
    </row>
    <row r="631" spans="2:40" x14ac:dyDescent="0.3">
      <c r="B631" s="99" t="s">
        <v>132</v>
      </c>
      <c r="C631" s="100">
        <v>45770</v>
      </c>
      <c r="D631" s="99" t="s">
        <v>18</v>
      </c>
      <c r="E631" s="99" t="s">
        <v>19</v>
      </c>
      <c r="F631" s="99" t="s">
        <v>20</v>
      </c>
      <c r="G631" s="99">
        <v>28</v>
      </c>
      <c r="H631" s="112">
        <v>500000</v>
      </c>
      <c r="I631" s="112">
        <v>14000000</v>
      </c>
      <c r="J631" s="99" t="s">
        <v>2789</v>
      </c>
      <c r="K631" s="99" t="s">
        <v>127</v>
      </c>
      <c r="N631" s="99" t="s">
        <v>2662</v>
      </c>
      <c r="O631" s="99" t="s">
        <v>127</v>
      </c>
      <c r="P631" s="100">
        <f t="shared" si="91"/>
        <v>45917</v>
      </c>
      <c r="Q631" s="101">
        <f t="shared" si="90"/>
        <v>106</v>
      </c>
      <c r="R631" s="99">
        <f t="shared" si="92"/>
        <v>5</v>
      </c>
      <c r="S631" s="101">
        <f t="shared" si="93"/>
        <v>62575000</v>
      </c>
      <c r="T631" s="99" t="str">
        <f t="shared" si="94"/>
        <v>Low</v>
      </c>
      <c r="U631" s="99" t="str">
        <f t="shared" si="95"/>
        <v>High</v>
      </c>
      <c r="V631" s="99" t="str">
        <f t="shared" si="96"/>
        <v>High</v>
      </c>
      <c r="W631" s="99" t="str">
        <f t="shared" si="97"/>
        <v>LHH</v>
      </c>
      <c r="X631" s="99" t="str">
        <f>VLOOKUP(W631,rfm[],2,FALSE)</f>
        <v>⚠️ At Risk High Value</v>
      </c>
      <c r="AA631" s="99" t="s">
        <v>2662</v>
      </c>
      <c r="AB631" s="99" t="s">
        <v>127</v>
      </c>
      <c r="AC631" s="100">
        <v>45917</v>
      </c>
      <c r="AD631" s="101">
        <v>106</v>
      </c>
      <c r="AE631" s="101">
        <v>5</v>
      </c>
      <c r="AF631" s="101">
        <v>62575000</v>
      </c>
      <c r="AG631" s="99" t="str">
        <f>VLOOKUP(AA631,recency!$K$6:$P$818,6,0)</f>
        <v>Low</v>
      </c>
      <c r="AH631" s="132" t="str">
        <f>VLOOKUP(AA631,frequency!$F$6:$H$818,3,FALSE)</f>
        <v>High</v>
      </c>
      <c r="AI631" s="129" t="str">
        <f>VLOOKUP(AA631,monetary!$B$5:$F$817,5,0)</f>
        <v>High</v>
      </c>
      <c r="AJ631" s="99" t="str">
        <f t="shared" si="98"/>
        <v>LHH</v>
      </c>
      <c r="AK631" s="99" t="str">
        <f>VLOOKUP(AJ631,rfm[],2,0)</f>
        <v>⚠️ At Risk High Value</v>
      </c>
      <c r="AN631" s="99" t="b">
        <f t="shared" si="99"/>
        <v>1</v>
      </c>
    </row>
    <row r="632" spans="2:40" x14ac:dyDescent="0.3">
      <c r="B632" s="99" t="s">
        <v>149</v>
      </c>
      <c r="C632" s="100">
        <v>45770</v>
      </c>
      <c r="D632" s="99" t="s">
        <v>28</v>
      </c>
      <c r="E632" s="99" t="s">
        <v>29</v>
      </c>
      <c r="F632" s="99" t="s">
        <v>20</v>
      </c>
      <c r="G632" s="99">
        <v>9</v>
      </c>
      <c r="H632" s="112">
        <v>450000</v>
      </c>
      <c r="I632" s="112">
        <v>4050000</v>
      </c>
      <c r="J632" s="99" t="s">
        <v>2823</v>
      </c>
      <c r="K632" s="99" t="s">
        <v>69</v>
      </c>
      <c r="N632" s="99" t="s">
        <v>2663</v>
      </c>
      <c r="O632" s="99" t="s">
        <v>8</v>
      </c>
      <c r="P632" s="100">
        <f t="shared" si="91"/>
        <v>46014</v>
      </c>
      <c r="Q632" s="101">
        <f t="shared" si="90"/>
        <v>9</v>
      </c>
      <c r="R632" s="99">
        <f t="shared" si="92"/>
        <v>4</v>
      </c>
      <c r="S632" s="101">
        <f t="shared" si="93"/>
        <v>45210000</v>
      </c>
      <c r="T632" s="99" t="str">
        <f t="shared" si="94"/>
        <v>High</v>
      </c>
      <c r="U632" s="99" t="str">
        <f t="shared" si="95"/>
        <v>High</v>
      </c>
      <c r="V632" s="99" t="str">
        <f t="shared" si="96"/>
        <v>High</v>
      </c>
      <c r="W632" s="99" t="str">
        <f t="shared" si="97"/>
        <v>HHH</v>
      </c>
      <c r="X632" s="99" t="str">
        <f>VLOOKUP(W632,rfm[],2,FALSE)</f>
        <v>🥇 Champions</v>
      </c>
      <c r="AA632" s="99" t="s">
        <v>2663</v>
      </c>
      <c r="AB632" s="99" t="s">
        <v>8</v>
      </c>
      <c r="AC632" s="100">
        <v>46014</v>
      </c>
      <c r="AD632" s="101">
        <v>9</v>
      </c>
      <c r="AE632" s="101">
        <v>4</v>
      </c>
      <c r="AF632" s="101">
        <v>45210000</v>
      </c>
      <c r="AG632" s="99" t="str">
        <f>VLOOKUP(AA632,recency!$K$6:$P$818,6,0)</f>
        <v>High</v>
      </c>
      <c r="AH632" s="132" t="str">
        <f>VLOOKUP(AA632,frequency!$F$6:$H$818,3,FALSE)</f>
        <v>High</v>
      </c>
      <c r="AI632" s="129" t="str">
        <f>VLOOKUP(AA632,monetary!$B$5:$F$817,5,0)</f>
        <v>Low</v>
      </c>
      <c r="AJ632" s="99" t="str">
        <f t="shared" si="98"/>
        <v>HHL</v>
      </c>
      <c r="AK632" s="99" t="str">
        <f>VLOOKUP(AJ632,rfm[],2,0)</f>
        <v>💎 Loyal High Value</v>
      </c>
      <c r="AN632" s="99" t="b">
        <f t="shared" si="99"/>
        <v>0</v>
      </c>
    </row>
    <row r="633" spans="2:40" x14ac:dyDescent="0.3">
      <c r="B633" s="99" t="s">
        <v>156</v>
      </c>
      <c r="C633" s="100">
        <v>45770</v>
      </c>
      <c r="D633" s="99" t="s">
        <v>14</v>
      </c>
      <c r="E633" s="99" t="s">
        <v>15</v>
      </c>
      <c r="F633" s="99" t="s">
        <v>16</v>
      </c>
      <c r="G633" s="99">
        <v>350</v>
      </c>
      <c r="H633" s="112">
        <v>350000</v>
      </c>
      <c r="I633" s="112">
        <v>122500000</v>
      </c>
      <c r="J633" s="99" t="s">
        <v>2291</v>
      </c>
      <c r="K633" s="99" t="s">
        <v>127</v>
      </c>
      <c r="N633" s="99" t="s">
        <v>2664</v>
      </c>
      <c r="O633" s="99" t="s">
        <v>127</v>
      </c>
      <c r="P633" s="100">
        <f t="shared" si="91"/>
        <v>45677</v>
      </c>
      <c r="Q633" s="101">
        <f t="shared" si="90"/>
        <v>346</v>
      </c>
      <c r="R633" s="99">
        <f t="shared" si="92"/>
        <v>1</v>
      </c>
      <c r="S633" s="101">
        <f t="shared" si="93"/>
        <v>31350000</v>
      </c>
      <c r="T633" s="99" t="str">
        <f t="shared" si="94"/>
        <v>Low</v>
      </c>
      <c r="U633" s="99" t="str">
        <f t="shared" si="95"/>
        <v>Low</v>
      </c>
      <c r="V633" s="99" t="str">
        <f t="shared" si="96"/>
        <v>High</v>
      </c>
      <c r="W633" s="99" t="str">
        <f t="shared" si="97"/>
        <v>LLH</v>
      </c>
      <c r="X633" s="99" t="str">
        <f>VLOOKUP(W633,rfm[],2,FALSE)</f>
        <v>💸 Lost High Spenders</v>
      </c>
      <c r="AA633" s="99" t="s">
        <v>2664</v>
      </c>
      <c r="AB633" s="99" t="s">
        <v>127</v>
      </c>
      <c r="AC633" s="100">
        <v>45677</v>
      </c>
      <c r="AD633" s="101">
        <v>346</v>
      </c>
      <c r="AE633" s="101">
        <v>1</v>
      </c>
      <c r="AF633" s="101">
        <v>31350000</v>
      </c>
      <c r="AG633" s="99" t="str">
        <f>VLOOKUP(AA633,recency!$K$6:$P$818,6,0)</f>
        <v>Low</v>
      </c>
      <c r="AH633" s="132" t="str">
        <f>VLOOKUP(AA633,frequency!$F$6:$H$818,3,FALSE)</f>
        <v>Low</v>
      </c>
      <c r="AI633" s="129" t="str">
        <f>VLOOKUP(AA633,monetary!$B$5:$F$817,5,0)</f>
        <v>Low</v>
      </c>
      <c r="AJ633" s="99" t="str">
        <f t="shared" si="98"/>
        <v>LLL</v>
      </c>
      <c r="AK633" s="99" t="str">
        <f>VLOOKUP(AJ633,rfm[],2,0)</f>
        <v>💤 Lost / Low Value</v>
      </c>
      <c r="AN633" s="99" t="b">
        <f t="shared" si="99"/>
        <v>0</v>
      </c>
    </row>
    <row r="634" spans="2:40" x14ac:dyDescent="0.3">
      <c r="B634" s="99" t="s">
        <v>169</v>
      </c>
      <c r="C634" s="100">
        <v>45770</v>
      </c>
      <c r="D634" s="99" t="s">
        <v>42</v>
      </c>
      <c r="E634" s="99" t="s">
        <v>43</v>
      </c>
      <c r="F634" s="99" t="s">
        <v>16</v>
      </c>
      <c r="G634" s="99">
        <v>39</v>
      </c>
      <c r="H634" s="112">
        <v>1200000</v>
      </c>
      <c r="I634" s="112">
        <v>46800000</v>
      </c>
      <c r="J634" s="99" t="s">
        <v>2176</v>
      </c>
      <c r="K634" s="99" t="s">
        <v>127</v>
      </c>
      <c r="N634" s="99" t="s">
        <v>2665</v>
      </c>
      <c r="O634" s="99" t="s">
        <v>127</v>
      </c>
      <c r="P634" s="100">
        <f t="shared" si="91"/>
        <v>45965</v>
      </c>
      <c r="Q634" s="101">
        <f t="shared" si="90"/>
        <v>58</v>
      </c>
      <c r="R634" s="99">
        <f t="shared" si="92"/>
        <v>4</v>
      </c>
      <c r="S634" s="101">
        <f t="shared" si="93"/>
        <v>30725000</v>
      </c>
      <c r="T634" s="99" t="str">
        <f t="shared" si="94"/>
        <v>High</v>
      </c>
      <c r="U634" s="99" t="str">
        <f t="shared" si="95"/>
        <v>High</v>
      </c>
      <c r="V634" s="99" t="str">
        <f t="shared" si="96"/>
        <v>High</v>
      </c>
      <c r="W634" s="99" t="str">
        <f t="shared" si="97"/>
        <v>HHH</v>
      </c>
      <c r="X634" s="99" t="str">
        <f>VLOOKUP(W634,rfm[],2,FALSE)</f>
        <v>🥇 Champions</v>
      </c>
      <c r="AA634" s="99" t="s">
        <v>2665</v>
      </c>
      <c r="AB634" s="99" t="s">
        <v>127</v>
      </c>
      <c r="AC634" s="100">
        <v>45965</v>
      </c>
      <c r="AD634" s="101">
        <v>58</v>
      </c>
      <c r="AE634" s="101">
        <v>4</v>
      </c>
      <c r="AF634" s="101">
        <v>30725000</v>
      </c>
      <c r="AG634" s="99" t="str">
        <f>VLOOKUP(AA634,recency!$K$6:$P$818,6,0)</f>
        <v>High</v>
      </c>
      <c r="AH634" s="132" t="str">
        <f>VLOOKUP(AA634,frequency!$F$6:$H$818,3,FALSE)</f>
        <v>High</v>
      </c>
      <c r="AI634" s="129" t="str">
        <f>VLOOKUP(AA634,monetary!$B$5:$F$817,5,0)</f>
        <v>Low</v>
      </c>
      <c r="AJ634" s="99" t="str">
        <f t="shared" si="98"/>
        <v>HHL</v>
      </c>
      <c r="AK634" s="99" t="str">
        <f>VLOOKUP(AJ634,rfm[],2,0)</f>
        <v>💎 Loyal High Value</v>
      </c>
      <c r="AN634" s="99" t="b">
        <f t="shared" si="99"/>
        <v>0</v>
      </c>
    </row>
    <row r="635" spans="2:40" x14ac:dyDescent="0.3">
      <c r="B635" s="99" t="s">
        <v>190</v>
      </c>
      <c r="C635" s="100">
        <v>45770</v>
      </c>
      <c r="D635" s="99" t="s">
        <v>40</v>
      </c>
      <c r="E635" s="99" t="s">
        <v>41</v>
      </c>
      <c r="F635" s="99" t="s">
        <v>16</v>
      </c>
      <c r="G635" s="99">
        <v>9</v>
      </c>
      <c r="H635" s="112">
        <v>950000</v>
      </c>
      <c r="I635" s="112">
        <v>8550000</v>
      </c>
      <c r="J635" s="99" t="s">
        <v>2251</v>
      </c>
      <c r="K635" s="99" t="s">
        <v>127</v>
      </c>
      <c r="N635" s="99" t="s">
        <v>2666</v>
      </c>
      <c r="O635" s="99" t="s">
        <v>69</v>
      </c>
      <c r="P635" s="100">
        <f t="shared" si="91"/>
        <v>45954</v>
      </c>
      <c r="Q635" s="101">
        <f t="shared" si="90"/>
        <v>69</v>
      </c>
      <c r="R635" s="99">
        <f t="shared" si="92"/>
        <v>1</v>
      </c>
      <c r="S635" s="101">
        <f t="shared" si="93"/>
        <v>22000000</v>
      </c>
      <c r="T635" s="99" t="str">
        <f t="shared" si="94"/>
        <v>High</v>
      </c>
      <c r="U635" s="99" t="str">
        <f t="shared" si="95"/>
        <v>Low</v>
      </c>
      <c r="V635" s="99" t="str">
        <f t="shared" si="96"/>
        <v>High</v>
      </c>
      <c r="W635" s="99" t="str">
        <f t="shared" si="97"/>
        <v>HLH</v>
      </c>
      <c r="X635" s="99" t="str">
        <f>VLOOKUP(W635,rfm[],2,FALSE)</f>
        <v>🛒 Big Spenders (Occasional)</v>
      </c>
      <c r="AA635" s="99" t="s">
        <v>2666</v>
      </c>
      <c r="AB635" s="99" t="s">
        <v>69</v>
      </c>
      <c r="AC635" s="100">
        <v>45954</v>
      </c>
      <c r="AD635" s="101">
        <v>69</v>
      </c>
      <c r="AE635" s="101">
        <v>1</v>
      </c>
      <c r="AF635" s="101">
        <v>22000000</v>
      </c>
      <c r="AG635" s="99" t="str">
        <f>VLOOKUP(AA635,recency!$K$6:$P$818,6,0)</f>
        <v>Low</v>
      </c>
      <c r="AH635" s="132" t="str">
        <f>VLOOKUP(AA635,frequency!$F$6:$H$818,3,FALSE)</f>
        <v>Low</v>
      </c>
      <c r="AI635" s="129" t="str">
        <f>VLOOKUP(AA635,monetary!$B$5:$F$817,5,0)</f>
        <v>Low</v>
      </c>
      <c r="AJ635" s="99" t="str">
        <f t="shared" si="98"/>
        <v>LLL</v>
      </c>
      <c r="AK635" s="99" t="str">
        <f>VLOOKUP(AJ635,rfm[],2,0)</f>
        <v>💤 Lost / Low Value</v>
      </c>
      <c r="AN635" s="99" t="b">
        <f t="shared" si="99"/>
        <v>0</v>
      </c>
    </row>
    <row r="636" spans="2:40" x14ac:dyDescent="0.3">
      <c r="B636" s="99" t="s">
        <v>191</v>
      </c>
      <c r="C636" s="100">
        <v>45770</v>
      </c>
      <c r="D636" s="99" t="s">
        <v>44</v>
      </c>
      <c r="E636" s="99" t="s">
        <v>45</v>
      </c>
      <c r="F636" s="99" t="s">
        <v>16</v>
      </c>
      <c r="G636" s="99">
        <v>16</v>
      </c>
      <c r="H636" s="112">
        <v>250000</v>
      </c>
      <c r="I636" s="112">
        <v>4000000</v>
      </c>
      <c r="J636" s="99" t="s">
        <v>2206</v>
      </c>
      <c r="K636" s="99" t="s">
        <v>8</v>
      </c>
      <c r="N636" s="99" t="s">
        <v>2667</v>
      </c>
      <c r="O636" s="99" t="s">
        <v>8</v>
      </c>
      <c r="P636" s="100">
        <f t="shared" si="91"/>
        <v>45915</v>
      </c>
      <c r="Q636" s="101">
        <f t="shared" si="90"/>
        <v>108</v>
      </c>
      <c r="R636" s="99">
        <f t="shared" si="92"/>
        <v>3</v>
      </c>
      <c r="S636" s="101">
        <f t="shared" si="93"/>
        <v>5890000</v>
      </c>
      <c r="T636" s="99" t="str">
        <f t="shared" si="94"/>
        <v>Low</v>
      </c>
      <c r="U636" s="99" t="str">
        <f t="shared" si="95"/>
        <v>High</v>
      </c>
      <c r="V636" s="99" t="str">
        <f t="shared" si="96"/>
        <v>Low</v>
      </c>
      <c r="W636" s="99" t="str">
        <f t="shared" si="97"/>
        <v>LHL</v>
      </c>
      <c r="X636" s="99" t="str">
        <f>VLOOKUP(W636,rfm[],2,FALSE)</f>
        <v>🔁 Former Loyal Low Spend</v>
      </c>
      <c r="AA636" s="99" t="s">
        <v>2667</v>
      </c>
      <c r="AB636" s="99" t="s">
        <v>8</v>
      </c>
      <c r="AC636" s="100">
        <v>45915</v>
      </c>
      <c r="AD636" s="101">
        <v>108</v>
      </c>
      <c r="AE636" s="101">
        <v>3</v>
      </c>
      <c r="AF636" s="101">
        <v>5890000</v>
      </c>
      <c r="AG636" s="99" t="str">
        <f>VLOOKUP(AA636,recency!$K$6:$P$818,6,0)</f>
        <v>Low</v>
      </c>
      <c r="AH636" s="132" t="str">
        <f>VLOOKUP(AA636,frequency!$F$6:$H$818,3,FALSE)</f>
        <v>High</v>
      </c>
      <c r="AI636" s="129" t="str">
        <f>VLOOKUP(AA636,monetary!$B$5:$F$817,5,0)</f>
        <v>Low</v>
      </c>
      <c r="AJ636" s="99" t="str">
        <f t="shared" si="98"/>
        <v>LHL</v>
      </c>
      <c r="AK636" s="99" t="str">
        <f>VLOOKUP(AJ636,rfm[],2,0)</f>
        <v>🔁 Former Loyal Low Spend</v>
      </c>
      <c r="AN636" s="99" t="b">
        <f t="shared" si="99"/>
        <v>1</v>
      </c>
    </row>
    <row r="637" spans="2:40" x14ac:dyDescent="0.3">
      <c r="B637" s="99" t="s">
        <v>192</v>
      </c>
      <c r="C637" s="100">
        <v>45770</v>
      </c>
      <c r="D637" s="99" t="s">
        <v>31</v>
      </c>
      <c r="E637" s="99" t="s">
        <v>32</v>
      </c>
      <c r="F637" s="99" t="s">
        <v>20</v>
      </c>
      <c r="G637" s="99">
        <v>15</v>
      </c>
      <c r="H637" s="112">
        <v>180000</v>
      </c>
      <c r="I637" s="112">
        <v>2700000</v>
      </c>
      <c r="J637" s="99" t="s">
        <v>2320</v>
      </c>
      <c r="K637" s="99" t="s">
        <v>47</v>
      </c>
      <c r="N637" s="99" t="s">
        <v>2668</v>
      </c>
      <c r="O637" s="99" t="s">
        <v>127</v>
      </c>
      <c r="P637" s="100">
        <f t="shared" si="91"/>
        <v>45978</v>
      </c>
      <c r="Q637" s="101">
        <f t="shared" si="90"/>
        <v>45</v>
      </c>
      <c r="R637" s="99">
        <f t="shared" si="92"/>
        <v>6</v>
      </c>
      <c r="S637" s="101">
        <f t="shared" si="93"/>
        <v>833400000</v>
      </c>
      <c r="T637" s="99" t="str">
        <f t="shared" si="94"/>
        <v>High</v>
      </c>
      <c r="U637" s="99" t="str">
        <f t="shared" si="95"/>
        <v>High</v>
      </c>
      <c r="V637" s="99" t="str">
        <f t="shared" si="96"/>
        <v>High</v>
      </c>
      <c r="W637" s="99" t="str">
        <f t="shared" si="97"/>
        <v>HHH</v>
      </c>
      <c r="X637" s="99" t="str">
        <f>VLOOKUP(W637,rfm[],2,FALSE)</f>
        <v>🥇 Champions</v>
      </c>
      <c r="AA637" s="99" t="s">
        <v>2668</v>
      </c>
      <c r="AB637" s="99" t="s">
        <v>127</v>
      </c>
      <c r="AC637" s="100">
        <v>45978</v>
      </c>
      <c r="AD637" s="101">
        <v>45</v>
      </c>
      <c r="AE637" s="101">
        <v>6</v>
      </c>
      <c r="AF637" s="101">
        <v>833400000</v>
      </c>
      <c r="AG637" s="99" t="str">
        <f>VLOOKUP(AA637,recency!$K$6:$P$818,6,0)</f>
        <v>High</v>
      </c>
      <c r="AH637" s="132" t="str">
        <f>VLOOKUP(AA637,frequency!$F$6:$H$818,3,FALSE)</f>
        <v>High</v>
      </c>
      <c r="AI637" s="129" t="str">
        <f>VLOOKUP(AA637,monetary!$B$5:$F$817,5,0)</f>
        <v>High</v>
      </c>
      <c r="AJ637" s="99" t="str">
        <f t="shared" si="98"/>
        <v>HHH</v>
      </c>
      <c r="AK637" s="99" t="str">
        <f>VLOOKUP(AJ637,rfm[],2,0)</f>
        <v>🥇 Champions</v>
      </c>
      <c r="AN637" s="99" t="b">
        <f t="shared" si="99"/>
        <v>1</v>
      </c>
    </row>
    <row r="638" spans="2:40" x14ac:dyDescent="0.3">
      <c r="B638" s="99" t="s">
        <v>193</v>
      </c>
      <c r="C638" s="100">
        <v>45770</v>
      </c>
      <c r="D638" s="99" t="s">
        <v>42</v>
      </c>
      <c r="E638" s="99" t="s">
        <v>43</v>
      </c>
      <c r="F638" s="99" t="s">
        <v>16</v>
      </c>
      <c r="G638" s="99">
        <v>5</v>
      </c>
      <c r="H638" s="112">
        <v>1200000</v>
      </c>
      <c r="I638" s="112">
        <v>6000000</v>
      </c>
      <c r="J638" s="99" t="s">
        <v>2788</v>
      </c>
      <c r="K638" s="99" t="s">
        <v>69</v>
      </c>
      <c r="N638" s="99" t="s">
        <v>2669</v>
      </c>
      <c r="O638" s="99" t="s">
        <v>8</v>
      </c>
      <c r="P638" s="100">
        <f t="shared" si="91"/>
        <v>46022</v>
      </c>
      <c r="Q638" s="101">
        <f t="shared" si="90"/>
        <v>1</v>
      </c>
      <c r="R638" s="99">
        <f t="shared" si="92"/>
        <v>6</v>
      </c>
      <c r="S638" s="101">
        <f t="shared" si="93"/>
        <v>53990000</v>
      </c>
      <c r="T638" s="99" t="str">
        <f t="shared" si="94"/>
        <v>High</v>
      </c>
      <c r="U638" s="99" t="str">
        <f t="shared" si="95"/>
        <v>High</v>
      </c>
      <c r="V638" s="99" t="str">
        <f t="shared" si="96"/>
        <v>High</v>
      </c>
      <c r="W638" s="99" t="str">
        <f t="shared" si="97"/>
        <v>HHH</v>
      </c>
      <c r="X638" s="99" t="str">
        <f>VLOOKUP(W638,rfm[],2,FALSE)</f>
        <v>🥇 Champions</v>
      </c>
      <c r="AA638" s="99" t="s">
        <v>2669</v>
      </c>
      <c r="AB638" s="99" t="s">
        <v>8</v>
      </c>
      <c r="AC638" s="100">
        <v>46022</v>
      </c>
      <c r="AD638" s="101">
        <v>1</v>
      </c>
      <c r="AE638" s="101">
        <v>6</v>
      </c>
      <c r="AF638" s="101">
        <v>53990000</v>
      </c>
      <c r="AG638" s="99" t="str">
        <f>VLOOKUP(AA638,recency!$K$6:$P$818,6,0)</f>
        <v>High</v>
      </c>
      <c r="AH638" s="132" t="str">
        <f>VLOOKUP(AA638,frequency!$F$6:$H$818,3,FALSE)</f>
        <v>High</v>
      </c>
      <c r="AI638" s="129" t="str">
        <f>VLOOKUP(AA638,monetary!$B$5:$F$817,5,0)</f>
        <v>High</v>
      </c>
      <c r="AJ638" s="99" t="str">
        <f t="shared" si="98"/>
        <v>HHH</v>
      </c>
      <c r="AK638" s="99" t="str">
        <f>VLOOKUP(AJ638,rfm[],2,0)</f>
        <v>🥇 Champions</v>
      </c>
      <c r="AN638" s="99" t="b">
        <f t="shared" si="99"/>
        <v>1</v>
      </c>
    </row>
    <row r="639" spans="2:40" x14ac:dyDescent="0.3">
      <c r="B639" s="99" t="s">
        <v>194</v>
      </c>
      <c r="C639" s="100">
        <v>45770</v>
      </c>
      <c r="D639" s="99" t="s">
        <v>44</v>
      </c>
      <c r="E639" s="99" t="s">
        <v>45</v>
      </c>
      <c r="F639" s="99" t="s">
        <v>16</v>
      </c>
      <c r="G639" s="99">
        <v>8</v>
      </c>
      <c r="H639" s="112">
        <v>250000</v>
      </c>
      <c r="I639" s="112">
        <v>2000000</v>
      </c>
      <c r="J639" s="99" t="s">
        <v>2541</v>
      </c>
      <c r="K639" s="99" t="s">
        <v>8</v>
      </c>
      <c r="N639" s="99" t="s">
        <v>2670</v>
      </c>
      <c r="O639" s="99" t="s">
        <v>127</v>
      </c>
      <c r="P639" s="100">
        <f t="shared" si="91"/>
        <v>45772</v>
      </c>
      <c r="Q639" s="101">
        <f t="shared" si="90"/>
        <v>251</v>
      </c>
      <c r="R639" s="99">
        <f t="shared" si="92"/>
        <v>2</v>
      </c>
      <c r="S639" s="101">
        <f t="shared" si="93"/>
        <v>34750000</v>
      </c>
      <c r="T639" s="99" t="str">
        <f t="shared" si="94"/>
        <v>Low</v>
      </c>
      <c r="U639" s="99" t="str">
        <f t="shared" si="95"/>
        <v>Low</v>
      </c>
      <c r="V639" s="99" t="str">
        <f t="shared" si="96"/>
        <v>High</v>
      </c>
      <c r="W639" s="99" t="str">
        <f t="shared" si="97"/>
        <v>LLH</v>
      </c>
      <c r="X639" s="99" t="str">
        <f>VLOOKUP(W639,rfm[],2,FALSE)</f>
        <v>💸 Lost High Spenders</v>
      </c>
      <c r="AA639" s="99" t="s">
        <v>2670</v>
      </c>
      <c r="AB639" s="99" t="s">
        <v>127</v>
      </c>
      <c r="AC639" s="100">
        <v>45772</v>
      </c>
      <c r="AD639" s="101">
        <v>251</v>
      </c>
      <c r="AE639" s="101">
        <v>2</v>
      </c>
      <c r="AF639" s="101">
        <v>34750000</v>
      </c>
      <c r="AG639" s="99" t="str">
        <f>VLOOKUP(AA639,recency!$K$6:$P$818,6,0)</f>
        <v>Low</v>
      </c>
      <c r="AH639" s="132" t="str">
        <f>VLOOKUP(AA639,frequency!$F$6:$H$818,3,FALSE)</f>
        <v>Low</v>
      </c>
      <c r="AI639" s="129" t="str">
        <f>VLOOKUP(AA639,monetary!$B$5:$F$817,5,0)</f>
        <v>Low</v>
      </c>
      <c r="AJ639" s="99" t="str">
        <f t="shared" si="98"/>
        <v>LLL</v>
      </c>
      <c r="AK639" s="99" t="str">
        <f>VLOOKUP(AJ639,rfm[],2,0)</f>
        <v>💤 Lost / Low Value</v>
      </c>
      <c r="AN639" s="99" t="b">
        <f t="shared" si="99"/>
        <v>0</v>
      </c>
    </row>
    <row r="640" spans="2:40" x14ac:dyDescent="0.3">
      <c r="B640" s="99" t="s">
        <v>205</v>
      </c>
      <c r="C640" s="100">
        <v>45770</v>
      </c>
      <c r="D640" s="99" t="s">
        <v>44</v>
      </c>
      <c r="E640" s="99" t="s">
        <v>45</v>
      </c>
      <c r="F640" s="99" t="s">
        <v>16</v>
      </c>
      <c r="G640" s="99">
        <v>13</v>
      </c>
      <c r="H640" s="112">
        <v>250000</v>
      </c>
      <c r="I640" s="112">
        <v>3250000</v>
      </c>
      <c r="J640" s="99" t="s">
        <v>2465</v>
      </c>
      <c r="K640" s="99" t="s">
        <v>127</v>
      </c>
      <c r="N640" s="99" t="s">
        <v>2671</v>
      </c>
      <c r="O640" s="99" t="s">
        <v>127</v>
      </c>
      <c r="P640" s="100">
        <f t="shared" si="91"/>
        <v>45954</v>
      </c>
      <c r="Q640" s="101">
        <f t="shared" si="90"/>
        <v>69</v>
      </c>
      <c r="R640" s="99">
        <f t="shared" si="92"/>
        <v>1</v>
      </c>
      <c r="S640" s="101">
        <f t="shared" si="93"/>
        <v>5000000</v>
      </c>
      <c r="T640" s="99" t="str">
        <f t="shared" si="94"/>
        <v>High</v>
      </c>
      <c r="U640" s="99" t="str">
        <f t="shared" si="95"/>
        <v>Low</v>
      </c>
      <c r="V640" s="99" t="str">
        <f t="shared" si="96"/>
        <v>Low</v>
      </c>
      <c r="W640" s="99" t="str">
        <f t="shared" si="97"/>
        <v>HLL</v>
      </c>
      <c r="X640" s="99" t="str">
        <f>VLOOKUP(W640,rfm[],2,FALSE)</f>
        <v>🌱 Potential Loyalists</v>
      </c>
      <c r="AA640" s="99" t="s">
        <v>2671</v>
      </c>
      <c r="AB640" s="99" t="s">
        <v>127</v>
      </c>
      <c r="AC640" s="100">
        <v>45954</v>
      </c>
      <c r="AD640" s="101">
        <v>69</v>
      </c>
      <c r="AE640" s="101">
        <v>1</v>
      </c>
      <c r="AF640" s="101">
        <v>5000000</v>
      </c>
      <c r="AG640" s="99" t="str">
        <f>VLOOKUP(AA640,recency!$K$6:$P$818,6,0)</f>
        <v>Low</v>
      </c>
      <c r="AH640" s="132" t="str">
        <f>VLOOKUP(AA640,frequency!$F$6:$H$818,3,FALSE)</f>
        <v>Low</v>
      </c>
      <c r="AI640" s="129" t="str">
        <f>VLOOKUP(AA640,monetary!$B$5:$F$817,5,0)</f>
        <v>Low</v>
      </c>
      <c r="AJ640" s="99" t="str">
        <f t="shared" si="98"/>
        <v>LLL</v>
      </c>
      <c r="AK640" s="99" t="str">
        <f>VLOOKUP(AJ640,rfm[],2,0)</f>
        <v>💤 Lost / Low Value</v>
      </c>
      <c r="AN640" s="99" t="b">
        <f t="shared" si="99"/>
        <v>0</v>
      </c>
    </row>
    <row r="641" spans="2:40" x14ac:dyDescent="0.3">
      <c r="B641" s="99" t="s">
        <v>206</v>
      </c>
      <c r="C641" s="100">
        <v>45770</v>
      </c>
      <c r="D641" s="99" t="s">
        <v>40</v>
      </c>
      <c r="E641" s="99" t="s">
        <v>41</v>
      </c>
      <c r="F641" s="99" t="s">
        <v>16</v>
      </c>
      <c r="G641" s="99">
        <v>34</v>
      </c>
      <c r="H641" s="112">
        <v>950000</v>
      </c>
      <c r="I641" s="112">
        <v>32300000</v>
      </c>
      <c r="J641" s="99" t="s">
        <v>216</v>
      </c>
      <c r="K641" s="99" t="s">
        <v>69</v>
      </c>
      <c r="N641" s="99" t="s">
        <v>2672</v>
      </c>
      <c r="O641" s="99" t="s">
        <v>47</v>
      </c>
      <c r="P641" s="100">
        <f t="shared" si="91"/>
        <v>45817</v>
      </c>
      <c r="Q641" s="101">
        <f t="shared" si="90"/>
        <v>206</v>
      </c>
      <c r="R641" s="99">
        <f t="shared" si="92"/>
        <v>1</v>
      </c>
      <c r="S641" s="101">
        <f t="shared" si="93"/>
        <v>3240000</v>
      </c>
      <c r="T641" s="99" t="str">
        <f t="shared" si="94"/>
        <v>Low</v>
      </c>
      <c r="U641" s="99" t="str">
        <f t="shared" si="95"/>
        <v>Low</v>
      </c>
      <c r="V641" s="99" t="str">
        <f t="shared" si="96"/>
        <v>Low</v>
      </c>
      <c r="W641" s="99" t="str">
        <f t="shared" si="97"/>
        <v>LLL</v>
      </c>
      <c r="X641" s="99" t="str">
        <f>VLOOKUP(W641,rfm[],2,FALSE)</f>
        <v>💤 Lost / Low Value</v>
      </c>
      <c r="AA641" s="99" t="s">
        <v>2672</v>
      </c>
      <c r="AB641" s="99" t="s">
        <v>47</v>
      </c>
      <c r="AC641" s="100">
        <v>45817</v>
      </c>
      <c r="AD641" s="101">
        <v>206</v>
      </c>
      <c r="AE641" s="101">
        <v>1</v>
      </c>
      <c r="AF641" s="101">
        <v>3240000</v>
      </c>
      <c r="AG641" s="99" t="str">
        <f>VLOOKUP(AA641,recency!$K$6:$P$818,6,0)</f>
        <v>Low</v>
      </c>
      <c r="AH641" s="132" t="str">
        <f>VLOOKUP(AA641,frequency!$F$6:$H$818,3,FALSE)</f>
        <v>Low</v>
      </c>
      <c r="AI641" s="129" t="str">
        <f>VLOOKUP(AA641,monetary!$B$5:$F$817,5,0)</f>
        <v>Low</v>
      </c>
      <c r="AJ641" s="99" t="str">
        <f t="shared" si="98"/>
        <v>LLL</v>
      </c>
      <c r="AK641" s="99" t="str">
        <f>VLOOKUP(AJ641,rfm[],2,0)</f>
        <v>💤 Lost / Low Value</v>
      </c>
      <c r="AN641" s="99" t="b">
        <f t="shared" si="99"/>
        <v>1</v>
      </c>
    </row>
    <row r="642" spans="2:40" x14ac:dyDescent="0.3">
      <c r="B642" s="99" t="s">
        <v>222</v>
      </c>
      <c r="C642" s="100">
        <v>45771</v>
      </c>
      <c r="D642" s="99" t="s">
        <v>28</v>
      </c>
      <c r="E642" s="99" t="s">
        <v>29</v>
      </c>
      <c r="F642" s="99" t="s">
        <v>20</v>
      </c>
      <c r="G642" s="99">
        <v>44</v>
      </c>
      <c r="H642" s="112">
        <v>450000</v>
      </c>
      <c r="I642" s="112">
        <v>19800000</v>
      </c>
      <c r="J642" s="99" t="s">
        <v>2818</v>
      </c>
      <c r="K642" s="99" t="s">
        <v>127</v>
      </c>
      <c r="N642" s="99" t="s">
        <v>2673</v>
      </c>
      <c r="O642" s="99" t="s">
        <v>8</v>
      </c>
      <c r="P642" s="100">
        <f t="shared" si="91"/>
        <v>45999</v>
      </c>
      <c r="Q642" s="101">
        <f t="shared" si="90"/>
        <v>24</v>
      </c>
      <c r="R642" s="99">
        <f t="shared" si="92"/>
        <v>9</v>
      </c>
      <c r="S642" s="101">
        <f t="shared" si="93"/>
        <v>51855000</v>
      </c>
      <c r="T642" s="99" t="str">
        <f t="shared" si="94"/>
        <v>High</v>
      </c>
      <c r="U642" s="99" t="str">
        <f t="shared" si="95"/>
        <v>High</v>
      </c>
      <c r="V642" s="99" t="str">
        <f t="shared" si="96"/>
        <v>High</v>
      </c>
      <c r="W642" s="99" t="str">
        <f t="shared" si="97"/>
        <v>HHH</v>
      </c>
      <c r="X642" s="99" t="str">
        <f>VLOOKUP(W642,rfm[],2,FALSE)</f>
        <v>🥇 Champions</v>
      </c>
      <c r="AA642" s="99" t="s">
        <v>2673</v>
      </c>
      <c r="AB642" s="99" t="s">
        <v>8</v>
      </c>
      <c r="AC642" s="100">
        <v>45999</v>
      </c>
      <c r="AD642" s="101">
        <v>24</v>
      </c>
      <c r="AE642" s="101">
        <v>9</v>
      </c>
      <c r="AF642" s="101">
        <v>51855000</v>
      </c>
      <c r="AG642" s="99" t="str">
        <f>VLOOKUP(AA642,recency!$K$6:$P$818,6,0)</f>
        <v>High</v>
      </c>
      <c r="AH642" s="132" t="str">
        <f>VLOOKUP(AA642,frequency!$F$6:$H$818,3,FALSE)</f>
        <v>High</v>
      </c>
      <c r="AI642" s="129" t="str">
        <f>VLOOKUP(AA642,monetary!$B$5:$F$817,5,0)</f>
        <v>High</v>
      </c>
      <c r="AJ642" s="99" t="str">
        <f t="shared" si="98"/>
        <v>HHH</v>
      </c>
      <c r="AK642" s="99" t="str">
        <f>VLOOKUP(AJ642,rfm[],2,0)</f>
        <v>🥇 Champions</v>
      </c>
      <c r="AN642" s="99" t="b">
        <f t="shared" si="99"/>
        <v>1</v>
      </c>
    </row>
    <row r="643" spans="2:40" x14ac:dyDescent="0.3">
      <c r="B643" s="99" t="s">
        <v>263</v>
      </c>
      <c r="C643" s="100">
        <v>45771</v>
      </c>
      <c r="D643" s="99" t="s">
        <v>31</v>
      </c>
      <c r="E643" s="99" t="s">
        <v>32</v>
      </c>
      <c r="F643" s="99" t="s">
        <v>20</v>
      </c>
      <c r="G643" s="99">
        <v>35</v>
      </c>
      <c r="H643" s="112">
        <v>180000</v>
      </c>
      <c r="I643" s="112">
        <v>6300000</v>
      </c>
      <c r="J643" s="99" t="s">
        <v>2538</v>
      </c>
      <c r="K643" s="99" t="s">
        <v>127</v>
      </c>
      <c r="N643" s="99" t="s">
        <v>2674</v>
      </c>
      <c r="O643" s="99" t="s">
        <v>60</v>
      </c>
      <c r="P643" s="100">
        <f t="shared" si="91"/>
        <v>45931</v>
      </c>
      <c r="Q643" s="101">
        <f t="shared" si="90"/>
        <v>92</v>
      </c>
      <c r="R643" s="99">
        <f t="shared" si="92"/>
        <v>1</v>
      </c>
      <c r="S643" s="101">
        <f t="shared" si="93"/>
        <v>3500000</v>
      </c>
      <c r="T643" s="99" t="str">
        <f t="shared" si="94"/>
        <v>High</v>
      </c>
      <c r="U643" s="99" t="str">
        <f t="shared" si="95"/>
        <v>Low</v>
      </c>
      <c r="V643" s="99" t="str">
        <f t="shared" si="96"/>
        <v>Low</v>
      </c>
      <c r="W643" s="99" t="str">
        <f t="shared" si="97"/>
        <v>HLL</v>
      </c>
      <c r="X643" s="99" t="str">
        <f>VLOOKUP(W643,rfm[],2,FALSE)</f>
        <v>🌱 Potential Loyalists</v>
      </c>
      <c r="AA643" s="99" t="s">
        <v>2674</v>
      </c>
      <c r="AB643" s="99" t="s">
        <v>60</v>
      </c>
      <c r="AC643" s="100">
        <v>45931</v>
      </c>
      <c r="AD643" s="101">
        <v>92</v>
      </c>
      <c r="AE643" s="101">
        <v>1</v>
      </c>
      <c r="AF643" s="101">
        <v>3500000</v>
      </c>
      <c r="AG643" s="99" t="str">
        <f>VLOOKUP(AA643,recency!$K$6:$P$818,6,0)</f>
        <v>Low</v>
      </c>
      <c r="AH643" s="132" t="str">
        <f>VLOOKUP(AA643,frequency!$F$6:$H$818,3,FALSE)</f>
        <v>Low</v>
      </c>
      <c r="AI643" s="129" t="str">
        <f>VLOOKUP(AA643,monetary!$B$5:$F$817,5,0)</f>
        <v>Low</v>
      </c>
      <c r="AJ643" s="99" t="str">
        <f t="shared" si="98"/>
        <v>LLL</v>
      </c>
      <c r="AK643" s="99" t="str">
        <f>VLOOKUP(AJ643,rfm[],2,0)</f>
        <v>💤 Lost / Low Value</v>
      </c>
      <c r="AN643" s="99" t="b">
        <f t="shared" si="99"/>
        <v>0</v>
      </c>
    </row>
    <row r="644" spans="2:40" x14ac:dyDescent="0.3">
      <c r="B644" s="99" t="s">
        <v>264</v>
      </c>
      <c r="C644" s="100">
        <v>45771</v>
      </c>
      <c r="D644" s="99" t="s">
        <v>22</v>
      </c>
      <c r="E644" s="99" t="s">
        <v>23</v>
      </c>
      <c r="F644" s="99" t="s">
        <v>12</v>
      </c>
      <c r="G644" s="99">
        <v>47</v>
      </c>
      <c r="H644" s="112">
        <v>25000</v>
      </c>
      <c r="I644" s="112">
        <v>1175000</v>
      </c>
      <c r="J644" s="99" t="s">
        <v>2465</v>
      </c>
      <c r="K644" s="99" t="s">
        <v>127</v>
      </c>
      <c r="N644" s="99" t="s">
        <v>2675</v>
      </c>
      <c r="O644" s="99" t="s">
        <v>69</v>
      </c>
      <c r="P644" s="100">
        <f t="shared" si="91"/>
        <v>45762</v>
      </c>
      <c r="Q644" s="101">
        <f t="shared" si="90"/>
        <v>261</v>
      </c>
      <c r="R644" s="99">
        <f t="shared" si="92"/>
        <v>1</v>
      </c>
      <c r="S644" s="101">
        <f t="shared" si="93"/>
        <v>1125000</v>
      </c>
      <c r="T644" s="99" t="str">
        <f t="shared" si="94"/>
        <v>Low</v>
      </c>
      <c r="U644" s="99" t="str">
        <f t="shared" si="95"/>
        <v>Low</v>
      </c>
      <c r="V644" s="99" t="str">
        <f t="shared" si="96"/>
        <v>Low</v>
      </c>
      <c r="W644" s="99" t="str">
        <f t="shared" si="97"/>
        <v>LLL</v>
      </c>
      <c r="X644" s="99" t="str">
        <f>VLOOKUP(W644,rfm[],2,FALSE)</f>
        <v>💤 Lost / Low Value</v>
      </c>
      <c r="AA644" s="99" t="s">
        <v>2675</v>
      </c>
      <c r="AB644" s="99" t="s">
        <v>69</v>
      </c>
      <c r="AC644" s="100">
        <v>45762</v>
      </c>
      <c r="AD644" s="101">
        <v>261</v>
      </c>
      <c r="AE644" s="101">
        <v>1</v>
      </c>
      <c r="AF644" s="101">
        <v>1125000</v>
      </c>
      <c r="AG644" s="99" t="str">
        <f>VLOOKUP(AA644,recency!$K$6:$P$818,6,0)</f>
        <v>Low</v>
      </c>
      <c r="AH644" s="132" t="str">
        <f>VLOOKUP(AA644,frequency!$F$6:$H$818,3,FALSE)</f>
        <v>Low</v>
      </c>
      <c r="AI644" s="129" t="str">
        <f>VLOOKUP(AA644,monetary!$B$5:$F$817,5,0)</f>
        <v>Low</v>
      </c>
      <c r="AJ644" s="99" t="str">
        <f t="shared" si="98"/>
        <v>LLL</v>
      </c>
      <c r="AK644" s="99" t="str">
        <f>VLOOKUP(AJ644,rfm[],2,0)</f>
        <v>💤 Lost / Low Value</v>
      </c>
      <c r="AN644" s="99" t="b">
        <f t="shared" si="99"/>
        <v>1</v>
      </c>
    </row>
    <row r="645" spans="2:40" x14ac:dyDescent="0.3">
      <c r="B645" s="99" t="s">
        <v>265</v>
      </c>
      <c r="C645" s="100">
        <v>45771</v>
      </c>
      <c r="D645" s="99" t="s">
        <v>28</v>
      </c>
      <c r="E645" s="99" t="s">
        <v>29</v>
      </c>
      <c r="F645" s="99" t="s">
        <v>20</v>
      </c>
      <c r="G645" s="99">
        <v>450</v>
      </c>
      <c r="H645" s="112">
        <v>450000</v>
      </c>
      <c r="I645" s="112">
        <v>202500000</v>
      </c>
      <c r="J645" s="99" t="s">
        <v>1640</v>
      </c>
      <c r="K645" s="99" t="s">
        <v>47</v>
      </c>
      <c r="N645" s="99" t="s">
        <v>2676</v>
      </c>
      <c r="O645" s="99" t="s">
        <v>69</v>
      </c>
      <c r="P645" s="100">
        <f t="shared" si="91"/>
        <v>45986</v>
      </c>
      <c r="Q645" s="101">
        <f t="shared" si="90"/>
        <v>37</v>
      </c>
      <c r="R645" s="99">
        <f t="shared" si="92"/>
        <v>2</v>
      </c>
      <c r="S645" s="101">
        <f t="shared" si="93"/>
        <v>13950000</v>
      </c>
      <c r="T645" s="99" t="str">
        <f t="shared" si="94"/>
        <v>High</v>
      </c>
      <c r="U645" s="99" t="str">
        <f t="shared" si="95"/>
        <v>Low</v>
      </c>
      <c r="V645" s="99" t="str">
        <f t="shared" si="96"/>
        <v>Low</v>
      </c>
      <c r="W645" s="99" t="str">
        <f t="shared" si="97"/>
        <v>HLL</v>
      </c>
      <c r="X645" s="99" t="str">
        <f>VLOOKUP(W645,rfm[],2,FALSE)</f>
        <v>🌱 Potential Loyalists</v>
      </c>
      <c r="AA645" s="99" t="s">
        <v>2676</v>
      </c>
      <c r="AB645" s="99" t="s">
        <v>69</v>
      </c>
      <c r="AC645" s="100">
        <v>45986</v>
      </c>
      <c r="AD645" s="101">
        <v>37</v>
      </c>
      <c r="AE645" s="101">
        <v>2</v>
      </c>
      <c r="AF645" s="101">
        <v>13950000</v>
      </c>
      <c r="AG645" s="99" t="str">
        <f>VLOOKUP(AA645,recency!$K$6:$P$818,6,0)</f>
        <v>High</v>
      </c>
      <c r="AH645" s="132" t="str">
        <f>VLOOKUP(AA645,frequency!$F$6:$H$818,3,FALSE)</f>
        <v>Low</v>
      </c>
      <c r="AI645" s="129" t="str">
        <f>VLOOKUP(AA645,monetary!$B$5:$F$817,5,0)</f>
        <v>Low</v>
      </c>
      <c r="AJ645" s="99" t="str">
        <f t="shared" si="98"/>
        <v>HLL</v>
      </c>
      <c r="AK645" s="99" t="str">
        <f>VLOOKUP(AJ645,rfm[],2,0)</f>
        <v>🌱 Potential Loyalists</v>
      </c>
      <c r="AN645" s="99" t="b">
        <f t="shared" si="99"/>
        <v>1</v>
      </c>
    </row>
    <row r="646" spans="2:40" x14ac:dyDescent="0.3">
      <c r="B646" s="99" t="s">
        <v>279</v>
      </c>
      <c r="C646" s="100">
        <v>45771</v>
      </c>
      <c r="D646" s="99" t="s">
        <v>10</v>
      </c>
      <c r="E646" s="99" t="s">
        <v>11</v>
      </c>
      <c r="F646" s="99" t="s">
        <v>12</v>
      </c>
      <c r="G646" s="99">
        <v>37</v>
      </c>
      <c r="H646" s="112">
        <v>120000</v>
      </c>
      <c r="I646" s="112">
        <v>4440000</v>
      </c>
      <c r="J646" s="99" t="s">
        <v>2137</v>
      </c>
      <c r="K646" s="99" t="s">
        <v>47</v>
      </c>
      <c r="N646" s="99" t="s">
        <v>2677</v>
      </c>
      <c r="O646" s="99" t="s">
        <v>8</v>
      </c>
      <c r="P646" s="100">
        <f t="shared" si="91"/>
        <v>45929</v>
      </c>
      <c r="Q646" s="101">
        <f t="shared" ref="Q646:Q709" si="100">analysis_date-P646</f>
        <v>94</v>
      </c>
      <c r="R646" s="99">
        <f t="shared" si="92"/>
        <v>1</v>
      </c>
      <c r="S646" s="101">
        <f t="shared" si="93"/>
        <v>11000000</v>
      </c>
      <c r="T646" s="99" t="str">
        <f t="shared" si="94"/>
        <v>Low</v>
      </c>
      <c r="U646" s="99" t="str">
        <f t="shared" si="95"/>
        <v>Low</v>
      </c>
      <c r="V646" s="99" t="str">
        <f t="shared" si="96"/>
        <v>Low</v>
      </c>
      <c r="W646" s="99" t="str">
        <f t="shared" si="97"/>
        <v>LLL</v>
      </c>
      <c r="X646" s="99" t="str">
        <f>VLOOKUP(W646,rfm[],2,FALSE)</f>
        <v>💤 Lost / Low Value</v>
      </c>
      <c r="AA646" s="99" t="s">
        <v>2677</v>
      </c>
      <c r="AB646" s="99" t="s">
        <v>8</v>
      </c>
      <c r="AC646" s="100">
        <v>45929</v>
      </c>
      <c r="AD646" s="101">
        <v>94</v>
      </c>
      <c r="AE646" s="101">
        <v>1</v>
      </c>
      <c r="AF646" s="101">
        <v>11000000</v>
      </c>
      <c r="AG646" s="99" t="str">
        <f>VLOOKUP(AA646,recency!$K$6:$P$818,6,0)</f>
        <v>Low</v>
      </c>
      <c r="AH646" s="132" t="str">
        <f>VLOOKUP(AA646,frequency!$F$6:$H$818,3,FALSE)</f>
        <v>Low</v>
      </c>
      <c r="AI646" s="129" t="str">
        <f>VLOOKUP(AA646,monetary!$B$5:$F$817,5,0)</f>
        <v>Low</v>
      </c>
      <c r="AJ646" s="99" t="str">
        <f t="shared" si="98"/>
        <v>LLL</v>
      </c>
      <c r="AK646" s="99" t="str">
        <f>VLOOKUP(AJ646,rfm[],2,0)</f>
        <v>💤 Lost / Low Value</v>
      </c>
      <c r="AN646" s="99" t="b">
        <f t="shared" si="99"/>
        <v>1</v>
      </c>
    </row>
    <row r="647" spans="2:40" x14ac:dyDescent="0.3">
      <c r="B647" s="99" t="s">
        <v>280</v>
      </c>
      <c r="C647" s="100">
        <v>45771</v>
      </c>
      <c r="D647" s="99" t="s">
        <v>22</v>
      </c>
      <c r="E647" s="99" t="s">
        <v>23</v>
      </c>
      <c r="F647" s="99" t="s">
        <v>12</v>
      </c>
      <c r="G647" s="99">
        <v>37</v>
      </c>
      <c r="H647" s="112">
        <v>25000</v>
      </c>
      <c r="I647" s="112">
        <v>925000</v>
      </c>
      <c r="J647" s="99" t="s">
        <v>46</v>
      </c>
      <c r="K647" s="99" t="s">
        <v>127</v>
      </c>
      <c r="N647" s="99" t="s">
        <v>2678</v>
      </c>
      <c r="O647" s="99" t="s">
        <v>47</v>
      </c>
      <c r="P647" s="100">
        <f t="shared" ref="P647:P710" si="101">_xlfn.MAXIFS($C$6:$C$2005,$J$6:$J$2005,N647)</f>
        <v>45673</v>
      </c>
      <c r="Q647" s="101">
        <f t="shared" si="100"/>
        <v>350</v>
      </c>
      <c r="R647" s="99">
        <f t="shared" ref="R647:R710" si="102">COUNTIFS($J$6:$J$2005,N647)</f>
        <v>1</v>
      </c>
      <c r="S647" s="101">
        <f t="shared" ref="S647:S710" si="103">SUMIFS($I$6:$I$2005,$J$6:$J$2005,N647)</f>
        <v>1920000</v>
      </c>
      <c r="T647" s="99" t="str">
        <f t="shared" ref="T647:T710" si="104">IF(Q647&lt;MEDIAN($Q$6:$Q$817),"High","Low")</f>
        <v>Low</v>
      </c>
      <c r="U647" s="99" t="str">
        <f t="shared" ref="U647:U710" si="105">IF(R647&gt;MEDIAN($R$6:$R$817),"High","Low")</f>
        <v>Low</v>
      </c>
      <c r="V647" s="99" t="str">
        <f t="shared" ref="V647:V710" si="106">IF(S647&gt;MEDIAN($S$6:$S$817),"High","Low")</f>
        <v>Low</v>
      </c>
      <c r="W647" s="99" t="str">
        <f t="shared" ref="W647:W710" si="107">_xlfn.CONCAT(LEFT(T647,1),LEFT(U647,1),LEFT(V647,1))</f>
        <v>LLL</v>
      </c>
      <c r="X647" s="99" t="str">
        <f>VLOOKUP(W647,rfm[],2,FALSE)</f>
        <v>💤 Lost / Low Value</v>
      </c>
      <c r="AA647" s="99" t="s">
        <v>2678</v>
      </c>
      <c r="AB647" s="99" t="s">
        <v>47</v>
      </c>
      <c r="AC647" s="100">
        <v>45673</v>
      </c>
      <c r="AD647" s="101">
        <v>350</v>
      </c>
      <c r="AE647" s="101">
        <v>1</v>
      </c>
      <c r="AF647" s="101">
        <v>1920000</v>
      </c>
      <c r="AG647" s="99" t="str">
        <f>VLOOKUP(AA647,recency!$K$6:$P$818,6,0)</f>
        <v>Low</v>
      </c>
      <c r="AH647" s="132" t="str">
        <f>VLOOKUP(AA647,frequency!$F$6:$H$818,3,FALSE)</f>
        <v>Low</v>
      </c>
      <c r="AI647" s="129" t="str">
        <f>VLOOKUP(AA647,monetary!$B$5:$F$817,5,0)</f>
        <v>Low</v>
      </c>
      <c r="AJ647" s="99" t="str">
        <f t="shared" ref="AJ647:AJ710" si="108">_xlfn.CONCAT(LEFT(AG647,1),LEFT(AH647,1),LEFT(AI647,1))</f>
        <v>LLL</v>
      </c>
      <c r="AK647" s="99" t="str">
        <f>VLOOKUP(AJ647,rfm[],2,0)</f>
        <v>💤 Lost / Low Value</v>
      </c>
      <c r="AN647" s="99" t="b">
        <f t="shared" ref="AN647:AN710" si="109">AJ647=W647</f>
        <v>1</v>
      </c>
    </row>
    <row r="648" spans="2:40" x14ac:dyDescent="0.3">
      <c r="B648" s="99" t="s">
        <v>300</v>
      </c>
      <c r="C648" s="100">
        <v>45771</v>
      </c>
      <c r="D648" s="99" t="s">
        <v>22</v>
      </c>
      <c r="E648" s="99" t="s">
        <v>23</v>
      </c>
      <c r="F648" s="99" t="s">
        <v>12</v>
      </c>
      <c r="G648" s="99">
        <v>42</v>
      </c>
      <c r="H648" s="112">
        <v>25000</v>
      </c>
      <c r="I648" s="112">
        <v>1050000</v>
      </c>
      <c r="J648" s="99" t="s">
        <v>2502</v>
      </c>
      <c r="K648" s="99" t="s">
        <v>47</v>
      </c>
      <c r="N648" s="99" t="s">
        <v>2679</v>
      </c>
      <c r="O648" s="99" t="s">
        <v>69</v>
      </c>
      <c r="P648" s="100">
        <f t="shared" si="101"/>
        <v>45987</v>
      </c>
      <c r="Q648" s="101">
        <f t="shared" si="100"/>
        <v>36</v>
      </c>
      <c r="R648" s="99">
        <f t="shared" si="102"/>
        <v>3</v>
      </c>
      <c r="S648" s="101">
        <f t="shared" si="103"/>
        <v>16575000</v>
      </c>
      <c r="T648" s="99" t="str">
        <f t="shared" si="104"/>
        <v>High</v>
      </c>
      <c r="U648" s="99" t="str">
        <f t="shared" si="105"/>
        <v>High</v>
      </c>
      <c r="V648" s="99" t="str">
        <f t="shared" si="106"/>
        <v>Low</v>
      </c>
      <c r="W648" s="99" t="str">
        <f t="shared" si="107"/>
        <v>HHL</v>
      </c>
      <c r="X648" s="99" t="str">
        <f>VLOOKUP(W648,rfm[],2,FALSE)</f>
        <v>💎 Loyal High Value</v>
      </c>
      <c r="AA648" s="99" t="s">
        <v>2679</v>
      </c>
      <c r="AB648" s="99" t="s">
        <v>69</v>
      </c>
      <c r="AC648" s="100">
        <v>45987</v>
      </c>
      <c r="AD648" s="101">
        <v>36</v>
      </c>
      <c r="AE648" s="101">
        <v>3</v>
      </c>
      <c r="AF648" s="101">
        <v>16575000</v>
      </c>
      <c r="AG648" s="99" t="str">
        <f>VLOOKUP(AA648,recency!$K$6:$P$818,6,0)</f>
        <v>High</v>
      </c>
      <c r="AH648" s="132" t="str">
        <f>VLOOKUP(AA648,frequency!$F$6:$H$818,3,FALSE)</f>
        <v>High</v>
      </c>
      <c r="AI648" s="129" t="str">
        <f>VLOOKUP(AA648,monetary!$B$5:$F$817,5,0)</f>
        <v>Low</v>
      </c>
      <c r="AJ648" s="99" t="str">
        <f t="shared" si="108"/>
        <v>HHL</v>
      </c>
      <c r="AK648" s="99" t="str">
        <f>VLOOKUP(AJ648,rfm[],2,0)</f>
        <v>💎 Loyal High Value</v>
      </c>
      <c r="AN648" s="99" t="b">
        <f t="shared" si="109"/>
        <v>1</v>
      </c>
    </row>
    <row r="649" spans="2:40" x14ac:dyDescent="0.3">
      <c r="B649" s="99" t="s">
        <v>301</v>
      </c>
      <c r="C649" s="100">
        <v>45771</v>
      </c>
      <c r="D649" s="99" t="s">
        <v>14</v>
      </c>
      <c r="E649" s="99" t="s">
        <v>15</v>
      </c>
      <c r="F649" s="99" t="s">
        <v>16</v>
      </c>
      <c r="G649" s="99">
        <v>33</v>
      </c>
      <c r="H649" s="112">
        <v>350000</v>
      </c>
      <c r="I649" s="112">
        <v>11550000</v>
      </c>
      <c r="J649" s="99" t="s">
        <v>2646</v>
      </c>
      <c r="K649" s="99" t="s">
        <v>60</v>
      </c>
      <c r="N649" s="99" t="s">
        <v>2680</v>
      </c>
      <c r="O649" s="99" t="s">
        <v>47</v>
      </c>
      <c r="P649" s="100">
        <f t="shared" si="101"/>
        <v>45863</v>
      </c>
      <c r="Q649" s="101">
        <f t="shared" si="100"/>
        <v>160</v>
      </c>
      <c r="R649" s="99">
        <f t="shared" si="102"/>
        <v>1</v>
      </c>
      <c r="S649" s="101">
        <f t="shared" si="103"/>
        <v>475000</v>
      </c>
      <c r="T649" s="99" t="str">
        <f t="shared" si="104"/>
        <v>Low</v>
      </c>
      <c r="U649" s="99" t="str">
        <f t="shared" si="105"/>
        <v>Low</v>
      </c>
      <c r="V649" s="99" t="str">
        <f t="shared" si="106"/>
        <v>Low</v>
      </c>
      <c r="W649" s="99" t="str">
        <f t="shared" si="107"/>
        <v>LLL</v>
      </c>
      <c r="X649" s="99" t="str">
        <f>VLOOKUP(W649,rfm[],2,FALSE)</f>
        <v>💤 Lost / Low Value</v>
      </c>
      <c r="AA649" s="99" t="s">
        <v>2680</v>
      </c>
      <c r="AB649" s="99" t="s">
        <v>47</v>
      </c>
      <c r="AC649" s="100">
        <v>45863</v>
      </c>
      <c r="AD649" s="101">
        <v>160</v>
      </c>
      <c r="AE649" s="101">
        <v>1</v>
      </c>
      <c r="AF649" s="101">
        <v>475000</v>
      </c>
      <c r="AG649" s="99" t="str">
        <f>VLOOKUP(AA649,recency!$K$6:$P$818,6,0)</f>
        <v>Low</v>
      </c>
      <c r="AH649" s="132" t="str">
        <f>VLOOKUP(AA649,frequency!$F$6:$H$818,3,FALSE)</f>
        <v>Low</v>
      </c>
      <c r="AI649" s="129" t="str">
        <f>VLOOKUP(AA649,monetary!$B$5:$F$817,5,0)</f>
        <v>Low</v>
      </c>
      <c r="AJ649" s="99" t="str">
        <f t="shared" si="108"/>
        <v>LLL</v>
      </c>
      <c r="AK649" s="99" t="str">
        <f>VLOOKUP(AJ649,rfm[],2,0)</f>
        <v>💤 Lost / Low Value</v>
      </c>
      <c r="AN649" s="99" t="b">
        <f t="shared" si="109"/>
        <v>1</v>
      </c>
    </row>
    <row r="650" spans="2:40" x14ac:dyDescent="0.3">
      <c r="B650" s="99" t="s">
        <v>302</v>
      </c>
      <c r="C650" s="100">
        <v>45771</v>
      </c>
      <c r="D650" s="99" t="s">
        <v>31</v>
      </c>
      <c r="E650" s="99" t="s">
        <v>32</v>
      </c>
      <c r="F650" s="99" t="s">
        <v>20</v>
      </c>
      <c r="G650" s="99">
        <v>40</v>
      </c>
      <c r="H650" s="112">
        <v>180000</v>
      </c>
      <c r="I650" s="112">
        <v>7200000</v>
      </c>
      <c r="J650" s="99" t="s">
        <v>2324</v>
      </c>
      <c r="K650" s="99" t="s">
        <v>8</v>
      </c>
      <c r="N650" s="99" t="s">
        <v>2681</v>
      </c>
      <c r="O650" s="99" t="s">
        <v>47</v>
      </c>
      <c r="P650" s="100">
        <f t="shared" si="101"/>
        <v>46021</v>
      </c>
      <c r="Q650" s="101">
        <f t="shared" si="100"/>
        <v>2</v>
      </c>
      <c r="R650" s="99">
        <f t="shared" si="102"/>
        <v>2</v>
      </c>
      <c r="S650" s="101">
        <f t="shared" si="103"/>
        <v>56100000</v>
      </c>
      <c r="T650" s="99" t="str">
        <f t="shared" si="104"/>
        <v>High</v>
      </c>
      <c r="U650" s="99" t="str">
        <f t="shared" si="105"/>
        <v>Low</v>
      </c>
      <c r="V650" s="99" t="str">
        <f t="shared" si="106"/>
        <v>High</v>
      </c>
      <c r="W650" s="99" t="str">
        <f t="shared" si="107"/>
        <v>HLH</v>
      </c>
      <c r="X650" s="99" t="str">
        <f>VLOOKUP(W650,rfm[],2,FALSE)</f>
        <v>🛒 Big Spenders (Occasional)</v>
      </c>
      <c r="AA650" s="99" t="s">
        <v>2681</v>
      </c>
      <c r="AB650" s="99" t="s">
        <v>47</v>
      </c>
      <c r="AC650" s="100">
        <v>46021</v>
      </c>
      <c r="AD650" s="101">
        <v>2</v>
      </c>
      <c r="AE650" s="101">
        <v>2</v>
      </c>
      <c r="AF650" s="101">
        <v>56100000</v>
      </c>
      <c r="AG650" s="99" t="str">
        <f>VLOOKUP(AA650,recency!$K$6:$P$818,6,0)</f>
        <v>High</v>
      </c>
      <c r="AH650" s="132" t="str">
        <f>VLOOKUP(AA650,frequency!$F$6:$H$818,3,FALSE)</f>
        <v>Low</v>
      </c>
      <c r="AI650" s="129" t="str">
        <f>VLOOKUP(AA650,monetary!$B$5:$F$817,5,0)</f>
        <v>High</v>
      </c>
      <c r="AJ650" s="99" t="str">
        <f t="shared" si="108"/>
        <v>HLH</v>
      </c>
      <c r="AK650" s="99" t="str">
        <f>VLOOKUP(AJ650,rfm[],2,0)</f>
        <v>🛒 Big Spenders (Occasional)</v>
      </c>
      <c r="AN650" s="99" t="b">
        <f t="shared" si="109"/>
        <v>1</v>
      </c>
    </row>
    <row r="651" spans="2:40" x14ac:dyDescent="0.3">
      <c r="B651" s="99" t="s">
        <v>312</v>
      </c>
      <c r="C651" s="100">
        <v>45771</v>
      </c>
      <c r="D651" s="99" t="s">
        <v>40</v>
      </c>
      <c r="E651" s="99" t="s">
        <v>41</v>
      </c>
      <c r="F651" s="99" t="s">
        <v>16</v>
      </c>
      <c r="G651" s="99">
        <v>42</v>
      </c>
      <c r="H651" s="112">
        <v>950000</v>
      </c>
      <c r="I651" s="112">
        <v>39900000</v>
      </c>
      <c r="J651" s="99" t="s">
        <v>2660</v>
      </c>
      <c r="K651" s="99" t="s">
        <v>69</v>
      </c>
      <c r="N651" s="99" t="s">
        <v>2682</v>
      </c>
      <c r="O651" s="99" t="s">
        <v>60</v>
      </c>
      <c r="P651" s="100">
        <f t="shared" si="101"/>
        <v>45952</v>
      </c>
      <c r="Q651" s="101">
        <f t="shared" si="100"/>
        <v>71</v>
      </c>
      <c r="R651" s="99">
        <f t="shared" si="102"/>
        <v>2</v>
      </c>
      <c r="S651" s="101">
        <f t="shared" si="103"/>
        <v>18275000</v>
      </c>
      <c r="T651" s="99" t="str">
        <f t="shared" si="104"/>
        <v>High</v>
      </c>
      <c r="U651" s="99" t="str">
        <f t="shared" si="105"/>
        <v>Low</v>
      </c>
      <c r="V651" s="99" t="str">
        <f t="shared" si="106"/>
        <v>Low</v>
      </c>
      <c r="W651" s="99" t="str">
        <f t="shared" si="107"/>
        <v>HLL</v>
      </c>
      <c r="X651" s="99" t="str">
        <f>VLOOKUP(W651,rfm[],2,FALSE)</f>
        <v>🌱 Potential Loyalists</v>
      </c>
      <c r="AA651" s="99" t="s">
        <v>2682</v>
      </c>
      <c r="AB651" s="99" t="s">
        <v>60</v>
      </c>
      <c r="AC651" s="100">
        <v>45952</v>
      </c>
      <c r="AD651" s="101">
        <v>71</v>
      </c>
      <c r="AE651" s="101">
        <v>2</v>
      </c>
      <c r="AF651" s="101">
        <v>18275000</v>
      </c>
      <c r="AG651" s="99" t="str">
        <f>VLOOKUP(AA651,recency!$K$6:$P$818,6,0)</f>
        <v>Low</v>
      </c>
      <c r="AH651" s="132" t="str">
        <f>VLOOKUP(AA651,frequency!$F$6:$H$818,3,FALSE)</f>
        <v>Low</v>
      </c>
      <c r="AI651" s="129" t="str">
        <f>VLOOKUP(AA651,monetary!$B$5:$F$817,5,0)</f>
        <v>Low</v>
      </c>
      <c r="AJ651" s="99" t="str">
        <f t="shared" si="108"/>
        <v>LLL</v>
      </c>
      <c r="AK651" s="99" t="str">
        <f>VLOOKUP(AJ651,rfm[],2,0)</f>
        <v>💤 Lost / Low Value</v>
      </c>
      <c r="AN651" s="99" t="b">
        <f t="shared" si="109"/>
        <v>0</v>
      </c>
    </row>
    <row r="652" spans="2:40" x14ac:dyDescent="0.3">
      <c r="B652" s="99" t="s">
        <v>328</v>
      </c>
      <c r="C652" s="100">
        <v>45772</v>
      </c>
      <c r="D652" s="99" t="s">
        <v>44</v>
      </c>
      <c r="E652" s="99" t="s">
        <v>45</v>
      </c>
      <c r="F652" s="99" t="s">
        <v>16</v>
      </c>
      <c r="G652" s="99">
        <v>49</v>
      </c>
      <c r="H652" s="112">
        <v>250000</v>
      </c>
      <c r="I652" s="112">
        <v>12250000</v>
      </c>
      <c r="J652" s="99" t="s">
        <v>2670</v>
      </c>
      <c r="K652" s="99" t="s">
        <v>127</v>
      </c>
      <c r="N652" s="99" t="s">
        <v>2683</v>
      </c>
      <c r="O652" s="99" t="s">
        <v>47</v>
      </c>
      <c r="P652" s="100">
        <f t="shared" si="101"/>
        <v>45658</v>
      </c>
      <c r="Q652" s="101">
        <f t="shared" si="100"/>
        <v>365</v>
      </c>
      <c r="R652" s="99">
        <f t="shared" si="102"/>
        <v>1</v>
      </c>
      <c r="S652" s="101">
        <f t="shared" si="103"/>
        <v>5040000</v>
      </c>
      <c r="T652" s="99" t="str">
        <f t="shared" si="104"/>
        <v>Low</v>
      </c>
      <c r="U652" s="99" t="str">
        <f t="shared" si="105"/>
        <v>Low</v>
      </c>
      <c r="V652" s="99" t="str">
        <f t="shared" si="106"/>
        <v>Low</v>
      </c>
      <c r="W652" s="99" t="str">
        <f t="shared" si="107"/>
        <v>LLL</v>
      </c>
      <c r="X652" s="99" t="str">
        <f>VLOOKUP(W652,rfm[],2,FALSE)</f>
        <v>💤 Lost / Low Value</v>
      </c>
      <c r="AA652" s="99" t="s">
        <v>2683</v>
      </c>
      <c r="AB652" s="99" t="s">
        <v>47</v>
      </c>
      <c r="AC652" s="100">
        <v>45658</v>
      </c>
      <c r="AD652" s="101">
        <v>365</v>
      </c>
      <c r="AE652" s="101">
        <v>1</v>
      </c>
      <c r="AF652" s="101">
        <v>5040000</v>
      </c>
      <c r="AG652" s="99" t="str">
        <f>VLOOKUP(AA652,recency!$K$6:$P$818,6,0)</f>
        <v>Low</v>
      </c>
      <c r="AH652" s="132" t="str">
        <f>VLOOKUP(AA652,frequency!$F$6:$H$818,3,FALSE)</f>
        <v>Low</v>
      </c>
      <c r="AI652" s="129" t="str">
        <f>VLOOKUP(AA652,monetary!$B$5:$F$817,5,0)</f>
        <v>Low</v>
      </c>
      <c r="AJ652" s="99" t="str">
        <f t="shared" si="108"/>
        <v>LLL</v>
      </c>
      <c r="AK652" s="99" t="str">
        <f>VLOOKUP(AJ652,rfm[],2,0)</f>
        <v>💤 Lost / Low Value</v>
      </c>
      <c r="AN652" s="99" t="b">
        <f t="shared" si="109"/>
        <v>1</v>
      </c>
    </row>
    <row r="653" spans="2:40" x14ac:dyDescent="0.3">
      <c r="B653" s="99" t="s">
        <v>344</v>
      </c>
      <c r="C653" s="100">
        <v>45772</v>
      </c>
      <c r="D653" s="99" t="s">
        <v>10</v>
      </c>
      <c r="E653" s="99" t="s">
        <v>11</v>
      </c>
      <c r="F653" s="99" t="s">
        <v>12</v>
      </c>
      <c r="G653" s="99">
        <v>28</v>
      </c>
      <c r="H653" s="112">
        <v>120000</v>
      </c>
      <c r="I653" s="112">
        <v>3360000</v>
      </c>
      <c r="J653" s="99" t="s">
        <v>2806</v>
      </c>
      <c r="K653" s="99" t="s">
        <v>69</v>
      </c>
      <c r="N653" s="99" t="s">
        <v>2684</v>
      </c>
      <c r="O653" s="99" t="s">
        <v>127</v>
      </c>
      <c r="P653" s="100">
        <f t="shared" si="101"/>
        <v>46007</v>
      </c>
      <c r="Q653" s="101">
        <f t="shared" si="100"/>
        <v>16</v>
      </c>
      <c r="R653" s="99">
        <f t="shared" si="102"/>
        <v>7</v>
      </c>
      <c r="S653" s="101">
        <f t="shared" si="103"/>
        <v>943400000</v>
      </c>
      <c r="T653" s="99" t="str">
        <f t="shared" si="104"/>
        <v>High</v>
      </c>
      <c r="U653" s="99" t="str">
        <f t="shared" si="105"/>
        <v>High</v>
      </c>
      <c r="V653" s="99" t="str">
        <f t="shared" si="106"/>
        <v>High</v>
      </c>
      <c r="W653" s="99" t="str">
        <f t="shared" si="107"/>
        <v>HHH</v>
      </c>
      <c r="X653" s="99" t="str">
        <f>VLOOKUP(W653,rfm[],2,FALSE)</f>
        <v>🥇 Champions</v>
      </c>
      <c r="AA653" s="99" t="s">
        <v>2684</v>
      </c>
      <c r="AB653" s="99" t="s">
        <v>127</v>
      </c>
      <c r="AC653" s="100">
        <v>46007</v>
      </c>
      <c r="AD653" s="101">
        <v>16</v>
      </c>
      <c r="AE653" s="101">
        <v>7</v>
      </c>
      <c r="AF653" s="101">
        <v>943400000</v>
      </c>
      <c r="AG653" s="99" t="str">
        <f>VLOOKUP(AA653,recency!$K$6:$P$818,6,0)</f>
        <v>High</v>
      </c>
      <c r="AH653" s="132" t="str">
        <f>VLOOKUP(AA653,frequency!$F$6:$H$818,3,FALSE)</f>
        <v>High</v>
      </c>
      <c r="AI653" s="129" t="str">
        <f>VLOOKUP(AA653,monetary!$B$5:$F$817,5,0)</f>
        <v>High</v>
      </c>
      <c r="AJ653" s="99" t="str">
        <f t="shared" si="108"/>
        <v>HHH</v>
      </c>
      <c r="AK653" s="99" t="str">
        <f>VLOOKUP(AJ653,rfm[],2,0)</f>
        <v>🥇 Champions</v>
      </c>
      <c r="AN653" s="99" t="b">
        <f t="shared" si="109"/>
        <v>1</v>
      </c>
    </row>
    <row r="654" spans="2:40" x14ac:dyDescent="0.3">
      <c r="B654" s="99" t="s">
        <v>345</v>
      </c>
      <c r="C654" s="100">
        <v>45772</v>
      </c>
      <c r="D654" s="99" t="s">
        <v>22</v>
      </c>
      <c r="E654" s="99" t="s">
        <v>23</v>
      </c>
      <c r="F654" s="99" t="s">
        <v>12</v>
      </c>
      <c r="G654" s="99">
        <v>34</v>
      </c>
      <c r="H654" s="112">
        <v>25000</v>
      </c>
      <c r="I654" s="112">
        <v>850000</v>
      </c>
      <c r="J654" s="99" t="s">
        <v>2633</v>
      </c>
      <c r="K654" s="99" t="s">
        <v>60</v>
      </c>
      <c r="N654" s="99" t="s">
        <v>2685</v>
      </c>
      <c r="O654" s="99" t="s">
        <v>69</v>
      </c>
      <c r="P654" s="100">
        <f t="shared" si="101"/>
        <v>45996</v>
      </c>
      <c r="Q654" s="101">
        <f t="shared" si="100"/>
        <v>27</v>
      </c>
      <c r="R654" s="99">
        <f t="shared" si="102"/>
        <v>7</v>
      </c>
      <c r="S654" s="101">
        <f t="shared" si="103"/>
        <v>49740000</v>
      </c>
      <c r="T654" s="99" t="str">
        <f t="shared" si="104"/>
        <v>High</v>
      </c>
      <c r="U654" s="99" t="str">
        <f t="shared" si="105"/>
        <v>High</v>
      </c>
      <c r="V654" s="99" t="str">
        <f t="shared" si="106"/>
        <v>High</v>
      </c>
      <c r="W654" s="99" t="str">
        <f t="shared" si="107"/>
        <v>HHH</v>
      </c>
      <c r="X654" s="99" t="str">
        <f>VLOOKUP(W654,rfm[],2,FALSE)</f>
        <v>🥇 Champions</v>
      </c>
      <c r="AA654" s="99" t="s">
        <v>2685</v>
      </c>
      <c r="AB654" s="99" t="s">
        <v>69</v>
      </c>
      <c r="AC654" s="100">
        <v>45996</v>
      </c>
      <c r="AD654" s="101">
        <v>27</v>
      </c>
      <c r="AE654" s="101">
        <v>7</v>
      </c>
      <c r="AF654" s="101">
        <v>49740000</v>
      </c>
      <c r="AG654" s="99" t="str">
        <f>VLOOKUP(AA654,recency!$K$6:$P$818,6,0)</f>
        <v>High</v>
      </c>
      <c r="AH654" s="132" t="str">
        <f>VLOOKUP(AA654,frequency!$F$6:$H$818,3,FALSE)</f>
        <v>High</v>
      </c>
      <c r="AI654" s="129" t="str">
        <f>VLOOKUP(AA654,monetary!$B$5:$F$817,5,0)</f>
        <v>High</v>
      </c>
      <c r="AJ654" s="99" t="str">
        <f t="shared" si="108"/>
        <v>HHH</v>
      </c>
      <c r="AK654" s="99" t="str">
        <f>VLOOKUP(AJ654,rfm[],2,0)</f>
        <v>🥇 Champions</v>
      </c>
      <c r="AN654" s="99" t="b">
        <f t="shared" si="109"/>
        <v>1</v>
      </c>
    </row>
    <row r="655" spans="2:40" x14ac:dyDescent="0.3">
      <c r="B655" s="99" t="s">
        <v>364</v>
      </c>
      <c r="C655" s="100">
        <v>45772</v>
      </c>
      <c r="D655" s="99" t="s">
        <v>31</v>
      </c>
      <c r="E655" s="99" t="s">
        <v>32</v>
      </c>
      <c r="F655" s="99" t="s">
        <v>20</v>
      </c>
      <c r="G655" s="99">
        <v>31</v>
      </c>
      <c r="H655" s="112">
        <v>180000</v>
      </c>
      <c r="I655" s="112">
        <v>5580000</v>
      </c>
      <c r="J655" s="99" t="s">
        <v>2655</v>
      </c>
      <c r="K655" s="99" t="s">
        <v>8</v>
      </c>
      <c r="N655" s="99" t="s">
        <v>2686</v>
      </c>
      <c r="O655" s="99" t="s">
        <v>8</v>
      </c>
      <c r="P655" s="100">
        <f t="shared" si="101"/>
        <v>46014</v>
      </c>
      <c r="Q655" s="101">
        <f t="shared" si="100"/>
        <v>9</v>
      </c>
      <c r="R655" s="99">
        <f t="shared" si="102"/>
        <v>8</v>
      </c>
      <c r="S655" s="101">
        <f t="shared" si="103"/>
        <v>1001000000</v>
      </c>
      <c r="T655" s="99" t="str">
        <f t="shared" si="104"/>
        <v>High</v>
      </c>
      <c r="U655" s="99" t="str">
        <f t="shared" si="105"/>
        <v>High</v>
      </c>
      <c r="V655" s="99" t="str">
        <f t="shared" si="106"/>
        <v>High</v>
      </c>
      <c r="W655" s="99" t="str">
        <f t="shared" si="107"/>
        <v>HHH</v>
      </c>
      <c r="X655" s="99" t="str">
        <f>VLOOKUP(W655,rfm[],2,FALSE)</f>
        <v>🥇 Champions</v>
      </c>
      <c r="AA655" s="99" t="s">
        <v>2686</v>
      </c>
      <c r="AB655" s="99" t="s">
        <v>8</v>
      </c>
      <c r="AC655" s="100">
        <v>46014</v>
      </c>
      <c r="AD655" s="101">
        <v>9</v>
      </c>
      <c r="AE655" s="101">
        <v>8</v>
      </c>
      <c r="AF655" s="101">
        <v>1001000000</v>
      </c>
      <c r="AG655" s="99" t="str">
        <f>VLOOKUP(AA655,recency!$K$6:$P$818,6,0)</f>
        <v>High</v>
      </c>
      <c r="AH655" s="132" t="str">
        <f>VLOOKUP(AA655,frequency!$F$6:$H$818,3,FALSE)</f>
        <v>High</v>
      </c>
      <c r="AI655" s="129" t="str">
        <f>VLOOKUP(AA655,monetary!$B$5:$F$817,5,0)</f>
        <v>High</v>
      </c>
      <c r="AJ655" s="99" t="str">
        <f t="shared" si="108"/>
        <v>HHH</v>
      </c>
      <c r="AK655" s="99" t="str">
        <f>VLOOKUP(AJ655,rfm[],2,0)</f>
        <v>🥇 Champions</v>
      </c>
      <c r="AN655" s="99" t="b">
        <f t="shared" si="109"/>
        <v>1</v>
      </c>
    </row>
    <row r="656" spans="2:40" x14ac:dyDescent="0.3">
      <c r="B656" s="99" t="s">
        <v>365</v>
      </c>
      <c r="C656" s="100">
        <v>45772</v>
      </c>
      <c r="D656" s="99" t="s">
        <v>10</v>
      </c>
      <c r="E656" s="99" t="s">
        <v>11</v>
      </c>
      <c r="F656" s="99" t="s">
        <v>12</v>
      </c>
      <c r="G656" s="99">
        <v>40</v>
      </c>
      <c r="H656" s="112">
        <v>120000</v>
      </c>
      <c r="I656" s="112">
        <v>4800000</v>
      </c>
      <c r="J656" s="99" t="s">
        <v>2395</v>
      </c>
      <c r="K656" s="99" t="s">
        <v>8</v>
      </c>
      <c r="N656" s="99" t="s">
        <v>2687</v>
      </c>
      <c r="O656" s="99" t="s">
        <v>47</v>
      </c>
      <c r="P656" s="100">
        <f t="shared" si="101"/>
        <v>45848</v>
      </c>
      <c r="Q656" s="101">
        <f t="shared" si="100"/>
        <v>175</v>
      </c>
      <c r="R656" s="99">
        <f t="shared" si="102"/>
        <v>1</v>
      </c>
      <c r="S656" s="101">
        <f t="shared" si="103"/>
        <v>1400000</v>
      </c>
      <c r="T656" s="99" t="str">
        <f t="shared" si="104"/>
        <v>Low</v>
      </c>
      <c r="U656" s="99" t="str">
        <f t="shared" si="105"/>
        <v>Low</v>
      </c>
      <c r="V656" s="99" t="str">
        <f t="shared" si="106"/>
        <v>Low</v>
      </c>
      <c r="W656" s="99" t="str">
        <f t="shared" si="107"/>
        <v>LLL</v>
      </c>
      <c r="X656" s="99" t="str">
        <f>VLOOKUP(W656,rfm[],2,FALSE)</f>
        <v>💤 Lost / Low Value</v>
      </c>
      <c r="AA656" s="99" t="s">
        <v>2687</v>
      </c>
      <c r="AB656" s="99" t="s">
        <v>47</v>
      </c>
      <c r="AC656" s="100">
        <v>45848</v>
      </c>
      <c r="AD656" s="101">
        <v>175</v>
      </c>
      <c r="AE656" s="101">
        <v>1</v>
      </c>
      <c r="AF656" s="101">
        <v>1400000</v>
      </c>
      <c r="AG656" s="99" t="str">
        <f>VLOOKUP(AA656,recency!$K$6:$P$818,6,0)</f>
        <v>Low</v>
      </c>
      <c r="AH656" s="132" t="str">
        <f>VLOOKUP(AA656,frequency!$F$6:$H$818,3,FALSE)</f>
        <v>Low</v>
      </c>
      <c r="AI656" s="129" t="str">
        <f>VLOOKUP(AA656,monetary!$B$5:$F$817,5,0)</f>
        <v>Low</v>
      </c>
      <c r="AJ656" s="99" t="str">
        <f t="shared" si="108"/>
        <v>LLL</v>
      </c>
      <c r="AK656" s="99" t="str">
        <f>VLOOKUP(AJ656,rfm[],2,0)</f>
        <v>💤 Lost / Low Value</v>
      </c>
      <c r="AN656" s="99" t="b">
        <f t="shared" si="109"/>
        <v>1</v>
      </c>
    </row>
    <row r="657" spans="2:40" x14ac:dyDescent="0.3">
      <c r="B657" s="99" t="s">
        <v>366</v>
      </c>
      <c r="C657" s="100">
        <v>45772</v>
      </c>
      <c r="D657" s="99" t="s">
        <v>14</v>
      </c>
      <c r="E657" s="99" t="s">
        <v>15</v>
      </c>
      <c r="F657" s="99" t="s">
        <v>16</v>
      </c>
      <c r="G657" s="99">
        <v>15</v>
      </c>
      <c r="H657" s="112">
        <v>350000</v>
      </c>
      <c r="I657" s="112">
        <v>5250000</v>
      </c>
      <c r="J657" s="99" t="s">
        <v>2345</v>
      </c>
      <c r="K657" s="99" t="s">
        <v>8</v>
      </c>
      <c r="N657" s="99" t="s">
        <v>2688</v>
      </c>
      <c r="O657" s="99" t="s">
        <v>60</v>
      </c>
      <c r="P657" s="100">
        <f t="shared" si="101"/>
        <v>46017</v>
      </c>
      <c r="Q657" s="101">
        <f t="shared" si="100"/>
        <v>6</v>
      </c>
      <c r="R657" s="99">
        <f t="shared" si="102"/>
        <v>7</v>
      </c>
      <c r="S657" s="101">
        <f t="shared" si="103"/>
        <v>1045300000</v>
      </c>
      <c r="T657" s="99" t="str">
        <f t="shared" si="104"/>
        <v>High</v>
      </c>
      <c r="U657" s="99" t="str">
        <f t="shared" si="105"/>
        <v>High</v>
      </c>
      <c r="V657" s="99" t="str">
        <f t="shared" si="106"/>
        <v>High</v>
      </c>
      <c r="W657" s="99" t="str">
        <f t="shared" si="107"/>
        <v>HHH</v>
      </c>
      <c r="X657" s="99" t="str">
        <f>VLOOKUP(W657,rfm[],2,FALSE)</f>
        <v>🥇 Champions</v>
      </c>
      <c r="AA657" s="99" t="s">
        <v>2688</v>
      </c>
      <c r="AB657" s="99" t="s">
        <v>60</v>
      </c>
      <c r="AC657" s="100">
        <v>46017</v>
      </c>
      <c r="AD657" s="101">
        <v>6</v>
      </c>
      <c r="AE657" s="101">
        <v>7</v>
      </c>
      <c r="AF657" s="101">
        <v>1045300000</v>
      </c>
      <c r="AG657" s="99" t="str">
        <f>VLOOKUP(AA657,recency!$K$6:$P$818,6,0)</f>
        <v>High</v>
      </c>
      <c r="AH657" s="132" t="str">
        <f>VLOOKUP(AA657,frequency!$F$6:$H$818,3,FALSE)</f>
        <v>High</v>
      </c>
      <c r="AI657" s="129" t="str">
        <f>VLOOKUP(AA657,monetary!$B$5:$F$817,5,0)</f>
        <v>High</v>
      </c>
      <c r="AJ657" s="99" t="str">
        <f t="shared" si="108"/>
        <v>HHH</v>
      </c>
      <c r="AK657" s="99" t="str">
        <f>VLOOKUP(AJ657,rfm[],2,0)</f>
        <v>🥇 Champions</v>
      </c>
      <c r="AN657" s="99" t="b">
        <f t="shared" si="109"/>
        <v>1</v>
      </c>
    </row>
    <row r="658" spans="2:40" x14ac:dyDescent="0.3">
      <c r="B658" s="99" t="s">
        <v>387</v>
      </c>
      <c r="C658" s="100">
        <v>45772</v>
      </c>
      <c r="D658" s="99" t="s">
        <v>31</v>
      </c>
      <c r="E658" s="99" t="s">
        <v>32</v>
      </c>
      <c r="F658" s="99" t="s">
        <v>20</v>
      </c>
      <c r="G658" s="99">
        <v>45</v>
      </c>
      <c r="H658" s="112">
        <v>180000</v>
      </c>
      <c r="I658" s="112">
        <v>8100000</v>
      </c>
      <c r="J658" s="99" t="s">
        <v>2711</v>
      </c>
      <c r="K658" s="99" t="s">
        <v>127</v>
      </c>
      <c r="N658" s="99" t="s">
        <v>2689</v>
      </c>
      <c r="O658" s="99" t="s">
        <v>60</v>
      </c>
      <c r="P658" s="100">
        <f t="shared" si="101"/>
        <v>45666</v>
      </c>
      <c r="Q658" s="101">
        <f t="shared" si="100"/>
        <v>357</v>
      </c>
      <c r="R658" s="99">
        <f t="shared" si="102"/>
        <v>1</v>
      </c>
      <c r="S658" s="101">
        <f t="shared" si="103"/>
        <v>19950000</v>
      </c>
      <c r="T658" s="99" t="str">
        <f t="shared" si="104"/>
        <v>Low</v>
      </c>
      <c r="U658" s="99" t="str">
        <f t="shared" si="105"/>
        <v>Low</v>
      </c>
      <c r="V658" s="99" t="str">
        <f t="shared" si="106"/>
        <v>High</v>
      </c>
      <c r="W658" s="99" t="str">
        <f t="shared" si="107"/>
        <v>LLH</v>
      </c>
      <c r="X658" s="99" t="str">
        <f>VLOOKUP(W658,rfm[],2,FALSE)</f>
        <v>💸 Lost High Spenders</v>
      </c>
      <c r="AA658" s="99" t="s">
        <v>2689</v>
      </c>
      <c r="AB658" s="99" t="s">
        <v>60</v>
      </c>
      <c r="AC658" s="100">
        <v>45666</v>
      </c>
      <c r="AD658" s="101">
        <v>357</v>
      </c>
      <c r="AE658" s="101">
        <v>1</v>
      </c>
      <c r="AF658" s="101">
        <v>19950000</v>
      </c>
      <c r="AG658" s="99" t="str">
        <f>VLOOKUP(AA658,recency!$K$6:$P$818,6,0)</f>
        <v>Low</v>
      </c>
      <c r="AH658" s="132" t="str">
        <f>VLOOKUP(AA658,frequency!$F$6:$H$818,3,FALSE)</f>
        <v>Low</v>
      </c>
      <c r="AI658" s="129" t="str">
        <f>VLOOKUP(AA658,monetary!$B$5:$F$817,5,0)</f>
        <v>Low</v>
      </c>
      <c r="AJ658" s="99" t="str">
        <f t="shared" si="108"/>
        <v>LLL</v>
      </c>
      <c r="AK658" s="99" t="str">
        <f>VLOOKUP(AJ658,rfm[],2,0)</f>
        <v>💤 Lost / Low Value</v>
      </c>
      <c r="AN658" s="99" t="b">
        <f t="shared" si="109"/>
        <v>0</v>
      </c>
    </row>
    <row r="659" spans="2:40" x14ac:dyDescent="0.3">
      <c r="B659" s="99" t="s">
        <v>388</v>
      </c>
      <c r="C659" s="100">
        <v>45772</v>
      </c>
      <c r="D659" s="99" t="s">
        <v>28</v>
      </c>
      <c r="E659" s="99" t="s">
        <v>29</v>
      </c>
      <c r="F659" s="99" t="s">
        <v>20</v>
      </c>
      <c r="G659" s="99">
        <v>27</v>
      </c>
      <c r="H659" s="112">
        <v>450000</v>
      </c>
      <c r="I659" s="112">
        <v>12150000</v>
      </c>
      <c r="J659" s="99" t="s">
        <v>2714</v>
      </c>
      <c r="K659" s="99" t="s">
        <v>8</v>
      </c>
      <c r="N659" s="99" t="s">
        <v>2690</v>
      </c>
      <c r="O659" s="99" t="s">
        <v>60</v>
      </c>
      <c r="P659" s="100">
        <f t="shared" si="101"/>
        <v>45884</v>
      </c>
      <c r="Q659" s="101">
        <f t="shared" si="100"/>
        <v>139</v>
      </c>
      <c r="R659" s="99">
        <f t="shared" si="102"/>
        <v>4</v>
      </c>
      <c r="S659" s="101">
        <f t="shared" si="103"/>
        <v>13885000</v>
      </c>
      <c r="T659" s="99" t="str">
        <f t="shared" si="104"/>
        <v>Low</v>
      </c>
      <c r="U659" s="99" t="str">
        <f t="shared" si="105"/>
        <v>High</v>
      </c>
      <c r="V659" s="99" t="str">
        <f t="shared" si="106"/>
        <v>Low</v>
      </c>
      <c r="W659" s="99" t="str">
        <f t="shared" si="107"/>
        <v>LHL</v>
      </c>
      <c r="X659" s="99" t="str">
        <f>VLOOKUP(W659,rfm[],2,FALSE)</f>
        <v>🔁 Former Loyal Low Spend</v>
      </c>
      <c r="AA659" s="99" t="s">
        <v>2690</v>
      </c>
      <c r="AB659" s="99" t="s">
        <v>60</v>
      </c>
      <c r="AC659" s="100">
        <v>45884</v>
      </c>
      <c r="AD659" s="101">
        <v>139</v>
      </c>
      <c r="AE659" s="101">
        <v>4</v>
      </c>
      <c r="AF659" s="101">
        <v>13885000</v>
      </c>
      <c r="AG659" s="99" t="str">
        <f>VLOOKUP(AA659,recency!$K$6:$P$818,6,0)</f>
        <v>Low</v>
      </c>
      <c r="AH659" s="132" t="str">
        <f>VLOOKUP(AA659,frequency!$F$6:$H$818,3,FALSE)</f>
        <v>High</v>
      </c>
      <c r="AI659" s="129" t="str">
        <f>VLOOKUP(AA659,monetary!$B$5:$F$817,5,0)</f>
        <v>Low</v>
      </c>
      <c r="AJ659" s="99" t="str">
        <f t="shared" si="108"/>
        <v>LHL</v>
      </c>
      <c r="AK659" s="99" t="str">
        <f>VLOOKUP(AJ659,rfm[],2,0)</f>
        <v>🔁 Former Loyal Low Spend</v>
      </c>
      <c r="AN659" s="99" t="b">
        <f t="shared" si="109"/>
        <v>1</v>
      </c>
    </row>
    <row r="660" spans="2:40" x14ac:dyDescent="0.3">
      <c r="B660" s="99" t="s">
        <v>405</v>
      </c>
      <c r="C660" s="100">
        <v>45775</v>
      </c>
      <c r="D660" s="99" t="s">
        <v>44</v>
      </c>
      <c r="E660" s="99" t="s">
        <v>45</v>
      </c>
      <c r="F660" s="99" t="s">
        <v>16</v>
      </c>
      <c r="G660" s="99">
        <v>12</v>
      </c>
      <c r="H660" s="112">
        <v>250000</v>
      </c>
      <c r="I660" s="112">
        <v>3000000</v>
      </c>
      <c r="J660" s="99" t="s">
        <v>2570</v>
      </c>
      <c r="K660" s="99" t="s">
        <v>8</v>
      </c>
      <c r="N660" s="99" t="s">
        <v>2691</v>
      </c>
      <c r="O660" s="99" t="s">
        <v>69</v>
      </c>
      <c r="P660" s="100">
        <f t="shared" si="101"/>
        <v>45987</v>
      </c>
      <c r="Q660" s="101">
        <f t="shared" si="100"/>
        <v>36</v>
      </c>
      <c r="R660" s="99">
        <f t="shared" si="102"/>
        <v>2</v>
      </c>
      <c r="S660" s="101">
        <f t="shared" si="103"/>
        <v>26275000</v>
      </c>
      <c r="T660" s="99" t="str">
        <f t="shared" si="104"/>
        <v>High</v>
      </c>
      <c r="U660" s="99" t="str">
        <f t="shared" si="105"/>
        <v>Low</v>
      </c>
      <c r="V660" s="99" t="str">
        <f t="shared" si="106"/>
        <v>High</v>
      </c>
      <c r="W660" s="99" t="str">
        <f t="shared" si="107"/>
        <v>HLH</v>
      </c>
      <c r="X660" s="99" t="str">
        <f>VLOOKUP(W660,rfm[],2,FALSE)</f>
        <v>🛒 Big Spenders (Occasional)</v>
      </c>
      <c r="AA660" s="99" t="s">
        <v>2691</v>
      </c>
      <c r="AB660" s="99" t="s">
        <v>69</v>
      </c>
      <c r="AC660" s="100">
        <v>45987</v>
      </c>
      <c r="AD660" s="101">
        <v>36</v>
      </c>
      <c r="AE660" s="101">
        <v>2</v>
      </c>
      <c r="AF660" s="101">
        <v>26275000</v>
      </c>
      <c r="AG660" s="99" t="str">
        <f>VLOOKUP(AA660,recency!$K$6:$P$818,6,0)</f>
        <v>High</v>
      </c>
      <c r="AH660" s="132" t="str">
        <f>VLOOKUP(AA660,frequency!$F$6:$H$818,3,FALSE)</f>
        <v>Low</v>
      </c>
      <c r="AI660" s="129" t="str">
        <f>VLOOKUP(AA660,monetary!$B$5:$F$817,5,0)</f>
        <v>Low</v>
      </c>
      <c r="AJ660" s="99" t="str">
        <f t="shared" si="108"/>
        <v>HLL</v>
      </c>
      <c r="AK660" s="99" t="str">
        <f>VLOOKUP(AJ660,rfm[],2,0)</f>
        <v>🌱 Potential Loyalists</v>
      </c>
      <c r="AN660" s="99" t="b">
        <f t="shared" si="109"/>
        <v>0</v>
      </c>
    </row>
    <row r="661" spans="2:40" x14ac:dyDescent="0.3">
      <c r="B661" s="99" t="s">
        <v>423</v>
      </c>
      <c r="C661" s="100">
        <v>45775</v>
      </c>
      <c r="D661" s="99" t="s">
        <v>22</v>
      </c>
      <c r="E661" s="99" t="s">
        <v>23</v>
      </c>
      <c r="F661" s="99" t="s">
        <v>12</v>
      </c>
      <c r="G661" s="99">
        <v>23</v>
      </c>
      <c r="H661" s="112">
        <v>25000</v>
      </c>
      <c r="I661" s="112">
        <v>575000</v>
      </c>
      <c r="J661" s="99" t="s">
        <v>2404</v>
      </c>
      <c r="K661" s="99" t="s">
        <v>60</v>
      </c>
      <c r="N661" s="99" t="s">
        <v>2692</v>
      </c>
      <c r="O661" s="99" t="s">
        <v>47</v>
      </c>
      <c r="P661" s="100">
        <f t="shared" si="101"/>
        <v>45959</v>
      </c>
      <c r="Q661" s="101">
        <f t="shared" si="100"/>
        <v>64</v>
      </c>
      <c r="R661" s="99">
        <f t="shared" si="102"/>
        <v>1</v>
      </c>
      <c r="S661" s="101">
        <f t="shared" si="103"/>
        <v>1400000</v>
      </c>
      <c r="T661" s="99" t="str">
        <f t="shared" si="104"/>
        <v>High</v>
      </c>
      <c r="U661" s="99" t="str">
        <f t="shared" si="105"/>
        <v>Low</v>
      </c>
      <c r="V661" s="99" t="str">
        <f t="shared" si="106"/>
        <v>Low</v>
      </c>
      <c r="W661" s="99" t="str">
        <f t="shared" si="107"/>
        <v>HLL</v>
      </c>
      <c r="X661" s="99" t="str">
        <f>VLOOKUP(W661,rfm[],2,FALSE)</f>
        <v>🌱 Potential Loyalists</v>
      </c>
      <c r="AA661" s="99" t="s">
        <v>2692</v>
      </c>
      <c r="AB661" s="99" t="s">
        <v>47</v>
      </c>
      <c r="AC661" s="100">
        <v>45959</v>
      </c>
      <c r="AD661" s="101">
        <v>64</v>
      </c>
      <c r="AE661" s="101">
        <v>1</v>
      </c>
      <c r="AF661" s="101">
        <v>1400000</v>
      </c>
      <c r="AG661" s="99" t="str">
        <f>VLOOKUP(AA661,recency!$K$6:$P$818,6,0)</f>
        <v>Low</v>
      </c>
      <c r="AH661" s="132" t="str">
        <f>VLOOKUP(AA661,frequency!$F$6:$H$818,3,FALSE)</f>
        <v>Low</v>
      </c>
      <c r="AI661" s="129" t="str">
        <f>VLOOKUP(AA661,monetary!$B$5:$F$817,5,0)</f>
        <v>Low</v>
      </c>
      <c r="AJ661" s="99" t="str">
        <f t="shared" si="108"/>
        <v>LLL</v>
      </c>
      <c r="AK661" s="99" t="str">
        <f>VLOOKUP(AJ661,rfm[],2,0)</f>
        <v>💤 Lost / Low Value</v>
      </c>
      <c r="AN661" s="99" t="b">
        <f t="shared" si="109"/>
        <v>0</v>
      </c>
    </row>
    <row r="662" spans="2:40" x14ac:dyDescent="0.3">
      <c r="B662" s="99" t="s">
        <v>424</v>
      </c>
      <c r="C662" s="100">
        <v>45775</v>
      </c>
      <c r="D662" s="99" t="s">
        <v>22</v>
      </c>
      <c r="E662" s="99" t="s">
        <v>23</v>
      </c>
      <c r="F662" s="99" t="s">
        <v>12</v>
      </c>
      <c r="G662" s="99">
        <v>23</v>
      </c>
      <c r="H662" s="112">
        <v>25000</v>
      </c>
      <c r="I662" s="112">
        <v>575000</v>
      </c>
      <c r="J662" s="99" t="s">
        <v>2657</v>
      </c>
      <c r="K662" s="99" t="s">
        <v>47</v>
      </c>
      <c r="N662" s="99" t="s">
        <v>2693</v>
      </c>
      <c r="O662" s="99" t="s">
        <v>127</v>
      </c>
      <c r="P662" s="100">
        <f t="shared" si="101"/>
        <v>45931</v>
      </c>
      <c r="Q662" s="101">
        <f t="shared" si="100"/>
        <v>92</v>
      </c>
      <c r="R662" s="99">
        <f t="shared" si="102"/>
        <v>4</v>
      </c>
      <c r="S662" s="101">
        <f t="shared" si="103"/>
        <v>10130000</v>
      </c>
      <c r="T662" s="99" t="str">
        <f t="shared" si="104"/>
        <v>High</v>
      </c>
      <c r="U662" s="99" t="str">
        <f t="shared" si="105"/>
        <v>High</v>
      </c>
      <c r="V662" s="99" t="str">
        <f t="shared" si="106"/>
        <v>Low</v>
      </c>
      <c r="W662" s="99" t="str">
        <f t="shared" si="107"/>
        <v>HHL</v>
      </c>
      <c r="X662" s="99" t="str">
        <f>VLOOKUP(W662,rfm[],2,FALSE)</f>
        <v>💎 Loyal High Value</v>
      </c>
      <c r="AA662" s="99" t="s">
        <v>2693</v>
      </c>
      <c r="AB662" s="99" t="s">
        <v>127</v>
      </c>
      <c r="AC662" s="100">
        <v>45931</v>
      </c>
      <c r="AD662" s="101">
        <v>92</v>
      </c>
      <c r="AE662" s="101">
        <v>4</v>
      </c>
      <c r="AF662" s="101">
        <v>10130000</v>
      </c>
      <c r="AG662" s="99" t="str">
        <f>VLOOKUP(AA662,recency!$K$6:$P$818,6,0)</f>
        <v>Low</v>
      </c>
      <c r="AH662" s="132" t="str">
        <f>VLOOKUP(AA662,frequency!$F$6:$H$818,3,FALSE)</f>
        <v>High</v>
      </c>
      <c r="AI662" s="129" t="str">
        <f>VLOOKUP(AA662,monetary!$B$5:$F$817,5,0)</f>
        <v>Low</v>
      </c>
      <c r="AJ662" s="99" t="str">
        <f t="shared" si="108"/>
        <v>LHL</v>
      </c>
      <c r="AK662" s="99" t="str">
        <f>VLOOKUP(AJ662,rfm[],2,0)</f>
        <v>🔁 Former Loyal Low Spend</v>
      </c>
      <c r="AN662" s="99" t="b">
        <f t="shared" si="109"/>
        <v>0</v>
      </c>
    </row>
    <row r="663" spans="2:40" x14ac:dyDescent="0.3">
      <c r="B663" s="99" t="s">
        <v>425</v>
      </c>
      <c r="C663" s="100">
        <v>45775</v>
      </c>
      <c r="D663" s="99" t="s">
        <v>18</v>
      </c>
      <c r="E663" s="99" t="s">
        <v>19</v>
      </c>
      <c r="F663" s="99" t="s">
        <v>20</v>
      </c>
      <c r="G663" s="99">
        <v>6</v>
      </c>
      <c r="H663" s="112">
        <v>500000</v>
      </c>
      <c r="I663" s="112">
        <v>3000000</v>
      </c>
      <c r="J663" s="99" t="s">
        <v>2694</v>
      </c>
      <c r="K663" s="99" t="s">
        <v>127</v>
      </c>
      <c r="N663" s="99" t="s">
        <v>2694</v>
      </c>
      <c r="O663" s="99" t="s">
        <v>127</v>
      </c>
      <c r="P663" s="100">
        <f t="shared" si="101"/>
        <v>45775</v>
      </c>
      <c r="Q663" s="101">
        <f t="shared" si="100"/>
        <v>248</v>
      </c>
      <c r="R663" s="99">
        <f t="shared" si="102"/>
        <v>1</v>
      </c>
      <c r="S663" s="101">
        <f t="shared" si="103"/>
        <v>3000000</v>
      </c>
      <c r="T663" s="99" t="str">
        <f t="shared" si="104"/>
        <v>Low</v>
      </c>
      <c r="U663" s="99" t="str">
        <f t="shared" si="105"/>
        <v>Low</v>
      </c>
      <c r="V663" s="99" t="str">
        <f t="shared" si="106"/>
        <v>Low</v>
      </c>
      <c r="W663" s="99" t="str">
        <f t="shared" si="107"/>
        <v>LLL</v>
      </c>
      <c r="X663" s="99" t="str">
        <f>VLOOKUP(W663,rfm[],2,FALSE)</f>
        <v>💤 Lost / Low Value</v>
      </c>
      <c r="AA663" s="99" t="s">
        <v>2694</v>
      </c>
      <c r="AB663" s="99" t="s">
        <v>127</v>
      </c>
      <c r="AC663" s="100">
        <v>45775</v>
      </c>
      <c r="AD663" s="101">
        <v>248</v>
      </c>
      <c r="AE663" s="101">
        <v>1</v>
      </c>
      <c r="AF663" s="101">
        <v>3000000</v>
      </c>
      <c r="AG663" s="99" t="str">
        <f>VLOOKUP(AA663,recency!$K$6:$P$818,6,0)</f>
        <v>Low</v>
      </c>
      <c r="AH663" s="132" t="str">
        <f>VLOOKUP(AA663,frequency!$F$6:$H$818,3,FALSE)</f>
        <v>Low</v>
      </c>
      <c r="AI663" s="129" t="str">
        <f>VLOOKUP(AA663,monetary!$B$5:$F$817,5,0)</f>
        <v>Low</v>
      </c>
      <c r="AJ663" s="99" t="str">
        <f t="shared" si="108"/>
        <v>LLL</v>
      </c>
      <c r="AK663" s="99" t="str">
        <f>VLOOKUP(AJ663,rfm[],2,0)</f>
        <v>💤 Lost / Low Value</v>
      </c>
      <c r="AN663" s="99" t="b">
        <f t="shared" si="109"/>
        <v>1</v>
      </c>
    </row>
    <row r="664" spans="2:40" x14ac:dyDescent="0.3">
      <c r="B664" s="99" t="s">
        <v>426</v>
      </c>
      <c r="C664" s="100">
        <v>45775</v>
      </c>
      <c r="D664" s="99" t="s">
        <v>42</v>
      </c>
      <c r="E664" s="99" t="s">
        <v>43</v>
      </c>
      <c r="F664" s="99" t="s">
        <v>16</v>
      </c>
      <c r="G664" s="99">
        <v>22</v>
      </c>
      <c r="H664" s="112">
        <v>1200000</v>
      </c>
      <c r="I664" s="112">
        <v>26400000</v>
      </c>
      <c r="J664" s="99" t="s">
        <v>2216</v>
      </c>
      <c r="K664" s="99" t="s">
        <v>60</v>
      </c>
      <c r="N664" s="99" t="s">
        <v>2695</v>
      </c>
      <c r="O664" s="99" t="s">
        <v>8</v>
      </c>
      <c r="P664" s="100">
        <f t="shared" si="101"/>
        <v>46013</v>
      </c>
      <c r="Q664" s="101">
        <f t="shared" si="100"/>
        <v>10</v>
      </c>
      <c r="R664" s="99">
        <f t="shared" si="102"/>
        <v>7</v>
      </c>
      <c r="S664" s="101">
        <f t="shared" si="103"/>
        <v>1093500000</v>
      </c>
      <c r="T664" s="99" t="str">
        <f t="shared" si="104"/>
        <v>High</v>
      </c>
      <c r="U664" s="99" t="str">
        <f t="shared" si="105"/>
        <v>High</v>
      </c>
      <c r="V664" s="99" t="str">
        <f t="shared" si="106"/>
        <v>High</v>
      </c>
      <c r="W664" s="99" t="str">
        <f t="shared" si="107"/>
        <v>HHH</v>
      </c>
      <c r="X664" s="99" t="str">
        <f>VLOOKUP(W664,rfm[],2,FALSE)</f>
        <v>🥇 Champions</v>
      </c>
      <c r="AA664" s="99" t="s">
        <v>2695</v>
      </c>
      <c r="AB664" s="99" t="s">
        <v>8</v>
      </c>
      <c r="AC664" s="100">
        <v>46013</v>
      </c>
      <c r="AD664" s="101">
        <v>10</v>
      </c>
      <c r="AE664" s="101">
        <v>7</v>
      </c>
      <c r="AF664" s="101">
        <v>1093500000</v>
      </c>
      <c r="AG664" s="99" t="str">
        <f>VLOOKUP(AA664,recency!$K$6:$P$818,6,0)</f>
        <v>High</v>
      </c>
      <c r="AH664" s="132" t="str">
        <f>VLOOKUP(AA664,frequency!$F$6:$H$818,3,FALSE)</f>
        <v>High</v>
      </c>
      <c r="AI664" s="129" t="str">
        <f>VLOOKUP(AA664,monetary!$B$5:$F$817,5,0)</f>
        <v>High</v>
      </c>
      <c r="AJ664" s="99" t="str">
        <f t="shared" si="108"/>
        <v>HHH</v>
      </c>
      <c r="AK664" s="99" t="str">
        <f>VLOOKUP(AJ664,rfm[],2,0)</f>
        <v>🥇 Champions</v>
      </c>
      <c r="AN664" s="99" t="b">
        <f t="shared" si="109"/>
        <v>1</v>
      </c>
    </row>
    <row r="665" spans="2:40" x14ac:dyDescent="0.3">
      <c r="B665" s="99" t="s">
        <v>436</v>
      </c>
      <c r="C665" s="100">
        <v>45775</v>
      </c>
      <c r="D665" s="99" t="s">
        <v>31</v>
      </c>
      <c r="E665" s="99" t="s">
        <v>32</v>
      </c>
      <c r="F665" s="99" t="s">
        <v>20</v>
      </c>
      <c r="G665" s="99">
        <v>47</v>
      </c>
      <c r="H665" s="112">
        <v>180000</v>
      </c>
      <c r="I665" s="112">
        <v>8460000</v>
      </c>
      <c r="J665" s="99" t="s">
        <v>2257</v>
      </c>
      <c r="K665" s="99" t="s">
        <v>127</v>
      </c>
      <c r="N665" s="99" t="s">
        <v>2696</v>
      </c>
      <c r="O665" s="99" t="s">
        <v>60</v>
      </c>
      <c r="P665" s="100">
        <f t="shared" si="101"/>
        <v>46022</v>
      </c>
      <c r="Q665" s="101">
        <f t="shared" si="100"/>
        <v>1</v>
      </c>
      <c r="R665" s="99">
        <f t="shared" si="102"/>
        <v>3</v>
      </c>
      <c r="S665" s="101">
        <f t="shared" si="103"/>
        <v>32600000</v>
      </c>
      <c r="T665" s="99" t="str">
        <f t="shared" si="104"/>
        <v>High</v>
      </c>
      <c r="U665" s="99" t="str">
        <f t="shared" si="105"/>
        <v>High</v>
      </c>
      <c r="V665" s="99" t="str">
        <f t="shared" si="106"/>
        <v>High</v>
      </c>
      <c r="W665" s="99" t="str">
        <f t="shared" si="107"/>
        <v>HHH</v>
      </c>
      <c r="X665" s="99" t="str">
        <f>VLOOKUP(W665,rfm[],2,FALSE)</f>
        <v>🥇 Champions</v>
      </c>
      <c r="AA665" s="99" t="s">
        <v>2696</v>
      </c>
      <c r="AB665" s="99" t="s">
        <v>60</v>
      </c>
      <c r="AC665" s="100">
        <v>46022</v>
      </c>
      <c r="AD665" s="101">
        <v>1</v>
      </c>
      <c r="AE665" s="101">
        <v>3</v>
      </c>
      <c r="AF665" s="101">
        <v>32600000</v>
      </c>
      <c r="AG665" s="99" t="str">
        <f>VLOOKUP(AA665,recency!$K$6:$P$818,6,0)</f>
        <v>High</v>
      </c>
      <c r="AH665" s="132" t="str">
        <f>VLOOKUP(AA665,frequency!$F$6:$H$818,3,FALSE)</f>
        <v>High</v>
      </c>
      <c r="AI665" s="129" t="str">
        <f>VLOOKUP(AA665,monetary!$B$5:$F$817,5,0)</f>
        <v>Low</v>
      </c>
      <c r="AJ665" s="99" t="str">
        <f t="shared" si="108"/>
        <v>HHL</v>
      </c>
      <c r="AK665" s="99" t="str">
        <f>VLOOKUP(AJ665,rfm[],2,0)</f>
        <v>💎 Loyal High Value</v>
      </c>
      <c r="AN665" s="99" t="b">
        <f t="shared" si="109"/>
        <v>0</v>
      </c>
    </row>
    <row r="666" spans="2:40" x14ac:dyDescent="0.3">
      <c r="B666" s="99" t="s">
        <v>447</v>
      </c>
      <c r="C666" s="100">
        <v>45775</v>
      </c>
      <c r="D666" s="99" t="s">
        <v>38</v>
      </c>
      <c r="E666" s="99" t="s">
        <v>39</v>
      </c>
      <c r="F666" s="99" t="s">
        <v>16</v>
      </c>
      <c r="G666" s="99">
        <v>13</v>
      </c>
      <c r="H666" s="112">
        <v>200000</v>
      </c>
      <c r="I666" s="112">
        <v>2600000</v>
      </c>
      <c r="J666" s="99" t="s">
        <v>2413</v>
      </c>
      <c r="K666" s="99" t="s">
        <v>8</v>
      </c>
      <c r="N666" s="99" t="s">
        <v>2697</v>
      </c>
      <c r="O666" s="99" t="s">
        <v>8</v>
      </c>
      <c r="P666" s="100">
        <f t="shared" si="101"/>
        <v>45726</v>
      </c>
      <c r="Q666" s="101">
        <f t="shared" si="100"/>
        <v>297</v>
      </c>
      <c r="R666" s="99">
        <f t="shared" si="102"/>
        <v>1</v>
      </c>
      <c r="S666" s="101">
        <f t="shared" si="103"/>
        <v>11900000</v>
      </c>
      <c r="T666" s="99" t="str">
        <f t="shared" si="104"/>
        <v>Low</v>
      </c>
      <c r="U666" s="99" t="str">
        <f t="shared" si="105"/>
        <v>Low</v>
      </c>
      <c r="V666" s="99" t="str">
        <f t="shared" si="106"/>
        <v>Low</v>
      </c>
      <c r="W666" s="99" t="str">
        <f t="shared" si="107"/>
        <v>LLL</v>
      </c>
      <c r="X666" s="99" t="str">
        <f>VLOOKUP(W666,rfm[],2,FALSE)</f>
        <v>💤 Lost / Low Value</v>
      </c>
      <c r="AA666" s="99" t="s">
        <v>2697</v>
      </c>
      <c r="AB666" s="99" t="s">
        <v>8</v>
      </c>
      <c r="AC666" s="100">
        <v>45726</v>
      </c>
      <c r="AD666" s="101">
        <v>297</v>
      </c>
      <c r="AE666" s="101">
        <v>1</v>
      </c>
      <c r="AF666" s="101">
        <v>11900000</v>
      </c>
      <c r="AG666" s="99" t="str">
        <f>VLOOKUP(AA666,recency!$K$6:$P$818,6,0)</f>
        <v>Low</v>
      </c>
      <c r="AH666" s="132" t="str">
        <f>VLOOKUP(AA666,frequency!$F$6:$H$818,3,FALSE)</f>
        <v>Low</v>
      </c>
      <c r="AI666" s="129" t="str">
        <f>VLOOKUP(AA666,monetary!$B$5:$F$817,5,0)</f>
        <v>Low</v>
      </c>
      <c r="AJ666" s="99" t="str">
        <f t="shared" si="108"/>
        <v>LLL</v>
      </c>
      <c r="AK666" s="99" t="str">
        <f>VLOOKUP(AJ666,rfm[],2,0)</f>
        <v>💤 Lost / Low Value</v>
      </c>
      <c r="AN666" s="99" t="b">
        <f t="shared" si="109"/>
        <v>1</v>
      </c>
    </row>
    <row r="667" spans="2:40" x14ac:dyDescent="0.3">
      <c r="B667" s="99" t="s">
        <v>448</v>
      </c>
      <c r="C667" s="100">
        <v>45775</v>
      </c>
      <c r="D667" s="99" t="s">
        <v>38</v>
      </c>
      <c r="E667" s="99" t="s">
        <v>39</v>
      </c>
      <c r="F667" s="99" t="s">
        <v>16</v>
      </c>
      <c r="G667" s="99">
        <v>10</v>
      </c>
      <c r="H667" s="112">
        <v>200000</v>
      </c>
      <c r="I667" s="112">
        <v>2000000</v>
      </c>
      <c r="J667" s="99" t="s">
        <v>2351</v>
      </c>
      <c r="K667" s="99" t="s">
        <v>47</v>
      </c>
      <c r="N667" s="99" t="s">
        <v>2698</v>
      </c>
      <c r="O667" s="99" t="s">
        <v>8</v>
      </c>
      <c r="P667" s="100">
        <f t="shared" si="101"/>
        <v>46015</v>
      </c>
      <c r="Q667" s="101">
        <f t="shared" si="100"/>
        <v>8</v>
      </c>
      <c r="R667" s="99">
        <f t="shared" si="102"/>
        <v>2</v>
      </c>
      <c r="S667" s="101">
        <f t="shared" si="103"/>
        <v>34050000</v>
      </c>
      <c r="T667" s="99" t="str">
        <f t="shared" si="104"/>
        <v>High</v>
      </c>
      <c r="U667" s="99" t="str">
        <f t="shared" si="105"/>
        <v>Low</v>
      </c>
      <c r="V667" s="99" t="str">
        <f t="shared" si="106"/>
        <v>High</v>
      </c>
      <c r="W667" s="99" t="str">
        <f t="shared" si="107"/>
        <v>HLH</v>
      </c>
      <c r="X667" s="99" t="str">
        <f>VLOOKUP(W667,rfm[],2,FALSE)</f>
        <v>🛒 Big Spenders (Occasional)</v>
      </c>
      <c r="AA667" s="99" t="s">
        <v>2698</v>
      </c>
      <c r="AB667" s="99" t="s">
        <v>8</v>
      </c>
      <c r="AC667" s="100">
        <v>46015</v>
      </c>
      <c r="AD667" s="101">
        <v>8</v>
      </c>
      <c r="AE667" s="101">
        <v>2</v>
      </c>
      <c r="AF667" s="101">
        <v>34050000</v>
      </c>
      <c r="AG667" s="99" t="str">
        <f>VLOOKUP(AA667,recency!$K$6:$P$818,6,0)</f>
        <v>High</v>
      </c>
      <c r="AH667" s="132" t="str">
        <f>VLOOKUP(AA667,frequency!$F$6:$H$818,3,FALSE)</f>
        <v>Low</v>
      </c>
      <c r="AI667" s="129" t="str">
        <f>VLOOKUP(AA667,monetary!$B$5:$F$817,5,0)</f>
        <v>Low</v>
      </c>
      <c r="AJ667" s="99" t="str">
        <f t="shared" si="108"/>
        <v>HLL</v>
      </c>
      <c r="AK667" s="99" t="str">
        <f>VLOOKUP(AJ667,rfm[],2,0)</f>
        <v>🌱 Potential Loyalists</v>
      </c>
      <c r="AN667" s="99" t="b">
        <f t="shared" si="109"/>
        <v>0</v>
      </c>
    </row>
    <row r="668" spans="2:40" x14ac:dyDescent="0.3">
      <c r="B668" s="99" t="s">
        <v>449</v>
      </c>
      <c r="C668" s="100">
        <v>45775</v>
      </c>
      <c r="D668" s="99" t="s">
        <v>44</v>
      </c>
      <c r="E668" s="99" t="s">
        <v>45</v>
      </c>
      <c r="F668" s="99" t="s">
        <v>16</v>
      </c>
      <c r="G668" s="99">
        <v>22</v>
      </c>
      <c r="H668" s="112">
        <v>250000</v>
      </c>
      <c r="I668" s="112">
        <v>5500000</v>
      </c>
      <c r="J668" s="99" t="s">
        <v>2589</v>
      </c>
      <c r="K668" s="99" t="s">
        <v>127</v>
      </c>
      <c r="N668" s="99" t="s">
        <v>2699</v>
      </c>
      <c r="O668" s="99" t="s">
        <v>69</v>
      </c>
      <c r="P668" s="100">
        <f t="shared" si="101"/>
        <v>45904</v>
      </c>
      <c r="Q668" s="101">
        <f t="shared" si="100"/>
        <v>119</v>
      </c>
      <c r="R668" s="99">
        <f t="shared" si="102"/>
        <v>2</v>
      </c>
      <c r="S668" s="101">
        <f t="shared" si="103"/>
        <v>8000000</v>
      </c>
      <c r="T668" s="99" t="str">
        <f t="shared" si="104"/>
        <v>Low</v>
      </c>
      <c r="U668" s="99" t="str">
        <f t="shared" si="105"/>
        <v>Low</v>
      </c>
      <c r="V668" s="99" t="str">
        <f t="shared" si="106"/>
        <v>Low</v>
      </c>
      <c r="W668" s="99" t="str">
        <f t="shared" si="107"/>
        <v>LLL</v>
      </c>
      <c r="X668" s="99" t="str">
        <f>VLOOKUP(W668,rfm[],2,FALSE)</f>
        <v>💤 Lost / Low Value</v>
      </c>
      <c r="AA668" s="99" t="s">
        <v>2699</v>
      </c>
      <c r="AB668" s="99" t="s">
        <v>69</v>
      </c>
      <c r="AC668" s="100">
        <v>45904</v>
      </c>
      <c r="AD668" s="101">
        <v>119</v>
      </c>
      <c r="AE668" s="101">
        <v>2</v>
      </c>
      <c r="AF668" s="101">
        <v>8000000</v>
      </c>
      <c r="AG668" s="99" t="str">
        <f>VLOOKUP(AA668,recency!$K$6:$P$818,6,0)</f>
        <v>Low</v>
      </c>
      <c r="AH668" s="132" t="str">
        <f>VLOOKUP(AA668,frequency!$F$6:$H$818,3,FALSE)</f>
        <v>Low</v>
      </c>
      <c r="AI668" s="129" t="str">
        <f>VLOOKUP(AA668,monetary!$B$5:$F$817,5,0)</f>
        <v>Low</v>
      </c>
      <c r="AJ668" s="99" t="str">
        <f t="shared" si="108"/>
        <v>LLL</v>
      </c>
      <c r="AK668" s="99" t="str">
        <f>VLOOKUP(AJ668,rfm[],2,0)</f>
        <v>💤 Lost / Low Value</v>
      </c>
      <c r="AN668" s="99" t="b">
        <f t="shared" si="109"/>
        <v>1</v>
      </c>
    </row>
    <row r="669" spans="2:40" x14ac:dyDescent="0.3">
      <c r="B669" s="99" t="s">
        <v>469</v>
      </c>
      <c r="C669" s="100">
        <v>45775</v>
      </c>
      <c r="D669" s="99" t="s">
        <v>40</v>
      </c>
      <c r="E669" s="99" t="s">
        <v>41</v>
      </c>
      <c r="F669" s="99" t="s">
        <v>16</v>
      </c>
      <c r="G669" s="99">
        <v>14</v>
      </c>
      <c r="H669" s="112">
        <v>950000</v>
      </c>
      <c r="I669" s="112">
        <v>13300000</v>
      </c>
      <c r="J669" s="99" t="s">
        <v>2309</v>
      </c>
      <c r="K669" s="99" t="s">
        <v>8</v>
      </c>
      <c r="N669" s="99" t="s">
        <v>2700</v>
      </c>
      <c r="O669" s="99" t="s">
        <v>60</v>
      </c>
      <c r="P669" s="100">
        <f t="shared" si="101"/>
        <v>45805</v>
      </c>
      <c r="Q669" s="101">
        <f t="shared" si="100"/>
        <v>218</v>
      </c>
      <c r="R669" s="99">
        <f t="shared" si="102"/>
        <v>1</v>
      </c>
      <c r="S669" s="101">
        <f t="shared" si="103"/>
        <v>5000000</v>
      </c>
      <c r="T669" s="99" t="str">
        <f t="shared" si="104"/>
        <v>Low</v>
      </c>
      <c r="U669" s="99" t="str">
        <f t="shared" si="105"/>
        <v>Low</v>
      </c>
      <c r="V669" s="99" t="str">
        <f t="shared" si="106"/>
        <v>Low</v>
      </c>
      <c r="W669" s="99" t="str">
        <f t="shared" si="107"/>
        <v>LLL</v>
      </c>
      <c r="X669" s="99" t="str">
        <f>VLOOKUP(W669,rfm[],2,FALSE)</f>
        <v>💤 Lost / Low Value</v>
      </c>
      <c r="AA669" s="99" t="s">
        <v>2700</v>
      </c>
      <c r="AB669" s="99" t="s">
        <v>60</v>
      </c>
      <c r="AC669" s="100">
        <v>45805</v>
      </c>
      <c r="AD669" s="101">
        <v>218</v>
      </c>
      <c r="AE669" s="101">
        <v>1</v>
      </c>
      <c r="AF669" s="101">
        <v>5000000</v>
      </c>
      <c r="AG669" s="99" t="str">
        <f>VLOOKUP(AA669,recency!$K$6:$P$818,6,0)</f>
        <v>Low</v>
      </c>
      <c r="AH669" s="132" t="str">
        <f>VLOOKUP(AA669,frequency!$F$6:$H$818,3,FALSE)</f>
        <v>Low</v>
      </c>
      <c r="AI669" s="129" t="str">
        <f>VLOOKUP(AA669,monetary!$B$5:$F$817,5,0)</f>
        <v>Low</v>
      </c>
      <c r="AJ669" s="99" t="str">
        <f t="shared" si="108"/>
        <v>LLL</v>
      </c>
      <c r="AK669" s="99" t="str">
        <f>VLOOKUP(AJ669,rfm[],2,0)</f>
        <v>💤 Lost / Low Value</v>
      </c>
      <c r="AN669" s="99" t="b">
        <f t="shared" si="109"/>
        <v>1</v>
      </c>
    </row>
    <row r="670" spans="2:40" x14ac:dyDescent="0.3">
      <c r="B670" s="99" t="s">
        <v>470</v>
      </c>
      <c r="C670" s="100">
        <v>45777</v>
      </c>
      <c r="D670" s="99" t="s">
        <v>14</v>
      </c>
      <c r="E670" s="99" t="s">
        <v>15</v>
      </c>
      <c r="F670" s="99" t="s">
        <v>16</v>
      </c>
      <c r="G670" s="99">
        <v>33</v>
      </c>
      <c r="H670" s="112">
        <v>350000</v>
      </c>
      <c r="I670" s="112">
        <v>11550000</v>
      </c>
      <c r="J670" s="99" t="s">
        <v>2789</v>
      </c>
      <c r="K670" s="99" t="s">
        <v>127</v>
      </c>
      <c r="N670" s="99" t="s">
        <v>2701</v>
      </c>
      <c r="O670" s="99" t="s">
        <v>60</v>
      </c>
      <c r="P670" s="100">
        <f t="shared" si="101"/>
        <v>45866</v>
      </c>
      <c r="Q670" s="101">
        <f t="shared" si="100"/>
        <v>157</v>
      </c>
      <c r="R670" s="99">
        <f t="shared" si="102"/>
        <v>2</v>
      </c>
      <c r="S670" s="101">
        <f t="shared" si="103"/>
        <v>42100000</v>
      </c>
      <c r="T670" s="99" t="str">
        <f t="shared" si="104"/>
        <v>Low</v>
      </c>
      <c r="U670" s="99" t="str">
        <f t="shared" si="105"/>
        <v>Low</v>
      </c>
      <c r="V670" s="99" t="str">
        <f t="shared" si="106"/>
        <v>High</v>
      </c>
      <c r="W670" s="99" t="str">
        <f t="shared" si="107"/>
        <v>LLH</v>
      </c>
      <c r="X670" s="99" t="str">
        <f>VLOOKUP(W670,rfm[],2,FALSE)</f>
        <v>💸 Lost High Spenders</v>
      </c>
      <c r="AA670" s="99" t="s">
        <v>2701</v>
      </c>
      <c r="AB670" s="99" t="s">
        <v>60</v>
      </c>
      <c r="AC670" s="100">
        <v>45866</v>
      </c>
      <c r="AD670" s="101">
        <v>157</v>
      </c>
      <c r="AE670" s="101">
        <v>2</v>
      </c>
      <c r="AF670" s="101">
        <v>42100000</v>
      </c>
      <c r="AG670" s="99" t="str">
        <f>VLOOKUP(AA670,recency!$K$6:$P$818,6,0)</f>
        <v>Low</v>
      </c>
      <c r="AH670" s="132" t="str">
        <f>VLOOKUP(AA670,frequency!$F$6:$H$818,3,FALSE)</f>
        <v>Low</v>
      </c>
      <c r="AI670" s="129" t="str">
        <f>VLOOKUP(AA670,monetary!$B$5:$F$817,5,0)</f>
        <v>Low</v>
      </c>
      <c r="AJ670" s="99" t="str">
        <f t="shared" si="108"/>
        <v>LLL</v>
      </c>
      <c r="AK670" s="99" t="str">
        <f>VLOOKUP(AJ670,rfm[],2,0)</f>
        <v>💤 Lost / Low Value</v>
      </c>
      <c r="AN670" s="99" t="b">
        <f t="shared" si="109"/>
        <v>0</v>
      </c>
    </row>
    <row r="671" spans="2:40" x14ac:dyDescent="0.3">
      <c r="B671" s="99" t="s">
        <v>471</v>
      </c>
      <c r="C671" s="100">
        <v>45777</v>
      </c>
      <c r="D671" s="99" t="s">
        <v>40</v>
      </c>
      <c r="E671" s="99" t="s">
        <v>41</v>
      </c>
      <c r="F671" s="99" t="s">
        <v>16</v>
      </c>
      <c r="G671" s="99">
        <v>29</v>
      </c>
      <c r="H671" s="112">
        <v>950000</v>
      </c>
      <c r="I671" s="112">
        <v>27550000</v>
      </c>
      <c r="J671" s="99" t="s">
        <v>2514</v>
      </c>
      <c r="K671" s="99" t="s">
        <v>127</v>
      </c>
      <c r="N671" s="99" t="s">
        <v>2702</v>
      </c>
      <c r="O671" s="99" t="s">
        <v>47</v>
      </c>
      <c r="P671" s="100">
        <f t="shared" si="101"/>
        <v>45678</v>
      </c>
      <c r="Q671" s="101">
        <f t="shared" si="100"/>
        <v>345</v>
      </c>
      <c r="R671" s="99">
        <f t="shared" si="102"/>
        <v>1</v>
      </c>
      <c r="S671" s="101">
        <f t="shared" si="103"/>
        <v>22050000</v>
      </c>
      <c r="T671" s="99" t="str">
        <f t="shared" si="104"/>
        <v>Low</v>
      </c>
      <c r="U671" s="99" t="str">
        <f t="shared" si="105"/>
        <v>Low</v>
      </c>
      <c r="V671" s="99" t="str">
        <f t="shared" si="106"/>
        <v>High</v>
      </c>
      <c r="W671" s="99" t="str">
        <f t="shared" si="107"/>
        <v>LLH</v>
      </c>
      <c r="X671" s="99" t="str">
        <f>VLOOKUP(W671,rfm[],2,FALSE)</f>
        <v>💸 Lost High Spenders</v>
      </c>
      <c r="AA671" s="99" t="s">
        <v>2702</v>
      </c>
      <c r="AB671" s="99" t="s">
        <v>47</v>
      </c>
      <c r="AC671" s="100">
        <v>45678</v>
      </c>
      <c r="AD671" s="101">
        <v>345</v>
      </c>
      <c r="AE671" s="101">
        <v>1</v>
      </c>
      <c r="AF671" s="101">
        <v>22050000</v>
      </c>
      <c r="AG671" s="99" t="str">
        <f>VLOOKUP(AA671,recency!$K$6:$P$818,6,0)</f>
        <v>Low</v>
      </c>
      <c r="AH671" s="132" t="str">
        <f>VLOOKUP(AA671,frequency!$F$6:$H$818,3,FALSE)</f>
        <v>Low</v>
      </c>
      <c r="AI671" s="129" t="str">
        <f>VLOOKUP(AA671,monetary!$B$5:$F$817,5,0)</f>
        <v>Low</v>
      </c>
      <c r="AJ671" s="99" t="str">
        <f t="shared" si="108"/>
        <v>LLL</v>
      </c>
      <c r="AK671" s="99" t="str">
        <f>VLOOKUP(AJ671,rfm[],2,0)</f>
        <v>💤 Lost / Low Value</v>
      </c>
      <c r="AN671" s="99" t="b">
        <f t="shared" si="109"/>
        <v>0</v>
      </c>
    </row>
    <row r="672" spans="2:40" x14ac:dyDescent="0.3">
      <c r="B672" s="99" t="s">
        <v>490</v>
      </c>
      <c r="C672" s="100">
        <v>45777</v>
      </c>
      <c r="D672" s="99" t="s">
        <v>18</v>
      </c>
      <c r="E672" s="99" t="s">
        <v>19</v>
      </c>
      <c r="F672" s="99" t="s">
        <v>20</v>
      </c>
      <c r="G672" s="99">
        <v>16</v>
      </c>
      <c r="H672" s="112">
        <v>500000</v>
      </c>
      <c r="I672" s="112">
        <v>8000000</v>
      </c>
      <c r="J672" s="99" t="s">
        <v>2140</v>
      </c>
      <c r="K672" s="99" t="s">
        <v>127</v>
      </c>
      <c r="N672" s="99" t="s">
        <v>2703</v>
      </c>
      <c r="O672" s="99" t="s">
        <v>127</v>
      </c>
      <c r="P672" s="100">
        <f t="shared" si="101"/>
        <v>45980</v>
      </c>
      <c r="Q672" s="101">
        <f t="shared" si="100"/>
        <v>43</v>
      </c>
      <c r="R672" s="99">
        <f t="shared" si="102"/>
        <v>3</v>
      </c>
      <c r="S672" s="101">
        <f t="shared" si="103"/>
        <v>21990000</v>
      </c>
      <c r="T672" s="99" t="str">
        <f t="shared" si="104"/>
        <v>High</v>
      </c>
      <c r="U672" s="99" t="str">
        <f t="shared" si="105"/>
        <v>High</v>
      </c>
      <c r="V672" s="99" t="str">
        <f t="shared" si="106"/>
        <v>High</v>
      </c>
      <c r="W672" s="99" t="str">
        <f t="shared" si="107"/>
        <v>HHH</v>
      </c>
      <c r="X672" s="99" t="str">
        <f>VLOOKUP(W672,rfm[],2,FALSE)</f>
        <v>🥇 Champions</v>
      </c>
      <c r="AA672" s="99" t="s">
        <v>2703</v>
      </c>
      <c r="AB672" s="99" t="s">
        <v>127</v>
      </c>
      <c r="AC672" s="100">
        <v>45980</v>
      </c>
      <c r="AD672" s="101">
        <v>43</v>
      </c>
      <c r="AE672" s="101">
        <v>3</v>
      </c>
      <c r="AF672" s="101">
        <v>21990000</v>
      </c>
      <c r="AG672" s="99" t="str">
        <f>VLOOKUP(AA672,recency!$K$6:$P$818,6,0)</f>
        <v>High</v>
      </c>
      <c r="AH672" s="132" t="str">
        <f>VLOOKUP(AA672,frequency!$F$6:$H$818,3,FALSE)</f>
        <v>High</v>
      </c>
      <c r="AI672" s="129" t="str">
        <f>VLOOKUP(AA672,monetary!$B$5:$F$817,5,0)</f>
        <v>Low</v>
      </c>
      <c r="AJ672" s="99" t="str">
        <f t="shared" si="108"/>
        <v>HHL</v>
      </c>
      <c r="AK672" s="99" t="str">
        <f>VLOOKUP(AJ672,rfm[],2,0)</f>
        <v>💎 Loyal High Value</v>
      </c>
      <c r="AN672" s="99" t="b">
        <f t="shared" si="109"/>
        <v>0</v>
      </c>
    </row>
    <row r="673" spans="2:40" x14ac:dyDescent="0.3">
      <c r="B673" s="99" t="s">
        <v>491</v>
      </c>
      <c r="C673" s="100">
        <v>45777</v>
      </c>
      <c r="D673" s="99" t="s">
        <v>31</v>
      </c>
      <c r="E673" s="99" t="s">
        <v>32</v>
      </c>
      <c r="F673" s="99" t="s">
        <v>20</v>
      </c>
      <c r="G673" s="99">
        <v>12</v>
      </c>
      <c r="H673" s="112">
        <v>180000</v>
      </c>
      <c r="I673" s="112">
        <v>2160000</v>
      </c>
      <c r="J673" s="99" t="s">
        <v>2760</v>
      </c>
      <c r="K673" s="99" t="s">
        <v>60</v>
      </c>
      <c r="N673" s="99" t="s">
        <v>2704</v>
      </c>
      <c r="O673" s="99" t="s">
        <v>8</v>
      </c>
      <c r="P673" s="100">
        <f t="shared" si="101"/>
        <v>45947</v>
      </c>
      <c r="Q673" s="101">
        <f t="shared" si="100"/>
        <v>76</v>
      </c>
      <c r="R673" s="99">
        <f t="shared" si="102"/>
        <v>2</v>
      </c>
      <c r="S673" s="101">
        <f t="shared" si="103"/>
        <v>63450000</v>
      </c>
      <c r="T673" s="99" t="str">
        <f t="shared" si="104"/>
        <v>High</v>
      </c>
      <c r="U673" s="99" t="str">
        <f t="shared" si="105"/>
        <v>Low</v>
      </c>
      <c r="V673" s="99" t="str">
        <f t="shared" si="106"/>
        <v>High</v>
      </c>
      <c r="W673" s="99" t="str">
        <f t="shared" si="107"/>
        <v>HLH</v>
      </c>
      <c r="X673" s="99" t="str">
        <f>VLOOKUP(W673,rfm[],2,FALSE)</f>
        <v>🛒 Big Spenders (Occasional)</v>
      </c>
      <c r="AA673" s="99" t="s">
        <v>2704</v>
      </c>
      <c r="AB673" s="99" t="s">
        <v>8</v>
      </c>
      <c r="AC673" s="100">
        <v>45947</v>
      </c>
      <c r="AD673" s="101">
        <v>76</v>
      </c>
      <c r="AE673" s="101">
        <v>2</v>
      </c>
      <c r="AF673" s="101">
        <v>63450000</v>
      </c>
      <c r="AG673" s="99" t="str">
        <f>VLOOKUP(AA673,recency!$K$6:$P$818,6,0)</f>
        <v>Low</v>
      </c>
      <c r="AH673" s="132" t="str">
        <f>VLOOKUP(AA673,frequency!$F$6:$H$818,3,FALSE)</f>
        <v>Low</v>
      </c>
      <c r="AI673" s="129" t="str">
        <f>VLOOKUP(AA673,monetary!$B$5:$F$817,5,0)</f>
        <v>High</v>
      </c>
      <c r="AJ673" s="99" t="str">
        <f t="shared" si="108"/>
        <v>LLH</v>
      </c>
      <c r="AK673" s="99" t="str">
        <f>VLOOKUP(AJ673,rfm[],2,0)</f>
        <v>💸 Lost High Spenders</v>
      </c>
      <c r="AN673" s="99" t="b">
        <f t="shared" si="109"/>
        <v>0</v>
      </c>
    </row>
    <row r="674" spans="2:40" x14ac:dyDescent="0.3">
      <c r="B674" s="99" t="s">
        <v>492</v>
      </c>
      <c r="C674" s="100">
        <v>45777</v>
      </c>
      <c r="D674" s="99" t="s">
        <v>18</v>
      </c>
      <c r="E674" s="99" t="s">
        <v>19</v>
      </c>
      <c r="F674" s="99" t="s">
        <v>20</v>
      </c>
      <c r="G674" s="99">
        <v>40</v>
      </c>
      <c r="H674" s="112">
        <v>500000</v>
      </c>
      <c r="I674" s="112">
        <v>20000000</v>
      </c>
      <c r="J674" s="99" t="s">
        <v>2465</v>
      </c>
      <c r="K674" s="99" t="s">
        <v>127</v>
      </c>
      <c r="N674" s="99" t="s">
        <v>2705</v>
      </c>
      <c r="O674" s="99" t="s">
        <v>69</v>
      </c>
      <c r="P674" s="100">
        <f t="shared" si="101"/>
        <v>46017</v>
      </c>
      <c r="Q674" s="101">
        <f t="shared" si="100"/>
        <v>6</v>
      </c>
      <c r="R674" s="99">
        <f t="shared" si="102"/>
        <v>3</v>
      </c>
      <c r="S674" s="101">
        <f t="shared" si="103"/>
        <v>75150000</v>
      </c>
      <c r="T674" s="99" t="str">
        <f t="shared" si="104"/>
        <v>High</v>
      </c>
      <c r="U674" s="99" t="str">
        <f t="shared" si="105"/>
        <v>High</v>
      </c>
      <c r="V674" s="99" t="str">
        <f t="shared" si="106"/>
        <v>High</v>
      </c>
      <c r="W674" s="99" t="str">
        <f t="shared" si="107"/>
        <v>HHH</v>
      </c>
      <c r="X674" s="99" t="str">
        <f>VLOOKUP(W674,rfm[],2,FALSE)</f>
        <v>🥇 Champions</v>
      </c>
      <c r="AA674" s="99" t="s">
        <v>2705</v>
      </c>
      <c r="AB674" s="99" t="s">
        <v>69</v>
      </c>
      <c r="AC674" s="100">
        <v>46017</v>
      </c>
      <c r="AD674" s="101">
        <v>6</v>
      </c>
      <c r="AE674" s="101">
        <v>3</v>
      </c>
      <c r="AF674" s="101">
        <v>75150000</v>
      </c>
      <c r="AG674" s="99" t="str">
        <f>VLOOKUP(AA674,recency!$K$6:$P$818,6,0)</f>
        <v>High</v>
      </c>
      <c r="AH674" s="132" t="str">
        <f>VLOOKUP(AA674,frequency!$F$6:$H$818,3,FALSE)</f>
        <v>High</v>
      </c>
      <c r="AI674" s="129" t="str">
        <f>VLOOKUP(AA674,monetary!$B$5:$F$817,5,0)</f>
        <v>High</v>
      </c>
      <c r="AJ674" s="99" t="str">
        <f t="shared" si="108"/>
        <v>HHH</v>
      </c>
      <c r="AK674" s="99" t="str">
        <f>VLOOKUP(AJ674,rfm[],2,0)</f>
        <v>🥇 Champions</v>
      </c>
      <c r="AN674" s="99" t="b">
        <f t="shared" si="109"/>
        <v>1</v>
      </c>
    </row>
    <row r="675" spans="2:40" x14ac:dyDescent="0.3">
      <c r="B675" s="99" t="s">
        <v>493</v>
      </c>
      <c r="C675" s="100">
        <v>45777</v>
      </c>
      <c r="D675" s="99" t="s">
        <v>42</v>
      </c>
      <c r="E675" s="99" t="s">
        <v>43</v>
      </c>
      <c r="F675" s="99" t="s">
        <v>16</v>
      </c>
      <c r="G675" s="99">
        <v>45</v>
      </c>
      <c r="H675" s="112">
        <v>1200000</v>
      </c>
      <c r="I675" s="112">
        <v>54000000</v>
      </c>
      <c r="J675" s="99" t="s">
        <v>2223</v>
      </c>
      <c r="K675" s="99" t="s">
        <v>8</v>
      </c>
      <c r="N675" s="99" t="s">
        <v>2706</v>
      </c>
      <c r="O675" s="99" t="s">
        <v>60</v>
      </c>
      <c r="P675" s="100">
        <f t="shared" si="101"/>
        <v>46014</v>
      </c>
      <c r="Q675" s="101">
        <f t="shared" si="100"/>
        <v>9</v>
      </c>
      <c r="R675" s="99">
        <f t="shared" si="102"/>
        <v>6</v>
      </c>
      <c r="S675" s="101">
        <f t="shared" si="103"/>
        <v>79200000</v>
      </c>
      <c r="T675" s="99" t="str">
        <f t="shared" si="104"/>
        <v>High</v>
      </c>
      <c r="U675" s="99" t="str">
        <f t="shared" si="105"/>
        <v>High</v>
      </c>
      <c r="V675" s="99" t="str">
        <f t="shared" si="106"/>
        <v>High</v>
      </c>
      <c r="W675" s="99" t="str">
        <f t="shared" si="107"/>
        <v>HHH</v>
      </c>
      <c r="X675" s="99" t="str">
        <f>VLOOKUP(W675,rfm[],2,FALSE)</f>
        <v>🥇 Champions</v>
      </c>
      <c r="AA675" s="99" t="s">
        <v>2706</v>
      </c>
      <c r="AB675" s="99" t="s">
        <v>60</v>
      </c>
      <c r="AC675" s="100">
        <v>46014</v>
      </c>
      <c r="AD675" s="101">
        <v>9</v>
      </c>
      <c r="AE675" s="101">
        <v>6</v>
      </c>
      <c r="AF675" s="101">
        <v>79200000</v>
      </c>
      <c r="AG675" s="99" t="str">
        <f>VLOOKUP(AA675,recency!$K$6:$P$818,6,0)</f>
        <v>High</v>
      </c>
      <c r="AH675" s="132" t="str">
        <f>VLOOKUP(AA675,frequency!$F$6:$H$818,3,FALSE)</f>
        <v>High</v>
      </c>
      <c r="AI675" s="129" t="str">
        <f>VLOOKUP(AA675,monetary!$B$5:$F$817,5,0)</f>
        <v>High</v>
      </c>
      <c r="AJ675" s="99" t="str">
        <f t="shared" si="108"/>
        <v>HHH</v>
      </c>
      <c r="AK675" s="99" t="str">
        <f>VLOOKUP(AJ675,rfm[],2,0)</f>
        <v>🥇 Champions</v>
      </c>
      <c r="AN675" s="99" t="b">
        <f t="shared" si="109"/>
        <v>1</v>
      </c>
    </row>
    <row r="676" spans="2:40" x14ac:dyDescent="0.3">
      <c r="B676" s="99" t="s">
        <v>494</v>
      </c>
      <c r="C676" s="100">
        <v>45777</v>
      </c>
      <c r="D676" s="99" t="s">
        <v>14</v>
      </c>
      <c r="E676" s="99" t="s">
        <v>15</v>
      </c>
      <c r="F676" s="99" t="s">
        <v>16</v>
      </c>
      <c r="G676" s="99">
        <v>35</v>
      </c>
      <c r="H676" s="112">
        <v>350000</v>
      </c>
      <c r="I676" s="112">
        <v>12250000</v>
      </c>
      <c r="J676" s="99" t="s">
        <v>2537</v>
      </c>
      <c r="K676" s="99" t="s">
        <v>127</v>
      </c>
      <c r="N676" s="99" t="s">
        <v>2707</v>
      </c>
      <c r="O676" s="99" t="s">
        <v>127</v>
      </c>
      <c r="P676" s="100">
        <f t="shared" si="101"/>
        <v>45807</v>
      </c>
      <c r="Q676" s="101">
        <f t="shared" si="100"/>
        <v>216</v>
      </c>
      <c r="R676" s="99">
        <f t="shared" si="102"/>
        <v>1</v>
      </c>
      <c r="S676" s="101">
        <f t="shared" si="103"/>
        <v>6650000</v>
      </c>
      <c r="T676" s="99" t="str">
        <f t="shared" si="104"/>
        <v>Low</v>
      </c>
      <c r="U676" s="99" t="str">
        <f t="shared" si="105"/>
        <v>Low</v>
      </c>
      <c r="V676" s="99" t="str">
        <f t="shared" si="106"/>
        <v>Low</v>
      </c>
      <c r="W676" s="99" t="str">
        <f t="shared" si="107"/>
        <v>LLL</v>
      </c>
      <c r="X676" s="99" t="str">
        <f>VLOOKUP(W676,rfm[],2,FALSE)</f>
        <v>💤 Lost / Low Value</v>
      </c>
      <c r="AA676" s="99" t="s">
        <v>2707</v>
      </c>
      <c r="AB676" s="99" t="s">
        <v>127</v>
      </c>
      <c r="AC676" s="100">
        <v>45807</v>
      </c>
      <c r="AD676" s="101">
        <v>216</v>
      </c>
      <c r="AE676" s="101">
        <v>1</v>
      </c>
      <c r="AF676" s="101">
        <v>6650000</v>
      </c>
      <c r="AG676" s="99" t="str">
        <f>VLOOKUP(AA676,recency!$K$6:$P$818,6,0)</f>
        <v>Low</v>
      </c>
      <c r="AH676" s="132" t="str">
        <f>VLOOKUP(AA676,frequency!$F$6:$H$818,3,FALSE)</f>
        <v>Low</v>
      </c>
      <c r="AI676" s="129" t="str">
        <f>VLOOKUP(AA676,monetary!$B$5:$F$817,5,0)</f>
        <v>Low</v>
      </c>
      <c r="AJ676" s="99" t="str">
        <f t="shared" si="108"/>
        <v>LLL</v>
      </c>
      <c r="AK676" s="99" t="str">
        <f>VLOOKUP(AJ676,rfm[],2,0)</f>
        <v>💤 Lost / Low Value</v>
      </c>
      <c r="AN676" s="99" t="b">
        <f t="shared" si="109"/>
        <v>1</v>
      </c>
    </row>
    <row r="677" spans="2:40" x14ac:dyDescent="0.3">
      <c r="B677" s="99" t="s">
        <v>515</v>
      </c>
      <c r="C677" s="100">
        <v>45777</v>
      </c>
      <c r="D677" s="99" t="s">
        <v>38</v>
      </c>
      <c r="E677" s="99" t="s">
        <v>39</v>
      </c>
      <c r="F677" s="99" t="s">
        <v>16</v>
      </c>
      <c r="G677" s="99">
        <v>48</v>
      </c>
      <c r="H677" s="112">
        <v>200000</v>
      </c>
      <c r="I677" s="112">
        <v>9600000</v>
      </c>
      <c r="J677" s="99" t="s">
        <v>2395</v>
      </c>
      <c r="K677" s="99" t="s">
        <v>8</v>
      </c>
      <c r="N677" s="99" t="s">
        <v>2708</v>
      </c>
      <c r="O677" s="99" t="s">
        <v>60</v>
      </c>
      <c r="P677" s="100">
        <f t="shared" si="101"/>
        <v>46008</v>
      </c>
      <c r="Q677" s="101">
        <f t="shared" si="100"/>
        <v>15</v>
      </c>
      <c r="R677" s="99">
        <f t="shared" si="102"/>
        <v>2</v>
      </c>
      <c r="S677" s="101">
        <f t="shared" si="103"/>
        <v>16790000</v>
      </c>
      <c r="T677" s="99" t="str">
        <f t="shared" si="104"/>
        <v>High</v>
      </c>
      <c r="U677" s="99" t="str">
        <f t="shared" si="105"/>
        <v>Low</v>
      </c>
      <c r="V677" s="99" t="str">
        <f t="shared" si="106"/>
        <v>Low</v>
      </c>
      <c r="W677" s="99" t="str">
        <f t="shared" si="107"/>
        <v>HLL</v>
      </c>
      <c r="X677" s="99" t="str">
        <f>VLOOKUP(W677,rfm[],2,FALSE)</f>
        <v>🌱 Potential Loyalists</v>
      </c>
      <c r="AA677" s="99" t="s">
        <v>2708</v>
      </c>
      <c r="AB677" s="99" t="s">
        <v>60</v>
      </c>
      <c r="AC677" s="100">
        <v>46008</v>
      </c>
      <c r="AD677" s="101">
        <v>15</v>
      </c>
      <c r="AE677" s="101">
        <v>2</v>
      </c>
      <c r="AF677" s="101">
        <v>16790000</v>
      </c>
      <c r="AG677" s="99" t="str">
        <f>VLOOKUP(AA677,recency!$K$6:$P$818,6,0)</f>
        <v>High</v>
      </c>
      <c r="AH677" s="132" t="str">
        <f>VLOOKUP(AA677,frequency!$F$6:$H$818,3,FALSE)</f>
        <v>Low</v>
      </c>
      <c r="AI677" s="129" t="str">
        <f>VLOOKUP(AA677,monetary!$B$5:$F$817,5,0)</f>
        <v>Low</v>
      </c>
      <c r="AJ677" s="99" t="str">
        <f t="shared" si="108"/>
        <v>HLL</v>
      </c>
      <c r="AK677" s="99" t="str">
        <f>VLOOKUP(AJ677,rfm[],2,0)</f>
        <v>🌱 Potential Loyalists</v>
      </c>
      <c r="AN677" s="99" t="b">
        <f t="shared" si="109"/>
        <v>1</v>
      </c>
    </row>
    <row r="678" spans="2:40" x14ac:dyDescent="0.3">
      <c r="B678" s="99" t="s">
        <v>541</v>
      </c>
      <c r="C678" s="100">
        <v>45777</v>
      </c>
      <c r="D678" s="99" t="s">
        <v>31</v>
      </c>
      <c r="E678" s="99" t="s">
        <v>32</v>
      </c>
      <c r="F678" s="99" t="s">
        <v>20</v>
      </c>
      <c r="G678" s="99">
        <v>10</v>
      </c>
      <c r="H678" s="112">
        <v>180000</v>
      </c>
      <c r="I678" s="112">
        <v>1800000</v>
      </c>
      <c r="J678" s="99" t="s">
        <v>2715</v>
      </c>
      <c r="K678" s="99" t="s">
        <v>60</v>
      </c>
      <c r="N678" s="99" t="s">
        <v>2709</v>
      </c>
      <c r="O678" s="99" t="s">
        <v>69</v>
      </c>
      <c r="P678" s="100">
        <f t="shared" si="101"/>
        <v>45714</v>
      </c>
      <c r="Q678" s="101">
        <f t="shared" si="100"/>
        <v>309</v>
      </c>
      <c r="R678" s="99">
        <f t="shared" si="102"/>
        <v>1</v>
      </c>
      <c r="S678" s="101">
        <f t="shared" si="103"/>
        <v>650000</v>
      </c>
      <c r="T678" s="99" t="str">
        <f t="shared" si="104"/>
        <v>Low</v>
      </c>
      <c r="U678" s="99" t="str">
        <f t="shared" si="105"/>
        <v>Low</v>
      </c>
      <c r="V678" s="99" t="str">
        <f t="shared" si="106"/>
        <v>Low</v>
      </c>
      <c r="W678" s="99" t="str">
        <f t="shared" si="107"/>
        <v>LLL</v>
      </c>
      <c r="X678" s="99" t="str">
        <f>VLOOKUP(W678,rfm[],2,FALSE)</f>
        <v>💤 Lost / Low Value</v>
      </c>
      <c r="AA678" s="99" t="s">
        <v>2709</v>
      </c>
      <c r="AB678" s="99" t="s">
        <v>69</v>
      </c>
      <c r="AC678" s="100">
        <v>45714</v>
      </c>
      <c r="AD678" s="101">
        <v>309</v>
      </c>
      <c r="AE678" s="101">
        <v>1</v>
      </c>
      <c r="AF678" s="101">
        <v>650000</v>
      </c>
      <c r="AG678" s="99" t="str">
        <f>VLOOKUP(AA678,recency!$K$6:$P$818,6,0)</f>
        <v>Low</v>
      </c>
      <c r="AH678" s="132" t="str">
        <f>VLOOKUP(AA678,frequency!$F$6:$H$818,3,FALSE)</f>
        <v>Low</v>
      </c>
      <c r="AI678" s="129" t="str">
        <f>VLOOKUP(AA678,monetary!$B$5:$F$817,5,0)</f>
        <v>Low</v>
      </c>
      <c r="AJ678" s="99" t="str">
        <f t="shared" si="108"/>
        <v>LLL</v>
      </c>
      <c r="AK678" s="99" t="str">
        <f>VLOOKUP(AJ678,rfm[],2,0)</f>
        <v>💤 Lost / Low Value</v>
      </c>
      <c r="AN678" s="99" t="b">
        <f t="shared" si="109"/>
        <v>1</v>
      </c>
    </row>
    <row r="679" spans="2:40" x14ac:dyDescent="0.3">
      <c r="B679" s="99" t="s">
        <v>542</v>
      </c>
      <c r="C679" s="100">
        <v>45777</v>
      </c>
      <c r="D679" s="99" t="s">
        <v>22</v>
      </c>
      <c r="E679" s="99" t="s">
        <v>23</v>
      </c>
      <c r="F679" s="99" t="s">
        <v>12</v>
      </c>
      <c r="G679" s="99">
        <v>38</v>
      </c>
      <c r="H679" s="112">
        <v>25000</v>
      </c>
      <c r="I679" s="112">
        <v>950000</v>
      </c>
      <c r="J679" s="99" t="s">
        <v>2434</v>
      </c>
      <c r="K679" s="99" t="s">
        <v>47</v>
      </c>
      <c r="N679" s="99" t="s">
        <v>2710</v>
      </c>
      <c r="O679" s="99" t="s">
        <v>47</v>
      </c>
      <c r="P679" s="100">
        <f t="shared" si="101"/>
        <v>46016</v>
      </c>
      <c r="Q679" s="101">
        <f t="shared" si="100"/>
        <v>7</v>
      </c>
      <c r="R679" s="99">
        <f t="shared" si="102"/>
        <v>2</v>
      </c>
      <c r="S679" s="101">
        <f t="shared" si="103"/>
        <v>24650000</v>
      </c>
      <c r="T679" s="99" t="str">
        <f t="shared" si="104"/>
        <v>High</v>
      </c>
      <c r="U679" s="99" t="str">
        <f t="shared" si="105"/>
        <v>Low</v>
      </c>
      <c r="V679" s="99" t="str">
        <f t="shared" si="106"/>
        <v>High</v>
      </c>
      <c r="W679" s="99" t="str">
        <f t="shared" si="107"/>
        <v>HLH</v>
      </c>
      <c r="X679" s="99" t="str">
        <f>VLOOKUP(W679,rfm[],2,FALSE)</f>
        <v>🛒 Big Spenders (Occasional)</v>
      </c>
      <c r="AA679" s="99" t="s">
        <v>2710</v>
      </c>
      <c r="AB679" s="99" t="s">
        <v>47</v>
      </c>
      <c r="AC679" s="100">
        <v>46016</v>
      </c>
      <c r="AD679" s="101">
        <v>7</v>
      </c>
      <c r="AE679" s="101">
        <v>2</v>
      </c>
      <c r="AF679" s="101">
        <v>24650000</v>
      </c>
      <c r="AG679" s="99" t="str">
        <f>VLOOKUP(AA679,recency!$K$6:$P$818,6,0)</f>
        <v>High</v>
      </c>
      <c r="AH679" s="132" t="str">
        <f>VLOOKUP(AA679,frequency!$F$6:$H$818,3,FALSE)</f>
        <v>Low</v>
      </c>
      <c r="AI679" s="129" t="str">
        <f>VLOOKUP(AA679,monetary!$B$5:$F$817,5,0)</f>
        <v>Low</v>
      </c>
      <c r="AJ679" s="99" t="str">
        <f t="shared" si="108"/>
        <v>HLL</v>
      </c>
      <c r="AK679" s="99" t="str">
        <f>VLOOKUP(AJ679,rfm[],2,0)</f>
        <v>🌱 Potential Loyalists</v>
      </c>
      <c r="AN679" s="99" t="b">
        <f t="shared" si="109"/>
        <v>0</v>
      </c>
    </row>
    <row r="680" spans="2:40" x14ac:dyDescent="0.3">
      <c r="B680" s="99" t="s">
        <v>543</v>
      </c>
      <c r="C680" s="100">
        <v>45778</v>
      </c>
      <c r="D680" s="99" t="s">
        <v>18</v>
      </c>
      <c r="E680" s="99" t="s">
        <v>19</v>
      </c>
      <c r="F680" s="99" t="s">
        <v>20</v>
      </c>
      <c r="G680" s="99">
        <v>16</v>
      </c>
      <c r="H680" s="112">
        <v>500000</v>
      </c>
      <c r="I680" s="112">
        <v>8000000</v>
      </c>
      <c r="J680" s="99" t="s">
        <v>2260</v>
      </c>
      <c r="K680" s="99" t="s">
        <v>127</v>
      </c>
      <c r="N680" s="99" t="s">
        <v>2711</v>
      </c>
      <c r="O680" s="99" t="s">
        <v>127</v>
      </c>
      <c r="P680" s="100">
        <f t="shared" si="101"/>
        <v>45772</v>
      </c>
      <c r="Q680" s="101">
        <f t="shared" si="100"/>
        <v>251</v>
      </c>
      <c r="R680" s="99">
        <f t="shared" si="102"/>
        <v>2</v>
      </c>
      <c r="S680" s="101">
        <f t="shared" si="103"/>
        <v>26150000</v>
      </c>
      <c r="T680" s="99" t="str">
        <f t="shared" si="104"/>
        <v>Low</v>
      </c>
      <c r="U680" s="99" t="str">
        <f t="shared" si="105"/>
        <v>Low</v>
      </c>
      <c r="V680" s="99" t="str">
        <f t="shared" si="106"/>
        <v>High</v>
      </c>
      <c r="W680" s="99" t="str">
        <f t="shared" si="107"/>
        <v>LLH</v>
      </c>
      <c r="X680" s="99" t="str">
        <f>VLOOKUP(W680,rfm[],2,FALSE)</f>
        <v>💸 Lost High Spenders</v>
      </c>
      <c r="AA680" s="99" t="s">
        <v>2711</v>
      </c>
      <c r="AB680" s="99" t="s">
        <v>127</v>
      </c>
      <c r="AC680" s="100">
        <v>45772</v>
      </c>
      <c r="AD680" s="101">
        <v>251</v>
      </c>
      <c r="AE680" s="101">
        <v>2</v>
      </c>
      <c r="AF680" s="101">
        <v>26150000</v>
      </c>
      <c r="AG680" s="99" t="str">
        <f>VLOOKUP(AA680,recency!$K$6:$P$818,6,0)</f>
        <v>Low</v>
      </c>
      <c r="AH680" s="132" t="str">
        <f>VLOOKUP(AA680,frequency!$F$6:$H$818,3,FALSE)</f>
        <v>Low</v>
      </c>
      <c r="AI680" s="129" t="str">
        <f>VLOOKUP(AA680,monetary!$B$5:$F$817,5,0)</f>
        <v>Low</v>
      </c>
      <c r="AJ680" s="99" t="str">
        <f t="shared" si="108"/>
        <v>LLL</v>
      </c>
      <c r="AK680" s="99" t="str">
        <f>VLOOKUP(AJ680,rfm[],2,0)</f>
        <v>💤 Lost / Low Value</v>
      </c>
      <c r="AN680" s="99" t="b">
        <f t="shared" si="109"/>
        <v>0</v>
      </c>
    </row>
    <row r="681" spans="2:40" x14ac:dyDescent="0.3">
      <c r="B681" s="99" t="s">
        <v>563</v>
      </c>
      <c r="C681" s="100">
        <v>45778</v>
      </c>
      <c r="D681" s="99" t="s">
        <v>18</v>
      </c>
      <c r="E681" s="99" t="s">
        <v>19</v>
      </c>
      <c r="F681" s="99" t="s">
        <v>20</v>
      </c>
      <c r="G681" s="99">
        <v>15</v>
      </c>
      <c r="H681" s="112">
        <v>500000</v>
      </c>
      <c r="I681" s="112">
        <v>7500000</v>
      </c>
      <c r="J681" s="99" t="s">
        <v>461</v>
      </c>
      <c r="K681" s="99" t="s">
        <v>127</v>
      </c>
      <c r="N681" s="99" t="s">
        <v>2712</v>
      </c>
      <c r="O681" s="99" t="s">
        <v>8</v>
      </c>
      <c r="P681" s="100">
        <f t="shared" si="101"/>
        <v>45908</v>
      </c>
      <c r="Q681" s="101">
        <f t="shared" si="100"/>
        <v>115</v>
      </c>
      <c r="R681" s="99">
        <f t="shared" si="102"/>
        <v>3</v>
      </c>
      <c r="S681" s="101">
        <f t="shared" si="103"/>
        <v>27950000</v>
      </c>
      <c r="T681" s="99" t="str">
        <f t="shared" si="104"/>
        <v>Low</v>
      </c>
      <c r="U681" s="99" t="str">
        <f t="shared" si="105"/>
        <v>High</v>
      </c>
      <c r="V681" s="99" t="str">
        <f t="shared" si="106"/>
        <v>High</v>
      </c>
      <c r="W681" s="99" t="str">
        <f t="shared" si="107"/>
        <v>LHH</v>
      </c>
      <c r="X681" s="99" t="str">
        <f>VLOOKUP(W681,rfm[],2,FALSE)</f>
        <v>⚠️ At Risk High Value</v>
      </c>
      <c r="AA681" s="99" t="s">
        <v>2712</v>
      </c>
      <c r="AB681" s="99" t="s">
        <v>8</v>
      </c>
      <c r="AC681" s="100">
        <v>45908</v>
      </c>
      <c r="AD681" s="101">
        <v>115</v>
      </c>
      <c r="AE681" s="101">
        <v>3</v>
      </c>
      <c r="AF681" s="101">
        <v>27950000</v>
      </c>
      <c r="AG681" s="99" t="str">
        <f>VLOOKUP(AA681,recency!$K$6:$P$818,6,0)</f>
        <v>Low</v>
      </c>
      <c r="AH681" s="132" t="str">
        <f>VLOOKUP(AA681,frequency!$F$6:$H$818,3,FALSE)</f>
        <v>High</v>
      </c>
      <c r="AI681" s="129" t="str">
        <f>VLOOKUP(AA681,monetary!$B$5:$F$817,5,0)</f>
        <v>Low</v>
      </c>
      <c r="AJ681" s="99" t="str">
        <f t="shared" si="108"/>
        <v>LHL</v>
      </c>
      <c r="AK681" s="99" t="str">
        <f>VLOOKUP(AJ681,rfm[],2,0)</f>
        <v>🔁 Former Loyal Low Spend</v>
      </c>
      <c r="AN681" s="99" t="b">
        <f t="shared" si="109"/>
        <v>0</v>
      </c>
    </row>
    <row r="682" spans="2:40" x14ac:dyDescent="0.3">
      <c r="B682" s="99" t="s">
        <v>564</v>
      </c>
      <c r="C682" s="100">
        <v>45778</v>
      </c>
      <c r="D682" s="99" t="s">
        <v>31</v>
      </c>
      <c r="E682" s="99" t="s">
        <v>32</v>
      </c>
      <c r="F682" s="99" t="s">
        <v>20</v>
      </c>
      <c r="G682" s="99">
        <v>14</v>
      </c>
      <c r="H682" s="112">
        <v>180000</v>
      </c>
      <c r="I682" s="112">
        <v>2520000</v>
      </c>
      <c r="J682" s="99" t="s">
        <v>2385</v>
      </c>
      <c r="K682" s="99" t="s">
        <v>47</v>
      </c>
      <c r="N682" s="99" t="s">
        <v>2713</v>
      </c>
      <c r="O682" s="99" t="s">
        <v>127</v>
      </c>
      <c r="P682" s="100">
        <f t="shared" si="101"/>
        <v>45672</v>
      </c>
      <c r="Q682" s="101">
        <f t="shared" si="100"/>
        <v>351</v>
      </c>
      <c r="R682" s="99">
        <f t="shared" si="102"/>
        <v>1</v>
      </c>
      <c r="S682" s="101">
        <f t="shared" si="103"/>
        <v>11750000</v>
      </c>
      <c r="T682" s="99" t="str">
        <f t="shared" si="104"/>
        <v>Low</v>
      </c>
      <c r="U682" s="99" t="str">
        <f t="shared" si="105"/>
        <v>Low</v>
      </c>
      <c r="V682" s="99" t="str">
        <f t="shared" si="106"/>
        <v>Low</v>
      </c>
      <c r="W682" s="99" t="str">
        <f t="shared" si="107"/>
        <v>LLL</v>
      </c>
      <c r="X682" s="99" t="str">
        <f>VLOOKUP(W682,rfm[],2,FALSE)</f>
        <v>💤 Lost / Low Value</v>
      </c>
      <c r="AA682" s="99" t="s">
        <v>2713</v>
      </c>
      <c r="AB682" s="99" t="s">
        <v>127</v>
      </c>
      <c r="AC682" s="100">
        <v>45672</v>
      </c>
      <c r="AD682" s="101">
        <v>351</v>
      </c>
      <c r="AE682" s="101">
        <v>1</v>
      </c>
      <c r="AF682" s="101">
        <v>11750000</v>
      </c>
      <c r="AG682" s="99" t="str">
        <f>VLOOKUP(AA682,recency!$K$6:$P$818,6,0)</f>
        <v>Low</v>
      </c>
      <c r="AH682" s="132" t="str">
        <f>VLOOKUP(AA682,frequency!$F$6:$H$818,3,FALSE)</f>
        <v>Low</v>
      </c>
      <c r="AI682" s="129" t="str">
        <f>VLOOKUP(AA682,monetary!$B$5:$F$817,5,0)</f>
        <v>Low</v>
      </c>
      <c r="AJ682" s="99" t="str">
        <f t="shared" si="108"/>
        <v>LLL</v>
      </c>
      <c r="AK682" s="99" t="str">
        <f>VLOOKUP(AJ682,rfm[],2,0)</f>
        <v>💤 Lost / Low Value</v>
      </c>
      <c r="AN682" s="99" t="b">
        <f t="shared" si="109"/>
        <v>1</v>
      </c>
    </row>
    <row r="683" spans="2:40" x14ac:dyDescent="0.3">
      <c r="B683" s="99" t="s">
        <v>565</v>
      </c>
      <c r="C683" s="100">
        <v>45778</v>
      </c>
      <c r="D683" s="99" t="s">
        <v>44</v>
      </c>
      <c r="E683" s="99" t="s">
        <v>45</v>
      </c>
      <c r="F683" s="99" t="s">
        <v>16</v>
      </c>
      <c r="G683" s="99">
        <v>21</v>
      </c>
      <c r="H683" s="112">
        <v>250000</v>
      </c>
      <c r="I683" s="112">
        <v>5250000</v>
      </c>
      <c r="J683" s="99" t="s">
        <v>2301</v>
      </c>
      <c r="K683" s="99" t="s">
        <v>8</v>
      </c>
      <c r="N683" s="99" t="s">
        <v>2714</v>
      </c>
      <c r="O683" s="99" t="s">
        <v>8</v>
      </c>
      <c r="P683" s="100">
        <f t="shared" si="101"/>
        <v>45967</v>
      </c>
      <c r="Q683" s="101">
        <f t="shared" si="100"/>
        <v>56</v>
      </c>
      <c r="R683" s="99">
        <f t="shared" si="102"/>
        <v>3</v>
      </c>
      <c r="S683" s="101">
        <f t="shared" si="103"/>
        <v>26920000</v>
      </c>
      <c r="T683" s="99" t="str">
        <f t="shared" si="104"/>
        <v>High</v>
      </c>
      <c r="U683" s="99" t="str">
        <f t="shared" si="105"/>
        <v>High</v>
      </c>
      <c r="V683" s="99" t="str">
        <f t="shared" si="106"/>
        <v>High</v>
      </c>
      <c r="W683" s="99" t="str">
        <f t="shared" si="107"/>
        <v>HHH</v>
      </c>
      <c r="X683" s="99" t="str">
        <f>VLOOKUP(W683,rfm[],2,FALSE)</f>
        <v>🥇 Champions</v>
      </c>
      <c r="AA683" s="99" t="s">
        <v>2714</v>
      </c>
      <c r="AB683" s="99" t="s">
        <v>8</v>
      </c>
      <c r="AC683" s="100">
        <v>45967</v>
      </c>
      <c r="AD683" s="101">
        <v>56</v>
      </c>
      <c r="AE683" s="101">
        <v>3</v>
      </c>
      <c r="AF683" s="101">
        <v>26920000</v>
      </c>
      <c r="AG683" s="99" t="str">
        <f>VLOOKUP(AA683,recency!$K$6:$P$818,6,0)</f>
        <v>High</v>
      </c>
      <c r="AH683" s="132" t="str">
        <f>VLOOKUP(AA683,frequency!$F$6:$H$818,3,FALSE)</f>
        <v>High</v>
      </c>
      <c r="AI683" s="129" t="str">
        <f>VLOOKUP(AA683,monetary!$B$5:$F$817,5,0)</f>
        <v>Low</v>
      </c>
      <c r="AJ683" s="99" t="str">
        <f t="shared" si="108"/>
        <v>HHL</v>
      </c>
      <c r="AK683" s="99" t="str">
        <f>VLOOKUP(AJ683,rfm[],2,0)</f>
        <v>💎 Loyal High Value</v>
      </c>
      <c r="AN683" s="99" t="b">
        <f t="shared" si="109"/>
        <v>0</v>
      </c>
    </row>
    <row r="684" spans="2:40" x14ac:dyDescent="0.3">
      <c r="B684" s="99" t="s">
        <v>566</v>
      </c>
      <c r="C684" s="100">
        <v>45778</v>
      </c>
      <c r="D684" s="99" t="s">
        <v>42</v>
      </c>
      <c r="E684" s="99" t="s">
        <v>43</v>
      </c>
      <c r="F684" s="99" t="s">
        <v>16</v>
      </c>
      <c r="G684" s="99">
        <v>15</v>
      </c>
      <c r="H684" s="112">
        <v>1200000</v>
      </c>
      <c r="I684" s="112">
        <v>18000000</v>
      </c>
      <c r="J684" s="99" t="s">
        <v>2710</v>
      </c>
      <c r="K684" s="99" t="s">
        <v>47</v>
      </c>
      <c r="N684" s="99" t="s">
        <v>2715</v>
      </c>
      <c r="O684" s="99" t="s">
        <v>60</v>
      </c>
      <c r="P684" s="100">
        <f t="shared" si="101"/>
        <v>45777</v>
      </c>
      <c r="Q684" s="101">
        <f t="shared" si="100"/>
        <v>246</v>
      </c>
      <c r="R684" s="99">
        <f t="shared" si="102"/>
        <v>2</v>
      </c>
      <c r="S684" s="101">
        <f t="shared" si="103"/>
        <v>4300000</v>
      </c>
      <c r="T684" s="99" t="str">
        <f t="shared" si="104"/>
        <v>Low</v>
      </c>
      <c r="U684" s="99" t="str">
        <f t="shared" si="105"/>
        <v>Low</v>
      </c>
      <c r="V684" s="99" t="str">
        <f t="shared" si="106"/>
        <v>Low</v>
      </c>
      <c r="W684" s="99" t="str">
        <f t="shared" si="107"/>
        <v>LLL</v>
      </c>
      <c r="X684" s="99" t="str">
        <f>VLOOKUP(W684,rfm[],2,FALSE)</f>
        <v>💤 Lost / Low Value</v>
      </c>
      <c r="AA684" s="99" t="s">
        <v>2715</v>
      </c>
      <c r="AB684" s="99" t="s">
        <v>60</v>
      </c>
      <c r="AC684" s="100">
        <v>45777</v>
      </c>
      <c r="AD684" s="101">
        <v>246</v>
      </c>
      <c r="AE684" s="101">
        <v>2</v>
      </c>
      <c r="AF684" s="101">
        <v>4300000</v>
      </c>
      <c r="AG684" s="99" t="str">
        <f>VLOOKUP(AA684,recency!$K$6:$P$818,6,0)</f>
        <v>Low</v>
      </c>
      <c r="AH684" s="132" t="str">
        <f>VLOOKUP(AA684,frequency!$F$6:$H$818,3,FALSE)</f>
        <v>Low</v>
      </c>
      <c r="AI684" s="129" t="str">
        <f>VLOOKUP(AA684,monetary!$B$5:$F$817,5,0)</f>
        <v>Low</v>
      </c>
      <c r="AJ684" s="99" t="str">
        <f t="shared" si="108"/>
        <v>LLL</v>
      </c>
      <c r="AK684" s="99" t="str">
        <f>VLOOKUP(AJ684,rfm[],2,0)</f>
        <v>💤 Lost / Low Value</v>
      </c>
      <c r="AN684" s="99" t="b">
        <f t="shared" si="109"/>
        <v>1</v>
      </c>
    </row>
    <row r="685" spans="2:40" x14ac:dyDescent="0.3">
      <c r="B685" s="99" t="s">
        <v>580</v>
      </c>
      <c r="C685" s="100">
        <v>45778</v>
      </c>
      <c r="D685" s="99" t="s">
        <v>38</v>
      </c>
      <c r="E685" s="99" t="s">
        <v>39</v>
      </c>
      <c r="F685" s="99" t="s">
        <v>16</v>
      </c>
      <c r="G685" s="99">
        <v>38</v>
      </c>
      <c r="H685" s="112">
        <v>200000</v>
      </c>
      <c r="I685" s="112">
        <v>7600000</v>
      </c>
      <c r="J685" s="99" t="s">
        <v>2335</v>
      </c>
      <c r="K685" s="99" t="s">
        <v>47</v>
      </c>
      <c r="N685" s="99" t="s">
        <v>2716</v>
      </c>
      <c r="O685" s="99" t="s">
        <v>127</v>
      </c>
      <c r="P685" s="100">
        <f t="shared" si="101"/>
        <v>45812</v>
      </c>
      <c r="Q685" s="101">
        <f t="shared" si="100"/>
        <v>211</v>
      </c>
      <c r="R685" s="99">
        <f t="shared" si="102"/>
        <v>3</v>
      </c>
      <c r="S685" s="101">
        <f t="shared" si="103"/>
        <v>63820000</v>
      </c>
      <c r="T685" s="99" t="str">
        <f t="shared" si="104"/>
        <v>Low</v>
      </c>
      <c r="U685" s="99" t="str">
        <f t="shared" si="105"/>
        <v>High</v>
      </c>
      <c r="V685" s="99" t="str">
        <f t="shared" si="106"/>
        <v>High</v>
      </c>
      <c r="W685" s="99" t="str">
        <f t="shared" si="107"/>
        <v>LHH</v>
      </c>
      <c r="X685" s="99" t="str">
        <f>VLOOKUP(W685,rfm[],2,FALSE)</f>
        <v>⚠️ At Risk High Value</v>
      </c>
      <c r="AA685" s="99" t="s">
        <v>2716</v>
      </c>
      <c r="AB685" s="99" t="s">
        <v>127</v>
      </c>
      <c r="AC685" s="100">
        <v>45812</v>
      </c>
      <c r="AD685" s="101">
        <v>211</v>
      </c>
      <c r="AE685" s="101">
        <v>3</v>
      </c>
      <c r="AF685" s="101">
        <v>63820000</v>
      </c>
      <c r="AG685" s="99" t="str">
        <f>VLOOKUP(AA685,recency!$K$6:$P$818,6,0)</f>
        <v>Low</v>
      </c>
      <c r="AH685" s="132" t="str">
        <f>VLOOKUP(AA685,frequency!$F$6:$H$818,3,FALSE)</f>
        <v>High</v>
      </c>
      <c r="AI685" s="129" t="str">
        <f>VLOOKUP(AA685,monetary!$B$5:$F$817,5,0)</f>
        <v>High</v>
      </c>
      <c r="AJ685" s="99" t="str">
        <f t="shared" si="108"/>
        <v>LHH</v>
      </c>
      <c r="AK685" s="99" t="str">
        <f>VLOOKUP(AJ685,rfm[],2,0)</f>
        <v>⚠️ At Risk High Value</v>
      </c>
      <c r="AN685" s="99" t="b">
        <f t="shared" si="109"/>
        <v>1</v>
      </c>
    </row>
    <row r="686" spans="2:40" x14ac:dyDescent="0.3">
      <c r="B686" s="99" t="s">
        <v>581</v>
      </c>
      <c r="C686" s="100">
        <v>45778</v>
      </c>
      <c r="D686" s="99" t="s">
        <v>18</v>
      </c>
      <c r="E686" s="99" t="s">
        <v>19</v>
      </c>
      <c r="F686" s="99" t="s">
        <v>20</v>
      </c>
      <c r="G686" s="99">
        <v>38</v>
      </c>
      <c r="H686" s="112">
        <v>500000</v>
      </c>
      <c r="I686" s="112">
        <v>19000000</v>
      </c>
      <c r="J686" s="99" t="s">
        <v>2653</v>
      </c>
      <c r="K686" s="99" t="s">
        <v>60</v>
      </c>
      <c r="N686" s="99" t="s">
        <v>2717</v>
      </c>
      <c r="O686" s="99" t="s">
        <v>127</v>
      </c>
      <c r="P686" s="100">
        <f t="shared" si="101"/>
        <v>45959</v>
      </c>
      <c r="Q686" s="101">
        <f t="shared" si="100"/>
        <v>64</v>
      </c>
      <c r="R686" s="99">
        <f t="shared" si="102"/>
        <v>3</v>
      </c>
      <c r="S686" s="101">
        <f t="shared" si="103"/>
        <v>28990000</v>
      </c>
      <c r="T686" s="99" t="str">
        <f t="shared" si="104"/>
        <v>High</v>
      </c>
      <c r="U686" s="99" t="str">
        <f t="shared" si="105"/>
        <v>High</v>
      </c>
      <c r="V686" s="99" t="str">
        <f t="shared" si="106"/>
        <v>High</v>
      </c>
      <c r="W686" s="99" t="str">
        <f t="shared" si="107"/>
        <v>HHH</v>
      </c>
      <c r="X686" s="99" t="str">
        <f>VLOOKUP(W686,rfm[],2,FALSE)</f>
        <v>🥇 Champions</v>
      </c>
      <c r="AA686" s="99" t="s">
        <v>2717</v>
      </c>
      <c r="AB686" s="99" t="s">
        <v>127</v>
      </c>
      <c r="AC686" s="100">
        <v>45959</v>
      </c>
      <c r="AD686" s="101">
        <v>64</v>
      </c>
      <c r="AE686" s="101">
        <v>3</v>
      </c>
      <c r="AF686" s="101">
        <v>28990000</v>
      </c>
      <c r="AG686" s="99" t="str">
        <f>VLOOKUP(AA686,recency!$K$6:$P$818,6,0)</f>
        <v>Low</v>
      </c>
      <c r="AH686" s="132" t="str">
        <f>VLOOKUP(AA686,frequency!$F$6:$H$818,3,FALSE)</f>
        <v>High</v>
      </c>
      <c r="AI686" s="129" t="str">
        <f>VLOOKUP(AA686,monetary!$B$5:$F$817,5,0)</f>
        <v>Low</v>
      </c>
      <c r="AJ686" s="99" t="str">
        <f t="shared" si="108"/>
        <v>LHL</v>
      </c>
      <c r="AK686" s="99" t="str">
        <f>VLOOKUP(AJ686,rfm[],2,0)</f>
        <v>🔁 Former Loyal Low Spend</v>
      </c>
      <c r="AN686" s="99" t="b">
        <f t="shared" si="109"/>
        <v>0</v>
      </c>
    </row>
    <row r="687" spans="2:40" x14ac:dyDescent="0.3">
      <c r="B687" s="99" t="s">
        <v>600</v>
      </c>
      <c r="C687" s="100">
        <v>45778</v>
      </c>
      <c r="D687" s="99" t="s">
        <v>18</v>
      </c>
      <c r="E687" s="99" t="s">
        <v>19</v>
      </c>
      <c r="F687" s="99" t="s">
        <v>20</v>
      </c>
      <c r="G687" s="99">
        <v>10</v>
      </c>
      <c r="H687" s="112">
        <v>500000</v>
      </c>
      <c r="I687" s="112">
        <v>5000000</v>
      </c>
      <c r="J687" s="99" t="s">
        <v>2356</v>
      </c>
      <c r="K687" s="99" t="s">
        <v>8</v>
      </c>
      <c r="N687" s="99" t="s">
        <v>2718</v>
      </c>
      <c r="O687" s="99" t="s">
        <v>60</v>
      </c>
      <c r="P687" s="100">
        <f t="shared" si="101"/>
        <v>45910</v>
      </c>
      <c r="Q687" s="101">
        <f t="shared" si="100"/>
        <v>113</v>
      </c>
      <c r="R687" s="99">
        <f t="shared" si="102"/>
        <v>1</v>
      </c>
      <c r="S687" s="101">
        <f t="shared" si="103"/>
        <v>25000000</v>
      </c>
      <c r="T687" s="99" t="str">
        <f t="shared" si="104"/>
        <v>Low</v>
      </c>
      <c r="U687" s="99" t="str">
        <f t="shared" si="105"/>
        <v>Low</v>
      </c>
      <c r="V687" s="99" t="str">
        <f t="shared" si="106"/>
        <v>High</v>
      </c>
      <c r="W687" s="99" t="str">
        <f t="shared" si="107"/>
        <v>LLH</v>
      </c>
      <c r="X687" s="99" t="str">
        <f>VLOOKUP(W687,rfm[],2,FALSE)</f>
        <v>💸 Lost High Spenders</v>
      </c>
      <c r="AA687" s="99" t="s">
        <v>2718</v>
      </c>
      <c r="AB687" s="99" t="s">
        <v>60</v>
      </c>
      <c r="AC687" s="100">
        <v>45910</v>
      </c>
      <c r="AD687" s="101">
        <v>113</v>
      </c>
      <c r="AE687" s="101">
        <v>1</v>
      </c>
      <c r="AF687" s="101">
        <v>25000000</v>
      </c>
      <c r="AG687" s="99" t="str">
        <f>VLOOKUP(AA687,recency!$K$6:$P$818,6,0)</f>
        <v>Low</v>
      </c>
      <c r="AH687" s="132" t="str">
        <f>VLOOKUP(AA687,frequency!$F$6:$H$818,3,FALSE)</f>
        <v>Low</v>
      </c>
      <c r="AI687" s="129" t="str">
        <f>VLOOKUP(AA687,monetary!$B$5:$F$817,5,0)</f>
        <v>Low</v>
      </c>
      <c r="AJ687" s="99" t="str">
        <f t="shared" si="108"/>
        <v>LLL</v>
      </c>
      <c r="AK687" s="99" t="str">
        <f>VLOOKUP(AJ687,rfm[],2,0)</f>
        <v>💤 Lost / Low Value</v>
      </c>
      <c r="AN687" s="99" t="b">
        <f t="shared" si="109"/>
        <v>0</v>
      </c>
    </row>
    <row r="688" spans="2:40" x14ac:dyDescent="0.3">
      <c r="B688" s="99" t="s">
        <v>601</v>
      </c>
      <c r="C688" s="100">
        <v>45778</v>
      </c>
      <c r="D688" s="99" t="s">
        <v>22</v>
      </c>
      <c r="E688" s="99" t="s">
        <v>23</v>
      </c>
      <c r="F688" s="99" t="s">
        <v>12</v>
      </c>
      <c r="G688" s="99">
        <v>41</v>
      </c>
      <c r="H688" s="112">
        <v>25000</v>
      </c>
      <c r="I688" s="112">
        <v>1025000</v>
      </c>
      <c r="J688" s="99" t="s">
        <v>2789</v>
      </c>
      <c r="K688" s="99" t="s">
        <v>127</v>
      </c>
      <c r="N688" s="99" t="s">
        <v>2719</v>
      </c>
      <c r="O688" s="99" t="s">
        <v>69</v>
      </c>
      <c r="P688" s="100">
        <f t="shared" si="101"/>
        <v>45996</v>
      </c>
      <c r="Q688" s="101">
        <f t="shared" si="100"/>
        <v>27</v>
      </c>
      <c r="R688" s="99">
        <f t="shared" si="102"/>
        <v>4</v>
      </c>
      <c r="S688" s="101">
        <f t="shared" si="103"/>
        <v>19075000</v>
      </c>
      <c r="T688" s="99" t="str">
        <f t="shared" si="104"/>
        <v>High</v>
      </c>
      <c r="U688" s="99" t="str">
        <f t="shared" si="105"/>
        <v>High</v>
      </c>
      <c r="V688" s="99" t="str">
        <f t="shared" si="106"/>
        <v>High</v>
      </c>
      <c r="W688" s="99" t="str">
        <f t="shared" si="107"/>
        <v>HHH</v>
      </c>
      <c r="X688" s="99" t="str">
        <f>VLOOKUP(W688,rfm[],2,FALSE)</f>
        <v>🥇 Champions</v>
      </c>
      <c r="AA688" s="99" t="s">
        <v>2719</v>
      </c>
      <c r="AB688" s="99" t="s">
        <v>69</v>
      </c>
      <c r="AC688" s="100">
        <v>45996</v>
      </c>
      <c r="AD688" s="101">
        <v>27</v>
      </c>
      <c r="AE688" s="101">
        <v>4</v>
      </c>
      <c r="AF688" s="101">
        <v>19075000</v>
      </c>
      <c r="AG688" s="99" t="str">
        <f>VLOOKUP(AA688,recency!$K$6:$P$818,6,0)</f>
        <v>High</v>
      </c>
      <c r="AH688" s="132" t="str">
        <f>VLOOKUP(AA688,frequency!$F$6:$H$818,3,FALSE)</f>
        <v>High</v>
      </c>
      <c r="AI688" s="129" t="str">
        <f>VLOOKUP(AA688,monetary!$B$5:$F$817,5,0)</f>
        <v>Low</v>
      </c>
      <c r="AJ688" s="99" t="str">
        <f t="shared" si="108"/>
        <v>HHL</v>
      </c>
      <c r="AK688" s="99" t="str">
        <f>VLOOKUP(AJ688,rfm[],2,0)</f>
        <v>💎 Loyal High Value</v>
      </c>
      <c r="AN688" s="99" t="b">
        <f t="shared" si="109"/>
        <v>0</v>
      </c>
    </row>
    <row r="689" spans="2:40" x14ac:dyDescent="0.3">
      <c r="B689" s="99" t="s">
        <v>623</v>
      </c>
      <c r="C689" s="100">
        <v>45778</v>
      </c>
      <c r="D689" s="99" t="s">
        <v>14</v>
      </c>
      <c r="E689" s="99" t="s">
        <v>15</v>
      </c>
      <c r="F689" s="99" t="s">
        <v>16</v>
      </c>
      <c r="G689" s="99">
        <v>24</v>
      </c>
      <c r="H689" s="112">
        <v>350000</v>
      </c>
      <c r="I689" s="112">
        <v>8400000</v>
      </c>
      <c r="J689" s="99" t="s">
        <v>2586</v>
      </c>
      <c r="K689" s="99" t="s">
        <v>8</v>
      </c>
      <c r="N689" s="99" t="s">
        <v>2720</v>
      </c>
      <c r="O689" s="99" t="s">
        <v>47</v>
      </c>
      <c r="P689" s="100">
        <f t="shared" si="101"/>
        <v>45940</v>
      </c>
      <c r="Q689" s="101">
        <f t="shared" si="100"/>
        <v>83</v>
      </c>
      <c r="R689" s="99">
        <f t="shared" si="102"/>
        <v>3</v>
      </c>
      <c r="S689" s="101">
        <f t="shared" si="103"/>
        <v>26615000</v>
      </c>
      <c r="T689" s="99" t="str">
        <f t="shared" si="104"/>
        <v>High</v>
      </c>
      <c r="U689" s="99" t="str">
        <f t="shared" si="105"/>
        <v>High</v>
      </c>
      <c r="V689" s="99" t="str">
        <f t="shared" si="106"/>
        <v>High</v>
      </c>
      <c r="W689" s="99" t="str">
        <f t="shared" si="107"/>
        <v>HHH</v>
      </c>
      <c r="X689" s="99" t="str">
        <f>VLOOKUP(W689,rfm[],2,FALSE)</f>
        <v>🥇 Champions</v>
      </c>
      <c r="AA689" s="99" t="s">
        <v>2720</v>
      </c>
      <c r="AB689" s="99" t="s">
        <v>47</v>
      </c>
      <c r="AC689" s="100">
        <v>45940</v>
      </c>
      <c r="AD689" s="101">
        <v>83</v>
      </c>
      <c r="AE689" s="101">
        <v>3</v>
      </c>
      <c r="AF689" s="101">
        <v>26615000</v>
      </c>
      <c r="AG689" s="99" t="str">
        <f>VLOOKUP(AA689,recency!$K$6:$P$818,6,0)</f>
        <v>Low</v>
      </c>
      <c r="AH689" s="132" t="str">
        <f>VLOOKUP(AA689,frequency!$F$6:$H$818,3,FALSE)</f>
        <v>High</v>
      </c>
      <c r="AI689" s="129" t="str">
        <f>VLOOKUP(AA689,monetary!$B$5:$F$817,5,0)</f>
        <v>Low</v>
      </c>
      <c r="AJ689" s="99" t="str">
        <f t="shared" si="108"/>
        <v>LHL</v>
      </c>
      <c r="AK689" s="99" t="str">
        <f>VLOOKUP(AJ689,rfm[],2,0)</f>
        <v>🔁 Former Loyal Low Spend</v>
      </c>
      <c r="AN689" s="99" t="b">
        <f t="shared" si="109"/>
        <v>0</v>
      </c>
    </row>
    <row r="690" spans="2:40" x14ac:dyDescent="0.3">
      <c r="B690" s="99" t="s">
        <v>624</v>
      </c>
      <c r="C690" s="100">
        <v>45778</v>
      </c>
      <c r="D690" s="99" t="s">
        <v>22</v>
      </c>
      <c r="E690" s="99" t="s">
        <v>23</v>
      </c>
      <c r="F690" s="99" t="s">
        <v>12</v>
      </c>
      <c r="G690" s="99">
        <v>17</v>
      </c>
      <c r="H690" s="112">
        <v>25000</v>
      </c>
      <c r="I690" s="112">
        <v>425000</v>
      </c>
      <c r="J690" s="99" t="s">
        <v>2253</v>
      </c>
      <c r="K690" s="99" t="s">
        <v>8</v>
      </c>
      <c r="N690" s="99" t="s">
        <v>2721</v>
      </c>
      <c r="O690" s="99" t="s">
        <v>8</v>
      </c>
      <c r="P690" s="100">
        <f t="shared" si="101"/>
        <v>46007</v>
      </c>
      <c r="Q690" s="101">
        <f t="shared" si="100"/>
        <v>16</v>
      </c>
      <c r="R690" s="99">
        <f t="shared" si="102"/>
        <v>4</v>
      </c>
      <c r="S690" s="101">
        <f t="shared" si="103"/>
        <v>23060000</v>
      </c>
      <c r="T690" s="99" t="str">
        <f t="shared" si="104"/>
        <v>High</v>
      </c>
      <c r="U690" s="99" t="str">
        <f t="shared" si="105"/>
        <v>High</v>
      </c>
      <c r="V690" s="99" t="str">
        <f t="shared" si="106"/>
        <v>High</v>
      </c>
      <c r="W690" s="99" t="str">
        <f t="shared" si="107"/>
        <v>HHH</v>
      </c>
      <c r="X690" s="99" t="str">
        <f>VLOOKUP(W690,rfm[],2,FALSE)</f>
        <v>🥇 Champions</v>
      </c>
      <c r="AA690" s="99" t="s">
        <v>2721</v>
      </c>
      <c r="AB690" s="99" t="s">
        <v>8</v>
      </c>
      <c r="AC690" s="100">
        <v>46007</v>
      </c>
      <c r="AD690" s="101">
        <v>16</v>
      </c>
      <c r="AE690" s="101">
        <v>4</v>
      </c>
      <c r="AF690" s="101">
        <v>23060000</v>
      </c>
      <c r="AG690" s="99" t="str">
        <f>VLOOKUP(AA690,recency!$K$6:$P$818,6,0)</f>
        <v>High</v>
      </c>
      <c r="AH690" s="132" t="str">
        <f>VLOOKUP(AA690,frequency!$F$6:$H$818,3,FALSE)</f>
        <v>High</v>
      </c>
      <c r="AI690" s="129" t="str">
        <f>VLOOKUP(AA690,monetary!$B$5:$F$817,5,0)</f>
        <v>Low</v>
      </c>
      <c r="AJ690" s="99" t="str">
        <f t="shared" si="108"/>
        <v>HHL</v>
      </c>
      <c r="AK690" s="99" t="str">
        <f>VLOOKUP(AJ690,rfm[],2,0)</f>
        <v>💎 Loyal High Value</v>
      </c>
      <c r="AN690" s="99" t="b">
        <f t="shared" si="109"/>
        <v>0</v>
      </c>
    </row>
    <row r="691" spans="2:40" x14ac:dyDescent="0.3">
      <c r="B691" s="99" t="s">
        <v>625</v>
      </c>
      <c r="C691" s="100">
        <v>45778</v>
      </c>
      <c r="D691" s="99" t="s">
        <v>40</v>
      </c>
      <c r="E691" s="99" t="s">
        <v>41</v>
      </c>
      <c r="F691" s="99" t="s">
        <v>16</v>
      </c>
      <c r="G691" s="99">
        <v>42</v>
      </c>
      <c r="H691" s="112">
        <v>950000</v>
      </c>
      <c r="I691" s="112">
        <v>39900000</v>
      </c>
      <c r="J691" s="99" t="s">
        <v>533</v>
      </c>
      <c r="K691" s="99" t="s">
        <v>47</v>
      </c>
      <c r="N691" s="99" t="s">
        <v>2722</v>
      </c>
      <c r="O691" s="99" t="s">
        <v>8</v>
      </c>
      <c r="P691" s="100">
        <f t="shared" si="101"/>
        <v>45959</v>
      </c>
      <c r="Q691" s="101">
        <f t="shared" si="100"/>
        <v>64</v>
      </c>
      <c r="R691" s="99">
        <f t="shared" si="102"/>
        <v>3</v>
      </c>
      <c r="S691" s="101">
        <f t="shared" si="103"/>
        <v>48500000</v>
      </c>
      <c r="T691" s="99" t="str">
        <f t="shared" si="104"/>
        <v>High</v>
      </c>
      <c r="U691" s="99" t="str">
        <f t="shared" si="105"/>
        <v>High</v>
      </c>
      <c r="V691" s="99" t="str">
        <f t="shared" si="106"/>
        <v>High</v>
      </c>
      <c r="W691" s="99" t="str">
        <f t="shared" si="107"/>
        <v>HHH</v>
      </c>
      <c r="X691" s="99" t="str">
        <f>VLOOKUP(W691,rfm[],2,FALSE)</f>
        <v>🥇 Champions</v>
      </c>
      <c r="AA691" s="99" t="s">
        <v>2722</v>
      </c>
      <c r="AB691" s="99" t="s">
        <v>8</v>
      </c>
      <c r="AC691" s="100">
        <v>45959</v>
      </c>
      <c r="AD691" s="101">
        <v>64</v>
      </c>
      <c r="AE691" s="101">
        <v>3</v>
      </c>
      <c r="AF691" s="101">
        <v>48500000</v>
      </c>
      <c r="AG691" s="99" t="str">
        <f>VLOOKUP(AA691,recency!$K$6:$P$818,6,0)</f>
        <v>Low</v>
      </c>
      <c r="AH691" s="132" t="str">
        <f>VLOOKUP(AA691,frequency!$F$6:$H$818,3,FALSE)</f>
        <v>High</v>
      </c>
      <c r="AI691" s="129" t="str">
        <f>VLOOKUP(AA691,monetary!$B$5:$F$817,5,0)</f>
        <v>Low</v>
      </c>
      <c r="AJ691" s="99" t="str">
        <f t="shared" si="108"/>
        <v>LHL</v>
      </c>
      <c r="AK691" s="99" t="str">
        <f>VLOOKUP(AJ691,rfm[],2,0)</f>
        <v>🔁 Former Loyal Low Spend</v>
      </c>
      <c r="AN691" s="99" t="b">
        <f t="shared" si="109"/>
        <v>0</v>
      </c>
    </row>
    <row r="692" spans="2:40" x14ac:dyDescent="0.3">
      <c r="B692" s="99" t="s">
        <v>626</v>
      </c>
      <c r="C692" s="100">
        <v>45779</v>
      </c>
      <c r="D692" s="99" t="s">
        <v>18</v>
      </c>
      <c r="E692" s="99" t="s">
        <v>19</v>
      </c>
      <c r="F692" s="99" t="s">
        <v>20</v>
      </c>
      <c r="G692" s="99">
        <v>210</v>
      </c>
      <c r="H692" s="112">
        <v>500000</v>
      </c>
      <c r="I692" s="112">
        <v>105000000</v>
      </c>
      <c r="J692" s="99" t="s">
        <v>2432</v>
      </c>
      <c r="K692" s="99" t="s">
        <v>8</v>
      </c>
      <c r="N692" s="99" t="s">
        <v>2723</v>
      </c>
      <c r="O692" s="99" t="s">
        <v>8</v>
      </c>
      <c r="P692" s="100">
        <f t="shared" si="101"/>
        <v>45968</v>
      </c>
      <c r="Q692" s="101">
        <f t="shared" si="100"/>
        <v>55</v>
      </c>
      <c r="R692" s="99">
        <f t="shared" si="102"/>
        <v>3</v>
      </c>
      <c r="S692" s="101">
        <f t="shared" si="103"/>
        <v>9580000</v>
      </c>
      <c r="T692" s="99" t="str">
        <f t="shared" si="104"/>
        <v>High</v>
      </c>
      <c r="U692" s="99" t="str">
        <f t="shared" si="105"/>
        <v>High</v>
      </c>
      <c r="V692" s="99" t="str">
        <f t="shared" si="106"/>
        <v>Low</v>
      </c>
      <c r="W692" s="99" t="str">
        <f t="shared" si="107"/>
        <v>HHL</v>
      </c>
      <c r="X692" s="99" t="str">
        <f>VLOOKUP(W692,rfm[],2,FALSE)</f>
        <v>💎 Loyal High Value</v>
      </c>
      <c r="AA692" s="99" t="s">
        <v>2723</v>
      </c>
      <c r="AB692" s="99" t="s">
        <v>8</v>
      </c>
      <c r="AC692" s="100">
        <v>45968</v>
      </c>
      <c r="AD692" s="101">
        <v>55</v>
      </c>
      <c r="AE692" s="101">
        <v>3</v>
      </c>
      <c r="AF692" s="101">
        <v>9580000</v>
      </c>
      <c r="AG692" s="99" t="str">
        <f>VLOOKUP(AA692,recency!$K$6:$P$818,6,0)</f>
        <v>High</v>
      </c>
      <c r="AH692" s="132" t="str">
        <f>VLOOKUP(AA692,frequency!$F$6:$H$818,3,FALSE)</f>
        <v>High</v>
      </c>
      <c r="AI692" s="129" t="str">
        <f>VLOOKUP(AA692,monetary!$B$5:$F$817,5,0)</f>
        <v>Low</v>
      </c>
      <c r="AJ692" s="99" t="str">
        <f t="shared" si="108"/>
        <v>HHL</v>
      </c>
      <c r="AK692" s="99" t="str">
        <f>VLOOKUP(AJ692,rfm[],2,0)</f>
        <v>💎 Loyal High Value</v>
      </c>
      <c r="AN692" s="99" t="b">
        <f t="shared" si="109"/>
        <v>1</v>
      </c>
    </row>
    <row r="693" spans="2:40" x14ac:dyDescent="0.3">
      <c r="B693" s="99" t="s">
        <v>627</v>
      </c>
      <c r="C693" s="100">
        <v>45779</v>
      </c>
      <c r="D693" s="99" t="s">
        <v>42</v>
      </c>
      <c r="E693" s="99" t="s">
        <v>43</v>
      </c>
      <c r="F693" s="99" t="s">
        <v>16</v>
      </c>
      <c r="G693" s="99">
        <v>17</v>
      </c>
      <c r="H693" s="112">
        <v>1200000</v>
      </c>
      <c r="I693" s="112">
        <v>20400000</v>
      </c>
      <c r="J693" s="99" t="s">
        <v>2341</v>
      </c>
      <c r="K693" s="99" t="s">
        <v>47</v>
      </c>
      <c r="N693" s="99" t="s">
        <v>2724</v>
      </c>
      <c r="O693" s="99" t="s">
        <v>47</v>
      </c>
      <c r="P693" s="100">
        <f t="shared" si="101"/>
        <v>46014</v>
      </c>
      <c r="Q693" s="101">
        <f t="shared" si="100"/>
        <v>9</v>
      </c>
      <c r="R693" s="99">
        <f t="shared" si="102"/>
        <v>3</v>
      </c>
      <c r="S693" s="101">
        <f t="shared" si="103"/>
        <v>22240000</v>
      </c>
      <c r="T693" s="99" t="str">
        <f t="shared" si="104"/>
        <v>High</v>
      </c>
      <c r="U693" s="99" t="str">
        <f t="shared" si="105"/>
        <v>High</v>
      </c>
      <c r="V693" s="99" t="str">
        <f t="shared" si="106"/>
        <v>High</v>
      </c>
      <c r="W693" s="99" t="str">
        <f t="shared" si="107"/>
        <v>HHH</v>
      </c>
      <c r="X693" s="99" t="str">
        <f>VLOOKUP(W693,rfm[],2,FALSE)</f>
        <v>🥇 Champions</v>
      </c>
      <c r="AA693" s="99" t="s">
        <v>2724</v>
      </c>
      <c r="AB693" s="99" t="s">
        <v>47</v>
      </c>
      <c r="AC693" s="100">
        <v>46014</v>
      </c>
      <c r="AD693" s="101">
        <v>9</v>
      </c>
      <c r="AE693" s="101">
        <v>3</v>
      </c>
      <c r="AF693" s="101">
        <v>22240000</v>
      </c>
      <c r="AG693" s="99" t="str">
        <f>VLOOKUP(AA693,recency!$K$6:$P$818,6,0)</f>
        <v>High</v>
      </c>
      <c r="AH693" s="132" t="str">
        <f>VLOOKUP(AA693,frequency!$F$6:$H$818,3,FALSE)</f>
        <v>High</v>
      </c>
      <c r="AI693" s="129" t="str">
        <f>VLOOKUP(AA693,monetary!$B$5:$F$817,5,0)</f>
        <v>Low</v>
      </c>
      <c r="AJ693" s="99" t="str">
        <f t="shared" si="108"/>
        <v>HHL</v>
      </c>
      <c r="AK693" s="99" t="str">
        <f>VLOOKUP(AJ693,rfm[],2,0)</f>
        <v>💎 Loyal High Value</v>
      </c>
      <c r="AN693" s="99" t="b">
        <f t="shared" si="109"/>
        <v>0</v>
      </c>
    </row>
    <row r="694" spans="2:40" x14ac:dyDescent="0.3">
      <c r="B694" s="99" t="s">
        <v>651</v>
      </c>
      <c r="C694" s="100">
        <v>45779</v>
      </c>
      <c r="D694" s="99" t="s">
        <v>38</v>
      </c>
      <c r="E694" s="99" t="s">
        <v>39</v>
      </c>
      <c r="F694" s="99" t="s">
        <v>16</v>
      </c>
      <c r="G694" s="99">
        <v>24</v>
      </c>
      <c r="H694" s="112">
        <v>200000</v>
      </c>
      <c r="I694" s="112">
        <v>4800000</v>
      </c>
      <c r="J694" s="99" t="s">
        <v>2609</v>
      </c>
      <c r="K694" s="99" t="s">
        <v>60</v>
      </c>
      <c r="N694" s="99" t="s">
        <v>2725</v>
      </c>
      <c r="O694" s="99" t="s">
        <v>8</v>
      </c>
      <c r="P694" s="100">
        <f t="shared" si="101"/>
        <v>45987</v>
      </c>
      <c r="Q694" s="101">
        <f t="shared" si="100"/>
        <v>36</v>
      </c>
      <c r="R694" s="99">
        <f t="shared" si="102"/>
        <v>1</v>
      </c>
      <c r="S694" s="101">
        <f t="shared" si="103"/>
        <v>3750000</v>
      </c>
      <c r="T694" s="99" t="str">
        <f t="shared" si="104"/>
        <v>High</v>
      </c>
      <c r="U694" s="99" t="str">
        <f t="shared" si="105"/>
        <v>Low</v>
      </c>
      <c r="V694" s="99" t="str">
        <f t="shared" si="106"/>
        <v>Low</v>
      </c>
      <c r="W694" s="99" t="str">
        <f t="shared" si="107"/>
        <v>HLL</v>
      </c>
      <c r="X694" s="99" t="str">
        <f>VLOOKUP(W694,rfm[],2,FALSE)</f>
        <v>🌱 Potential Loyalists</v>
      </c>
      <c r="AA694" s="99" t="s">
        <v>2725</v>
      </c>
      <c r="AB694" s="99" t="s">
        <v>8</v>
      </c>
      <c r="AC694" s="100">
        <v>45987</v>
      </c>
      <c r="AD694" s="101">
        <v>36</v>
      </c>
      <c r="AE694" s="101">
        <v>1</v>
      </c>
      <c r="AF694" s="101">
        <v>3750000</v>
      </c>
      <c r="AG694" s="99" t="str">
        <f>VLOOKUP(AA694,recency!$K$6:$P$818,6,0)</f>
        <v>High</v>
      </c>
      <c r="AH694" s="132" t="str">
        <f>VLOOKUP(AA694,frequency!$F$6:$H$818,3,FALSE)</f>
        <v>Low</v>
      </c>
      <c r="AI694" s="129" t="str">
        <f>VLOOKUP(AA694,monetary!$B$5:$F$817,5,0)</f>
        <v>Low</v>
      </c>
      <c r="AJ694" s="99" t="str">
        <f t="shared" si="108"/>
        <v>HLL</v>
      </c>
      <c r="AK694" s="99" t="str">
        <f>VLOOKUP(AJ694,rfm[],2,0)</f>
        <v>🌱 Potential Loyalists</v>
      </c>
      <c r="AN694" s="99" t="b">
        <f t="shared" si="109"/>
        <v>1</v>
      </c>
    </row>
    <row r="695" spans="2:40" x14ac:dyDescent="0.3">
      <c r="B695" s="99" t="s">
        <v>652</v>
      </c>
      <c r="C695" s="100">
        <v>45779</v>
      </c>
      <c r="D695" s="99" t="s">
        <v>10</v>
      </c>
      <c r="E695" s="99" t="s">
        <v>11</v>
      </c>
      <c r="F695" s="99" t="s">
        <v>12</v>
      </c>
      <c r="G695" s="99">
        <v>7</v>
      </c>
      <c r="H695" s="112">
        <v>120000</v>
      </c>
      <c r="I695" s="112">
        <v>840000</v>
      </c>
      <c r="J695" s="99" t="s">
        <v>2334</v>
      </c>
      <c r="K695" s="99" t="s">
        <v>127</v>
      </c>
      <c r="N695" s="99" t="s">
        <v>2726</v>
      </c>
      <c r="O695" s="99" t="s">
        <v>60</v>
      </c>
      <c r="P695" s="100">
        <f t="shared" si="101"/>
        <v>45979</v>
      </c>
      <c r="Q695" s="101">
        <f t="shared" si="100"/>
        <v>44</v>
      </c>
      <c r="R695" s="99">
        <f t="shared" si="102"/>
        <v>1</v>
      </c>
      <c r="S695" s="101">
        <f t="shared" si="103"/>
        <v>8600000</v>
      </c>
      <c r="T695" s="99" t="str">
        <f t="shared" si="104"/>
        <v>High</v>
      </c>
      <c r="U695" s="99" t="str">
        <f t="shared" si="105"/>
        <v>Low</v>
      </c>
      <c r="V695" s="99" t="str">
        <f t="shared" si="106"/>
        <v>Low</v>
      </c>
      <c r="W695" s="99" t="str">
        <f t="shared" si="107"/>
        <v>HLL</v>
      </c>
      <c r="X695" s="99" t="str">
        <f>VLOOKUP(W695,rfm[],2,FALSE)</f>
        <v>🌱 Potential Loyalists</v>
      </c>
      <c r="AA695" s="99" t="s">
        <v>2726</v>
      </c>
      <c r="AB695" s="99" t="s">
        <v>60</v>
      </c>
      <c r="AC695" s="100">
        <v>45979</v>
      </c>
      <c r="AD695" s="101">
        <v>44</v>
      </c>
      <c r="AE695" s="101">
        <v>1</v>
      </c>
      <c r="AF695" s="101">
        <v>8600000</v>
      </c>
      <c r="AG695" s="99" t="str">
        <f>VLOOKUP(AA695,recency!$K$6:$P$818,6,0)</f>
        <v>High</v>
      </c>
      <c r="AH695" s="132" t="str">
        <f>VLOOKUP(AA695,frequency!$F$6:$H$818,3,FALSE)</f>
        <v>Low</v>
      </c>
      <c r="AI695" s="129" t="str">
        <f>VLOOKUP(AA695,monetary!$B$5:$F$817,5,0)</f>
        <v>Low</v>
      </c>
      <c r="AJ695" s="99" t="str">
        <f t="shared" si="108"/>
        <v>HLL</v>
      </c>
      <c r="AK695" s="99" t="str">
        <f>VLOOKUP(AJ695,rfm[],2,0)</f>
        <v>🌱 Potential Loyalists</v>
      </c>
      <c r="AN695" s="99" t="b">
        <f t="shared" si="109"/>
        <v>1</v>
      </c>
    </row>
    <row r="696" spans="2:40" x14ac:dyDescent="0.3">
      <c r="B696" s="99" t="s">
        <v>653</v>
      </c>
      <c r="C696" s="100">
        <v>45779</v>
      </c>
      <c r="D696" s="99" t="s">
        <v>38</v>
      </c>
      <c r="E696" s="99" t="s">
        <v>39</v>
      </c>
      <c r="F696" s="99" t="s">
        <v>16</v>
      </c>
      <c r="G696" s="99">
        <v>19</v>
      </c>
      <c r="H696" s="112">
        <v>200000</v>
      </c>
      <c r="I696" s="112">
        <v>3800000</v>
      </c>
      <c r="J696" s="99" t="s">
        <v>1716</v>
      </c>
      <c r="K696" s="99" t="s">
        <v>127</v>
      </c>
      <c r="N696" s="99" t="s">
        <v>2727</v>
      </c>
      <c r="O696" s="99" t="s">
        <v>69</v>
      </c>
      <c r="P696" s="100">
        <f t="shared" si="101"/>
        <v>45988</v>
      </c>
      <c r="Q696" s="101">
        <f t="shared" si="100"/>
        <v>35</v>
      </c>
      <c r="R696" s="99">
        <f t="shared" si="102"/>
        <v>3</v>
      </c>
      <c r="S696" s="101">
        <f t="shared" si="103"/>
        <v>35500000</v>
      </c>
      <c r="T696" s="99" t="str">
        <f t="shared" si="104"/>
        <v>High</v>
      </c>
      <c r="U696" s="99" t="str">
        <f t="shared" si="105"/>
        <v>High</v>
      </c>
      <c r="V696" s="99" t="str">
        <f t="shared" si="106"/>
        <v>High</v>
      </c>
      <c r="W696" s="99" t="str">
        <f t="shared" si="107"/>
        <v>HHH</v>
      </c>
      <c r="X696" s="99" t="str">
        <f>VLOOKUP(W696,rfm[],2,FALSE)</f>
        <v>🥇 Champions</v>
      </c>
      <c r="AA696" s="99" t="s">
        <v>2727</v>
      </c>
      <c r="AB696" s="99" t="s">
        <v>69</v>
      </c>
      <c r="AC696" s="100">
        <v>45988</v>
      </c>
      <c r="AD696" s="101">
        <v>35</v>
      </c>
      <c r="AE696" s="101">
        <v>3</v>
      </c>
      <c r="AF696" s="101">
        <v>35500000</v>
      </c>
      <c r="AG696" s="99" t="str">
        <f>VLOOKUP(AA696,recency!$K$6:$P$818,6,0)</f>
        <v>High</v>
      </c>
      <c r="AH696" s="132" t="str">
        <f>VLOOKUP(AA696,frequency!$F$6:$H$818,3,FALSE)</f>
        <v>High</v>
      </c>
      <c r="AI696" s="129" t="str">
        <f>VLOOKUP(AA696,monetary!$B$5:$F$817,5,0)</f>
        <v>Low</v>
      </c>
      <c r="AJ696" s="99" t="str">
        <f t="shared" si="108"/>
        <v>HHL</v>
      </c>
      <c r="AK696" s="99" t="str">
        <f>VLOOKUP(AJ696,rfm[],2,0)</f>
        <v>💎 Loyal High Value</v>
      </c>
      <c r="AN696" s="99" t="b">
        <f t="shared" si="109"/>
        <v>0</v>
      </c>
    </row>
    <row r="697" spans="2:40" x14ac:dyDescent="0.3">
      <c r="B697" s="99" t="s">
        <v>681</v>
      </c>
      <c r="C697" s="100">
        <v>45779</v>
      </c>
      <c r="D697" s="99" t="s">
        <v>40</v>
      </c>
      <c r="E697" s="99" t="s">
        <v>41</v>
      </c>
      <c r="F697" s="99" t="s">
        <v>16</v>
      </c>
      <c r="G697" s="99">
        <v>10</v>
      </c>
      <c r="H697" s="112">
        <v>950000</v>
      </c>
      <c r="I697" s="112">
        <v>9500000</v>
      </c>
      <c r="J697" s="99" t="s">
        <v>2403</v>
      </c>
      <c r="K697" s="99" t="s">
        <v>8</v>
      </c>
      <c r="N697" s="99" t="s">
        <v>2728</v>
      </c>
      <c r="O697" s="99" t="s">
        <v>47</v>
      </c>
      <c r="P697" s="100">
        <f t="shared" si="101"/>
        <v>45966</v>
      </c>
      <c r="Q697" s="101">
        <f t="shared" si="100"/>
        <v>57</v>
      </c>
      <c r="R697" s="99">
        <f t="shared" si="102"/>
        <v>4</v>
      </c>
      <c r="S697" s="101">
        <f t="shared" si="103"/>
        <v>24040000</v>
      </c>
      <c r="T697" s="99" t="str">
        <f t="shared" si="104"/>
        <v>High</v>
      </c>
      <c r="U697" s="99" t="str">
        <f t="shared" si="105"/>
        <v>High</v>
      </c>
      <c r="V697" s="99" t="str">
        <f t="shared" si="106"/>
        <v>High</v>
      </c>
      <c r="W697" s="99" t="str">
        <f t="shared" si="107"/>
        <v>HHH</v>
      </c>
      <c r="X697" s="99" t="str">
        <f>VLOOKUP(W697,rfm[],2,FALSE)</f>
        <v>🥇 Champions</v>
      </c>
      <c r="AA697" s="99" t="s">
        <v>2728</v>
      </c>
      <c r="AB697" s="99" t="s">
        <v>47</v>
      </c>
      <c r="AC697" s="100">
        <v>45966</v>
      </c>
      <c r="AD697" s="101">
        <v>57</v>
      </c>
      <c r="AE697" s="101">
        <v>4</v>
      </c>
      <c r="AF697" s="101">
        <v>24040000</v>
      </c>
      <c r="AG697" s="99" t="str">
        <f>VLOOKUP(AA697,recency!$K$6:$P$818,6,0)</f>
        <v>High</v>
      </c>
      <c r="AH697" s="132" t="str">
        <f>VLOOKUP(AA697,frequency!$F$6:$H$818,3,FALSE)</f>
        <v>High</v>
      </c>
      <c r="AI697" s="129" t="str">
        <f>VLOOKUP(AA697,monetary!$B$5:$F$817,5,0)</f>
        <v>Low</v>
      </c>
      <c r="AJ697" s="99" t="str">
        <f t="shared" si="108"/>
        <v>HHL</v>
      </c>
      <c r="AK697" s="99" t="str">
        <f>VLOOKUP(AJ697,rfm[],2,0)</f>
        <v>💎 Loyal High Value</v>
      </c>
      <c r="AN697" s="99" t="b">
        <f t="shared" si="109"/>
        <v>0</v>
      </c>
    </row>
    <row r="698" spans="2:40" x14ac:dyDescent="0.3">
      <c r="B698" s="99" t="s">
        <v>697</v>
      </c>
      <c r="C698" s="100">
        <v>45782</v>
      </c>
      <c r="D698" s="99" t="s">
        <v>18</v>
      </c>
      <c r="E698" s="99" t="s">
        <v>19</v>
      </c>
      <c r="F698" s="99" t="s">
        <v>20</v>
      </c>
      <c r="G698" s="99">
        <v>6</v>
      </c>
      <c r="H698" s="112">
        <v>500000</v>
      </c>
      <c r="I698" s="112">
        <v>3000000</v>
      </c>
      <c r="J698" s="99" t="s">
        <v>2588</v>
      </c>
      <c r="K698" s="99" t="s">
        <v>47</v>
      </c>
      <c r="N698" s="99" t="s">
        <v>2729</v>
      </c>
      <c r="O698" s="99" t="s">
        <v>8</v>
      </c>
      <c r="P698" s="100">
        <f t="shared" si="101"/>
        <v>45937</v>
      </c>
      <c r="Q698" s="101">
        <f t="shared" si="100"/>
        <v>86</v>
      </c>
      <c r="R698" s="99">
        <f t="shared" si="102"/>
        <v>2</v>
      </c>
      <c r="S698" s="101">
        <f t="shared" si="103"/>
        <v>11750000</v>
      </c>
      <c r="T698" s="99" t="str">
        <f t="shared" si="104"/>
        <v>High</v>
      </c>
      <c r="U698" s="99" t="str">
        <f t="shared" si="105"/>
        <v>Low</v>
      </c>
      <c r="V698" s="99" t="str">
        <f t="shared" si="106"/>
        <v>Low</v>
      </c>
      <c r="W698" s="99" t="str">
        <f t="shared" si="107"/>
        <v>HLL</v>
      </c>
      <c r="X698" s="99" t="str">
        <f>VLOOKUP(W698,rfm[],2,FALSE)</f>
        <v>🌱 Potential Loyalists</v>
      </c>
      <c r="AA698" s="99" t="s">
        <v>2729</v>
      </c>
      <c r="AB698" s="99" t="s">
        <v>8</v>
      </c>
      <c r="AC698" s="100">
        <v>45937</v>
      </c>
      <c r="AD698" s="101">
        <v>86</v>
      </c>
      <c r="AE698" s="101">
        <v>2</v>
      </c>
      <c r="AF698" s="101">
        <v>11750000</v>
      </c>
      <c r="AG698" s="99" t="str">
        <f>VLOOKUP(AA698,recency!$K$6:$P$818,6,0)</f>
        <v>Low</v>
      </c>
      <c r="AH698" s="132" t="str">
        <f>VLOOKUP(AA698,frequency!$F$6:$H$818,3,FALSE)</f>
        <v>Low</v>
      </c>
      <c r="AI698" s="129" t="str">
        <f>VLOOKUP(AA698,monetary!$B$5:$F$817,5,0)</f>
        <v>Low</v>
      </c>
      <c r="AJ698" s="99" t="str">
        <f t="shared" si="108"/>
        <v>LLL</v>
      </c>
      <c r="AK698" s="99" t="str">
        <f>VLOOKUP(AJ698,rfm[],2,0)</f>
        <v>💤 Lost / Low Value</v>
      </c>
      <c r="AN698" s="99" t="b">
        <f t="shared" si="109"/>
        <v>0</v>
      </c>
    </row>
    <row r="699" spans="2:40" x14ac:dyDescent="0.3">
      <c r="B699" s="99" t="s">
        <v>698</v>
      </c>
      <c r="C699" s="100">
        <v>45782</v>
      </c>
      <c r="D699" s="99" t="s">
        <v>42</v>
      </c>
      <c r="E699" s="99" t="s">
        <v>43</v>
      </c>
      <c r="F699" s="99" t="s">
        <v>16</v>
      </c>
      <c r="G699" s="99">
        <v>500</v>
      </c>
      <c r="H699" s="112">
        <v>1200000</v>
      </c>
      <c r="I699" s="112">
        <v>600000000</v>
      </c>
      <c r="J699" s="99" t="s">
        <v>2197</v>
      </c>
      <c r="K699" s="99" t="s">
        <v>8</v>
      </c>
      <c r="N699" s="99" t="s">
        <v>2730</v>
      </c>
      <c r="O699" s="99" t="s">
        <v>69</v>
      </c>
      <c r="P699" s="100">
        <f t="shared" si="101"/>
        <v>45926</v>
      </c>
      <c r="Q699" s="101">
        <f t="shared" si="100"/>
        <v>97</v>
      </c>
      <c r="R699" s="99">
        <f t="shared" si="102"/>
        <v>1</v>
      </c>
      <c r="S699" s="101">
        <f t="shared" si="103"/>
        <v>2500000</v>
      </c>
      <c r="T699" s="99" t="str">
        <f t="shared" si="104"/>
        <v>Low</v>
      </c>
      <c r="U699" s="99" t="str">
        <f t="shared" si="105"/>
        <v>Low</v>
      </c>
      <c r="V699" s="99" t="str">
        <f t="shared" si="106"/>
        <v>Low</v>
      </c>
      <c r="W699" s="99" t="str">
        <f t="shared" si="107"/>
        <v>LLL</v>
      </c>
      <c r="X699" s="99" t="str">
        <f>VLOOKUP(W699,rfm[],2,FALSE)</f>
        <v>💤 Lost / Low Value</v>
      </c>
      <c r="AA699" s="99" t="s">
        <v>2730</v>
      </c>
      <c r="AB699" s="99" t="s">
        <v>69</v>
      </c>
      <c r="AC699" s="100">
        <v>45926</v>
      </c>
      <c r="AD699" s="101">
        <v>97</v>
      </c>
      <c r="AE699" s="101">
        <v>1</v>
      </c>
      <c r="AF699" s="101">
        <v>2500000</v>
      </c>
      <c r="AG699" s="99" t="str">
        <f>VLOOKUP(AA699,recency!$K$6:$P$818,6,0)</f>
        <v>Low</v>
      </c>
      <c r="AH699" s="132" t="str">
        <f>VLOOKUP(AA699,frequency!$F$6:$H$818,3,FALSE)</f>
        <v>Low</v>
      </c>
      <c r="AI699" s="129" t="str">
        <f>VLOOKUP(AA699,monetary!$B$5:$F$817,5,0)</f>
        <v>Low</v>
      </c>
      <c r="AJ699" s="99" t="str">
        <f t="shared" si="108"/>
        <v>LLL</v>
      </c>
      <c r="AK699" s="99" t="str">
        <f>VLOOKUP(AJ699,rfm[],2,0)</f>
        <v>💤 Lost / Low Value</v>
      </c>
      <c r="AN699" s="99" t="b">
        <f t="shared" si="109"/>
        <v>1</v>
      </c>
    </row>
    <row r="700" spans="2:40" x14ac:dyDescent="0.3">
      <c r="B700" s="99" t="s">
        <v>699</v>
      </c>
      <c r="C700" s="100">
        <v>45782</v>
      </c>
      <c r="D700" s="99" t="s">
        <v>31</v>
      </c>
      <c r="E700" s="99" t="s">
        <v>32</v>
      </c>
      <c r="F700" s="99" t="s">
        <v>20</v>
      </c>
      <c r="G700" s="99">
        <v>14</v>
      </c>
      <c r="H700" s="112">
        <v>180000</v>
      </c>
      <c r="I700" s="112">
        <v>2520000</v>
      </c>
      <c r="J700" s="99" t="s">
        <v>2379</v>
      </c>
      <c r="K700" s="99" t="s">
        <v>127</v>
      </c>
      <c r="N700" s="99" t="s">
        <v>2731</v>
      </c>
      <c r="O700" s="99" t="s">
        <v>47</v>
      </c>
      <c r="P700" s="100">
        <f t="shared" si="101"/>
        <v>45882</v>
      </c>
      <c r="Q700" s="101">
        <f t="shared" si="100"/>
        <v>141</v>
      </c>
      <c r="R700" s="99">
        <f t="shared" si="102"/>
        <v>4</v>
      </c>
      <c r="S700" s="101">
        <f t="shared" si="103"/>
        <v>58520000</v>
      </c>
      <c r="T700" s="99" t="str">
        <f t="shared" si="104"/>
        <v>Low</v>
      </c>
      <c r="U700" s="99" t="str">
        <f t="shared" si="105"/>
        <v>High</v>
      </c>
      <c r="V700" s="99" t="str">
        <f t="shared" si="106"/>
        <v>High</v>
      </c>
      <c r="W700" s="99" t="str">
        <f t="shared" si="107"/>
        <v>LHH</v>
      </c>
      <c r="X700" s="99" t="str">
        <f>VLOOKUP(W700,rfm[],2,FALSE)</f>
        <v>⚠️ At Risk High Value</v>
      </c>
      <c r="AA700" s="99" t="s">
        <v>2731</v>
      </c>
      <c r="AB700" s="99" t="s">
        <v>47</v>
      </c>
      <c r="AC700" s="100">
        <v>45882</v>
      </c>
      <c r="AD700" s="101">
        <v>141</v>
      </c>
      <c r="AE700" s="101">
        <v>4</v>
      </c>
      <c r="AF700" s="101">
        <v>58520000</v>
      </c>
      <c r="AG700" s="99" t="str">
        <f>VLOOKUP(AA700,recency!$K$6:$P$818,6,0)</f>
        <v>Low</v>
      </c>
      <c r="AH700" s="132" t="str">
        <f>VLOOKUP(AA700,frequency!$F$6:$H$818,3,FALSE)</f>
        <v>High</v>
      </c>
      <c r="AI700" s="129" t="str">
        <f>VLOOKUP(AA700,monetary!$B$5:$F$817,5,0)</f>
        <v>High</v>
      </c>
      <c r="AJ700" s="99" t="str">
        <f t="shared" si="108"/>
        <v>LHH</v>
      </c>
      <c r="AK700" s="99" t="str">
        <f>VLOOKUP(AJ700,rfm[],2,0)</f>
        <v>⚠️ At Risk High Value</v>
      </c>
      <c r="AN700" s="99" t="b">
        <f t="shared" si="109"/>
        <v>1</v>
      </c>
    </row>
    <row r="701" spans="2:40" x14ac:dyDescent="0.3">
      <c r="B701" s="99" t="s">
        <v>700</v>
      </c>
      <c r="C701" s="100">
        <v>45782</v>
      </c>
      <c r="D701" s="99" t="s">
        <v>14</v>
      </c>
      <c r="E701" s="99" t="s">
        <v>15</v>
      </c>
      <c r="F701" s="99" t="s">
        <v>16</v>
      </c>
      <c r="G701" s="99">
        <v>34</v>
      </c>
      <c r="H701" s="112">
        <v>350000</v>
      </c>
      <c r="I701" s="112">
        <v>11900000</v>
      </c>
      <c r="J701" s="99" t="s">
        <v>2782</v>
      </c>
      <c r="K701" s="99" t="s">
        <v>69</v>
      </c>
      <c r="N701" s="99" t="s">
        <v>2732</v>
      </c>
      <c r="O701" s="99" t="s">
        <v>60</v>
      </c>
      <c r="P701" s="100">
        <f t="shared" si="101"/>
        <v>46015</v>
      </c>
      <c r="Q701" s="101">
        <f t="shared" si="100"/>
        <v>8</v>
      </c>
      <c r="R701" s="99">
        <f t="shared" si="102"/>
        <v>2</v>
      </c>
      <c r="S701" s="101">
        <f t="shared" si="103"/>
        <v>24850000</v>
      </c>
      <c r="T701" s="99" t="str">
        <f t="shared" si="104"/>
        <v>High</v>
      </c>
      <c r="U701" s="99" t="str">
        <f t="shared" si="105"/>
        <v>Low</v>
      </c>
      <c r="V701" s="99" t="str">
        <f t="shared" si="106"/>
        <v>High</v>
      </c>
      <c r="W701" s="99" t="str">
        <f t="shared" si="107"/>
        <v>HLH</v>
      </c>
      <c r="X701" s="99" t="str">
        <f>VLOOKUP(W701,rfm[],2,FALSE)</f>
        <v>🛒 Big Spenders (Occasional)</v>
      </c>
      <c r="AA701" s="99" t="s">
        <v>2732</v>
      </c>
      <c r="AB701" s="99" t="s">
        <v>60</v>
      </c>
      <c r="AC701" s="100">
        <v>46015</v>
      </c>
      <c r="AD701" s="101">
        <v>8</v>
      </c>
      <c r="AE701" s="101">
        <v>2</v>
      </c>
      <c r="AF701" s="101">
        <v>24850000</v>
      </c>
      <c r="AG701" s="99" t="str">
        <f>VLOOKUP(AA701,recency!$K$6:$P$818,6,0)</f>
        <v>High</v>
      </c>
      <c r="AH701" s="132" t="str">
        <f>VLOOKUP(AA701,frequency!$F$6:$H$818,3,FALSE)</f>
        <v>Low</v>
      </c>
      <c r="AI701" s="129" t="str">
        <f>VLOOKUP(AA701,monetary!$B$5:$F$817,5,0)</f>
        <v>Low</v>
      </c>
      <c r="AJ701" s="99" t="str">
        <f t="shared" si="108"/>
        <v>HLL</v>
      </c>
      <c r="AK701" s="99" t="str">
        <f>VLOOKUP(AJ701,rfm[],2,0)</f>
        <v>🌱 Potential Loyalists</v>
      </c>
      <c r="AN701" s="99" t="b">
        <f t="shared" si="109"/>
        <v>0</v>
      </c>
    </row>
    <row r="702" spans="2:40" x14ac:dyDescent="0.3">
      <c r="B702" s="99" t="s">
        <v>701</v>
      </c>
      <c r="C702" s="100">
        <v>45782</v>
      </c>
      <c r="D702" s="99" t="s">
        <v>28</v>
      </c>
      <c r="E702" s="99" t="s">
        <v>29</v>
      </c>
      <c r="F702" s="99" t="s">
        <v>20</v>
      </c>
      <c r="G702" s="99">
        <v>15</v>
      </c>
      <c r="H702" s="112">
        <v>450000</v>
      </c>
      <c r="I702" s="112">
        <v>6750000</v>
      </c>
      <c r="J702" s="99" t="s">
        <v>2495</v>
      </c>
      <c r="K702" s="99" t="s">
        <v>60</v>
      </c>
      <c r="N702" s="99" t="s">
        <v>2733</v>
      </c>
      <c r="O702" s="99" t="s">
        <v>127</v>
      </c>
      <c r="P702" s="100">
        <f t="shared" si="101"/>
        <v>45980</v>
      </c>
      <c r="Q702" s="101">
        <f t="shared" si="100"/>
        <v>43</v>
      </c>
      <c r="R702" s="99">
        <f t="shared" si="102"/>
        <v>2</v>
      </c>
      <c r="S702" s="101">
        <f t="shared" si="103"/>
        <v>6400000</v>
      </c>
      <c r="T702" s="99" t="str">
        <f t="shared" si="104"/>
        <v>High</v>
      </c>
      <c r="U702" s="99" t="str">
        <f t="shared" si="105"/>
        <v>Low</v>
      </c>
      <c r="V702" s="99" t="str">
        <f t="shared" si="106"/>
        <v>Low</v>
      </c>
      <c r="W702" s="99" t="str">
        <f t="shared" si="107"/>
        <v>HLL</v>
      </c>
      <c r="X702" s="99" t="str">
        <f>VLOOKUP(W702,rfm[],2,FALSE)</f>
        <v>🌱 Potential Loyalists</v>
      </c>
      <c r="AA702" s="99" t="s">
        <v>2733</v>
      </c>
      <c r="AB702" s="99" t="s">
        <v>127</v>
      </c>
      <c r="AC702" s="100">
        <v>45980</v>
      </c>
      <c r="AD702" s="101">
        <v>43</v>
      </c>
      <c r="AE702" s="101">
        <v>2</v>
      </c>
      <c r="AF702" s="101">
        <v>6400000</v>
      </c>
      <c r="AG702" s="99" t="str">
        <f>VLOOKUP(AA702,recency!$K$6:$P$818,6,0)</f>
        <v>High</v>
      </c>
      <c r="AH702" s="132" t="str">
        <f>VLOOKUP(AA702,frequency!$F$6:$H$818,3,FALSE)</f>
        <v>Low</v>
      </c>
      <c r="AI702" s="129" t="str">
        <f>VLOOKUP(AA702,monetary!$B$5:$F$817,5,0)</f>
        <v>Low</v>
      </c>
      <c r="AJ702" s="99" t="str">
        <f t="shared" si="108"/>
        <v>HLL</v>
      </c>
      <c r="AK702" s="99" t="str">
        <f>VLOOKUP(AJ702,rfm[],2,0)</f>
        <v>🌱 Potential Loyalists</v>
      </c>
      <c r="AN702" s="99" t="b">
        <f t="shared" si="109"/>
        <v>1</v>
      </c>
    </row>
    <row r="703" spans="2:40" x14ac:dyDescent="0.3">
      <c r="B703" s="99" t="s">
        <v>702</v>
      </c>
      <c r="C703" s="100">
        <v>45782</v>
      </c>
      <c r="D703" s="99" t="s">
        <v>10</v>
      </c>
      <c r="E703" s="99" t="s">
        <v>11</v>
      </c>
      <c r="F703" s="99" t="s">
        <v>12</v>
      </c>
      <c r="G703" s="99">
        <v>48</v>
      </c>
      <c r="H703" s="112">
        <v>120000</v>
      </c>
      <c r="I703" s="112">
        <v>5760000</v>
      </c>
      <c r="J703" s="99" t="s">
        <v>2273</v>
      </c>
      <c r="K703" s="99" t="s">
        <v>60</v>
      </c>
      <c r="N703" s="99" t="s">
        <v>2734</v>
      </c>
      <c r="O703" s="99" t="s">
        <v>8</v>
      </c>
      <c r="P703" s="100">
        <f t="shared" si="101"/>
        <v>45972</v>
      </c>
      <c r="Q703" s="101">
        <f t="shared" si="100"/>
        <v>51</v>
      </c>
      <c r="R703" s="99">
        <f t="shared" si="102"/>
        <v>1</v>
      </c>
      <c r="S703" s="101">
        <f t="shared" si="103"/>
        <v>4440000</v>
      </c>
      <c r="T703" s="99" t="str">
        <f t="shared" si="104"/>
        <v>High</v>
      </c>
      <c r="U703" s="99" t="str">
        <f t="shared" si="105"/>
        <v>Low</v>
      </c>
      <c r="V703" s="99" t="str">
        <f t="shared" si="106"/>
        <v>Low</v>
      </c>
      <c r="W703" s="99" t="str">
        <f t="shared" si="107"/>
        <v>HLL</v>
      </c>
      <c r="X703" s="99" t="str">
        <f>VLOOKUP(W703,rfm[],2,FALSE)</f>
        <v>🌱 Potential Loyalists</v>
      </c>
      <c r="AA703" s="99" t="s">
        <v>2734</v>
      </c>
      <c r="AB703" s="99" t="s">
        <v>8</v>
      </c>
      <c r="AC703" s="100">
        <v>45972</v>
      </c>
      <c r="AD703" s="101">
        <v>51</v>
      </c>
      <c r="AE703" s="101">
        <v>1</v>
      </c>
      <c r="AF703" s="101">
        <v>4440000</v>
      </c>
      <c r="AG703" s="99" t="str">
        <f>VLOOKUP(AA703,recency!$K$6:$P$818,6,0)</f>
        <v>High</v>
      </c>
      <c r="AH703" s="132" t="str">
        <f>VLOOKUP(AA703,frequency!$F$6:$H$818,3,FALSE)</f>
        <v>Low</v>
      </c>
      <c r="AI703" s="129" t="str">
        <f>VLOOKUP(AA703,monetary!$B$5:$F$817,5,0)</f>
        <v>Low</v>
      </c>
      <c r="AJ703" s="99" t="str">
        <f t="shared" si="108"/>
        <v>HLL</v>
      </c>
      <c r="AK703" s="99" t="str">
        <f>VLOOKUP(AJ703,rfm[],2,0)</f>
        <v>🌱 Potential Loyalists</v>
      </c>
      <c r="AN703" s="99" t="b">
        <f t="shared" si="109"/>
        <v>1</v>
      </c>
    </row>
    <row r="704" spans="2:40" x14ac:dyDescent="0.3">
      <c r="B704" s="99" t="s">
        <v>703</v>
      </c>
      <c r="C704" s="100">
        <v>45782</v>
      </c>
      <c r="D704" s="99" t="s">
        <v>28</v>
      </c>
      <c r="E704" s="99" t="s">
        <v>29</v>
      </c>
      <c r="F704" s="99" t="s">
        <v>20</v>
      </c>
      <c r="G704" s="99">
        <v>40</v>
      </c>
      <c r="H704" s="112">
        <v>450000</v>
      </c>
      <c r="I704" s="112">
        <v>18000000</v>
      </c>
      <c r="J704" s="99" t="s">
        <v>1242</v>
      </c>
      <c r="K704" s="99" t="s">
        <v>60</v>
      </c>
      <c r="N704" s="99" t="s">
        <v>2735</v>
      </c>
      <c r="O704" s="99" t="s">
        <v>60</v>
      </c>
      <c r="P704" s="100">
        <f t="shared" si="101"/>
        <v>45698</v>
      </c>
      <c r="Q704" s="101">
        <f t="shared" si="100"/>
        <v>325</v>
      </c>
      <c r="R704" s="99">
        <f t="shared" si="102"/>
        <v>1</v>
      </c>
      <c r="S704" s="101">
        <f t="shared" si="103"/>
        <v>4680000</v>
      </c>
      <c r="T704" s="99" t="str">
        <f t="shared" si="104"/>
        <v>Low</v>
      </c>
      <c r="U704" s="99" t="str">
        <f t="shared" si="105"/>
        <v>Low</v>
      </c>
      <c r="V704" s="99" t="str">
        <f t="shared" si="106"/>
        <v>Low</v>
      </c>
      <c r="W704" s="99" t="str">
        <f t="shared" si="107"/>
        <v>LLL</v>
      </c>
      <c r="X704" s="99" t="str">
        <f>VLOOKUP(W704,rfm[],2,FALSE)</f>
        <v>💤 Lost / Low Value</v>
      </c>
      <c r="AA704" s="99" t="s">
        <v>2735</v>
      </c>
      <c r="AB704" s="99" t="s">
        <v>60</v>
      </c>
      <c r="AC704" s="100">
        <v>45698</v>
      </c>
      <c r="AD704" s="101">
        <v>325</v>
      </c>
      <c r="AE704" s="101">
        <v>1</v>
      </c>
      <c r="AF704" s="101">
        <v>4680000</v>
      </c>
      <c r="AG704" s="99" t="str">
        <f>VLOOKUP(AA704,recency!$K$6:$P$818,6,0)</f>
        <v>Low</v>
      </c>
      <c r="AH704" s="132" t="str">
        <f>VLOOKUP(AA704,frequency!$F$6:$H$818,3,FALSE)</f>
        <v>Low</v>
      </c>
      <c r="AI704" s="129" t="str">
        <f>VLOOKUP(AA704,monetary!$B$5:$F$817,5,0)</f>
        <v>Low</v>
      </c>
      <c r="AJ704" s="99" t="str">
        <f t="shared" si="108"/>
        <v>LLL</v>
      </c>
      <c r="AK704" s="99" t="str">
        <f>VLOOKUP(AJ704,rfm[],2,0)</f>
        <v>💤 Lost / Low Value</v>
      </c>
      <c r="AN704" s="99" t="b">
        <f t="shared" si="109"/>
        <v>1</v>
      </c>
    </row>
    <row r="705" spans="2:40" x14ac:dyDescent="0.3">
      <c r="B705" s="99" t="s">
        <v>717</v>
      </c>
      <c r="C705" s="100">
        <v>45782</v>
      </c>
      <c r="D705" s="99" t="s">
        <v>38</v>
      </c>
      <c r="E705" s="99" t="s">
        <v>39</v>
      </c>
      <c r="F705" s="99" t="s">
        <v>16</v>
      </c>
      <c r="G705" s="99">
        <v>24</v>
      </c>
      <c r="H705" s="112">
        <v>200000</v>
      </c>
      <c r="I705" s="112">
        <v>4800000</v>
      </c>
      <c r="J705" s="99" t="s">
        <v>2509</v>
      </c>
      <c r="K705" s="99" t="s">
        <v>8</v>
      </c>
      <c r="N705" s="99" t="s">
        <v>2736</v>
      </c>
      <c r="O705" s="99" t="s">
        <v>69</v>
      </c>
      <c r="P705" s="100">
        <f t="shared" si="101"/>
        <v>45908</v>
      </c>
      <c r="Q705" s="101">
        <f t="shared" si="100"/>
        <v>115</v>
      </c>
      <c r="R705" s="99">
        <f t="shared" si="102"/>
        <v>1</v>
      </c>
      <c r="S705" s="101">
        <f t="shared" si="103"/>
        <v>6400000</v>
      </c>
      <c r="T705" s="99" t="str">
        <f t="shared" si="104"/>
        <v>Low</v>
      </c>
      <c r="U705" s="99" t="str">
        <f t="shared" si="105"/>
        <v>Low</v>
      </c>
      <c r="V705" s="99" t="str">
        <f t="shared" si="106"/>
        <v>Low</v>
      </c>
      <c r="W705" s="99" t="str">
        <f t="shared" si="107"/>
        <v>LLL</v>
      </c>
      <c r="X705" s="99" t="str">
        <f>VLOOKUP(W705,rfm[],2,FALSE)</f>
        <v>💤 Lost / Low Value</v>
      </c>
      <c r="AA705" s="99" t="s">
        <v>2736</v>
      </c>
      <c r="AB705" s="99" t="s">
        <v>69</v>
      </c>
      <c r="AC705" s="100">
        <v>45908</v>
      </c>
      <c r="AD705" s="101">
        <v>115</v>
      </c>
      <c r="AE705" s="101">
        <v>1</v>
      </c>
      <c r="AF705" s="101">
        <v>6400000</v>
      </c>
      <c r="AG705" s="99" t="str">
        <f>VLOOKUP(AA705,recency!$K$6:$P$818,6,0)</f>
        <v>Low</v>
      </c>
      <c r="AH705" s="132" t="str">
        <f>VLOOKUP(AA705,frequency!$F$6:$H$818,3,FALSE)</f>
        <v>Low</v>
      </c>
      <c r="AI705" s="129" t="str">
        <f>VLOOKUP(AA705,monetary!$B$5:$F$817,5,0)</f>
        <v>Low</v>
      </c>
      <c r="AJ705" s="99" t="str">
        <f t="shared" si="108"/>
        <v>LLL</v>
      </c>
      <c r="AK705" s="99" t="str">
        <f>VLOOKUP(AJ705,rfm[],2,0)</f>
        <v>💤 Lost / Low Value</v>
      </c>
      <c r="AN705" s="99" t="b">
        <f t="shared" si="109"/>
        <v>1</v>
      </c>
    </row>
    <row r="706" spans="2:40" x14ac:dyDescent="0.3">
      <c r="B706" s="99" t="s">
        <v>718</v>
      </c>
      <c r="C706" s="100">
        <v>45782</v>
      </c>
      <c r="D706" s="99" t="s">
        <v>38</v>
      </c>
      <c r="E706" s="99" t="s">
        <v>39</v>
      </c>
      <c r="F706" s="99" t="s">
        <v>16</v>
      </c>
      <c r="G706" s="99">
        <v>27</v>
      </c>
      <c r="H706" s="112">
        <v>200000</v>
      </c>
      <c r="I706" s="112">
        <v>5400000</v>
      </c>
      <c r="J706" s="99" t="s">
        <v>2738</v>
      </c>
      <c r="K706" s="99" t="s">
        <v>8</v>
      </c>
      <c r="N706" s="99" t="s">
        <v>2737</v>
      </c>
      <c r="O706" s="99" t="s">
        <v>60</v>
      </c>
      <c r="P706" s="100">
        <f t="shared" si="101"/>
        <v>45924</v>
      </c>
      <c r="Q706" s="101">
        <f t="shared" si="100"/>
        <v>99</v>
      </c>
      <c r="R706" s="99">
        <f t="shared" si="102"/>
        <v>2</v>
      </c>
      <c r="S706" s="101">
        <f t="shared" si="103"/>
        <v>1475000</v>
      </c>
      <c r="T706" s="99" t="str">
        <f t="shared" si="104"/>
        <v>Low</v>
      </c>
      <c r="U706" s="99" t="str">
        <f t="shared" si="105"/>
        <v>Low</v>
      </c>
      <c r="V706" s="99" t="str">
        <f t="shared" si="106"/>
        <v>Low</v>
      </c>
      <c r="W706" s="99" t="str">
        <f t="shared" si="107"/>
        <v>LLL</v>
      </c>
      <c r="X706" s="99" t="str">
        <f>VLOOKUP(W706,rfm[],2,FALSE)</f>
        <v>💤 Lost / Low Value</v>
      </c>
      <c r="AA706" s="99" t="s">
        <v>2737</v>
      </c>
      <c r="AB706" s="99" t="s">
        <v>60</v>
      </c>
      <c r="AC706" s="100">
        <v>45924</v>
      </c>
      <c r="AD706" s="101">
        <v>99</v>
      </c>
      <c r="AE706" s="101">
        <v>2</v>
      </c>
      <c r="AF706" s="101">
        <v>1475000</v>
      </c>
      <c r="AG706" s="99" t="str">
        <f>VLOOKUP(AA706,recency!$K$6:$P$818,6,0)</f>
        <v>Low</v>
      </c>
      <c r="AH706" s="132" t="str">
        <f>VLOOKUP(AA706,frequency!$F$6:$H$818,3,FALSE)</f>
        <v>Low</v>
      </c>
      <c r="AI706" s="129" t="str">
        <f>VLOOKUP(AA706,monetary!$B$5:$F$817,5,0)</f>
        <v>Low</v>
      </c>
      <c r="AJ706" s="99" t="str">
        <f t="shared" si="108"/>
        <v>LLL</v>
      </c>
      <c r="AK706" s="99" t="str">
        <f>VLOOKUP(AJ706,rfm[],2,0)</f>
        <v>💤 Lost / Low Value</v>
      </c>
      <c r="AN706" s="99" t="b">
        <f t="shared" si="109"/>
        <v>1</v>
      </c>
    </row>
    <row r="707" spans="2:40" x14ac:dyDescent="0.3">
      <c r="B707" s="99" t="s">
        <v>719</v>
      </c>
      <c r="C707" s="100">
        <v>45782</v>
      </c>
      <c r="D707" s="99" t="s">
        <v>44</v>
      </c>
      <c r="E707" s="99" t="s">
        <v>45</v>
      </c>
      <c r="F707" s="99" t="s">
        <v>16</v>
      </c>
      <c r="G707" s="99">
        <v>21</v>
      </c>
      <c r="H707" s="112">
        <v>250000</v>
      </c>
      <c r="I707" s="112">
        <v>5250000</v>
      </c>
      <c r="J707" s="99" t="s">
        <v>2815</v>
      </c>
      <c r="K707" s="99" t="s">
        <v>127</v>
      </c>
      <c r="N707" s="99" t="s">
        <v>2738</v>
      </c>
      <c r="O707" s="99" t="s">
        <v>8</v>
      </c>
      <c r="P707" s="100">
        <f t="shared" si="101"/>
        <v>45992</v>
      </c>
      <c r="Q707" s="101">
        <f t="shared" si="100"/>
        <v>31</v>
      </c>
      <c r="R707" s="99">
        <f t="shared" si="102"/>
        <v>6</v>
      </c>
      <c r="S707" s="101">
        <f t="shared" si="103"/>
        <v>29610000</v>
      </c>
      <c r="T707" s="99" t="str">
        <f t="shared" si="104"/>
        <v>High</v>
      </c>
      <c r="U707" s="99" t="str">
        <f t="shared" si="105"/>
        <v>High</v>
      </c>
      <c r="V707" s="99" t="str">
        <f t="shared" si="106"/>
        <v>High</v>
      </c>
      <c r="W707" s="99" t="str">
        <f t="shared" si="107"/>
        <v>HHH</v>
      </c>
      <c r="X707" s="99" t="str">
        <f>VLOOKUP(W707,rfm[],2,FALSE)</f>
        <v>🥇 Champions</v>
      </c>
      <c r="AA707" s="99" t="s">
        <v>2738</v>
      </c>
      <c r="AB707" s="99" t="s">
        <v>8</v>
      </c>
      <c r="AC707" s="100">
        <v>45992</v>
      </c>
      <c r="AD707" s="101">
        <v>31</v>
      </c>
      <c r="AE707" s="101">
        <v>6</v>
      </c>
      <c r="AF707" s="101">
        <v>29610000</v>
      </c>
      <c r="AG707" s="99" t="str">
        <f>VLOOKUP(AA707,recency!$K$6:$P$818,6,0)</f>
        <v>High</v>
      </c>
      <c r="AH707" s="132" t="str">
        <f>VLOOKUP(AA707,frequency!$F$6:$H$818,3,FALSE)</f>
        <v>High</v>
      </c>
      <c r="AI707" s="129" t="str">
        <f>VLOOKUP(AA707,monetary!$B$5:$F$817,5,0)</f>
        <v>Low</v>
      </c>
      <c r="AJ707" s="99" t="str">
        <f t="shared" si="108"/>
        <v>HHL</v>
      </c>
      <c r="AK707" s="99" t="str">
        <f>VLOOKUP(AJ707,rfm[],2,0)</f>
        <v>💎 Loyal High Value</v>
      </c>
      <c r="AN707" s="99" t="b">
        <f t="shared" si="109"/>
        <v>0</v>
      </c>
    </row>
    <row r="708" spans="2:40" x14ac:dyDescent="0.3">
      <c r="B708" s="99" t="s">
        <v>720</v>
      </c>
      <c r="C708" s="100">
        <v>45782</v>
      </c>
      <c r="D708" s="99" t="s">
        <v>42</v>
      </c>
      <c r="E708" s="99" t="s">
        <v>43</v>
      </c>
      <c r="F708" s="99" t="s">
        <v>16</v>
      </c>
      <c r="G708" s="99">
        <v>8</v>
      </c>
      <c r="H708" s="112">
        <v>1200000</v>
      </c>
      <c r="I708" s="112">
        <v>9600000</v>
      </c>
      <c r="J708" s="99" t="s">
        <v>2619</v>
      </c>
      <c r="K708" s="99" t="s">
        <v>8</v>
      </c>
      <c r="N708" s="99" t="s">
        <v>2739</v>
      </c>
      <c r="O708" s="99" t="s">
        <v>8</v>
      </c>
      <c r="P708" s="100">
        <f t="shared" si="101"/>
        <v>45994</v>
      </c>
      <c r="Q708" s="101">
        <f t="shared" si="100"/>
        <v>29</v>
      </c>
      <c r="R708" s="99">
        <f t="shared" si="102"/>
        <v>4</v>
      </c>
      <c r="S708" s="101">
        <f t="shared" si="103"/>
        <v>977000000</v>
      </c>
      <c r="T708" s="99" t="str">
        <f t="shared" si="104"/>
        <v>High</v>
      </c>
      <c r="U708" s="99" t="str">
        <f t="shared" si="105"/>
        <v>High</v>
      </c>
      <c r="V708" s="99" t="str">
        <f t="shared" si="106"/>
        <v>High</v>
      </c>
      <c r="W708" s="99" t="str">
        <f t="shared" si="107"/>
        <v>HHH</v>
      </c>
      <c r="X708" s="99" t="str">
        <f>VLOOKUP(W708,rfm[],2,FALSE)</f>
        <v>🥇 Champions</v>
      </c>
      <c r="AA708" s="99" t="s">
        <v>2739</v>
      </c>
      <c r="AB708" s="99" t="s">
        <v>8</v>
      </c>
      <c r="AC708" s="100">
        <v>45994</v>
      </c>
      <c r="AD708" s="101">
        <v>29</v>
      </c>
      <c r="AE708" s="101">
        <v>4</v>
      </c>
      <c r="AF708" s="101">
        <v>977000000</v>
      </c>
      <c r="AG708" s="99" t="str">
        <f>VLOOKUP(AA708,recency!$K$6:$P$818,6,0)</f>
        <v>High</v>
      </c>
      <c r="AH708" s="132" t="str">
        <f>VLOOKUP(AA708,frequency!$F$6:$H$818,3,FALSE)</f>
        <v>High</v>
      </c>
      <c r="AI708" s="129" t="str">
        <f>VLOOKUP(AA708,monetary!$B$5:$F$817,5,0)</f>
        <v>High</v>
      </c>
      <c r="AJ708" s="99" t="str">
        <f t="shared" si="108"/>
        <v>HHH</v>
      </c>
      <c r="AK708" s="99" t="str">
        <f>VLOOKUP(AJ708,rfm[],2,0)</f>
        <v>🥇 Champions</v>
      </c>
      <c r="AN708" s="99" t="b">
        <f t="shared" si="109"/>
        <v>1</v>
      </c>
    </row>
    <row r="709" spans="2:40" x14ac:dyDescent="0.3">
      <c r="B709" s="99" t="s">
        <v>731</v>
      </c>
      <c r="C709" s="100">
        <v>45782</v>
      </c>
      <c r="D709" s="99" t="s">
        <v>42</v>
      </c>
      <c r="E709" s="99" t="s">
        <v>43</v>
      </c>
      <c r="F709" s="99" t="s">
        <v>16</v>
      </c>
      <c r="G709" s="99">
        <v>15</v>
      </c>
      <c r="H709" s="112">
        <v>1200000</v>
      </c>
      <c r="I709" s="112">
        <v>18000000</v>
      </c>
      <c r="J709" s="99" t="s">
        <v>2256</v>
      </c>
      <c r="K709" s="99" t="s">
        <v>60</v>
      </c>
      <c r="N709" s="99" t="s">
        <v>2740</v>
      </c>
      <c r="O709" s="99" t="s">
        <v>127</v>
      </c>
      <c r="P709" s="100">
        <f t="shared" si="101"/>
        <v>45992</v>
      </c>
      <c r="Q709" s="101">
        <f t="shared" si="100"/>
        <v>31</v>
      </c>
      <c r="R709" s="99">
        <f t="shared" si="102"/>
        <v>5</v>
      </c>
      <c r="S709" s="101">
        <f t="shared" si="103"/>
        <v>1033750000</v>
      </c>
      <c r="T709" s="99" t="str">
        <f t="shared" si="104"/>
        <v>High</v>
      </c>
      <c r="U709" s="99" t="str">
        <f t="shared" si="105"/>
        <v>High</v>
      </c>
      <c r="V709" s="99" t="str">
        <f t="shared" si="106"/>
        <v>High</v>
      </c>
      <c r="W709" s="99" t="str">
        <f t="shared" si="107"/>
        <v>HHH</v>
      </c>
      <c r="X709" s="99" t="str">
        <f>VLOOKUP(W709,rfm[],2,FALSE)</f>
        <v>🥇 Champions</v>
      </c>
      <c r="AA709" s="99" t="s">
        <v>2740</v>
      </c>
      <c r="AB709" s="99" t="s">
        <v>127</v>
      </c>
      <c r="AC709" s="100">
        <v>45992</v>
      </c>
      <c r="AD709" s="101">
        <v>31</v>
      </c>
      <c r="AE709" s="101">
        <v>5</v>
      </c>
      <c r="AF709" s="101">
        <v>1033750000</v>
      </c>
      <c r="AG709" s="99" t="str">
        <f>VLOOKUP(AA709,recency!$K$6:$P$818,6,0)</f>
        <v>High</v>
      </c>
      <c r="AH709" s="132" t="str">
        <f>VLOOKUP(AA709,frequency!$F$6:$H$818,3,FALSE)</f>
        <v>High</v>
      </c>
      <c r="AI709" s="129" t="str">
        <f>VLOOKUP(AA709,monetary!$B$5:$F$817,5,0)</f>
        <v>High</v>
      </c>
      <c r="AJ709" s="99" t="str">
        <f t="shared" si="108"/>
        <v>HHH</v>
      </c>
      <c r="AK709" s="99" t="str">
        <f>VLOOKUP(AJ709,rfm[],2,0)</f>
        <v>🥇 Champions</v>
      </c>
      <c r="AN709" s="99" t="b">
        <f t="shared" si="109"/>
        <v>1</v>
      </c>
    </row>
    <row r="710" spans="2:40" x14ac:dyDescent="0.3">
      <c r="B710" s="99" t="s">
        <v>732</v>
      </c>
      <c r="C710" s="100">
        <v>45782</v>
      </c>
      <c r="D710" s="99" t="s">
        <v>18</v>
      </c>
      <c r="E710" s="99" t="s">
        <v>19</v>
      </c>
      <c r="F710" s="99" t="s">
        <v>20</v>
      </c>
      <c r="G710" s="99">
        <v>30</v>
      </c>
      <c r="H710" s="112">
        <v>500000</v>
      </c>
      <c r="I710" s="112">
        <v>15000000</v>
      </c>
      <c r="J710" s="99" t="s">
        <v>68</v>
      </c>
      <c r="K710" s="99" t="s">
        <v>8</v>
      </c>
      <c r="N710" s="99" t="s">
        <v>2741</v>
      </c>
      <c r="O710" s="99" t="s">
        <v>60</v>
      </c>
      <c r="P710" s="100">
        <f t="shared" si="101"/>
        <v>45819</v>
      </c>
      <c r="Q710" s="101">
        <f t="shared" ref="Q710:Q773" si="110">analysis_date-P710</f>
        <v>204</v>
      </c>
      <c r="R710" s="99">
        <f t="shared" si="102"/>
        <v>2</v>
      </c>
      <c r="S710" s="101">
        <f t="shared" si="103"/>
        <v>7660000</v>
      </c>
      <c r="T710" s="99" t="str">
        <f t="shared" si="104"/>
        <v>Low</v>
      </c>
      <c r="U710" s="99" t="str">
        <f t="shared" si="105"/>
        <v>Low</v>
      </c>
      <c r="V710" s="99" t="str">
        <f t="shared" si="106"/>
        <v>Low</v>
      </c>
      <c r="W710" s="99" t="str">
        <f t="shared" si="107"/>
        <v>LLL</v>
      </c>
      <c r="X710" s="99" t="str">
        <f>VLOOKUP(W710,rfm[],2,FALSE)</f>
        <v>💤 Lost / Low Value</v>
      </c>
      <c r="AA710" s="99" t="s">
        <v>2741</v>
      </c>
      <c r="AB710" s="99" t="s">
        <v>60</v>
      </c>
      <c r="AC710" s="100">
        <v>45819</v>
      </c>
      <c r="AD710" s="101">
        <v>204</v>
      </c>
      <c r="AE710" s="101">
        <v>2</v>
      </c>
      <c r="AF710" s="101">
        <v>7660000</v>
      </c>
      <c r="AG710" s="99" t="str">
        <f>VLOOKUP(AA710,recency!$K$6:$P$818,6,0)</f>
        <v>Low</v>
      </c>
      <c r="AH710" s="132" t="str">
        <f>VLOOKUP(AA710,frequency!$F$6:$H$818,3,FALSE)</f>
        <v>Low</v>
      </c>
      <c r="AI710" s="129" t="str">
        <f>VLOOKUP(AA710,monetary!$B$5:$F$817,5,0)</f>
        <v>Low</v>
      </c>
      <c r="AJ710" s="99" t="str">
        <f t="shared" si="108"/>
        <v>LLL</v>
      </c>
      <c r="AK710" s="99" t="str">
        <f>VLOOKUP(AJ710,rfm[],2,0)</f>
        <v>💤 Lost / Low Value</v>
      </c>
      <c r="AN710" s="99" t="b">
        <f t="shared" si="109"/>
        <v>1</v>
      </c>
    </row>
    <row r="711" spans="2:40" x14ac:dyDescent="0.3">
      <c r="B711" s="99" t="s">
        <v>733</v>
      </c>
      <c r="C711" s="100">
        <v>45785</v>
      </c>
      <c r="D711" s="99" t="s">
        <v>22</v>
      </c>
      <c r="E711" s="99" t="s">
        <v>23</v>
      </c>
      <c r="F711" s="99" t="s">
        <v>12</v>
      </c>
      <c r="G711" s="99">
        <v>22</v>
      </c>
      <c r="H711" s="112">
        <v>25000</v>
      </c>
      <c r="I711" s="112">
        <v>550000</v>
      </c>
      <c r="J711" s="99" t="s">
        <v>2154</v>
      </c>
      <c r="K711" s="99" t="s">
        <v>127</v>
      </c>
      <c r="N711" s="99" t="s">
        <v>2742</v>
      </c>
      <c r="O711" s="99" t="s">
        <v>8</v>
      </c>
      <c r="P711" s="100">
        <f t="shared" ref="P711:P774" si="111">_xlfn.MAXIFS($C$6:$C$2005,$J$6:$J$2005,N711)</f>
        <v>45968</v>
      </c>
      <c r="Q711" s="101">
        <f t="shared" si="110"/>
        <v>55</v>
      </c>
      <c r="R711" s="99">
        <f t="shared" ref="R711:R774" si="112">COUNTIFS($J$6:$J$2005,N711)</f>
        <v>1</v>
      </c>
      <c r="S711" s="101">
        <f t="shared" ref="S711:S774" si="113">SUMIFS($I$6:$I$2005,$J$6:$J$2005,N711)</f>
        <v>1250000</v>
      </c>
      <c r="T711" s="99" t="str">
        <f t="shared" ref="T711:T774" si="114">IF(Q711&lt;MEDIAN($Q$6:$Q$817),"High","Low")</f>
        <v>High</v>
      </c>
      <c r="U711" s="99" t="str">
        <f t="shared" ref="U711:U774" si="115">IF(R711&gt;MEDIAN($R$6:$R$817),"High","Low")</f>
        <v>Low</v>
      </c>
      <c r="V711" s="99" t="str">
        <f t="shared" ref="V711:V774" si="116">IF(S711&gt;MEDIAN($S$6:$S$817),"High","Low")</f>
        <v>Low</v>
      </c>
      <c r="W711" s="99" t="str">
        <f t="shared" ref="W711:W774" si="117">_xlfn.CONCAT(LEFT(T711,1),LEFT(U711,1),LEFT(V711,1))</f>
        <v>HLL</v>
      </c>
      <c r="X711" s="99" t="str">
        <f>VLOOKUP(W711,rfm[],2,FALSE)</f>
        <v>🌱 Potential Loyalists</v>
      </c>
      <c r="AA711" s="99" t="s">
        <v>2742</v>
      </c>
      <c r="AB711" s="99" t="s">
        <v>8</v>
      </c>
      <c r="AC711" s="100">
        <v>45968</v>
      </c>
      <c r="AD711" s="101">
        <v>55</v>
      </c>
      <c r="AE711" s="101">
        <v>1</v>
      </c>
      <c r="AF711" s="101">
        <v>1250000</v>
      </c>
      <c r="AG711" s="99" t="str">
        <f>VLOOKUP(AA711,recency!$K$6:$P$818,6,0)</f>
        <v>High</v>
      </c>
      <c r="AH711" s="132" t="str">
        <f>VLOOKUP(AA711,frequency!$F$6:$H$818,3,FALSE)</f>
        <v>Low</v>
      </c>
      <c r="AI711" s="129" t="str">
        <f>VLOOKUP(AA711,monetary!$B$5:$F$817,5,0)</f>
        <v>Low</v>
      </c>
      <c r="AJ711" s="99" t="str">
        <f t="shared" ref="AJ711:AJ774" si="118">_xlfn.CONCAT(LEFT(AG711,1),LEFT(AH711,1),LEFT(AI711,1))</f>
        <v>HLL</v>
      </c>
      <c r="AK711" s="99" t="str">
        <f>VLOOKUP(AJ711,rfm[],2,0)</f>
        <v>🌱 Potential Loyalists</v>
      </c>
      <c r="AN711" s="99" t="b">
        <f t="shared" ref="AN711:AN774" si="119">AJ711=W711</f>
        <v>1</v>
      </c>
    </row>
    <row r="712" spans="2:40" x14ac:dyDescent="0.3">
      <c r="B712" s="99" t="s">
        <v>734</v>
      </c>
      <c r="C712" s="100">
        <v>45785</v>
      </c>
      <c r="D712" s="99" t="s">
        <v>44</v>
      </c>
      <c r="E712" s="99" t="s">
        <v>45</v>
      </c>
      <c r="F712" s="99" t="s">
        <v>16</v>
      </c>
      <c r="G712" s="99">
        <v>370</v>
      </c>
      <c r="H712" s="112">
        <v>250000</v>
      </c>
      <c r="I712" s="112">
        <v>92500000</v>
      </c>
      <c r="J712" s="99" t="s">
        <v>2567</v>
      </c>
      <c r="K712" s="99" t="s">
        <v>8</v>
      </c>
      <c r="N712" s="99" t="s">
        <v>2743</v>
      </c>
      <c r="O712" s="99" t="s">
        <v>127</v>
      </c>
      <c r="P712" s="100">
        <f t="shared" si="111"/>
        <v>45747</v>
      </c>
      <c r="Q712" s="101">
        <f t="shared" si="110"/>
        <v>276</v>
      </c>
      <c r="R712" s="99">
        <f t="shared" si="112"/>
        <v>1</v>
      </c>
      <c r="S712" s="101">
        <f t="shared" si="113"/>
        <v>4750000</v>
      </c>
      <c r="T712" s="99" t="str">
        <f t="shared" si="114"/>
        <v>Low</v>
      </c>
      <c r="U712" s="99" t="str">
        <f t="shared" si="115"/>
        <v>Low</v>
      </c>
      <c r="V712" s="99" t="str">
        <f t="shared" si="116"/>
        <v>Low</v>
      </c>
      <c r="W712" s="99" t="str">
        <f t="shared" si="117"/>
        <v>LLL</v>
      </c>
      <c r="X712" s="99" t="str">
        <f>VLOOKUP(W712,rfm[],2,FALSE)</f>
        <v>💤 Lost / Low Value</v>
      </c>
      <c r="AA712" s="99" t="s">
        <v>2743</v>
      </c>
      <c r="AB712" s="99" t="s">
        <v>127</v>
      </c>
      <c r="AC712" s="100">
        <v>45747</v>
      </c>
      <c r="AD712" s="101">
        <v>276</v>
      </c>
      <c r="AE712" s="101">
        <v>1</v>
      </c>
      <c r="AF712" s="101">
        <v>4750000</v>
      </c>
      <c r="AG712" s="99" t="str">
        <f>VLOOKUP(AA712,recency!$K$6:$P$818,6,0)</f>
        <v>Low</v>
      </c>
      <c r="AH712" s="132" t="str">
        <f>VLOOKUP(AA712,frequency!$F$6:$H$818,3,FALSE)</f>
        <v>Low</v>
      </c>
      <c r="AI712" s="129" t="str">
        <f>VLOOKUP(AA712,monetary!$B$5:$F$817,5,0)</f>
        <v>Low</v>
      </c>
      <c r="AJ712" s="99" t="str">
        <f t="shared" si="118"/>
        <v>LLL</v>
      </c>
      <c r="AK712" s="99" t="str">
        <f>VLOOKUP(AJ712,rfm[],2,0)</f>
        <v>💤 Lost / Low Value</v>
      </c>
      <c r="AN712" s="99" t="b">
        <f t="shared" si="119"/>
        <v>1</v>
      </c>
    </row>
    <row r="713" spans="2:40" x14ac:dyDescent="0.3">
      <c r="B713" s="99" t="s">
        <v>753</v>
      </c>
      <c r="C713" s="100">
        <v>45785</v>
      </c>
      <c r="D713" s="99" t="s">
        <v>42</v>
      </c>
      <c r="E713" s="99" t="s">
        <v>43</v>
      </c>
      <c r="F713" s="99" t="s">
        <v>16</v>
      </c>
      <c r="G713" s="99">
        <v>23</v>
      </c>
      <c r="H713" s="112">
        <v>1200000</v>
      </c>
      <c r="I713" s="112">
        <v>27600000</v>
      </c>
      <c r="J713" s="99" t="s">
        <v>2421</v>
      </c>
      <c r="K713" s="99" t="s">
        <v>69</v>
      </c>
      <c r="N713" s="99" t="s">
        <v>2744</v>
      </c>
      <c r="O713" s="99" t="s">
        <v>127</v>
      </c>
      <c r="P713" s="100">
        <f t="shared" si="111"/>
        <v>45995</v>
      </c>
      <c r="Q713" s="101">
        <f t="shared" si="110"/>
        <v>28</v>
      </c>
      <c r="R713" s="99">
        <f t="shared" si="112"/>
        <v>3</v>
      </c>
      <c r="S713" s="101">
        <f t="shared" si="113"/>
        <v>25450000</v>
      </c>
      <c r="T713" s="99" t="str">
        <f t="shared" si="114"/>
        <v>High</v>
      </c>
      <c r="U713" s="99" t="str">
        <f t="shared" si="115"/>
        <v>High</v>
      </c>
      <c r="V713" s="99" t="str">
        <f t="shared" si="116"/>
        <v>High</v>
      </c>
      <c r="W713" s="99" t="str">
        <f t="shared" si="117"/>
        <v>HHH</v>
      </c>
      <c r="X713" s="99" t="str">
        <f>VLOOKUP(W713,rfm[],2,FALSE)</f>
        <v>🥇 Champions</v>
      </c>
      <c r="AA713" s="99" t="s">
        <v>2744</v>
      </c>
      <c r="AB713" s="99" t="s">
        <v>127</v>
      </c>
      <c r="AC713" s="100">
        <v>45995</v>
      </c>
      <c r="AD713" s="101">
        <v>28</v>
      </c>
      <c r="AE713" s="101">
        <v>3</v>
      </c>
      <c r="AF713" s="101">
        <v>25450000</v>
      </c>
      <c r="AG713" s="99" t="str">
        <f>VLOOKUP(AA713,recency!$K$6:$P$818,6,0)</f>
        <v>High</v>
      </c>
      <c r="AH713" s="132" t="str">
        <f>VLOOKUP(AA713,frequency!$F$6:$H$818,3,FALSE)</f>
        <v>High</v>
      </c>
      <c r="AI713" s="129" t="str">
        <f>VLOOKUP(AA713,monetary!$B$5:$F$817,5,0)</f>
        <v>Low</v>
      </c>
      <c r="AJ713" s="99" t="str">
        <f t="shared" si="118"/>
        <v>HHL</v>
      </c>
      <c r="AK713" s="99" t="str">
        <f>VLOOKUP(AJ713,rfm[],2,0)</f>
        <v>💎 Loyal High Value</v>
      </c>
      <c r="AN713" s="99" t="b">
        <f t="shared" si="119"/>
        <v>0</v>
      </c>
    </row>
    <row r="714" spans="2:40" x14ac:dyDescent="0.3">
      <c r="B714" s="99" t="s">
        <v>754</v>
      </c>
      <c r="C714" s="100">
        <v>45785</v>
      </c>
      <c r="D714" s="99" t="s">
        <v>44</v>
      </c>
      <c r="E714" s="99" t="s">
        <v>45</v>
      </c>
      <c r="F714" s="99" t="s">
        <v>16</v>
      </c>
      <c r="G714" s="99">
        <v>37</v>
      </c>
      <c r="H714" s="112">
        <v>250000</v>
      </c>
      <c r="I714" s="112">
        <v>9250000</v>
      </c>
      <c r="J714" s="99" t="s">
        <v>2260</v>
      </c>
      <c r="K714" s="99" t="s">
        <v>127</v>
      </c>
      <c r="N714" s="99" t="s">
        <v>2745</v>
      </c>
      <c r="O714" s="99" t="s">
        <v>47</v>
      </c>
      <c r="P714" s="100">
        <f t="shared" si="111"/>
        <v>45673</v>
      </c>
      <c r="Q714" s="101">
        <f t="shared" si="110"/>
        <v>350</v>
      </c>
      <c r="R714" s="99">
        <f t="shared" si="112"/>
        <v>1</v>
      </c>
      <c r="S714" s="101">
        <f t="shared" si="113"/>
        <v>9250000</v>
      </c>
      <c r="T714" s="99" t="str">
        <f t="shared" si="114"/>
        <v>Low</v>
      </c>
      <c r="U714" s="99" t="str">
        <f t="shared" si="115"/>
        <v>Low</v>
      </c>
      <c r="V714" s="99" t="str">
        <f t="shared" si="116"/>
        <v>Low</v>
      </c>
      <c r="W714" s="99" t="str">
        <f t="shared" si="117"/>
        <v>LLL</v>
      </c>
      <c r="X714" s="99" t="str">
        <f>VLOOKUP(W714,rfm[],2,FALSE)</f>
        <v>💤 Lost / Low Value</v>
      </c>
      <c r="AA714" s="99" t="s">
        <v>2745</v>
      </c>
      <c r="AB714" s="99" t="s">
        <v>47</v>
      </c>
      <c r="AC714" s="100">
        <v>45673</v>
      </c>
      <c r="AD714" s="101">
        <v>350</v>
      </c>
      <c r="AE714" s="101">
        <v>1</v>
      </c>
      <c r="AF714" s="101">
        <v>9250000</v>
      </c>
      <c r="AG714" s="99" t="str">
        <f>VLOOKUP(AA714,recency!$K$6:$P$818,6,0)</f>
        <v>Low</v>
      </c>
      <c r="AH714" s="132" t="str">
        <f>VLOOKUP(AA714,frequency!$F$6:$H$818,3,FALSE)</f>
        <v>Low</v>
      </c>
      <c r="AI714" s="129" t="str">
        <f>VLOOKUP(AA714,monetary!$B$5:$F$817,5,0)</f>
        <v>Low</v>
      </c>
      <c r="AJ714" s="99" t="str">
        <f t="shared" si="118"/>
        <v>LLL</v>
      </c>
      <c r="AK714" s="99" t="str">
        <f>VLOOKUP(AJ714,rfm[],2,0)</f>
        <v>💤 Lost / Low Value</v>
      </c>
      <c r="AN714" s="99" t="b">
        <f t="shared" si="119"/>
        <v>1</v>
      </c>
    </row>
    <row r="715" spans="2:40" x14ac:dyDescent="0.3">
      <c r="B715" s="99" t="s">
        <v>776</v>
      </c>
      <c r="C715" s="100">
        <v>45785</v>
      </c>
      <c r="D715" s="99" t="s">
        <v>28</v>
      </c>
      <c r="E715" s="99" t="s">
        <v>29</v>
      </c>
      <c r="F715" s="99" t="s">
        <v>20</v>
      </c>
      <c r="G715" s="99">
        <v>14</v>
      </c>
      <c r="H715" s="112">
        <v>450000</v>
      </c>
      <c r="I715" s="112">
        <v>6300000</v>
      </c>
      <c r="J715" s="99" t="s">
        <v>2546</v>
      </c>
      <c r="K715" s="99" t="s">
        <v>47</v>
      </c>
      <c r="N715" s="99" t="s">
        <v>2746</v>
      </c>
      <c r="O715" s="99" t="s">
        <v>127</v>
      </c>
      <c r="P715" s="100">
        <f t="shared" si="111"/>
        <v>46015</v>
      </c>
      <c r="Q715" s="101">
        <f t="shared" si="110"/>
        <v>8</v>
      </c>
      <c r="R715" s="99">
        <f t="shared" si="112"/>
        <v>4</v>
      </c>
      <c r="S715" s="101">
        <f t="shared" si="113"/>
        <v>28500000</v>
      </c>
      <c r="T715" s="99" t="str">
        <f t="shared" si="114"/>
        <v>High</v>
      </c>
      <c r="U715" s="99" t="str">
        <f t="shared" si="115"/>
        <v>High</v>
      </c>
      <c r="V715" s="99" t="str">
        <f t="shared" si="116"/>
        <v>High</v>
      </c>
      <c r="W715" s="99" t="str">
        <f t="shared" si="117"/>
        <v>HHH</v>
      </c>
      <c r="X715" s="99" t="str">
        <f>VLOOKUP(W715,rfm[],2,FALSE)</f>
        <v>🥇 Champions</v>
      </c>
      <c r="AA715" s="99" t="s">
        <v>2746</v>
      </c>
      <c r="AB715" s="99" t="s">
        <v>127</v>
      </c>
      <c r="AC715" s="100">
        <v>46015</v>
      </c>
      <c r="AD715" s="101">
        <v>8</v>
      </c>
      <c r="AE715" s="101">
        <v>4</v>
      </c>
      <c r="AF715" s="101">
        <v>28500000</v>
      </c>
      <c r="AG715" s="99" t="str">
        <f>VLOOKUP(AA715,recency!$K$6:$P$818,6,0)</f>
        <v>High</v>
      </c>
      <c r="AH715" s="132" t="str">
        <f>VLOOKUP(AA715,frequency!$F$6:$H$818,3,FALSE)</f>
        <v>High</v>
      </c>
      <c r="AI715" s="129" t="str">
        <f>VLOOKUP(AA715,monetary!$B$5:$F$817,5,0)</f>
        <v>Low</v>
      </c>
      <c r="AJ715" s="99" t="str">
        <f t="shared" si="118"/>
        <v>HHL</v>
      </c>
      <c r="AK715" s="99" t="str">
        <f>VLOOKUP(AJ715,rfm[],2,0)</f>
        <v>💎 Loyal High Value</v>
      </c>
      <c r="AN715" s="99" t="b">
        <f t="shared" si="119"/>
        <v>0</v>
      </c>
    </row>
    <row r="716" spans="2:40" x14ac:dyDescent="0.3">
      <c r="B716" s="99" t="s">
        <v>777</v>
      </c>
      <c r="C716" s="100">
        <v>45785</v>
      </c>
      <c r="D716" s="99" t="s">
        <v>28</v>
      </c>
      <c r="E716" s="99" t="s">
        <v>29</v>
      </c>
      <c r="F716" s="99" t="s">
        <v>20</v>
      </c>
      <c r="G716" s="99">
        <v>24</v>
      </c>
      <c r="H716" s="112">
        <v>450000</v>
      </c>
      <c r="I716" s="112">
        <v>10800000</v>
      </c>
      <c r="J716" s="99" t="s">
        <v>2601</v>
      </c>
      <c r="K716" s="99" t="s">
        <v>127</v>
      </c>
      <c r="N716" s="99" t="s">
        <v>2747</v>
      </c>
      <c r="O716" s="99" t="s">
        <v>8</v>
      </c>
      <c r="P716" s="100">
        <f t="shared" si="111"/>
        <v>45959</v>
      </c>
      <c r="Q716" s="101">
        <f t="shared" si="110"/>
        <v>64</v>
      </c>
      <c r="R716" s="99">
        <f t="shared" si="112"/>
        <v>3</v>
      </c>
      <c r="S716" s="101">
        <f t="shared" si="113"/>
        <v>37850000</v>
      </c>
      <c r="T716" s="99" t="str">
        <f t="shared" si="114"/>
        <v>High</v>
      </c>
      <c r="U716" s="99" t="str">
        <f t="shared" si="115"/>
        <v>High</v>
      </c>
      <c r="V716" s="99" t="str">
        <f t="shared" si="116"/>
        <v>High</v>
      </c>
      <c r="W716" s="99" t="str">
        <f t="shared" si="117"/>
        <v>HHH</v>
      </c>
      <c r="X716" s="99" t="str">
        <f>VLOOKUP(W716,rfm[],2,FALSE)</f>
        <v>🥇 Champions</v>
      </c>
      <c r="AA716" s="99" t="s">
        <v>2747</v>
      </c>
      <c r="AB716" s="99" t="s">
        <v>8</v>
      </c>
      <c r="AC716" s="100">
        <v>45959</v>
      </c>
      <c r="AD716" s="101">
        <v>64</v>
      </c>
      <c r="AE716" s="101">
        <v>3</v>
      </c>
      <c r="AF716" s="101">
        <v>37850000</v>
      </c>
      <c r="AG716" s="99" t="str">
        <f>VLOOKUP(AA716,recency!$K$6:$P$818,6,0)</f>
        <v>Low</v>
      </c>
      <c r="AH716" s="132" t="str">
        <f>VLOOKUP(AA716,frequency!$F$6:$H$818,3,FALSE)</f>
        <v>High</v>
      </c>
      <c r="AI716" s="129" t="str">
        <f>VLOOKUP(AA716,monetary!$B$5:$F$817,5,0)</f>
        <v>Low</v>
      </c>
      <c r="AJ716" s="99" t="str">
        <f t="shared" si="118"/>
        <v>LHL</v>
      </c>
      <c r="AK716" s="99" t="str">
        <f>VLOOKUP(AJ716,rfm[],2,0)</f>
        <v>🔁 Former Loyal Low Spend</v>
      </c>
      <c r="AN716" s="99" t="b">
        <f t="shared" si="119"/>
        <v>0</v>
      </c>
    </row>
    <row r="717" spans="2:40" x14ac:dyDescent="0.3">
      <c r="B717" s="99" t="s">
        <v>778</v>
      </c>
      <c r="C717" s="100">
        <v>45785</v>
      </c>
      <c r="D717" s="99" t="s">
        <v>10</v>
      </c>
      <c r="E717" s="99" t="s">
        <v>11</v>
      </c>
      <c r="F717" s="99" t="s">
        <v>12</v>
      </c>
      <c r="G717" s="99">
        <v>28</v>
      </c>
      <c r="H717" s="112">
        <v>120000</v>
      </c>
      <c r="I717" s="112">
        <v>3360000</v>
      </c>
      <c r="J717" s="99" t="s">
        <v>2319</v>
      </c>
      <c r="K717" s="99" t="s">
        <v>60</v>
      </c>
      <c r="N717" s="99" t="s">
        <v>2748</v>
      </c>
      <c r="O717" s="99" t="s">
        <v>60</v>
      </c>
      <c r="P717" s="100">
        <f t="shared" si="111"/>
        <v>45825</v>
      </c>
      <c r="Q717" s="101">
        <f t="shared" si="110"/>
        <v>198</v>
      </c>
      <c r="R717" s="99">
        <f t="shared" si="112"/>
        <v>1</v>
      </c>
      <c r="S717" s="101">
        <f t="shared" si="113"/>
        <v>2500000</v>
      </c>
      <c r="T717" s="99" t="str">
        <f t="shared" si="114"/>
        <v>Low</v>
      </c>
      <c r="U717" s="99" t="str">
        <f t="shared" si="115"/>
        <v>Low</v>
      </c>
      <c r="V717" s="99" t="str">
        <f t="shared" si="116"/>
        <v>Low</v>
      </c>
      <c r="W717" s="99" t="str">
        <f t="shared" si="117"/>
        <v>LLL</v>
      </c>
      <c r="X717" s="99" t="str">
        <f>VLOOKUP(W717,rfm[],2,FALSE)</f>
        <v>💤 Lost / Low Value</v>
      </c>
      <c r="AA717" s="99" t="s">
        <v>2748</v>
      </c>
      <c r="AB717" s="99" t="s">
        <v>60</v>
      </c>
      <c r="AC717" s="100">
        <v>45825</v>
      </c>
      <c r="AD717" s="101">
        <v>198</v>
      </c>
      <c r="AE717" s="101">
        <v>1</v>
      </c>
      <c r="AF717" s="101">
        <v>2500000</v>
      </c>
      <c r="AG717" s="99" t="str">
        <f>VLOOKUP(AA717,recency!$K$6:$P$818,6,0)</f>
        <v>Low</v>
      </c>
      <c r="AH717" s="132" t="str">
        <f>VLOOKUP(AA717,frequency!$F$6:$H$818,3,FALSE)</f>
        <v>Low</v>
      </c>
      <c r="AI717" s="129" t="str">
        <f>VLOOKUP(AA717,monetary!$B$5:$F$817,5,0)</f>
        <v>Low</v>
      </c>
      <c r="AJ717" s="99" t="str">
        <f t="shared" si="118"/>
        <v>LLL</v>
      </c>
      <c r="AK717" s="99" t="str">
        <f>VLOOKUP(AJ717,rfm[],2,0)</f>
        <v>💤 Lost / Low Value</v>
      </c>
      <c r="AN717" s="99" t="b">
        <f t="shared" si="119"/>
        <v>1</v>
      </c>
    </row>
    <row r="718" spans="2:40" x14ac:dyDescent="0.3">
      <c r="B718" s="99" t="s">
        <v>800</v>
      </c>
      <c r="C718" s="100">
        <v>45789</v>
      </c>
      <c r="D718" s="99" t="s">
        <v>44</v>
      </c>
      <c r="E718" s="99" t="s">
        <v>45</v>
      </c>
      <c r="F718" s="99" t="s">
        <v>16</v>
      </c>
      <c r="G718" s="99">
        <v>28</v>
      </c>
      <c r="H718" s="112">
        <v>250000</v>
      </c>
      <c r="I718" s="112">
        <v>7000000</v>
      </c>
      <c r="J718" s="99" t="s">
        <v>2447</v>
      </c>
      <c r="K718" s="99" t="s">
        <v>8</v>
      </c>
      <c r="N718" s="99" t="s">
        <v>2749</v>
      </c>
      <c r="O718" s="99" t="s">
        <v>47</v>
      </c>
      <c r="P718" s="100">
        <f t="shared" si="111"/>
        <v>45728</v>
      </c>
      <c r="Q718" s="101">
        <f t="shared" si="110"/>
        <v>295</v>
      </c>
      <c r="R718" s="99">
        <f t="shared" si="112"/>
        <v>1</v>
      </c>
      <c r="S718" s="101">
        <f t="shared" si="113"/>
        <v>16650000</v>
      </c>
      <c r="T718" s="99" t="str">
        <f t="shared" si="114"/>
        <v>Low</v>
      </c>
      <c r="U718" s="99" t="str">
        <f t="shared" si="115"/>
        <v>Low</v>
      </c>
      <c r="V718" s="99" t="str">
        <f t="shared" si="116"/>
        <v>Low</v>
      </c>
      <c r="W718" s="99" t="str">
        <f t="shared" si="117"/>
        <v>LLL</v>
      </c>
      <c r="X718" s="99" t="str">
        <f>VLOOKUP(W718,rfm[],2,FALSE)</f>
        <v>💤 Lost / Low Value</v>
      </c>
      <c r="AA718" s="99" t="s">
        <v>2749</v>
      </c>
      <c r="AB718" s="99" t="s">
        <v>47</v>
      </c>
      <c r="AC718" s="100">
        <v>45728</v>
      </c>
      <c r="AD718" s="101">
        <v>295</v>
      </c>
      <c r="AE718" s="101">
        <v>1</v>
      </c>
      <c r="AF718" s="101">
        <v>16650000</v>
      </c>
      <c r="AG718" s="99" t="str">
        <f>VLOOKUP(AA718,recency!$K$6:$P$818,6,0)</f>
        <v>Low</v>
      </c>
      <c r="AH718" s="132" t="str">
        <f>VLOOKUP(AA718,frequency!$F$6:$H$818,3,FALSE)</f>
        <v>Low</v>
      </c>
      <c r="AI718" s="129" t="str">
        <f>VLOOKUP(AA718,monetary!$B$5:$F$817,5,0)</f>
        <v>Low</v>
      </c>
      <c r="AJ718" s="99" t="str">
        <f t="shared" si="118"/>
        <v>LLL</v>
      </c>
      <c r="AK718" s="99" t="str">
        <f>VLOOKUP(AJ718,rfm[],2,0)</f>
        <v>💤 Lost / Low Value</v>
      </c>
      <c r="AN718" s="99" t="b">
        <f t="shared" si="119"/>
        <v>1</v>
      </c>
    </row>
    <row r="719" spans="2:40" x14ac:dyDescent="0.3">
      <c r="B719" s="99" t="s">
        <v>830</v>
      </c>
      <c r="C719" s="100">
        <v>45789</v>
      </c>
      <c r="D719" s="99" t="s">
        <v>18</v>
      </c>
      <c r="E719" s="99" t="s">
        <v>19</v>
      </c>
      <c r="F719" s="99" t="s">
        <v>20</v>
      </c>
      <c r="G719" s="99">
        <v>30</v>
      </c>
      <c r="H719" s="112">
        <v>500000</v>
      </c>
      <c r="I719" s="112">
        <v>15000000</v>
      </c>
      <c r="J719" s="99" t="s">
        <v>573</v>
      </c>
      <c r="K719" s="99" t="s">
        <v>47</v>
      </c>
      <c r="N719" s="99" t="s">
        <v>2750</v>
      </c>
      <c r="O719" s="99" t="s">
        <v>127</v>
      </c>
      <c r="P719" s="100">
        <f t="shared" si="111"/>
        <v>46022</v>
      </c>
      <c r="Q719" s="101">
        <f t="shared" si="110"/>
        <v>1</v>
      </c>
      <c r="R719" s="99">
        <f t="shared" si="112"/>
        <v>4</v>
      </c>
      <c r="S719" s="101">
        <f t="shared" si="113"/>
        <v>57450000</v>
      </c>
      <c r="T719" s="99" t="str">
        <f t="shared" si="114"/>
        <v>High</v>
      </c>
      <c r="U719" s="99" t="str">
        <f t="shared" si="115"/>
        <v>High</v>
      </c>
      <c r="V719" s="99" t="str">
        <f t="shared" si="116"/>
        <v>High</v>
      </c>
      <c r="W719" s="99" t="str">
        <f t="shared" si="117"/>
        <v>HHH</v>
      </c>
      <c r="X719" s="99" t="str">
        <f>VLOOKUP(W719,rfm[],2,FALSE)</f>
        <v>🥇 Champions</v>
      </c>
      <c r="AA719" s="99" t="s">
        <v>2750</v>
      </c>
      <c r="AB719" s="99" t="s">
        <v>127</v>
      </c>
      <c r="AC719" s="100">
        <v>46022</v>
      </c>
      <c r="AD719" s="101">
        <v>1</v>
      </c>
      <c r="AE719" s="101">
        <v>4</v>
      </c>
      <c r="AF719" s="101">
        <v>57450000</v>
      </c>
      <c r="AG719" s="99" t="str">
        <f>VLOOKUP(AA719,recency!$K$6:$P$818,6,0)</f>
        <v>High</v>
      </c>
      <c r="AH719" s="132" t="str">
        <f>VLOOKUP(AA719,frequency!$F$6:$H$818,3,FALSE)</f>
        <v>High</v>
      </c>
      <c r="AI719" s="129" t="str">
        <f>VLOOKUP(AA719,monetary!$B$5:$F$817,5,0)</f>
        <v>High</v>
      </c>
      <c r="AJ719" s="99" t="str">
        <f t="shared" si="118"/>
        <v>HHH</v>
      </c>
      <c r="AK719" s="99" t="str">
        <f>VLOOKUP(AJ719,rfm[],2,0)</f>
        <v>🥇 Champions</v>
      </c>
      <c r="AN719" s="99" t="b">
        <f t="shared" si="119"/>
        <v>1</v>
      </c>
    </row>
    <row r="720" spans="2:40" x14ac:dyDescent="0.3">
      <c r="B720" s="99" t="s">
        <v>831</v>
      </c>
      <c r="C720" s="100">
        <v>45789</v>
      </c>
      <c r="D720" s="99" t="s">
        <v>10</v>
      </c>
      <c r="E720" s="99" t="s">
        <v>11</v>
      </c>
      <c r="F720" s="99" t="s">
        <v>12</v>
      </c>
      <c r="G720" s="99">
        <v>7</v>
      </c>
      <c r="H720" s="112">
        <v>120000</v>
      </c>
      <c r="I720" s="112">
        <v>840000</v>
      </c>
      <c r="J720" s="99" t="s">
        <v>258</v>
      </c>
      <c r="K720" s="99" t="s">
        <v>47</v>
      </c>
      <c r="N720" s="99" t="s">
        <v>2751</v>
      </c>
      <c r="O720" s="99" t="s">
        <v>127</v>
      </c>
      <c r="P720" s="100">
        <f t="shared" si="111"/>
        <v>45968</v>
      </c>
      <c r="Q720" s="101">
        <f t="shared" si="110"/>
        <v>55</v>
      </c>
      <c r="R720" s="99">
        <f t="shared" si="112"/>
        <v>2</v>
      </c>
      <c r="S720" s="101">
        <f t="shared" si="113"/>
        <v>13950000</v>
      </c>
      <c r="T720" s="99" t="str">
        <f t="shared" si="114"/>
        <v>High</v>
      </c>
      <c r="U720" s="99" t="str">
        <f t="shared" si="115"/>
        <v>Low</v>
      </c>
      <c r="V720" s="99" t="str">
        <f t="shared" si="116"/>
        <v>Low</v>
      </c>
      <c r="W720" s="99" t="str">
        <f t="shared" si="117"/>
        <v>HLL</v>
      </c>
      <c r="X720" s="99" t="str">
        <f>VLOOKUP(W720,rfm[],2,FALSE)</f>
        <v>🌱 Potential Loyalists</v>
      </c>
      <c r="AA720" s="99" t="s">
        <v>2751</v>
      </c>
      <c r="AB720" s="99" t="s">
        <v>127</v>
      </c>
      <c r="AC720" s="100">
        <v>45968</v>
      </c>
      <c r="AD720" s="101">
        <v>55</v>
      </c>
      <c r="AE720" s="101">
        <v>2</v>
      </c>
      <c r="AF720" s="101">
        <v>13950000</v>
      </c>
      <c r="AG720" s="99" t="str">
        <f>VLOOKUP(AA720,recency!$K$6:$P$818,6,0)</f>
        <v>High</v>
      </c>
      <c r="AH720" s="132" t="str">
        <f>VLOOKUP(AA720,frequency!$F$6:$H$818,3,FALSE)</f>
        <v>Low</v>
      </c>
      <c r="AI720" s="129" t="str">
        <f>VLOOKUP(AA720,monetary!$B$5:$F$817,5,0)</f>
        <v>Low</v>
      </c>
      <c r="AJ720" s="99" t="str">
        <f t="shared" si="118"/>
        <v>HLL</v>
      </c>
      <c r="AK720" s="99" t="str">
        <f>VLOOKUP(AJ720,rfm[],2,0)</f>
        <v>🌱 Potential Loyalists</v>
      </c>
      <c r="AN720" s="99" t="b">
        <f t="shared" si="119"/>
        <v>1</v>
      </c>
    </row>
    <row r="721" spans="2:40" x14ac:dyDescent="0.3">
      <c r="B721" s="99" t="s">
        <v>842</v>
      </c>
      <c r="C721" s="100">
        <v>45789</v>
      </c>
      <c r="D721" s="99" t="s">
        <v>14</v>
      </c>
      <c r="E721" s="99" t="s">
        <v>15</v>
      </c>
      <c r="F721" s="99" t="s">
        <v>16</v>
      </c>
      <c r="G721" s="99">
        <v>500</v>
      </c>
      <c r="H721" s="112">
        <v>350000</v>
      </c>
      <c r="I721" s="112">
        <v>175000000</v>
      </c>
      <c r="J721" s="99" t="s">
        <v>2235</v>
      </c>
      <c r="K721" s="99" t="s">
        <v>127</v>
      </c>
      <c r="N721" s="99" t="s">
        <v>2752</v>
      </c>
      <c r="O721" s="99" t="s">
        <v>127</v>
      </c>
      <c r="P721" s="100">
        <f t="shared" si="111"/>
        <v>46013</v>
      </c>
      <c r="Q721" s="101">
        <f t="shared" si="110"/>
        <v>10</v>
      </c>
      <c r="R721" s="99">
        <f t="shared" si="112"/>
        <v>2</v>
      </c>
      <c r="S721" s="101">
        <f t="shared" si="113"/>
        <v>34550000</v>
      </c>
      <c r="T721" s="99" t="str">
        <f t="shared" si="114"/>
        <v>High</v>
      </c>
      <c r="U721" s="99" t="str">
        <f t="shared" si="115"/>
        <v>Low</v>
      </c>
      <c r="V721" s="99" t="str">
        <f t="shared" si="116"/>
        <v>High</v>
      </c>
      <c r="W721" s="99" t="str">
        <f t="shared" si="117"/>
        <v>HLH</v>
      </c>
      <c r="X721" s="99" t="str">
        <f>VLOOKUP(W721,rfm[],2,FALSE)</f>
        <v>🛒 Big Spenders (Occasional)</v>
      </c>
      <c r="AA721" s="99" t="s">
        <v>2752</v>
      </c>
      <c r="AB721" s="99" t="s">
        <v>127</v>
      </c>
      <c r="AC721" s="100">
        <v>46013</v>
      </c>
      <c r="AD721" s="101">
        <v>10</v>
      </c>
      <c r="AE721" s="101">
        <v>2</v>
      </c>
      <c r="AF721" s="101">
        <v>34550000</v>
      </c>
      <c r="AG721" s="99" t="str">
        <f>VLOOKUP(AA721,recency!$K$6:$P$818,6,0)</f>
        <v>High</v>
      </c>
      <c r="AH721" s="132" t="str">
        <f>VLOOKUP(AA721,frequency!$F$6:$H$818,3,FALSE)</f>
        <v>Low</v>
      </c>
      <c r="AI721" s="129" t="str">
        <f>VLOOKUP(AA721,monetary!$B$5:$F$817,5,0)</f>
        <v>Low</v>
      </c>
      <c r="AJ721" s="99" t="str">
        <f t="shared" si="118"/>
        <v>HLL</v>
      </c>
      <c r="AK721" s="99" t="str">
        <f>VLOOKUP(AJ721,rfm[],2,0)</f>
        <v>🌱 Potential Loyalists</v>
      </c>
      <c r="AN721" s="99" t="b">
        <f t="shared" si="119"/>
        <v>0</v>
      </c>
    </row>
    <row r="722" spans="2:40" x14ac:dyDescent="0.3">
      <c r="B722" s="99" t="s">
        <v>868</v>
      </c>
      <c r="C722" s="100">
        <v>45789</v>
      </c>
      <c r="D722" s="99" t="s">
        <v>38</v>
      </c>
      <c r="E722" s="99" t="s">
        <v>39</v>
      </c>
      <c r="F722" s="99" t="s">
        <v>16</v>
      </c>
      <c r="G722" s="99">
        <v>27</v>
      </c>
      <c r="H722" s="112">
        <v>200000</v>
      </c>
      <c r="I722" s="112">
        <v>5400000</v>
      </c>
      <c r="J722" s="99" t="s">
        <v>2820</v>
      </c>
      <c r="K722" s="99" t="s">
        <v>127</v>
      </c>
      <c r="N722" s="99" t="s">
        <v>2753</v>
      </c>
      <c r="O722" s="99" t="s">
        <v>47</v>
      </c>
      <c r="P722" s="100">
        <f t="shared" si="111"/>
        <v>45978</v>
      </c>
      <c r="Q722" s="101">
        <f t="shared" si="110"/>
        <v>45</v>
      </c>
      <c r="R722" s="99">
        <f t="shared" si="112"/>
        <v>7</v>
      </c>
      <c r="S722" s="101">
        <f t="shared" si="113"/>
        <v>938250000</v>
      </c>
      <c r="T722" s="99" t="str">
        <f t="shared" si="114"/>
        <v>High</v>
      </c>
      <c r="U722" s="99" t="str">
        <f t="shared" si="115"/>
        <v>High</v>
      </c>
      <c r="V722" s="99" t="str">
        <f t="shared" si="116"/>
        <v>High</v>
      </c>
      <c r="W722" s="99" t="str">
        <f t="shared" si="117"/>
        <v>HHH</v>
      </c>
      <c r="X722" s="99" t="str">
        <f>VLOOKUP(W722,rfm[],2,FALSE)</f>
        <v>🥇 Champions</v>
      </c>
      <c r="AA722" s="99" t="s">
        <v>2753</v>
      </c>
      <c r="AB722" s="99" t="s">
        <v>47</v>
      </c>
      <c r="AC722" s="100">
        <v>45978</v>
      </c>
      <c r="AD722" s="101">
        <v>45</v>
      </c>
      <c r="AE722" s="101">
        <v>7</v>
      </c>
      <c r="AF722" s="101">
        <v>938250000</v>
      </c>
      <c r="AG722" s="99" t="str">
        <f>VLOOKUP(AA722,recency!$K$6:$P$818,6,0)</f>
        <v>High</v>
      </c>
      <c r="AH722" s="132" t="str">
        <f>VLOOKUP(AA722,frequency!$F$6:$H$818,3,FALSE)</f>
        <v>High</v>
      </c>
      <c r="AI722" s="129" t="str">
        <f>VLOOKUP(AA722,monetary!$B$5:$F$817,5,0)</f>
        <v>High</v>
      </c>
      <c r="AJ722" s="99" t="str">
        <f t="shared" si="118"/>
        <v>HHH</v>
      </c>
      <c r="AK722" s="99" t="str">
        <f>VLOOKUP(AJ722,rfm[],2,0)</f>
        <v>🥇 Champions</v>
      </c>
      <c r="AN722" s="99" t="b">
        <f t="shared" si="119"/>
        <v>1</v>
      </c>
    </row>
    <row r="723" spans="2:40" x14ac:dyDescent="0.3">
      <c r="B723" s="99" t="s">
        <v>869</v>
      </c>
      <c r="C723" s="100">
        <v>45789</v>
      </c>
      <c r="D723" s="99" t="s">
        <v>40</v>
      </c>
      <c r="E723" s="99" t="s">
        <v>41</v>
      </c>
      <c r="F723" s="99" t="s">
        <v>16</v>
      </c>
      <c r="G723" s="99">
        <v>31</v>
      </c>
      <c r="H723" s="112">
        <v>950000</v>
      </c>
      <c r="I723" s="112">
        <v>29450000</v>
      </c>
      <c r="J723" s="99" t="s">
        <v>2800</v>
      </c>
      <c r="K723" s="99" t="s">
        <v>69</v>
      </c>
      <c r="N723" s="99" t="s">
        <v>2754</v>
      </c>
      <c r="O723" s="99" t="s">
        <v>127</v>
      </c>
      <c r="P723" s="100">
        <f t="shared" si="111"/>
        <v>45999</v>
      </c>
      <c r="Q723" s="101">
        <f t="shared" si="110"/>
        <v>24</v>
      </c>
      <c r="R723" s="99">
        <f t="shared" si="112"/>
        <v>5</v>
      </c>
      <c r="S723" s="101">
        <f t="shared" si="113"/>
        <v>55800000</v>
      </c>
      <c r="T723" s="99" t="str">
        <f t="shared" si="114"/>
        <v>High</v>
      </c>
      <c r="U723" s="99" t="str">
        <f t="shared" si="115"/>
        <v>High</v>
      </c>
      <c r="V723" s="99" t="str">
        <f t="shared" si="116"/>
        <v>High</v>
      </c>
      <c r="W723" s="99" t="str">
        <f t="shared" si="117"/>
        <v>HHH</v>
      </c>
      <c r="X723" s="99" t="str">
        <f>VLOOKUP(W723,rfm[],2,FALSE)</f>
        <v>🥇 Champions</v>
      </c>
      <c r="AA723" s="99" t="s">
        <v>2754</v>
      </c>
      <c r="AB723" s="99" t="s">
        <v>127</v>
      </c>
      <c r="AC723" s="100">
        <v>45999</v>
      </c>
      <c r="AD723" s="101">
        <v>24</v>
      </c>
      <c r="AE723" s="101">
        <v>5</v>
      </c>
      <c r="AF723" s="101">
        <v>55800000</v>
      </c>
      <c r="AG723" s="99" t="str">
        <f>VLOOKUP(AA723,recency!$K$6:$P$818,6,0)</f>
        <v>High</v>
      </c>
      <c r="AH723" s="132" t="str">
        <f>VLOOKUP(AA723,frequency!$F$6:$H$818,3,FALSE)</f>
        <v>High</v>
      </c>
      <c r="AI723" s="129" t="str">
        <f>VLOOKUP(AA723,monetary!$B$5:$F$817,5,0)</f>
        <v>High</v>
      </c>
      <c r="AJ723" s="99" t="str">
        <f t="shared" si="118"/>
        <v>HHH</v>
      </c>
      <c r="AK723" s="99" t="str">
        <f>VLOOKUP(AJ723,rfm[],2,0)</f>
        <v>🥇 Champions</v>
      </c>
      <c r="AN723" s="99" t="b">
        <f t="shared" si="119"/>
        <v>1</v>
      </c>
    </row>
    <row r="724" spans="2:40" x14ac:dyDescent="0.3">
      <c r="B724" s="99" t="s">
        <v>870</v>
      </c>
      <c r="C724" s="100">
        <v>45789</v>
      </c>
      <c r="D724" s="99" t="s">
        <v>28</v>
      </c>
      <c r="E724" s="99" t="s">
        <v>29</v>
      </c>
      <c r="F724" s="99" t="s">
        <v>20</v>
      </c>
      <c r="G724" s="99">
        <v>43</v>
      </c>
      <c r="H724" s="112">
        <v>450000</v>
      </c>
      <c r="I724" s="112">
        <v>19350000</v>
      </c>
      <c r="J724" s="99" t="s">
        <v>2627</v>
      </c>
      <c r="K724" s="99" t="s">
        <v>8</v>
      </c>
      <c r="N724" s="99" t="s">
        <v>2755</v>
      </c>
      <c r="O724" s="99" t="s">
        <v>8</v>
      </c>
      <c r="P724" s="100">
        <f t="shared" si="111"/>
        <v>45874</v>
      </c>
      <c r="Q724" s="101">
        <f t="shared" si="110"/>
        <v>149</v>
      </c>
      <c r="R724" s="99">
        <f t="shared" si="112"/>
        <v>2</v>
      </c>
      <c r="S724" s="101">
        <f t="shared" si="113"/>
        <v>13610000</v>
      </c>
      <c r="T724" s="99" t="str">
        <f t="shared" si="114"/>
        <v>Low</v>
      </c>
      <c r="U724" s="99" t="str">
        <f t="shared" si="115"/>
        <v>Low</v>
      </c>
      <c r="V724" s="99" t="str">
        <f t="shared" si="116"/>
        <v>Low</v>
      </c>
      <c r="W724" s="99" t="str">
        <f t="shared" si="117"/>
        <v>LLL</v>
      </c>
      <c r="X724" s="99" t="str">
        <f>VLOOKUP(W724,rfm[],2,FALSE)</f>
        <v>💤 Lost / Low Value</v>
      </c>
      <c r="AA724" s="99" t="s">
        <v>2755</v>
      </c>
      <c r="AB724" s="99" t="s">
        <v>8</v>
      </c>
      <c r="AC724" s="100">
        <v>45874</v>
      </c>
      <c r="AD724" s="101">
        <v>149</v>
      </c>
      <c r="AE724" s="101">
        <v>2</v>
      </c>
      <c r="AF724" s="101">
        <v>13610000</v>
      </c>
      <c r="AG724" s="99" t="str">
        <f>VLOOKUP(AA724,recency!$K$6:$P$818,6,0)</f>
        <v>Low</v>
      </c>
      <c r="AH724" s="132" t="str">
        <f>VLOOKUP(AA724,frequency!$F$6:$H$818,3,FALSE)</f>
        <v>Low</v>
      </c>
      <c r="AI724" s="129" t="str">
        <f>VLOOKUP(AA724,monetary!$B$5:$F$817,5,0)</f>
        <v>Low</v>
      </c>
      <c r="AJ724" s="99" t="str">
        <f t="shared" si="118"/>
        <v>LLL</v>
      </c>
      <c r="AK724" s="99" t="str">
        <f>VLOOKUP(AJ724,rfm[],2,0)</f>
        <v>💤 Lost / Low Value</v>
      </c>
      <c r="AN724" s="99" t="b">
        <f t="shared" si="119"/>
        <v>1</v>
      </c>
    </row>
    <row r="725" spans="2:40" x14ac:dyDescent="0.3">
      <c r="B725" s="99" t="s">
        <v>886</v>
      </c>
      <c r="C725" s="100">
        <v>45789</v>
      </c>
      <c r="D725" s="99" t="s">
        <v>28</v>
      </c>
      <c r="E725" s="99" t="s">
        <v>29</v>
      </c>
      <c r="F725" s="99" t="s">
        <v>20</v>
      </c>
      <c r="G725" s="99">
        <v>30</v>
      </c>
      <c r="H725" s="112">
        <v>450000</v>
      </c>
      <c r="I725" s="112">
        <v>13500000</v>
      </c>
      <c r="J725" s="99" t="s">
        <v>2719</v>
      </c>
      <c r="K725" s="99" t="s">
        <v>69</v>
      </c>
      <c r="N725" s="99" t="s">
        <v>2756</v>
      </c>
      <c r="O725" s="99" t="s">
        <v>47</v>
      </c>
      <c r="P725" s="100">
        <f t="shared" si="111"/>
        <v>46015</v>
      </c>
      <c r="Q725" s="101">
        <f t="shared" si="110"/>
        <v>8</v>
      </c>
      <c r="R725" s="99">
        <f t="shared" si="112"/>
        <v>3</v>
      </c>
      <c r="S725" s="101">
        <f t="shared" si="113"/>
        <v>31475000</v>
      </c>
      <c r="T725" s="99" t="str">
        <f t="shared" si="114"/>
        <v>High</v>
      </c>
      <c r="U725" s="99" t="str">
        <f t="shared" si="115"/>
        <v>High</v>
      </c>
      <c r="V725" s="99" t="str">
        <f t="shared" si="116"/>
        <v>High</v>
      </c>
      <c r="W725" s="99" t="str">
        <f t="shared" si="117"/>
        <v>HHH</v>
      </c>
      <c r="X725" s="99" t="str">
        <f>VLOOKUP(W725,rfm[],2,FALSE)</f>
        <v>🥇 Champions</v>
      </c>
      <c r="AA725" s="99" t="s">
        <v>2756</v>
      </c>
      <c r="AB725" s="99" t="s">
        <v>47</v>
      </c>
      <c r="AC725" s="100">
        <v>46015</v>
      </c>
      <c r="AD725" s="101">
        <v>8</v>
      </c>
      <c r="AE725" s="101">
        <v>3</v>
      </c>
      <c r="AF725" s="101">
        <v>31475000</v>
      </c>
      <c r="AG725" s="99" t="str">
        <f>VLOOKUP(AA725,recency!$K$6:$P$818,6,0)</f>
        <v>High</v>
      </c>
      <c r="AH725" s="132" t="str">
        <f>VLOOKUP(AA725,frequency!$F$6:$H$818,3,FALSE)</f>
        <v>High</v>
      </c>
      <c r="AI725" s="129" t="str">
        <f>VLOOKUP(AA725,monetary!$B$5:$F$817,5,0)</f>
        <v>Low</v>
      </c>
      <c r="AJ725" s="99" t="str">
        <f t="shared" si="118"/>
        <v>HHL</v>
      </c>
      <c r="AK725" s="99" t="str">
        <f>VLOOKUP(AJ725,rfm[],2,0)</f>
        <v>💎 Loyal High Value</v>
      </c>
      <c r="AN725" s="99" t="b">
        <f t="shared" si="119"/>
        <v>0</v>
      </c>
    </row>
    <row r="726" spans="2:40" x14ac:dyDescent="0.3">
      <c r="B726" s="99" t="s">
        <v>887</v>
      </c>
      <c r="C726" s="100">
        <v>45789</v>
      </c>
      <c r="D726" s="99" t="s">
        <v>31</v>
      </c>
      <c r="E726" s="99" t="s">
        <v>32</v>
      </c>
      <c r="F726" s="99" t="s">
        <v>20</v>
      </c>
      <c r="G726" s="99">
        <v>490</v>
      </c>
      <c r="H726" s="112">
        <v>180000</v>
      </c>
      <c r="I726" s="112">
        <v>88200000</v>
      </c>
      <c r="J726" s="99" t="s">
        <v>2668</v>
      </c>
      <c r="K726" s="99" t="s">
        <v>127</v>
      </c>
      <c r="N726" s="99" t="s">
        <v>2757</v>
      </c>
      <c r="O726" s="99" t="s">
        <v>127</v>
      </c>
      <c r="P726" s="100">
        <f t="shared" si="111"/>
        <v>45960</v>
      </c>
      <c r="Q726" s="101">
        <f t="shared" si="110"/>
        <v>63</v>
      </c>
      <c r="R726" s="99">
        <f t="shared" si="112"/>
        <v>4</v>
      </c>
      <c r="S726" s="101">
        <f t="shared" si="113"/>
        <v>17900000</v>
      </c>
      <c r="T726" s="99" t="str">
        <f t="shared" si="114"/>
        <v>High</v>
      </c>
      <c r="U726" s="99" t="str">
        <f t="shared" si="115"/>
        <v>High</v>
      </c>
      <c r="V726" s="99" t="str">
        <f t="shared" si="116"/>
        <v>Low</v>
      </c>
      <c r="W726" s="99" t="str">
        <f t="shared" si="117"/>
        <v>HHL</v>
      </c>
      <c r="X726" s="99" t="str">
        <f>VLOOKUP(W726,rfm[],2,FALSE)</f>
        <v>💎 Loyal High Value</v>
      </c>
      <c r="AA726" s="99" t="s">
        <v>2757</v>
      </c>
      <c r="AB726" s="99" t="s">
        <v>127</v>
      </c>
      <c r="AC726" s="100">
        <v>45960</v>
      </c>
      <c r="AD726" s="101">
        <v>63</v>
      </c>
      <c r="AE726" s="101">
        <v>4</v>
      </c>
      <c r="AF726" s="101">
        <v>17900000</v>
      </c>
      <c r="AG726" s="99" t="str">
        <f>VLOOKUP(AA726,recency!$K$6:$P$818,6,0)</f>
        <v>Low</v>
      </c>
      <c r="AH726" s="132" t="str">
        <f>VLOOKUP(AA726,frequency!$F$6:$H$818,3,FALSE)</f>
        <v>High</v>
      </c>
      <c r="AI726" s="129" t="str">
        <f>VLOOKUP(AA726,monetary!$B$5:$F$817,5,0)</f>
        <v>Low</v>
      </c>
      <c r="AJ726" s="99" t="str">
        <f t="shared" si="118"/>
        <v>LHL</v>
      </c>
      <c r="AK726" s="99" t="str">
        <f>VLOOKUP(AJ726,rfm[],2,0)</f>
        <v>🔁 Former Loyal Low Spend</v>
      </c>
      <c r="AN726" s="99" t="b">
        <f t="shared" si="119"/>
        <v>0</v>
      </c>
    </row>
    <row r="727" spans="2:40" x14ac:dyDescent="0.3">
      <c r="B727" s="99" t="s">
        <v>905</v>
      </c>
      <c r="C727" s="100">
        <v>45789</v>
      </c>
      <c r="D727" s="99" t="s">
        <v>14</v>
      </c>
      <c r="E727" s="99" t="s">
        <v>15</v>
      </c>
      <c r="F727" s="99" t="s">
        <v>16</v>
      </c>
      <c r="G727" s="99">
        <v>460</v>
      </c>
      <c r="H727" s="112">
        <v>350000</v>
      </c>
      <c r="I727" s="112">
        <v>161000000</v>
      </c>
      <c r="J727" s="99" t="s">
        <v>2233</v>
      </c>
      <c r="K727" s="99" t="s">
        <v>8</v>
      </c>
      <c r="N727" s="99" t="s">
        <v>2758</v>
      </c>
      <c r="O727" s="99" t="s">
        <v>60</v>
      </c>
      <c r="P727" s="100">
        <f t="shared" si="111"/>
        <v>45849</v>
      </c>
      <c r="Q727" s="101">
        <f t="shared" si="110"/>
        <v>174</v>
      </c>
      <c r="R727" s="99">
        <f t="shared" si="112"/>
        <v>1</v>
      </c>
      <c r="S727" s="101">
        <f t="shared" si="113"/>
        <v>425000</v>
      </c>
      <c r="T727" s="99" t="str">
        <f t="shared" si="114"/>
        <v>Low</v>
      </c>
      <c r="U727" s="99" t="str">
        <f t="shared" si="115"/>
        <v>Low</v>
      </c>
      <c r="V727" s="99" t="str">
        <f t="shared" si="116"/>
        <v>Low</v>
      </c>
      <c r="W727" s="99" t="str">
        <f t="shared" si="117"/>
        <v>LLL</v>
      </c>
      <c r="X727" s="99" t="str">
        <f>VLOOKUP(W727,rfm[],2,FALSE)</f>
        <v>💤 Lost / Low Value</v>
      </c>
      <c r="AA727" s="99" t="s">
        <v>2758</v>
      </c>
      <c r="AB727" s="99" t="s">
        <v>60</v>
      </c>
      <c r="AC727" s="100">
        <v>45849</v>
      </c>
      <c r="AD727" s="101">
        <v>174</v>
      </c>
      <c r="AE727" s="101">
        <v>1</v>
      </c>
      <c r="AF727" s="101">
        <v>425000</v>
      </c>
      <c r="AG727" s="99" t="str">
        <f>VLOOKUP(AA727,recency!$K$6:$P$818,6,0)</f>
        <v>Low</v>
      </c>
      <c r="AH727" s="132" t="str">
        <f>VLOOKUP(AA727,frequency!$F$6:$H$818,3,FALSE)</f>
        <v>Low</v>
      </c>
      <c r="AI727" s="129" t="str">
        <f>VLOOKUP(AA727,monetary!$B$5:$F$817,5,0)</f>
        <v>Low</v>
      </c>
      <c r="AJ727" s="99" t="str">
        <f t="shared" si="118"/>
        <v>LLL</v>
      </c>
      <c r="AK727" s="99" t="str">
        <f>VLOOKUP(AJ727,rfm[],2,0)</f>
        <v>💤 Lost / Low Value</v>
      </c>
      <c r="AN727" s="99" t="b">
        <f t="shared" si="119"/>
        <v>1</v>
      </c>
    </row>
    <row r="728" spans="2:40" x14ac:dyDescent="0.3">
      <c r="B728" s="99" t="s">
        <v>936</v>
      </c>
      <c r="C728" s="100">
        <v>45789</v>
      </c>
      <c r="D728" s="99" t="s">
        <v>10</v>
      </c>
      <c r="E728" s="99" t="s">
        <v>11</v>
      </c>
      <c r="F728" s="99" t="s">
        <v>12</v>
      </c>
      <c r="G728" s="99">
        <v>39</v>
      </c>
      <c r="H728" s="112">
        <v>120000</v>
      </c>
      <c r="I728" s="112">
        <v>4680000</v>
      </c>
      <c r="J728" s="99" t="s">
        <v>2251</v>
      </c>
      <c r="K728" s="99" t="s">
        <v>127</v>
      </c>
      <c r="N728" s="99" t="s">
        <v>2759</v>
      </c>
      <c r="O728" s="99" t="s">
        <v>60</v>
      </c>
      <c r="P728" s="100">
        <f t="shared" si="111"/>
        <v>45754</v>
      </c>
      <c r="Q728" s="101">
        <f t="shared" si="110"/>
        <v>269</v>
      </c>
      <c r="R728" s="99">
        <f t="shared" si="112"/>
        <v>2</v>
      </c>
      <c r="S728" s="101">
        <f t="shared" si="113"/>
        <v>64080000</v>
      </c>
      <c r="T728" s="99" t="str">
        <f t="shared" si="114"/>
        <v>Low</v>
      </c>
      <c r="U728" s="99" t="str">
        <f t="shared" si="115"/>
        <v>Low</v>
      </c>
      <c r="V728" s="99" t="str">
        <f t="shared" si="116"/>
        <v>High</v>
      </c>
      <c r="W728" s="99" t="str">
        <f t="shared" si="117"/>
        <v>LLH</v>
      </c>
      <c r="X728" s="99" t="str">
        <f>VLOOKUP(W728,rfm[],2,FALSE)</f>
        <v>💸 Lost High Spenders</v>
      </c>
      <c r="AA728" s="99" t="s">
        <v>2759</v>
      </c>
      <c r="AB728" s="99" t="s">
        <v>60</v>
      </c>
      <c r="AC728" s="100">
        <v>45754</v>
      </c>
      <c r="AD728" s="101">
        <v>269</v>
      </c>
      <c r="AE728" s="101">
        <v>2</v>
      </c>
      <c r="AF728" s="101">
        <v>64080000</v>
      </c>
      <c r="AG728" s="99" t="str">
        <f>VLOOKUP(AA728,recency!$K$6:$P$818,6,0)</f>
        <v>Low</v>
      </c>
      <c r="AH728" s="132" t="str">
        <f>VLOOKUP(AA728,frequency!$F$6:$H$818,3,FALSE)</f>
        <v>Low</v>
      </c>
      <c r="AI728" s="129" t="str">
        <f>VLOOKUP(AA728,monetary!$B$5:$F$817,5,0)</f>
        <v>High</v>
      </c>
      <c r="AJ728" s="99" t="str">
        <f t="shared" si="118"/>
        <v>LLH</v>
      </c>
      <c r="AK728" s="99" t="str">
        <f>VLOOKUP(AJ728,rfm[],2,0)</f>
        <v>💸 Lost High Spenders</v>
      </c>
      <c r="AN728" s="99" t="b">
        <f t="shared" si="119"/>
        <v>1</v>
      </c>
    </row>
    <row r="729" spans="2:40" x14ac:dyDescent="0.3">
      <c r="B729" s="99" t="s">
        <v>937</v>
      </c>
      <c r="C729" s="100">
        <v>45789</v>
      </c>
      <c r="D729" s="99" t="s">
        <v>22</v>
      </c>
      <c r="E729" s="99" t="s">
        <v>23</v>
      </c>
      <c r="F729" s="99" t="s">
        <v>12</v>
      </c>
      <c r="G729" s="99">
        <v>37</v>
      </c>
      <c r="H729" s="112">
        <v>25000</v>
      </c>
      <c r="I729" s="112">
        <v>925000</v>
      </c>
      <c r="J729" s="99" t="s">
        <v>2537</v>
      </c>
      <c r="K729" s="99" t="s">
        <v>127</v>
      </c>
      <c r="N729" s="99" t="s">
        <v>2760</v>
      </c>
      <c r="O729" s="99" t="s">
        <v>60</v>
      </c>
      <c r="P729" s="100">
        <f t="shared" si="111"/>
        <v>45912</v>
      </c>
      <c r="Q729" s="101">
        <f t="shared" si="110"/>
        <v>111</v>
      </c>
      <c r="R729" s="99">
        <f t="shared" si="112"/>
        <v>3</v>
      </c>
      <c r="S729" s="101">
        <f t="shared" si="113"/>
        <v>14270000</v>
      </c>
      <c r="T729" s="99" t="str">
        <f t="shared" si="114"/>
        <v>Low</v>
      </c>
      <c r="U729" s="99" t="str">
        <f t="shared" si="115"/>
        <v>High</v>
      </c>
      <c r="V729" s="99" t="str">
        <f t="shared" si="116"/>
        <v>Low</v>
      </c>
      <c r="W729" s="99" t="str">
        <f t="shared" si="117"/>
        <v>LHL</v>
      </c>
      <c r="X729" s="99" t="str">
        <f>VLOOKUP(W729,rfm[],2,FALSE)</f>
        <v>🔁 Former Loyal Low Spend</v>
      </c>
      <c r="AA729" s="99" t="s">
        <v>2760</v>
      </c>
      <c r="AB729" s="99" t="s">
        <v>60</v>
      </c>
      <c r="AC729" s="100">
        <v>45912</v>
      </c>
      <c r="AD729" s="101">
        <v>111</v>
      </c>
      <c r="AE729" s="101">
        <v>3</v>
      </c>
      <c r="AF729" s="101">
        <v>14270000</v>
      </c>
      <c r="AG729" s="99" t="str">
        <f>VLOOKUP(AA729,recency!$K$6:$P$818,6,0)</f>
        <v>Low</v>
      </c>
      <c r="AH729" s="132" t="str">
        <f>VLOOKUP(AA729,frequency!$F$6:$H$818,3,FALSE)</f>
        <v>High</v>
      </c>
      <c r="AI729" s="129" t="str">
        <f>VLOOKUP(AA729,monetary!$B$5:$F$817,5,0)</f>
        <v>Low</v>
      </c>
      <c r="AJ729" s="99" t="str">
        <f t="shared" si="118"/>
        <v>LHL</v>
      </c>
      <c r="AK729" s="99" t="str">
        <f>VLOOKUP(AJ729,rfm[],2,0)</f>
        <v>🔁 Former Loyal Low Spend</v>
      </c>
      <c r="AN729" s="99" t="b">
        <f t="shared" si="119"/>
        <v>1</v>
      </c>
    </row>
    <row r="730" spans="2:40" x14ac:dyDescent="0.3">
      <c r="B730" s="99" t="s">
        <v>938</v>
      </c>
      <c r="C730" s="100">
        <v>45789</v>
      </c>
      <c r="D730" s="99" t="s">
        <v>42</v>
      </c>
      <c r="E730" s="99" t="s">
        <v>43</v>
      </c>
      <c r="F730" s="99" t="s">
        <v>16</v>
      </c>
      <c r="G730" s="99">
        <v>48</v>
      </c>
      <c r="H730" s="112">
        <v>1200000</v>
      </c>
      <c r="I730" s="112">
        <v>57600000</v>
      </c>
      <c r="J730" s="99" t="s">
        <v>2136</v>
      </c>
      <c r="K730" s="99" t="s">
        <v>69</v>
      </c>
      <c r="N730" s="99" t="s">
        <v>2761</v>
      </c>
      <c r="O730" s="99" t="s">
        <v>69</v>
      </c>
      <c r="P730" s="100">
        <f t="shared" si="111"/>
        <v>46016</v>
      </c>
      <c r="Q730" s="101">
        <f t="shared" si="110"/>
        <v>7</v>
      </c>
      <c r="R730" s="99">
        <f t="shared" si="112"/>
        <v>3</v>
      </c>
      <c r="S730" s="101">
        <f t="shared" si="113"/>
        <v>21390000</v>
      </c>
      <c r="T730" s="99" t="str">
        <f t="shared" si="114"/>
        <v>High</v>
      </c>
      <c r="U730" s="99" t="str">
        <f t="shared" si="115"/>
        <v>High</v>
      </c>
      <c r="V730" s="99" t="str">
        <f t="shared" si="116"/>
        <v>High</v>
      </c>
      <c r="W730" s="99" t="str">
        <f t="shared" si="117"/>
        <v>HHH</v>
      </c>
      <c r="X730" s="99" t="str">
        <f>VLOOKUP(W730,rfm[],2,FALSE)</f>
        <v>🥇 Champions</v>
      </c>
      <c r="AA730" s="99" t="s">
        <v>2761</v>
      </c>
      <c r="AB730" s="99" t="s">
        <v>69</v>
      </c>
      <c r="AC730" s="100">
        <v>46016</v>
      </c>
      <c r="AD730" s="101">
        <v>7</v>
      </c>
      <c r="AE730" s="101">
        <v>3</v>
      </c>
      <c r="AF730" s="101">
        <v>21390000</v>
      </c>
      <c r="AG730" s="99" t="str">
        <f>VLOOKUP(AA730,recency!$K$6:$P$818,6,0)</f>
        <v>High</v>
      </c>
      <c r="AH730" s="132" t="str">
        <f>VLOOKUP(AA730,frequency!$F$6:$H$818,3,FALSE)</f>
        <v>High</v>
      </c>
      <c r="AI730" s="129" t="str">
        <f>VLOOKUP(AA730,monetary!$B$5:$F$817,5,0)</f>
        <v>Low</v>
      </c>
      <c r="AJ730" s="99" t="str">
        <f t="shared" si="118"/>
        <v>HHL</v>
      </c>
      <c r="AK730" s="99" t="str">
        <f>VLOOKUP(AJ730,rfm[],2,0)</f>
        <v>💎 Loyal High Value</v>
      </c>
      <c r="AN730" s="99" t="b">
        <f t="shared" si="119"/>
        <v>0</v>
      </c>
    </row>
    <row r="731" spans="2:40" x14ac:dyDescent="0.3">
      <c r="B731" s="99" t="s">
        <v>939</v>
      </c>
      <c r="C731" s="100">
        <v>45789</v>
      </c>
      <c r="D731" s="99" t="s">
        <v>22</v>
      </c>
      <c r="E731" s="99" t="s">
        <v>23</v>
      </c>
      <c r="F731" s="99" t="s">
        <v>12</v>
      </c>
      <c r="G731" s="99">
        <v>42</v>
      </c>
      <c r="H731" s="112">
        <v>25000</v>
      </c>
      <c r="I731" s="112">
        <v>1050000</v>
      </c>
      <c r="J731" s="99" t="s">
        <v>2127</v>
      </c>
      <c r="K731" s="99" t="s">
        <v>127</v>
      </c>
      <c r="N731" s="99" t="s">
        <v>2762</v>
      </c>
      <c r="O731" s="99" t="s">
        <v>127</v>
      </c>
      <c r="P731" s="100">
        <f t="shared" si="111"/>
        <v>45961</v>
      </c>
      <c r="Q731" s="101">
        <f t="shared" si="110"/>
        <v>62</v>
      </c>
      <c r="R731" s="99">
        <f t="shared" si="112"/>
        <v>3</v>
      </c>
      <c r="S731" s="101">
        <f t="shared" si="113"/>
        <v>26690000</v>
      </c>
      <c r="T731" s="99" t="str">
        <f t="shared" si="114"/>
        <v>High</v>
      </c>
      <c r="U731" s="99" t="str">
        <f t="shared" si="115"/>
        <v>High</v>
      </c>
      <c r="V731" s="99" t="str">
        <f t="shared" si="116"/>
        <v>High</v>
      </c>
      <c r="W731" s="99" t="str">
        <f t="shared" si="117"/>
        <v>HHH</v>
      </c>
      <c r="X731" s="99" t="str">
        <f>VLOOKUP(W731,rfm[],2,FALSE)</f>
        <v>🥇 Champions</v>
      </c>
      <c r="AA731" s="99" t="s">
        <v>2762</v>
      </c>
      <c r="AB731" s="99" t="s">
        <v>127</v>
      </c>
      <c r="AC731" s="100">
        <v>45961</v>
      </c>
      <c r="AD731" s="101">
        <v>62</v>
      </c>
      <c r="AE731" s="101">
        <v>3</v>
      </c>
      <c r="AF731" s="101">
        <v>26690000</v>
      </c>
      <c r="AG731" s="99" t="str">
        <f>VLOOKUP(AA731,recency!$K$6:$P$818,6,0)</f>
        <v>Low</v>
      </c>
      <c r="AH731" s="132" t="str">
        <f>VLOOKUP(AA731,frequency!$F$6:$H$818,3,FALSE)</f>
        <v>High</v>
      </c>
      <c r="AI731" s="129" t="str">
        <f>VLOOKUP(AA731,monetary!$B$5:$F$817,5,0)</f>
        <v>Low</v>
      </c>
      <c r="AJ731" s="99" t="str">
        <f t="shared" si="118"/>
        <v>LHL</v>
      </c>
      <c r="AK731" s="99" t="str">
        <f>VLOOKUP(AJ731,rfm[],2,0)</f>
        <v>🔁 Former Loyal Low Spend</v>
      </c>
      <c r="AN731" s="99" t="b">
        <f t="shared" si="119"/>
        <v>0</v>
      </c>
    </row>
    <row r="732" spans="2:40" x14ac:dyDescent="0.3">
      <c r="B732" s="99" t="s">
        <v>940</v>
      </c>
      <c r="C732" s="100">
        <v>45789</v>
      </c>
      <c r="D732" s="99" t="s">
        <v>28</v>
      </c>
      <c r="E732" s="99" t="s">
        <v>29</v>
      </c>
      <c r="F732" s="99" t="s">
        <v>20</v>
      </c>
      <c r="G732" s="99">
        <v>9</v>
      </c>
      <c r="H732" s="112">
        <v>450000</v>
      </c>
      <c r="I732" s="112">
        <v>4050000</v>
      </c>
      <c r="J732" s="99" t="s">
        <v>2227</v>
      </c>
      <c r="K732" s="99" t="s">
        <v>60</v>
      </c>
      <c r="N732" s="99" t="s">
        <v>2763</v>
      </c>
      <c r="O732" s="99" t="s">
        <v>127</v>
      </c>
      <c r="P732" s="100">
        <f t="shared" si="111"/>
        <v>45982</v>
      </c>
      <c r="Q732" s="101">
        <f t="shared" si="110"/>
        <v>41</v>
      </c>
      <c r="R732" s="99">
        <f t="shared" si="112"/>
        <v>5</v>
      </c>
      <c r="S732" s="101">
        <f t="shared" si="113"/>
        <v>48750000</v>
      </c>
      <c r="T732" s="99" t="str">
        <f t="shared" si="114"/>
        <v>High</v>
      </c>
      <c r="U732" s="99" t="str">
        <f t="shared" si="115"/>
        <v>High</v>
      </c>
      <c r="V732" s="99" t="str">
        <f t="shared" si="116"/>
        <v>High</v>
      </c>
      <c r="W732" s="99" t="str">
        <f t="shared" si="117"/>
        <v>HHH</v>
      </c>
      <c r="X732" s="99" t="str">
        <f>VLOOKUP(W732,rfm[],2,FALSE)</f>
        <v>🥇 Champions</v>
      </c>
      <c r="AA732" s="99" t="s">
        <v>2763</v>
      </c>
      <c r="AB732" s="99" t="s">
        <v>127</v>
      </c>
      <c r="AC732" s="100">
        <v>45982</v>
      </c>
      <c r="AD732" s="101">
        <v>41</v>
      </c>
      <c r="AE732" s="101">
        <v>5</v>
      </c>
      <c r="AF732" s="101">
        <v>48750000</v>
      </c>
      <c r="AG732" s="99" t="str">
        <f>VLOOKUP(AA732,recency!$K$6:$P$818,6,0)</f>
        <v>High</v>
      </c>
      <c r="AH732" s="132" t="str">
        <f>VLOOKUP(AA732,frequency!$F$6:$H$818,3,FALSE)</f>
        <v>High</v>
      </c>
      <c r="AI732" s="129" t="str">
        <f>VLOOKUP(AA732,monetary!$B$5:$F$817,5,0)</f>
        <v>Low</v>
      </c>
      <c r="AJ732" s="99" t="str">
        <f t="shared" si="118"/>
        <v>HHL</v>
      </c>
      <c r="AK732" s="99" t="str">
        <f>VLOOKUP(AJ732,rfm[],2,0)</f>
        <v>💎 Loyal High Value</v>
      </c>
      <c r="AN732" s="99" t="b">
        <f t="shared" si="119"/>
        <v>0</v>
      </c>
    </row>
    <row r="733" spans="2:40" x14ac:dyDescent="0.3">
      <c r="B733" s="99" t="s">
        <v>941</v>
      </c>
      <c r="C733" s="100">
        <v>45789</v>
      </c>
      <c r="D733" s="99" t="s">
        <v>22</v>
      </c>
      <c r="E733" s="99" t="s">
        <v>23</v>
      </c>
      <c r="F733" s="99" t="s">
        <v>12</v>
      </c>
      <c r="G733" s="99">
        <v>11</v>
      </c>
      <c r="H733" s="112">
        <v>25000</v>
      </c>
      <c r="I733" s="112">
        <v>275000</v>
      </c>
      <c r="J733" s="99" t="s">
        <v>2768</v>
      </c>
      <c r="K733" s="99" t="s">
        <v>60</v>
      </c>
      <c r="N733" s="99" t="s">
        <v>2764</v>
      </c>
      <c r="O733" s="99" t="s">
        <v>127</v>
      </c>
      <c r="P733" s="100">
        <f t="shared" si="111"/>
        <v>45952</v>
      </c>
      <c r="Q733" s="101">
        <f t="shared" si="110"/>
        <v>71</v>
      </c>
      <c r="R733" s="99">
        <f t="shared" si="112"/>
        <v>1</v>
      </c>
      <c r="S733" s="101">
        <f t="shared" si="113"/>
        <v>1750000</v>
      </c>
      <c r="T733" s="99" t="str">
        <f t="shared" si="114"/>
        <v>High</v>
      </c>
      <c r="U733" s="99" t="str">
        <f t="shared" si="115"/>
        <v>Low</v>
      </c>
      <c r="V733" s="99" t="str">
        <f t="shared" si="116"/>
        <v>Low</v>
      </c>
      <c r="W733" s="99" t="str">
        <f t="shared" si="117"/>
        <v>HLL</v>
      </c>
      <c r="X733" s="99" t="str">
        <f>VLOOKUP(W733,rfm[],2,FALSE)</f>
        <v>🌱 Potential Loyalists</v>
      </c>
      <c r="AA733" s="99" t="s">
        <v>2764</v>
      </c>
      <c r="AB733" s="99" t="s">
        <v>127</v>
      </c>
      <c r="AC733" s="100">
        <v>45952</v>
      </c>
      <c r="AD733" s="101">
        <v>71</v>
      </c>
      <c r="AE733" s="101">
        <v>1</v>
      </c>
      <c r="AF733" s="101">
        <v>1750000</v>
      </c>
      <c r="AG733" s="99" t="str">
        <f>VLOOKUP(AA733,recency!$K$6:$P$818,6,0)</f>
        <v>Low</v>
      </c>
      <c r="AH733" s="132" t="str">
        <f>VLOOKUP(AA733,frequency!$F$6:$H$818,3,FALSE)</f>
        <v>Low</v>
      </c>
      <c r="AI733" s="129" t="str">
        <f>VLOOKUP(AA733,monetary!$B$5:$F$817,5,0)</f>
        <v>Low</v>
      </c>
      <c r="AJ733" s="99" t="str">
        <f t="shared" si="118"/>
        <v>LLL</v>
      </c>
      <c r="AK733" s="99" t="str">
        <f>VLOOKUP(AJ733,rfm[],2,0)</f>
        <v>💤 Lost / Low Value</v>
      </c>
      <c r="AN733" s="99" t="b">
        <f t="shared" si="119"/>
        <v>0</v>
      </c>
    </row>
    <row r="734" spans="2:40" x14ac:dyDescent="0.3">
      <c r="B734" s="99" t="s">
        <v>976</v>
      </c>
      <c r="C734" s="100">
        <v>45789</v>
      </c>
      <c r="D734" s="99" t="s">
        <v>14</v>
      </c>
      <c r="E734" s="99" t="s">
        <v>15</v>
      </c>
      <c r="F734" s="99" t="s">
        <v>16</v>
      </c>
      <c r="G734" s="99">
        <v>12</v>
      </c>
      <c r="H734" s="112">
        <v>350000</v>
      </c>
      <c r="I734" s="112">
        <v>4200000</v>
      </c>
      <c r="J734" s="99" t="s">
        <v>2385</v>
      </c>
      <c r="K734" s="99" t="s">
        <v>47</v>
      </c>
      <c r="N734" s="99" t="s">
        <v>2765</v>
      </c>
      <c r="O734" s="99" t="s">
        <v>127</v>
      </c>
      <c r="P734" s="100">
        <f t="shared" si="111"/>
        <v>45905</v>
      </c>
      <c r="Q734" s="101">
        <f t="shared" si="110"/>
        <v>118</v>
      </c>
      <c r="R734" s="99">
        <f t="shared" si="112"/>
        <v>2</v>
      </c>
      <c r="S734" s="101">
        <f t="shared" si="113"/>
        <v>25670000</v>
      </c>
      <c r="T734" s="99" t="str">
        <f t="shared" si="114"/>
        <v>Low</v>
      </c>
      <c r="U734" s="99" t="str">
        <f t="shared" si="115"/>
        <v>Low</v>
      </c>
      <c r="V734" s="99" t="str">
        <f t="shared" si="116"/>
        <v>High</v>
      </c>
      <c r="W734" s="99" t="str">
        <f t="shared" si="117"/>
        <v>LLH</v>
      </c>
      <c r="X734" s="99" t="str">
        <f>VLOOKUP(W734,rfm[],2,FALSE)</f>
        <v>💸 Lost High Spenders</v>
      </c>
      <c r="AA734" s="99" t="s">
        <v>2765</v>
      </c>
      <c r="AB734" s="99" t="s">
        <v>127</v>
      </c>
      <c r="AC734" s="100">
        <v>45905</v>
      </c>
      <c r="AD734" s="101">
        <v>118</v>
      </c>
      <c r="AE734" s="101">
        <v>2</v>
      </c>
      <c r="AF734" s="101">
        <v>25670000</v>
      </c>
      <c r="AG734" s="99" t="str">
        <f>VLOOKUP(AA734,recency!$K$6:$P$818,6,0)</f>
        <v>Low</v>
      </c>
      <c r="AH734" s="132" t="str">
        <f>VLOOKUP(AA734,frequency!$F$6:$H$818,3,FALSE)</f>
        <v>Low</v>
      </c>
      <c r="AI734" s="129" t="str">
        <f>VLOOKUP(AA734,monetary!$B$5:$F$817,5,0)</f>
        <v>Low</v>
      </c>
      <c r="AJ734" s="99" t="str">
        <f t="shared" si="118"/>
        <v>LLL</v>
      </c>
      <c r="AK734" s="99" t="str">
        <f>VLOOKUP(AJ734,rfm[],2,0)</f>
        <v>💤 Lost / Low Value</v>
      </c>
      <c r="AN734" s="99" t="b">
        <f t="shared" si="119"/>
        <v>0</v>
      </c>
    </row>
    <row r="735" spans="2:40" x14ac:dyDescent="0.3">
      <c r="B735" s="99" t="s">
        <v>977</v>
      </c>
      <c r="C735" s="100">
        <v>45790</v>
      </c>
      <c r="D735" s="99" t="s">
        <v>42</v>
      </c>
      <c r="E735" s="99" t="s">
        <v>43</v>
      </c>
      <c r="F735" s="99" t="s">
        <v>16</v>
      </c>
      <c r="G735" s="99">
        <v>35</v>
      </c>
      <c r="H735" s="112">
        <v>1200000</v>
      </c>
      <c r="I735" s="112">
        <v>42000000</v>
      </c>
      <c r="J735" s="99" t="s">
        <v>2234</v>
      </c>
      <c r="K735" s="99" t="s">
        <v>60</v>
      </c>
      <c r="N735" s="99" t="s">
        <v>2766</v>
      </c>
      <c r="O735" s="99" t="s">
        <v>127</v>
      </c>
      <c r="P735" s="100">
        <f t="shared" si="111"/>
        <v>45659</v>
      </c>
      <c r="Q735" s="101">
        <f t="shared" si="110"/>
        <v>364</v>
      </c>
      <c r="R735" s="99">
        <f t="shared" si="112"/>
        <v>1</v>
      </c>
      <c r="S735" s="101">
        <f t="shared" si="113"/>
        <v>7000000</v>
      </c>
      <c r="T735" s="99" t="str">
        <f t="shared" si="114"/>
        <v>Low</v>
      </c>
      <c r="U735" s="99" t="str">
        <f t="shared" si="115"/>
        <v>Low</v>
      </c>
      <c r="V735" s="99" t="str">
        <f t="shared" si="116"/>
        <v>Low</v>
      </c>
      <c r="W735" s="99" t="str">
        <f t="shared" si="117"/>
        <v>LLL</v>
      </c>
      <c r="X735" s="99" t="str">
        <f>VLOOKUP(W735,rfm[],2,FALSE)</f>
        <v>💤 Lost / Low Value</v>
      </c>
      <c r="AA735" s="99" t="s">
        <v>2766</v>
      </c>
      <c r="AB735" s="99" t="s">
        <v>127</v>
      </c>
      <c r="AC735" s="100">
        <v>45659</v>
      </c>
      <c r="AD735" s="101">
        <v>364</v>
      </c>
      <c r="AE735" s="101">
        <v>1</v>
      </c>
      <c r="AF735" s="101">
        <v>7000000</v>
      </c>
      <c r="AG735" s="99" t="str">
        <f>VLOOKUP(AA735,recency!$K$6:$P$818,6,0)</f>
        <v>Low</v>
      </c>
      <c r="AH735" s="132" t="str">
        <f>VLOOKUP(AA735,frequency!$F$6:$H$818,3,FALSE)</f>
        <v>Low</v>
      </c>
      <c r="AI735" s="129" t="str">
        <f>VLOOKUP(AA735,monetary!$B$5:$F$817,5,0)</f>
        <v>Low</v>
      </c>
      <c r="AJ735" s="99" t="str">
        <f t="shared" si="118"/>
        <v>LLL</v>
      </c>
      <c r="AK735" s="99" t="str">
        <f>VLOOKUP(AJ735,rfm[],2,0)</f>
        <v>💤 Lost / Low Value</v>
      </c>
      <c r="AN735" s="99" t="b">
        <f t="shared" si="119"/>
        <v>1</v>
      </c>
    </row>
    <row r="736" spans="2:40" x14ac:dyDescent="0.3">
      <c r="B736" s="99" t="s">
        <v>978</v>
      </c>
      <c r="C736" s="100">
        <v>45790</v>
      </c>
      <c r="D736" s="99" t="s">
        <v>42</v>
      </c>
      <c r="E736" s="99" t="s">
        <v>43</v>
      </c>
      <c r="F736" s="99" t="s">
        <v>16</v>
      </c>
      <c r="G736" s="99">
        <v>260</v>
      </c>
      <c r="H736" s="112">
        <v>1200000</v>
      </c>
      <c r="I736" s="112">
        <v>312000000</v>
      </c>
      <c r="J736" s="99" t="s">
        <v>1789</v>
      </c>
      <c r="K736" s="99" t="s">
        <v>8</v>
      </c>
      <c r="N736" s="99" t="s">
        <v>2767</v>
      </c>
      <c r="O736" s="99" t="s">
        <v>127</v>
      </c>
      <c r="P736" s="100">
        <f t="shared" si="111"/>
        <v>45950</v>
      </c>
      <c r="Q736" s="101">
        <f t="shared" si="110"/>
        <v>73</v>
      </c>
      <c r="R736" s="99">
        <f t="shared" si="112"/>
        <v>2</v>
      </c>
      <c r="S736" s="101">
        <f t="shared" si="113"/>
        <v>19700000</v>
      </c>
      <c r="T736" s="99" t="str">
        <f t="shared" si="114"/>
        <v>High</v>
      </c>
      <c r="U736" s="99" t="str">
        <f t="shared" si="115"/>
        <v>Low</v>
      </c>
      <c r="V736" s="99" t="str">
        <f t="shared" si="116"/>
        <v>High</v>
      </c>
      <c r="W736" s="99" t="str">
        <f t="shared" si="117"/>
        <v>HLH</v>
      </c>
      <c r="X736" s="99" t="str">
        <f>VLOOKUP(W736,rfm[],2,FALSE)</f>
        <v>🛒 Big Spenders (Occasional)</v>
      </c>
      <c r="AA736" s="99" t="s">
        <v>2767</v>
      </c>
      <c r="AB736" s="99" t="s">
        <v>127</v>
      </c>
      <c r="AC736" s="100">
        <v>45950</v>
      </c>
      <c r="AD736" s="101">
        <v>73</v>
      </c>
      <c r="AE736" s="101">
        <v>2</v>
      </c>
      <c r="AF736" s="101">
        <v>19700000</v>
      </c>
      <c r="AG736" s="99" t="str">
        <f>VLOOKUP(AA736,recency!$K$6:$P$818,6,0)</f>
        <v>Low</v>
      </c>
      <c r="AH736" s="132" t="str">
        <f>VLOOKUP(AA736,frequency!$F$6:$H$818,3,FALSE)</f>
        <v>Low</v>
      </c>
      <c r="AI736" s="129" t="str">
        <f>VLOOKUP(AA736,monetary!$B$5:$F$817,5,0)</f>
        <v>Low</v>
      </c>
      <c r="AJ736" s="99" t="str">
        <f t="shared" si="118"/>
        <v>LLL</v>
      </c>
      <c r="AK736" s="99" t="str">
        <f>VLOOKUP(AJ736,rfm[],2,0)</f>
        <v>💤 Lost / Low Value</v>
      </c>
      <c r="AN736" s="99" t="b">
        <f t="shared" si="119"/>
        <v>0</v>
      </c>
    </row>
    <row r="737" spans="2:40" x14ac:dyDescent="0.3">
      <c r="B737" s="99" t="s">
        <v>979</v>
      </c>
      <c r="C737" s="100">
        <v>45790</v>
      </c>
      <c r="D737" s="99" t="s">
        <v>18</v>
      </c>
      <c r="E737" s="99" t="s">
        <v>19</v>
      </c>
      <c r="F737" s="99" t="s">
        <v>20</v>
      </c>
      <c r="G737" s="99">
        <v>23</v>
      </c>
      <c r="H737" s="112">
        <v>500000</v>
      </c>
      <c r="I737" s="112">
        <v>11500000</v>
      </c>
      <c r="J737" s="99" t="s">
        <v>1280</v>
      </c>
      <c r="K737" s="99" t="s">
        <v>69</v>
      </c>
      <c r="N737" s="99" t="s">
        <v>2768</v>
      </c>
      <c r="O737" s="99" t="s">
        <v>60</v>
      </c>
      <c r="P737" s="100">
        <f t="shared" si="111"/>
        <v>45789</v>
      </c>
      <c r="Q737" s="101">
        <f t="shared" si="110"/>
        <v>234</v>
      </c>
      <c r="R737" s="99">
        <f t="shared" si="112"/>
        <v>2</v>
      </c>
      <c r="S737" s="101">
        <f t="shared" si="113"/>
        <v>15125000</v>
      </c>
      <c r="T737" s="99" t="str">
        <f t="shared" si="114"/>
        <v>Low</v>
      </c>
      <c r="U737" s="99" t="str">
        <f t="shared" si="115"/>
        <v>Low</v>
      </c>
      <c r="V737" s="99" t="str">
        <f t="shared" si="116"/>
        <v>Low</v>
      </c>
      <c r="W737" s="99" t="str">
        <f t="shared" si="117"/>
        <v>LLL</v>
      </c>
      <c r="X737" s="99" t="str">
        <f>VLOOKUP(W737,rfm[],2,FALSE)</f>
        <v>💤 Lost / Low Value</v>
      </c>
      <c r="AA737" s="99" t="s">
        <v>2768</v>
      </c>
      <c r="AB737" s="99" t="s">
        <v>60</v>
      </c>
      <c r="AC737" s="100">
        <v>45789</v>
      </c>
      <c r="AD737" s="101">
        <v>234</v>
      </c>
      <c r="AE737" s="101">
        <v>2</v>
      </c>
      <c r="AF737" s="101">
        <v>15125000</v>
      </c>
      <c r="AG737" s="99" t="str">
        <f>VLOOKUP(AA737,recency!$K$6:$P$818,6,0)</f>
        <v>Low</v>
      </c>
      <c r="AH737" s="132" t="str">
        <f>VLOOKUP(AA737,frequency!$F$6:$H$818,3,FALSE)</f>
        <v>Low</v>
      </c>
      <c r="AI737" s="129" t="str">
        <f>VLOOKUP(AA737,monetary!$B$5:$F$817,5,0)</f>
        <v>Low</v>
      </c>
      <c r="AJ737" s="99" t="str">
        <f t="shared" si="118"/>
        <v>LLL</v>
      </c>
      <c r="AK737" s="99" t="str">
        <f>VLOOKUP(AJ737,rfm[],2,0)</f>
        <v>💤 Lost / Low Value</v>
      </c>
      <c r="AN737" s="99" t="b">
        <f t="shared" si="119"/>
        <v>1</v>
      </c>
    </row>
    <row r="738" spans="2:40" x14ac:dyDescent="0.3">
      <c r="B738" s="99" t="s">
        <v>980</v>
      </c>
      <c r="C738" s="100">
        <v>45790</v>
      </c>
      <c r="D738" s="99" t="s">
        <v>18</v>
      </c>
      <c r="E738" s="99" t="s">
        <v>19</v>
      </c>
      <c r="F738" s="99" t="s">
        <v>20</v>
      </c>
      <c r="G738" s="99">
        <v>44</v>
      </c>
      <c r="H738" s="112">
        <v>500000</v>
      </c>
      <c r="I738" s="112">
        <v>22000000</v>
      </c>
      <c r="J738" s="99" t="s">
        <v>2603</v>
      </c>
      <c r="K738" s="99" t="s">
        <v>8</v>
      </c>
      <c r="N738" s="99" t="s">
        <v>2769</v>
      </c>
      <c r="O738" s="99" t="s">
        <v>47</v>
      </c>
      <c r="P738" s="100">
        <f t="shared" si="111"/>
        <v>45978</v>
      </c>
      <c r="Q738" s="101">
        <f t="shared" si="110"/>
        <v>45</v>
      </c>
      <c r="R738" s="99">
        <f t="shared" si="112"/>
        <v>1</v>
      </c>
      <c r="S738" s="101">
        <f t="shared" si="113"/>
        <v>7650000</v>
      </c>
      <c r="T738" s="99" t="str">
        <f t="shared" si="114"/>
        <v>High</v>
      </c>
      <c r="U738" s="99" t="str">
        <f t="shared" si="115"/>
        <v>Low</v>
      </c>
      <c r="V738" s="99" t="str">
        <f t="shared" si="116"/>
        <v>Low</v>
      </c>
      <c r="W738" s="99" t="str">
        <f t="shared" si="117"/>
        <v>HLL</v>
      </c>
      <c r="X738" s="99" t="str">
        <f>VLOOKUP(W738,rfm[],2,FALSE)</f>
        <v>🌱 Potential Loyalists</v>
      </c>
      <c r="AA738" s="99" t="s">
        <v>2769</v>
      </c>
      <c r="AB738" s="99" t="s">
        <v>47</v>
      </c>
      <c r="AC738" s="100">
        <v>45978</v>
      </c>
      <c r="AD738" s="101">
        <v>45</v>
      </c>
      <c r="AE738" s="101">
        <v>1</v>
      </c>
      <c r="AF738" s="101">
        <v>7650000</v>
      </c>
      <c r="AG738" s="99" t="str">
        <f>VLOOKUP(AA738,recency!$K$6:$P$818,6,0)</f>
        <v>High</v>
      </c>
      <c r="AH738" s="132" t="str">
        <f>VLOOKUP(AA738,frequency!$F$6:$H$818,3,FALSE)</f>
        <v>Low</v>
      </c>
      <c r="AI738" s="129" t="str">
        <f>VLOOKUP(AA738,monetary!$B$5:$F$817,5,0)</f>
        <v>Low</v>
      </c>
      <c r="AJ738" s="99" t="str">
        <f t="shared" si="118"/>
        <v>HLL</v>
      </c>
      <c r="AK738" s="99" t="str">
        <f>VLOOKUP(AJ738,rfm[],2,0)</f>
        <v>🌱 Potential Loyalists</v>
      </c>
      <c r="AN738" s="99" t="b">
        <f t="shared" si="119"/>
        <v>1</v>
      </c>
    </row>
    <row r="739" spans="2:40" x14ac:dyDescent="0.3">
      <c r="B739" s="99" t="s">
        <v>981</v>
      </c>
      <c r="C739" s="100">
        <v>45790</v>
      </c>
      <c r="D739" s="99" t="s">
        <v>18</v>
      </c>
      <c r="E739" s="99" t="s">
        <v>19</v>
      </c>
      <c r="F739" s="99" t="s">
        <v>20</v>
      </c>
      <c r="G739" s="99">
        <v>22</v>
      </c>
      <c r="H739" s="112">
        <v>500000</v>
      </c>
      <c r="I739" s="112">
        <v>11000000</v>
      </c>
      <c r="J739" s="99" t="s">
        <v>2073</v>
      </c>
      <c r="K739" s="99" t="s">
        <v>47</v>
      </c>
      <c r="N739" s="99" t="s">
        <v>2770</v>
      </c>
      <c r="O739" s="99" t="s">
        <v>127</v>
      </c>
      <c r="P739" s="100">
        <f t="shared" si="111"/>
        <v>45831</v>
      </c>
      <c r="Q739" s="101">
        <f t="shared" si="110"/>
        <v>192</v>
      </c>
      <c r="R739" s="99">
        <f t="shared" si="112"/>
        <v>2</v>
      </c>
      <c r="S739" s="101">
        <f t="shared" si="113"/>
        <v>52600000</v>
      </c>
      <c r="T739" s="99" t="str">
        <f t="shared" si="114"/>
        <v>Low</v>
      </c>
      <c r="U739" s="99" t="str">
        <f t="shared" si="115"/>
        <v>Low</v>
      </c>
      <c r="V739" s="99" t="str">
        <f t="shared" si="116"/>
        <v>High</v>
      </c>
      <c r="W739" s="99" t="str">
        <f t="shared" si="117"/>
        <v>LLH</v>
      </c>
      <c r="X739" s="99" t="str">
        <f>VLOOKUP(W739,rfm[],2,FALSE)</f>
        <v>💸 Lost High Spenders</v>
      </c>
      <c r="AA739" s="99" t="s">
        <v>2770</v>
      </c>
      <c r="AB739" s="99" t="s">
        <v>127</v>
      </c>
      <c r="AC739" s="100">
        <v>45831</v>
      </c>
      <c r="AD739" s="101">
        <v>192</v>
      </c>
      <c r="AE739" s="101">
        <v>2</v>
      </c>
      <c r="AF739" s="101">
        <v>52600000</v>
      </c>
      <c r="AG739" s="99" t="str">
        <f>VLOOKUP(AA739,recency!$K$6:$P$818,6,0)</f>
        <v>Low</v>
      </c>
      <c r="AH739" s="132" t="str">
        <f>VLOOKUP(AA739,frequency!$F$6:$H$818,3,FALSE)</f>
        <v>Low</v>
      </c>
      <c r="AI739" s="129" t="str">
        <f>VLOOKUP(AA739,monetary!$B$5:$F$817,5,0)</f>
        <v>High</v>
      </c>
      <c r="AJ739" s="99" t="str">
        <f t="shared" si="118"/>
        <v>LLH</v>
      </c>
      <c r="AK739" s="99" t="str">
        <f>VLOOKUP(AJ739,rfm[],2,0)</f>
        <v>💸 Lost High Spenders</v>
      </c>
      <c r="AN739" s="99" t="b">
        <f t="shared" si="119"/>
        <v>1</v>
      </c>
    </row>
    <row r="740" spans="2:40" x14ac:dyDescent="0.3">
      <c r="B740" s="99" t="s">
        <v>982</v>
      </c>
      <c r="C740" s="100">
        <v>45790</v>
      </c>
      <c r="D740" s="99" t="s">
        <v>10</v>
      </c>
      <c r="E740" s="99" t="s">
        <v>11</v>
      </c>
      <c r="F740" s="99" t="s">
        <v>12</v>
      </c>
      <c r="G740" s="99">
        <v>44</v>
      </c>
      <c r="H740" s="112">
        <v>120000</v>
      </c>
      <c r="I740" s="112">
        <v>5280000</v>
      </c>
      <c r="J740" s="99" t="s">
        <v>2629</v>
      </c>
      <c r="K740" s="99" t="s">
        <v>8</v>
      </c>
      <c r="N740" s="99" t="s">
        <v>2771</v>
      </c>
      <c r="O740" s="99" t="s">
        <v>8</v>
      </c>
      <c r="P740" s="100">
        <f t="shared" si="111"/>
        <v>45768</v>
      </c>
      <c r="Q740" s="101">
        <f t="shared" si="110"/>
        <v>255</v>
      </c>
      <c r="R740" s="99">
        <f t="shared" si="112"/>
        <v>1</v>
      </c>
      <c r="S740" s="101">
        <f t="shared" si="113"/>
        <v>8750000</v>
      </c>
      <c r="T740" s="99" t="str">
        <f t="shared" si="114"/>
        <v>Low</v>
      </c>
      <c r="U740" s="99" t="str">
        <f t="shared" si="115"/>
        <v>Low</v>
      </c>
      <c r="V740" s="99" t="str">
        <f t="shared" si="116"/>
        <v>Low</v>
      </c>
      <c r="W740" s="99" t="str">
        <f t="shared" si="117"/>
        <v>LLL</v>
      </c>
      <c r="X740" s="99" t="str">
        <f>VLOOKUP(W740,rfm[],2,FALSE)</f>
        <v>💤 Lost / Low Value</v>
      </c>
      <c r="AA740" s="99" t="s">
        <v>2771</v>
      </c>
      <c r="AB740" s="99" t="s">
        <v>8</v>
      </c>
      <c r="AC740" s="100">
        <v>45768</v>
      </c>
      <c r="AD740" s="101">
        <v>255</v>
      </c>
      <c r="AE740" s="101">
        <v>1</v>
      </c>
      <c r="AF740" s="101">
        <v>8750000</v>
      </c>
      <c r="AG740" s="99" t="str">
        <f>VLOOKUP(AA740,recency!$K$6:$P$818,6,0)</f>
        <v>Low</v>
      </c>
      <c r="AH740" s="132" t="str">
        <f>VLOOKUP(AA740,frequency!$F$6:$H$818,3,FALSE)</f>
        <v>Low</v>
      </c>
      <c r="AI740" s="129" t="str">
        <f>VLOOKUP(AA740,monetary!$B$5:$F$817,5,0)</f>
        <v>Low</v>
      </c>
      <c r="AJ740" s="99" t="str">
        <f t="shared" si="118"/>
        <v>LLL</v>
      </c>
      <c r="AK740" s="99" t="str">
        <f>VLOOKUP(AJ740,rfm[],2,0)</f>
        <v>💤 Lost / Low Value</v>
      </c>
      <c r="AN740" s="99" t="b">
        <f t="shared" si="119"/>
        <v>1</v>
      </c>
    </row>
    <row r="741" spans="2:40" x14ac:dyDescent="0.3">
      <c r="B741" s="99" t="s">
        <v>983</v>
      </c>
      <c r="C741" s="100">
        <v>45790</v>
      </c>
      <c r="D741" s="99" t="s">
        <v>28</v>
      </c>
      <c r="E741" s="99" t="s">
        <v>29</v>
      </c>
      <c r="F741" s="99" t="s">
        <v>20</v>
      </c>
      <c r="G741" s="99">
        <v>15</v>
      </c>
      <c r="H741" s="112">
        <v>450000</v>
      </c>
      <c r="I741" s="112">
        <v>6750000</v>
      </c>
      <c r="J741" s="99" t="s">
        <v>2842</v>
      </c>
      <c r="K741" s="99" t="s">
        <v>127</v>
      </c>
      <c r="N741" s="99" t="s">
        <v>2772</v>
      </c>
      <c r="O741" s="99" t="s">
        <v>47</v>
      </c>
      <c r="P741" s="100">
        <f t="shared" si="111"/>
        <v>46022</v>
      </c>
      <c r="Q741" s="101">
        <f t="shared" si="110"/>
        <v>1</v>
      </c>
      <c r="R741" s="99">
        <f t="shared" si="112"/>
        <v>4</v>
      </c>
      <c r="S741" s="101">
        <f t="shared" si="113"/>
        <v>62000000</v>
      </c>
      <c r="T741" s="99" t="str">
        <f t="shared" si="114"/>
        <v>High</v>
      </c>
      <c r="U741" s="99" t="str">
        <f t="shared" si="115"/>
        <v>High</v>
      </c>
      <c r="V741" s="99" t="str">
        <f t="shared" si="116"/>
        <v>High</v>
      </c>
      <c r="W741" s="99" t="str">
        <f t="shared" si="117"/>
        <v>HHH</v>
      </c>
      <c r="X741" s="99" t="str">
        <f>VLOOKUP(W741,rfm[],2,FALSE)</f>
        <v>🥇 Champions</v>
      </c>
      <c r="AA741" s="99" t="s">
        <v>2772</v>
      </c>
      <c r="AB741" s="99" t="s">
        <v>47</v>
      </c>
      <c r="AC741" s="100">
        <v>46022</v>
      </c>
      <c r="AD741" s="101">
        <v>1</v>
      </c>
      <c r="AE741" s="101">
        <v>4</v>
      </c>
      <c r="AF741" s="101">
        <v>62000000</v>
      </c>
      <c r="AG741" s="99" t="str">
        <f>VLOOKUP(AA741,recency!$K$6:$P$818,6,0)</f>
        <v>High</v>
      </c>
      <c r="AH741" s="132" t="str">
        <f>VLOOKUP(AA741,frequency!$F$6:$H$818,3,FALSE)</f>
        <v>High</v>
      </c>
      <c r="AI741" s="129" t="str">
        <f>VLOOKUP(AA741,monetary!$B$5:$F$817,5,0)</f>
        <v>High</v>
      </c>
      <c r="AJ741" s="99" t="str">
        <f t="shared" si="118"/>
        <v>HHH</v>
      </c>
      <c r="AK741" s="99" t="str">
        <f>VLOOKUP(AJ741,rfm[],2,0)</f>
        <v>🥇 Champions</v>
      </c>
      <c r="AN741" s="99" t="b">
        <f t="shared" si="119"/>
        <v>1</v>
      </c>
    </row>
    <row r="742" spans="2:40" x14ac:dyDescent="0.3">
      <c r="B742" s="99" t="s">
        <v>984</v>
      </c>
      <c r="C742" s="100">
        <v>45790</v>
      </c>
      <c r="D742" s="99" t="s">
        <v>40</v>
      </c>
      <c r="E742" s="99" t="s">
        <v>41</v>
      </c>
      <c r="F742" s="99" t="s">
        <v>16</v>
      </c>
      <c r="G742" s="99">
        <v>42</v>
      </c>
      <c r="H742" s="112">
        <v>950000</v>
      </c>
      <c r="I742" s="112">
        <v>39900000</v>
      </c>
      <c r="J742" s="99" t="s">
        <v>2152</v>
      </c>
      <c r="K742" s="99" t="s">
        <v>69</v>
      </c>
      <c r="N742" s="99" t="s">
        <v>2773</v>
      </c>
      <c r="O742" s="99" t="s">
        <v>8</v>
      </c>
      <c r="P742" s="100">
        <f t="shared" si="111"/>
        <v>45840</v>
      </c>
      <c r="Q742" s="101">
        <f t="shared" si="110"/>
        <v>183</v>
      </c>
      <c r="R742" s="99">
        <f t="shared" si="112"/>
        <v>4</v>
      </c>
      <c r="S742" s="101">
        <f t="shared" si="113"/>
        <v>29430000</v>
      </c>
      <c r="T742" s="99" t="str">
        <f t="shared" si="114"/>
        <v>Low</v>
      </c>
      <c r="U742" s="99" t="str">
        <f t="shared" si="115"/>
        <v>High</v>
      </c>
      <c r="V742" s="99" t="str">
        <f t="shared" si="116"/>
        <v>High</v>
      </c>
      <c r="W742" s="99" t="str">
        <f t="shared" si="117"/>
        <v>LHH</v>
      </c>
      <c r="X742" s="99" t="str">
        <f>VLOOKUP(W742,rfm[],2,FALSE)</f>
        <v>⚠️ At Risk High Value</v>
      </c>
      <c r="AA742" s="99" t="s">
        <v>2773</v>
      </c>
      <c r="AB742" s="99" t="s">
        <v>8</v>
      </c>
      <c r="AC742" s="100">
        <v>45840</v>
      </c>
      <c r="AD742" s="101">
        <v>183</v>
      </c>
      <c r="AE742" s="101">
        <v>4</v>
      </c>
      <c r="AF742" s="101">
        <v>29430000</v>
      </c>
      <c r="AG742" s="99" t="str">
        <f>VLOOKUP(AA742,recency!$K$6:$P$818,6,0)</f>
        <v>Low</v>
      </c>
      <c r="AH742" s="132" t="str">
        <f>VLOOKUP(AA742,frequency!$F$6:$H$818,3,FALSE)</f>
        <v>High</v>
      </c>
      <c r="AI742" s="129" t="str">
        <f>VLOOKUP(AA742,monetary!$B$5:$F$817,5,0)</f>
        <v>Low</v>
      </c>
      <c r="AJ742" s="99" t="str">
        <f t="shared" si="118"/>
        <v>LHL</v>
      </c>
      <c r="AK742" s="99" t="str">
        <f>VLOOKUP(AJ742,rfm[],2,0)</f>
        <v>🔁 Former Loyal Low Spend</v>
      </c>
      <c r="AN742" s="99" t="b">
        <f t="shared" si="119"/>
        <v>0</v>
      </c>
    </row>
    <row r="743" spans="2:40" x14ac:dyDescent="0.3">
      <c r="B743" s="99" t="s">
        <v>985</v>
      </c>
      <c r="C743" s="100">
        <v>45790</v>
      </c>
      <c r="D743" s="99" t="s">
        <v>31</v>
      </c>
      <c r="E743" s="99" t="s">
        <v>32</v>
      </c>
      <c r="F743" s="99" t="s">
        <v>20</v>
      </c>
      <c r="G743" s="99">
        <v>47</v>
      </c>
      <c r="H743" s="112">
        <v>180000</v>
      </c>
      <c r="I743" s="112">
        <v>8460000</v>
      </c>
      <c r="J743" s="99" t="s">
        <v>2180</v>
      </c>
      <c r="K743" s="99" t="s">
        <v>127</v>
      </c>
      <c r="N743" s="99" t="s">
        <v>2774</v>
      </c>
      <c r="O743" s="99" t="s">
        <v>8</v>
      </c>
      <c r="P743" s="100">
        <f t="shared" si="111"/>
        <v>45994</v>
      </c>
      <c r="Q743" s="101">
        <f t="shared" si="110"/>
        <v>29</v>
      </c>
      <c r="R743" s="99">
        <f t="shared" si="112"/>
        <v>4</v>
      </c>
      <c r="S743" s="101">
        <f t="shared" si="113"/>
        <v>57550000</v>
      </c>
      <c r="T743" s="99" t="str">
        <f t="shared" si="114"/>
        <v>High</v>
      </c>
      <c r="U743" s="99" t="str">
        <f t="shared" si="115"/>
        <v>High</v>
      </c>
      <c r="V743" s="99" t="str">
        <f t="shared" si="116"/>
        <v>High</v>
      </c>
      <c r="W743" s="99" t="str">
        <f t="shared" si="117"/>
        <v>HHH</v>
      </c>
      <c r="X743" s="99" t="str">
        <f>VLOOKUP(W743,rfm[],2,FALSE)</f>
        <v>🥇 Champions</v>
      </c>
      <c r="AA743" s="99" t="s">
        <v>2774</v>
      </c>
      <c r="AB743" s="99" t="s">
        <v>8</v>
      </c>
      <c r="AC743" s="100">
        <v>45994</v>
      </c>
      <c r="AD743" s="101">
        <v>29</v>
      </c>
      <c r="AE743" s="101">
        <v>4</v>
      </c>
      <c r="AF743" s="101">
        <v>57550000</v>
      </c>
      <c r="AG743" s="99" t="str">
        <f>VLOOKUP(AA743,recency!$K$6:$P$818,6,0)</f>
        <v>High</v>
      </c>
      <c r="AH743" s="132" t="str">
        <f>VLOOKUP(AA743,frequency!$F$6:$H$818,3,FALSE)</f>
        <v>High</v>
      </c>
      <c r="AI743" s="129" t="str">
        <f>VLOOKUP(AA743,monetary!$B$5:$F$817,5,0)</f>
        <v>High</v>
      </c>
      <c r="AJ743" s="99" t="str">
        <f t="shared" si="118"/>
        <v>HHH</v>
      </c>
      <c r="AK743" s="99" t="str">
        <f>VLOOKUP(AJ743,rfm[],2,0)</f>
        <v>🥇 Champions</v>
      </c>
      <c r="AN743" s="99" t="b">
        <f t="shared" si="119"/>
        <v>1</v>
      </c>
    </row>
    <row r="744" spans="2:40" x14ac:dyDescent="0.3">
      <c r="B744" s="99" t="s">
        <v>1019</v>
      </c>
      <c r="C744" s="100">
        <v>45790</v>
      </c>
      <c r="D744" s="99" t="s">
        <v>31</v>
      </c>
      <c r="E744" s="99" t="s">
        <v>32</v>
      </c>
      <c r="F744" s="99" t="s">
        <v>20</v>
      </c>
      <c r="G744" s="99">
        <v>10</v>
      </c>
      <c r="H744" s="112">
        <v>180000</v>
      </c>
      <c r="I744" s="112">
        <v>1800000</v>
      </c>
      <c r="J744" s="99" t="s">
        <v>2381</v>
      </c>
      <c r="K744" s="99" t="s">
        <v>8</v>
      </c>
      <c r="N744" s="99" t="s">
        <v>2775</v>
      </c>
      <c r="O744" s="99" t="s">
        <v>47</v>
      </c>
      <c r="P744" s="100">
        <f t="shared" si="111"/>
        <v>45952</v>
      </c>
      <c r="Q744" s="101">
        <f t="shared" si="110"/>
        <v>71</v>
      </c>
      <c r="R744" s="99">
        <f t="shared" si="112"/>
        <v>1</v>
      </c>
      <c r="S744" s="101">
        <f t="shared" si="113"/>
        <v>8500000</v>
      </c>
      <c r="T744" s="99" t="str">
        <f t="shared" si="114"/>
        <v>High</v>
      </c>
      <c r="U744" s="99" t="str">
        <f t="shared" si="115"/>
        <v>Low</v>
      </c>
      <c r="V744" s="99" t="str">
        <f t="shared" si="116"/>
        <v>Low</v>
      </c>
      <c r="W744" s="99" t="str">
        <f t="shared" si="117"/>
        <v>HLL</v>
      </c>
      <c r="X744" s="99" t="str">
        <f>VLOOKUP(W744,rfm[],2,FALSE)</f>
        <v>🌱 Potential Loyalists</v>
      </c>
      <c r="AA744" s="99" t="s">
        <v>2775</v>
      </c>
      <c r="AB744" s="99" t="s">
        <v>47</v>
      </c>
      <c r="AC744" s="100">
        <v>45952</v>
      </c>
      <c r="AD744" s="101">
        <v>71</v>
      </c>
      <c r="AE744" s="101">
        <v>1</v>
      </c>
      <c r="AF744" s="101">
        <v>8500000</v>
      </c>
      <c r="AG744" s="99" t="str">
        <f>VLOOKUP(AA744,recency!$K$6:$P$818,6,0)</f>
        <v>Low</v>
      </c>
      <c r="AH744" s="132" t="str">
        <f>VLOOKUP(AA744,frequency!$F$6:$H$818,3,FALSE)</f>
        <v>Low</v>
      </c>
      <c r="AI744" s="129" t="str">
        <f>VLOOKUP(AA744,monetary!$B$5:$F$817,5,0)</f>
        <v>Low</v>
      </c>
      <c r="AJ744" s="99" t="str">
        <f t="shared" si="118"/>
        <v>LLL</v>
      </c>
      <c r="AK744" s="99" t="str">
        <f>VLOOKUP(AJ744,rfm[],2,0)</f>
        <v>💤 Lost / Low Value</v>
      </c>
      <c r="AN744" s="99" t="b">
        <f t="shared" si="119"/>
        <v>0</v>
      </c>
    </row>
    <row r="745" spans="2:40" x14ac:dyDescent="0.3">
      <c r="B745" s="99" t="s">
        <v>1020</v>
      </c>
      <c r="C745" s="100">
        <v>45790</v>
      </c>
      <c r="D745" s="99" t="s">
        <v>38</v>
      </c>
      <c r="E745" s="99" t="s">
        <v>39</v>
      </c>
      <c r="F745" s="99" t="s">
        <v>16</v>
      </c>
      <c r="G745" s="99">
        <v>43</v>
      </c>
      <c r="H745" s="112">
        <v>200000</v>
      </c>
      <c r="I745" s="112">
        <v>8600000</v>
      </c>
      <c r="J745" s="99" t="s">
        <v>2817</v>
      </c>
      <c r="K745" s="99" t="s">
        <v>127</v>
      </c>
      <c r="N745" s="99" t="s">
        <v>2776</v>
      </c>
      <c r="O745" s="99" t="s">
        <v>8</v>
      </c>
      <c r="P745" s="100">
        <f t="shared" si="111"/>
        <v>46007</v>
      </c>
      <c r="Q745" s="101">
        <f t="shared" si="110"/>
        <v>16</v>
      </c>
      <c r="R745" s="99">
        <f t="shared" si="112"/>
        <v>3</v>
      </c>
      <c r="S745" s="101">
        <f t="shared" si="113"/>
        <v>396500000</v>
      </c>
      <c r="T745" s="99" t="str">
        <f t="shared" si="114"/>
        <v>High</v>
      </c>
      <c r="U745" s="99" t="str">
        <f t="shared" si="115"/>
        <v>High</v>
      </c>
      <c r="V745" s="99" t="str">
        <f t="shared" si="116"/>
        <v>High</v>
      </c>
      <c r="W745" s="99" t="str">
        <f t="shared" si="117"/>
        <v>HHH</v>
      </c>
      <c r="X745" s="99" t="str">
        <f>VLOOKUP(W745,rfm[],2,FALSE)</f>
        <v>🥇 Champions</v>
      </c>
      <c r="AA745" s="99" t="s">
        <v>2776</v>
      </c>
      <c r="AB745" s="99" t="s">
        <v>8</v>
      </c>
      <c r="AC745" s="100">
        <v>46007</v>
      </c>
      <c r="AD745" s="101">
        <v>16</v>
      </c>
      <c r="AE745" s="101">
        <v>3</v>
      </c>
      <c r="AF745" s="101">
        <v>396500000</v>
      </c>
      <c r="AG745" s="99" t="str">
        <f>VLOOKUP(AA745,recency!$K$6:$P$818,6,0)</f>
        <v>High</v>
      </c>
      <c r="AH745" s="132" t="str">
        <f>VLOOKUP(AA745,frequency!$F$6:$H$818,3,FALSE)</f>
        <v>High</v>
      </c>
      <c r="AI745" s="129" t="str">
        <f>VLOOKUP(AA745,monetary!$B$5:$F$817,5,0)</f>
        <v>High</v>
      </c>
      <c r="AJ745" s="99" t="str">
        <f t="shared" si="118"/>
        <v>HHH</v>
      </c>
      <c r="AK745" s="99" t="str">
        <f>VLOOKUP(AJ745,rfm[],2,0)</f>
        <v>🥇 Champions</v>
      </c>
      <c r="AN745" s="99" t="b">
        <f t="shared" si="119"/>
        <v>1</v>
      </c>
    </row>
    <row r="746" spans="2:40" x14ac:dyDescent="0.3">
      <c r="B746" s="99" t="s">
        <v>1021</v>
      </c>
      <c r="C746" s="100">
        <v>45790</v>
      </c>
      <c r="D746" s="99" t="s">
        <v>38</v>
      </c>
      <c r="E746" s="99" t="s">
        <v>39</v>
      </c>
      <c r="F746" s="99" t="s">
        <v>16</v>
      </c>
      <c r="G746" s="99">
        <v>4</v>
      </c>
      <c r="H746" s="112">
        <v>200000</v>
      </c>
      <c r="I746" s="112">
        <v>800000</v>
      </c>
      <c r="J746" s="99" t="s">
        <v>2276</v>
      </c>
      <c r="K746" s="99" t="s">
        <v>8</v>
      </c>
      <c r="N746" s="99" t="s">
        <v>2777</v>
      </c>
      <c r="O746" s="99" t="s">
        <v>8</v>
      </c>
      <c r="P746" s="100">
        <f t="shared" si="111"/>
        <v>46007</v>
      </c>
      <c r="Q746" s="101">
        <f t="shared" si="110"/>
        <v>16</v>
      </c>
      <c r="R746" s="99">
        <f t="shared" si="112"/>
        <v>4</v>
      </c>
      <c r="S746" s="101">
        <f t="shared" si="113"/>
        <v>40500000</v>
      </c>
      <c r="T746" s="99" t="str">
        <f t="shared" si="114"/>
        <v>High</v>
      </c>
      <c r="U746" s="99" t="str">
        <f t="shared" si="115"/>
        <v>High</v>
      </c>
      <c r="V746" s="99" t="str">
        <f t="shared" si="116"/>
        <v>High</v>
      </c>
      <c r="W746" s="99" t="str">
        <f t="shared" si="117"/>
        <v>HHH</v>
      </c>
      <c r="X746" s="99" t="str">
        <f>VLOOKUP(W746,rfm[],2,FALSE)</f>
        <v>🥇 Champions</v>
      </c>
      <c r="AA746" s="99" t="s">
        <v>2777</v>
      </c>
      <c r="AB746" s="99" t="s">
        <v>8</v>
      </c>
      <c r="AC746" s="100">
        <v>46007</v>
      </c>
      <c r="AD746" s="101">
        <v>16</v>
      </c>
      <c r="AE746" s="101">
        <v>4</v>
      </c>
      <c r="AF746" s="101">
        <v>40500000</v>
      </c>
      <c r="AG746" s="99" t="str">
        <f>VLOOKUP(AA746,recency!$K$6:$P$818,6,0)</f>
        <v>High</v>
      </c>
      <c r="AH746" s="132" t="str">
        <f>VLOOKUP(AA746,frequency!$F$6:$H$818,3,FALSE)</f>
        <v>High</v>
      </c>
      <c r="AI746" s="129" t="str">
        <f>VLOOKUP(AA746,monetary!$B$5:$F$817,5,0)</f>
        <v>Low</v>
      </c>
      <c r="AJ746" s="99" t="str">
        <f t="shared" si="118"/>
        <v>HHL</v>
      </c>
      <c r="AK746" s="99" t="str">
        <f>VLOOKUP(AJ746,rfm[],2,0)</f>
        <v>💎 Loyal High Value</v>
      </c>
      <c r="AN746" s="99" t="b">
        <f t="shared" si="119"/>
        <v>0</v>
      </c>
    </row>
    <row r="747" spans="2:40" x14ac:dyDescent="0.3">
      <c r="B747" s="99" t="s">
        <v>1022</v>
      </c>
      <c r="C747" s="100">
        <v>45790</v>
      </c>
      <c r="D747" s="99" t="s">
        <v>14</v>
      </c>
      <c r="E747" s="99" t="s">
        <v>15</v>
      </c>
      <c r="F747" s="99" t="s">
        <v>16</v>
      </c>
      <c r="G747" s="99">
        <v>36</v>
      </c>
      <c r="H747" s="112">
        <v>350000</v>
      </c>
      <c r="I747" s="112">
        <v>12600000</v>
      </c>
      <c r="J747" s="99" t="s">
        <v>229</v>
      </c>
      <c r="K747" s="99" t="s">
        <v>8</v>
      </c>
      <c r="N747" s="99" t="s">
        <v>2778</v>
      </c>
      <c r="O747" s="99" t="s">
        <v>60</v>
      </c>
      <c r="P747" s="100">
        <f t="shared" si="111"/>
        <v>45863</v>
      </c>
      <c r="Q747" s="101">
        <f t="shared" si="110"/>
        <v>160</v>
      </c>
      <c r="R747" s="99">
        <f t="shared" si="112"/>
        <v>1</v>
      </c>
      <c r="S747" s="101">
        <f t="shared" si="113"/>
        <v>9500000</v>
      </c>
      <c r="T747" s="99" t="str">
        <f t="shared" si="114"/>
        <v>Low</v>
      </c>
      <c r="U747" s="99" t="str">
        <f t="shared" si="115"/>
        <v>Low</v>
      </c>
      <c r="V747" s="99" t="str">
        <f t="shared" si="116"/>
        <v>Low</v>
      </c>
      <c r="W747" s="99" t="str">
        <f t="shared" si="117"/>
        <v>LLL</v>
      </c>
      <c r="X747" s="99" t="str">
        <f>VLOOKUP(W747,rfm[],2,FALSE)</f>
        <v>💤 Lost / Low Value</v>
      </c>
      <c r="AA747" s="99" t="s">
        <v>2778</v>
      </c>
      <c r="AB747" s="99" t="s">
        <v>60</v>
      </c>
      <c r="AC747" s="100">
        <v>45863</v>
      </c>
      <c r="AD747" s="101">
        <v>160</v>
      </c>
      <c r="AE747" s="101">
        <v>1</v>
      </c>
      <c r="AF747" s="101">
        <v>9500000</v>
      </c>
      <c r="AG747" s="99" t="str">
        <f>VLOOKUP(AA747,recency!$K$6:$P$818,6,0)</f>
        <v>Low</v>
      </c>
      <c r="AH747" s="132" t="str">
        <f>VLOOKUP(AA747,frequency!$F$6:$H$818,3,FALSE)</f>
        <v>Low</v>
      </c>
      <c r="AI747" s="129" t="str">
        <f>VLOOKUP(AA747,monetary!$B$5:$F$817,5,0)</f>
        <v>Low</v>
      </c>
      <c r="AJ747" s="99" t="str">
        <f t="shared" si="118"/>
        <v>LLL</v>
      </c>
      <c r="AK747" s="99" t="str">
        <f>VLOOKUP(AJ747,rfm[],2,0)</f>
        <v>💤 Lost / Low Value</v>
      </c>
      <c r="AN747" s="99" t="b">
        <f t="shared" si="119"/>
        <v>1</v>
      </c>
    </row>
    <row r="748" spans="2:40" x14ac:dyDescent="0.3">
      <c r="B748" s="99" t="s">
        <v>1023</v>
      </c>
      <c r="C748" s="100">
        <v>45790</v>
      </c>
      <c r="D748" s="99" t="s">
        <v>44</v>
      </c>
      <c r="E748" s="99" t="s">
        <v>45</v>
      </c>
      <c r="F748" s="99" t="s">
        <v>16</v>
      </c>
      <c r="G748" s="99">
        <v>13</v>
      </c>
      <c r="H748" s="112">
        <v>250000</v>
      </c>
      <c r="I748" s="112">
        <v>3250000</v>
      </c>
      <c r="J748" s="99" t="s">
        <v>2367</v>
      </c>
      <c r="K748" s="99" t="s">
        <v>127</v>
      </c>
      <c r="N748" s="99" t="s">
        <v>2779</v>
      </c>
      <c r="O748" s="99" t="s">
        <v>8</v>
      </c>
      <c r="P748" s="100">
        <f t="shared" si="111"/>
        <v>45992</v>
      </c>
      <c r="Q748" s="101">
        <f t="shared" si="110"/>
        <v>31</v>
      </c>
      <c r="R748" s="99">
        <f t="shared" si="112"/>
        <v>10</v>
      </c>
      <c r="S748" s="101">
        <f t="shared" si="113"/>
        <v>412500000</v>
      </c>
      <c r="T748" s="99" t="str">
        <f t="shared" si="114"/>
        <v>High</v>
      </c>
      <c r="U748" s="99" t="str">
        <f t="shared" si="115"/>
        <v>High</v>
      </c>
      <c r="V748" s="99" t="str">
        <f t="shared" si="116"/>
        <v>High</v>
      </c>
      <c r="W748" s="99" t="str">
        <f t="shared" si="117"/>
        <v>HHH</v>
      </c>
      <c r="X748" s="99" t="str">
        <f>VLOOKUP(W748,rfm[],2,FALSE)</f>
        <v>🥇 Champions</v>
      </c>
      <c r="AA748" s="99" t="s">
        <v>2779</v>
      </c>
      <c r="AB748" s="99" t="s">
        <v>8</v>
      </c>
      <c r="AC748" s="100">
        <v>45992</v>
      </c>
      <c r="AD748" s="101">
        <v>31</v>
      </c>
      <c r="AE748" s="101">
        <v>10</v>
      </c>
      <c r="AF748" s="101">
        <v>412500000</v>
      </c>
      <c r="AG748" s="99" t="str">
        <f>VLOOKUP(AA748,recency!$K$6:$P$818,6,0)</f>
        <v>High</v>
      </c>
      <c r="AH748" s="132" t="str">
        <f>VLOOKUP(AA748,frequency!$F$6:$H$818,3,FALSE)</f>
        <v>High</v>
      </c>
      <c r="AI748" s="129" t="str">
        <f>VLOOKUP(AA748,monetary!$B$5:$F$817,5,0)</f>
        <v>High</v>
      </c>
      <c r="AJ748" s="99" t="str">
        <f t="shared" si="118"/>
        <v>HHH</v>
      </c>
      <c r="AK748" s="99" t="str">
        <f>VLOOKUP(AJ748,rfm[],2,0)</f>
        <v>🥇 Champions</v>
      </c>
      <c r="AN748" s="99" t="b">
        <f t="shared" si="119"/>
        <v>1</v>
      </c>
    </row>
    <row r="749" spans="2:40" x14ac:dyDescent="0.3">
      <c r="B749" s="99" t="s">
        <v>1024</v>
      </c>
      <c r="C749" s="100">
        <v>45792</v>
      </c>
      <c r="D749" s="99" t="s">
        <v>40</v>
      </c>
      <c r="E749" s="99" t="s">
        <v>41</v>
      </c>
      <c r="F749" s="99" t="s">
        <v>16</v>
      </c>
      <c r="G749" s="99">
        <v>39</v>
      </c>
      <c r="H749" s="112">
        <v>950000</v>
      </c>
      <c r="I749" s="112">
        <v>37050000</v>
      </c>
      <c r="J749" s="99" t="s">
        <v>2786</v>
      </c>
      <c r="K749" s="99" t="s">
        <v>127</v>
      </c>
      <c r="N749" s="99" t="s">
        <v>2780</v>
      </c>
      <c r="O749" s="99" t="s">
        <v>127</v>
      </c>
      <c r="P749" s="100">
        <f t="shared" si="111"/>
        <v>45982</v>
      </c>
      <c r="Q749" s="101">
        <f t="shared" si="110"/>
        <v>41</v>
      </c>
      <c r="R749" s="99">
        <f t="shared" si="112"/>
        <v>8</v>
      </c>
      <c r="S749" s="101">
        <f t="shared" si="113"/>
        <v>76200000</v>
      </c>
      <c r="T749" s="99" t="str">
        <f t="shared" si="114"/>
        <v>High</v>
      </c>
      <c r="U749" s="99" t="str">
        <f t="shared" si="115"/>
        <v>High</v>
      </c>
      <c r="V749" s="99" t="str">
        <f t="shared" si="116"/>
        <v>High</v>
      </c>
      <c r="W749" s="99" t="str">
        <f t="shared" si="117"/>
        <v>HHH</v>
      </c>
      <c r="X749" s="99" t="str">
        <f>VLOOKUP(W749,rfm[],2,FALSE)</f>
        <v>🥇 Champions</v>
      </c>
      <c r="AA749" s="99" t="s">
        <v>2780</v>
      </c>
      <c r="AB749" s="99" t="s">
        <v>127</v>
      </c>
      <c r="AC749" s="100">
        <v>45982</v>
      </c>
      <c r="AD749" s="101">
        <v>41</v>
      </c>
      <c r="AE749" s="101">
        <v>8</v>
      </c>
      <c r="AF749" s="101">
        <v>76200000</v>
      </c>
      <c r="AG749" s="99" t="str">
        <f>VLOOKUP(AA749,recency!$K$6:$P$818,6,0)</f>
        <v>High</v>
      </c>
      <c r="AH749" s="132" t="str">
        <f>VLOOKUP(AA749,frequency!$F$6:$H$818,3,FALSE)</f>
        <v>High</v>
      </c>
      <c r="AI749" s="129" t="str">
        <f>VLOOKUP(AA749,monetary!$B$5:$F$817,5,0)</f>
        <v>High</v>
      </c>
      <c r="AJ749" s="99" t="str">
        <f t="shared" si="118"/>
        <v>HHH</v>
      </c>
      <c r="AK749" s="99" t="str">
        <f>VLOOKUP(AJ749,rfm[],2,0)</f>
        <v>🥇 Champions</v>
      </c>
      <c r="AN749" s="99" t="b">
        <f t="shared" si="119"/>
        <v>1</v>
      </c>
    </row>
    <row r="750" spans="2:40" x14ac:dyDescent="0.3">
      <c r="B750" s="99" t="s">
        <v>1053</v>
      </c>
      <c r="C750" s="100">
        <v>45792</v>
      </c>
      <c r="D750" s="99" t="s">
        <v>18</v>
      </c>
      <c r="E750" s="99" t="s">
        <v>19</v>
      </c>
      <c r="F750" s="99" t="s">
        <v>20</v>
      </c>
      <c r="G750" s="99">
        <v>48</v>
      </c>
      <c r="H750" s="112">
        <v>500000</v>
      </c>
      <c r="I750" s="112">
        <v>24000000</v>
      </c>
      <c r="J750" s="99" t="s">
        <v>274</v>
      </c>
      <c r="K750" s="99" t="s">
        <v>8</v>
      </c>
      <c r="N750" s="99" t="s">
        <v>2781</v>
      </c>
      <c r="O750" s="99" t="s">
        <v>127</v>
      </c>
      <c r="P750" s="100">
        <f t="shared" si="111"/>
        <v>46015</v>
      </c>
      <c r="Q750" s="101">
        <f t="shared" si="110"/>
        <v>8</v>
      </c>
      <c r="R750" s="99">
        <f t="shared" si="112"/>
        <v>3</v>
      </c>
      <c r="S750" s="101">
        <f t="shared" si="113"/>
        <v>39560000</v>
      </c>
      <c r="T750" s="99" t="str">
        <f t="shared" si="114"/>
        <v>High</v>
      </c>
      <c r="U750" s="99" t="str">
        <f t="shared" si="115"/>
        <v>High</v>
      </c>
      <c r="V750" s="99" t="str">
        <f t="shared" si="116"/>
        <v>High</v>
      </c>
      <c r="W750" s="99" t="str">
        <f t="shared" si="117"/>
        <v>HHH</v>
      </c>
      <c r="X750" s="99" t="str">
        <f>VLOOKUP(W750,rfm[],2,FALSE)</f>
        <v>🥇 Champions</v>
      </c>
      <c r="AA750" s="99" t="s">
        <v>2781</v>
      </c>
      <c r="AB750" s="99" t="s">
        <v>127</v>
      </c>
      <c r="AC750" s="100">
        <v>46015</v>
      </c>
      <c r="AD750" s="101">
        <v>8</v>
      </c>
      <c r="AE750" s="101">
        <v>3</v>
      </c>
      <c r="AF750" s="101">
        <v>39560000</v>
      </c>
      <c r="AG750" s="99" t="str">
        <f>VLOOKUP(AA750,recency!$K$6:$P$818,6,0)</f>
        <v>High</v>
      </c>
      <c r="AH750" s="132" t="str">
        <f>VLOOKUP(AA750,frequency!$F$6:$H$818,3,FALSE)</f>
        <v>High</v>
      </c>
      <c r="AI750" s="129" t="str">
        <f>VLOOKUP(AA750,monetary!$B$5:$F$817,5,0)</f>
        <v>Low</v>
      </c>
      <c r="AJ750" s="99" t="str">
        <f t="shared" si="118"/>
        <v>HHL</v>
      </c>
      <c r="AK750" s="99" t="str">
        <f>VLOOKUP(AJ750,rfm[],2,0)</f>
        <v>💎 Loyal High Value</v>
      </c>
      <c r="AN750" s="99" t="b">
        <f t="shared" si="119"/>
        <v>0</v>
      </c>
    </row>
    <row r="751" spans="2:40" x14ac:dyDescent="0.3">
      <c r="B751" s="99" t="s">
        <v>1054</v>
      </c>
      <c r="C751" s="100">
        <v>45792</v>
      </c>
      <c r="D751" s="99" t="s">
        <v>18</v>
      </c>
      <c r="E751" s="99" t="s">
        <v>19</v>
      </c>
      <c r="F751" s="99" t="s">
        <v>20</v>
      </c>
      <c r="G751" s="99">
        <v>20</v>
      </c>
      <c r="H751" s="112">
        <v>500000</v>
      </c>
      <c r="I751" s="112">
        <v>10000000</v>
      </c>
      <c r="J751" s="99" t="s">
        <v>2440</v>
      </c>
      <c r="K751" s="99" t="s">
        <v>127</v>
      </c>
      <c r="N751" s="99" t="s">
        <v>2782</v>
      </c>
      <c r="O751" s="99" t="s">
        <v>69</v>
      </c>
      <c r="P751" s="100">
        <f t="shared" si="111"/>
        <v>45847</v>
      </c>
      <c r="Q751" s="101">
        <f t="shared" si="110"/>
        <v>176</v>
      </c>
      <c r="R751" s="99">
        <f t="shared" si="112"/>
        <v>2</v>
      </c>
      <c r="S751" s="101">
        <f t="shared" si="113"/>
        <v>28700000</v>
      </c>
      <c r="T751" s="99" t="str">
        <f t="shared" si="114"/>
        <v>Low</v>
      </c>
      <c r="U751" s="99" t="str">
        <f t="shared" si="115"/>
        <v>Low</v>
      </c>
      <c r="V751" s="99" t="str">
        <f t="shared" si="116"/>
        <v>High</v>
      </c>
      <c r="W751" s="99" t="str">
        <f t="shared" si="117"/>
        <v>LLH</v>
      </c>
      <c r="X751" s="99" t="str">
        <f>VLOOKUP(W751,rfm[],2,FALSE)</f>
        <v>💸 Lost High Spenders</v>
      </c>
      <c r="AA751" s="99" t="s">
        <v>2782</v>
      </c>
      <c r="AB751" s="99" t="s">
        <v>69</v>
      </c>
      <c r="AC751" s="100">
        <v>45847</v>
      </c>
      <c r="AD751" s="101">
        <v>176</v>
      </c>
      <c r="AE751" s="101">
        <v>2</v>
      </c>
      <c r="AF751" s="101">
        <v>28700000</v>
      </c>
      <c r="AG751" s="99" t="str">
        <f>VLOOKUP(AA751,recency!$K$6:$P$818,6,0)</f>
        <v>Low</v>
      </c>
      <c r="AH751" s="132" t="str">
        <f>VLOOKUP(AA751,frequency!$F$6:$H$818,3,FALSE)</f>
        <v>Low</v>
      </c>
      <c r="AI751" s="129" t="str">
        <f>VLOOKUP(AA751,monetary!$B$5:$F$817,5,0)</f>
        <v>Low</v>
      </c>
      <c r="AJ751" s="99" t="str">
        <f t="shared" si="118"/>
        <v>LLL</v>
      </c>
      <c r="AK751" s="99" t="str">
        <f>VLOOKUP(AJ751,rfm[],2,0)</f>
        <v>💤 Lost / Low Value</v>
      </c>
      <c r="AN751" s="99" t="b">
        <f t="shared" si="119"/>
        <v>0</v>
      </c>
    </row>
    <row r="752" spans="2:40" x14ac:dyDescent="0.3">
      <c r="B752" s="99" t="s">
        <v>1055</v>
      </c>
      <c r="C752" s="100">
        <v>45792</v>
      </c>
      <c r="D752" s="99" t="s">
        <v>22</v>
      </c>
      <c r="E752" s="99" t="s">
        <v>23</v>
      </c>
      <c r="F752" s="99" t="s">
        <v>12</v>
      </c>
      <c r="G752" s="99">
        <v>29</v>
      </c>
      <c r="H752" s="112">
        <v>25000</v>
      </c>
      <c r="I752" s="112">
        <v>725000</v>
      </c>
      <c r="J752" s="99" t="s">
        <v>2756</v>
      </c>
      <c r="K752" s="99" t="s">
        <v>47</v>
      </c>
      <c r="N752" s="99" t="s">
        <v>2783</v>
      </c>
      <c r="O752" s="99" t="s">
        <v>60</v>
      </c>
      <c r="P752" s="100">
        <f t="shared" si="111"/>
        <v>45926</v>
      </c>
      <c r="Q752" s="101">
        <f t="shared" si="110"/>
        <v>97</v>
      </c>
      <c r="R752" s="99">
        <f t="shared" si="112"/>
        <v>2</v>
      </c>
      <c r="S752" s="101">
        <f t="shared" si="113"/>
        <v>27020000</v>
      </c>
      <c r="T752" s="99" t="str">
        <f t="shared" si="114"/>
        <v>Low</v>
      </c>
      <c r="U752" s="99" t="str">
        <f t="shared" si="115"/>
        <v>Low</v>
      </c>
      <c r="V752" s="99" t="str">
        <f t="shared" si="116"/>
        <v>High</v>
      </c>
      <c r="W752" s="99" t="str">
        <f t="shared" si="117"/>
        <v>LLH</v>
      </c>
      <c r="X752" s="99" t="str">
        <f>VLOOKUP(W752,rfm[],2,FALSE)</f>
        <v>💸 Lost High Spenders</v>
      </c>
      <c r="AA752" s="99" t="s">
        <v>2783</v>
      </c>
      <c r="AB752" s="99" t="s">
        <v>60</v>
      </c>
      <c r="AC752" s="100">
        <v>45926</v>
      </c>
      <c r="AD752" s="101">
        <v>97</v>
      </c>
      <c r="AE752" s="101">
        <v>2</v>
      </c>
      <c r="AF752" s="101">
        <v>27020000</v>
      </c>
      <c r="AG752" s="99" t="str">
        <f>VLOOKUP(AA752,recency!$K$6:$P$818,6,0)</f>
        <v>Low</v>
      </c>
      <c r="AH752" s="132" t="str">
        <f>VLOOKUP(AA752,frequency!$F$6:$H$818,3,FALSE)</f>
        <v>Low</v>
      </c>
      <c r="AI752" s="129" t="str">
        <f>VLOOKUP(AA752,monetary!$B$5:$F$817,5,0)</f>
        <v>Low</v>
      </c>
      <c r="AJ752" s="99" t="str">
        <f t="shared" si="118"/>
        <v>LLL</v>
      </c>
      <c r="AK752" s="99" t="str">
        <f>VLOOKUP(AJ752,rfm[],2,0)</f>
        <v>💤 Lost / Low Value</v>
      </c>
      <c r="AN752" s="99" t="b">
        <f t="shared" si="119"/>
        <v>0</v>
      </c>
    </row>
    <row r="753" spans="2:40" x14ac:dyDescent="0.3">
      <c r="B753" s="99" t="s">
        <v>1056</v>
      </c>
      <c r="C753" s="100">
        <v>45792</v>
      </c>
      <c r="D753" s="99" t="s">
        <v>14</v>
      </c>
      <c r="E753" s="99" t="s">
        <v>15</v>
      </c>
      <c r="F753" s="99" t="s">
        <v>16</v>
      </c>
      <c r="G753" s="99">
        <v>30</v>
      </c>
      <c r="H753" s="112">
        <v>350000</v>
      </c>
      <c r="I753" s="112">
        <v>10500000</v>
      </c>
      <c r="J753" s="99" t="s">
        <v>2808</v>
      </c>
      <c r="K753" s="99" t="s">
        <v>8</v>
      </c>
      <c r="N753" s="99" t="s">
        <v>2784</v>
      </c>
      <c r="O753" s="99" t="s">
        <v>8</v>
      </c>
      <c r="P753" s="100">
        <f t="shared" si="111"/>
        <v>45740</v>
      </c>
      <c r="Q753" s="101">
        <f t="shared" si="110"/>
        <v>283</v>
      </c>
      <c r="R753" s="99">
        <f t="shared" si="112"/>
        <v>1</v>
      </c>
      <c r="S753" s="101">
        <f t="shared" si="113"/>
        <v>54000000</v>
      </c>
      <c r="T753" s="99" t="str">
        <f t="shared" si="114"/>
        <v>Low</v>
      </c>
      <c r="U753" s="99" t="str">
        <f t="shared" si="115"/>
        <v>Low</v>
      </c>
      <c r="V753" s="99" t="str">
        <f t="shared" si="116"/>
        <v>High</v>
      </c>
      <c r="W753" s="99" t="str">
        <f t="shared" si="117"/>
        <v>LLH</v>
      </c>
      <c r="X753" s="99" t="str">
        <f>VLOOKUP(W753,rfm[],2,FALSE)</f>
        <v>💸 Lost High Spenders</v>
      </c>
      <c r="AA753" s="99" t="s">
        <v>2784</v>
      </c>
      <c r="AB753" s="99" t="s">
        <v>8</v>
      </c>
      <c r="AC753" s="100">
        <v>45740</v>
      </c>
      <c r="AD753" s="101">
        <v>283</v>
      </c>
      <c r="AE753" s="101">
        <v>1</v>
      </c>
      <c r="AF753" s="101">
        <v>54000000</v>
      </c>
      <c r="AG753" s="99" t="str">
        <f>VLOOKUP(AA753,recency!$K$6:$P$818,6,0)</f>
        <v>Low</v>
      </c>
      <c r="AH753" s="132" t="str">
        <f>VLOOKUP(AA753,frequency!$F$6:$H$818,3,FALSE)</f>
        <v>Low</v>
      </c>
      <c r="AI753" s="129" t="str">
        <f>VLOOKUP(AA753,monetary!$B$5:$F$817,5,0)</f>
        <v>High</v>
      </c>
      <c r="AJ753" s="99" t="str">
        <f t="shared" si="118"/>
        <v>LLH</v>
      </c>
      <c r="AK753" s="99" t="str">
        <f>VLOOKUP(AJ753,rfm[],2,0)</f>
        <v>💸 Lost High Spenders</v>
      </c>
      <c r="AN753" s="99" t="b">
        <f t="shared" si="119"/>
        <v>1</v>
      </c>
    </row>
    <row r="754" spans="2:40" x14ac:dyDescent="0.3">
      <c r="B754" s="99" t="s">
        <v>1057</v>
      </c>
      <c r="C754" s="100">
        <v>45792</v>
      </c>
      <c r="D754" s="99" t="s">
        <v>22</v>
      </c>
      <c r="E754" s="99" t="s">
        <v>23</v>
      </c>
      <c r="F754" s="99" t="s">
        <v>12</v>
      </c>
      <c r="G754" s="99">
        <v>170</v>
      </c>
      <c r="H754" s="112">
        <v>25000</v>
      </c>
      <c r="I754" s="112">
        <v>4250000</v>
      </c>
      <c r="J754" s="99" t="s">
        <v>2184</v>
      </c>
      <c r="K754" s="99" t="s">
        <v>127</v>
      </c>
      <c r="N754" s="99" t="s">
        <v>2785</v>
      </c>
      <c r="O754" s="99" t="s">
        <v>69</v>
      </c>
      <c r="P754" s="100">
        <f t="shared" si="111"/>
        <v>45961</v>
      </c>
      <c r="Q754" s="101">
        <f t="shared" si="110"/>
        <v>62</v>
      </c>
      <c r="R754" s="99">
        <f t="shared" si="112"/>
        <v>3</v>
      </c>
      <c r="S754" s="101">
        <f t="shared" si="113"/>
        <v>31200000</v>
      </c>
      <c r="T754" s="99" t="str">
        <f t="shared" si="114"/>
        <v>High</v>
      </c>
      <c r="U754" s="99" t="str">
        <f t="shared" si="115"/>
        <v>High</v>
      </c>
      <c r="V754" s="99" t="str">
        <f t="shared" si="116"/>
        <v>High</v>
      </c>
      <c r="W754" s="99" t="str">
        <f t="shared" si="117"/>
        <v>HHH</v>
      </c>
      <c r="X754" s="99" t="str">
        <f>VLOOKUP(W754,rfm[],2,FALSE)</f>
        <v>🥇 Champions</v>
      </c>
      <c r="AA754" s="99" t="s">
        <v>2785</v>
      </c>
      <c r="AB754" s="99" t="s">
        <v>69</v>
      </c>
      <c r="AC754" s="100">
        <v>45961</v>
      </c>
      <c r="AD754" s="101">
        <v>62</v>
      </c>
      <c r="AE754" s="101">
        <v>3</v>
      </c>
      <c r="AF754" s="101">
        <v>31200000</v>
      </c>
      <c r="AG754" s="99" t="str">
        <f>VLOOKUP(AA754,recency!$K$6:$P$818,6,0)</f>
        <v>Low</v>
      </c>
      <c r="AH754" s="132" t="str">
        <f>VLOOKUP(AA754,frequency!$F$6:$H$818,3,FALSE)</f>
        <v>High</v>
      </c>
      <c r="AI754" s="129" t="str">
        <f>VLOOKUP(AA754,monetary!$B$5:$F$817,5,0)</f>
        <v>Low</v>
      </c>
      <c r="AJ754" s="99" t="str">
        <f t="shared" si="118"/>
        <v>LHL</v>
      </c>
      <c r="AK754" s="99" t="str">
        <f>VLOOKUP(AJ754,rfm[],2,0)</f>
        <v>🔁 Former Loyal Low Spend</v>
      </c>
      <c r="AN754" s="99" t="b">
        <f t="shared" si="119"/>
        <v>0</v>
      </c>
    </row>
    <row r="755" spans="2:40" x14ac:dyDescent="0.3">
      <c r="B755" s="99" t="s">
        <v>1089</v>
      </c>
      <c r="C755" s="100">
        <v>45792</v>
      </c>
      <c r="D755" s="99" t="s">
        <v>22</v>
      </c>
      <c r="E755" s="99" t="s">
        <v>23</v>
      </c>
      <c r="F755" s="99" t="s">
        <v>12</v>
      </c>
      <c r="G755" s="99">
        <v>46</v>
      </c>
      <c r="H755" s="112">
        <v>25000</v>
      </c>
      <c r="I755" s="112">
        <v>1150000</v>
      </c>
      <c r="J755" s="99" t="s">
        <v>2569</v>
      </c>
      <c r="K755" s="99" t="s">
        <v>127</v>
      </c>
      <c r="N755" s="99" t="s">
        <v>2786</v>
      </c>
      <c r="O755" s="99" t="s">
        <v>127</v>
      </c>
      <c r="P755" s="100">
        <f t="shared" si="111"/>
        <v>45978</v>
      </c>
      <c r="Q755" s="101">
        <f t="shared" si="110"/>
        <v>45</v>
      </c>
      <c r="R755" s="99">
        <f t="shared" si="112"/>
        <v>3</v>
      </c>
      <c r="S755" s="101">
        <f t="shared" si="113"/>
        <v>58200000</v>
      </c>
      <c r="T755" s="99" t="str">
        <f t="shared" si="114"/>
        <v>High</v>
      </c>
      <c r="U755" s="99" t="str">
        <f t="shared" si="115"/>
        <v>High</v>
      </c>
      <c r="V755" s="99" t="str">
        <f t="shared" si="116"/>
        <v>High</v>
      </c>
      <c r="W755" s="99" t="str">
        <f t="shared" si="117"/>
        <v>HHH</v>
      </c>
      <c r="X755" s="99" t="str">
        <f>VLOOKUP(W755,rfm[],2,FALSE)</f>
        <v>🥇 Champions</v>
      </c>
      <c r="AA755" s="99" t="s">
        <v>2786</v>
      </c>
      <c r="AB755" s="99" t="s">
        <v>127</v>
      </c>
      <c r="AC755" s="100">
        <v>45978</v>
      </c>
      <c r="AD755" s="101">
        <v>45</v>
      </c>
      <c r="AE755" s="101">
        <v>3</v>
      </c>
      <c r="AF755" s="101">
        <v>58200000</v>
      </c>
      <c r="AG755" s="99" t="str">
        <f>VLOOKUP(AA755,recency!$K$6:$P$818,6,0)</f>
        <v>High</v>
      </c>
      <c r="AH755" s="132" t="str">
        <f>VLOOKUP(AA755,frequency!$F$6:$H$818,3,FALSE)</f>
        <v>High</v>
      </c>
      <c r="AI755" s="129" t="str">
        <f>VLOOKUP(AA755,monetary!$B$5:$F$817,5,0)</f>
        <v>High</v>
      </c>
      <c r="AJ755" s="99" t="str">
        <f t="shared" si="118"/>
        <v>HHH</v>
      </c>
      <c r="AK755" s="99" t="str">
        <f>VLOOKUP(AJ755,rfm[],2,0)</f>
        <v>🥇 Champions</v>
      </c>
      <c r="AN755" s="99" t="b">
        <f t="shared" si="119"/>
        <v>1</v>
      </c>
    </row>
    <row r="756" spans="2:40" x14ac:dyDescent="0.3">
      <c r="B756" s="99" t="s">
        <v>1090</v>
      </c>
      <c r="C756" s="100">
        <v>45792</v>
      </c>
      <c r="D756" s="99" t="s">
        <v>31</v>
      </c>
      <c r="E756" s="99" t="s">
        <v>32</v>
      </c>
      <c r="F756" s="99" t="s">
        <v>20</v>
      </c>
      <c r="G756" s="99">
        <v>17</v>
      </c>
      <c r="H756" s="112">
        <v>180000</v>
      </c>
      <c r="I756" s="112">
        <v>3060000</v>
      </c>
      <c r="J756" s="99" t="s">
        <v>2345</v>
      </c>
      <c r="K756" s="99" t="s">
        <v>8</v>
      </c>
      <c r="N756" s="99" t="s">
        <v>2787</v>
      </c>
      <c r="O756" s="99" t="s">
        <v>60</v>
      </c>
      <c r="P756" s="100">
        <f t="shared" si="111"/>
        <v>45874</v>
      </c>
      <c r="Q756" s="101">
        <f t="shared" si="110"/>
        <v>149</v>
      </c>
      <c r="R756" s="99">
        <f t="shared" si="112"/>
        <v>3</v>
      </c>
      <c r="S756" s="101">
        <f t="shared" si="113"/>
        <v>8505000</v>
      </c>
      <c r="T756" s="99" t="str">
        <f t="shared" si="114"/>
        <v>Low</v>
      </c>
      <c r="U756" s="99" t="str">
        <f t="shared" si="115"/>
        <v>High</v>
      </c>
      <c r="V756" s="99" t="str">
        <f t="shared" si="116"/>
        <v>Low</v>
      </c>
      <c r="W756" s="99" t="str">
        <f t="shared" si="117"/>
        <v>LHL</v>
      </c>
      <c r="X756" s="99" t="str">
        <f>VLOOKUP(W756,rfm[],2,FALSE)</f>
        <v>🔁 Former Loyal Low Spend</v>
      </c>
      <c r="AA756" s="99" t="s">
        <v>2787</v>
      </c>
      <c r="AB756" s="99" t="s">
        <v>60</v>
      </c>
      <c r="AC756" s="100">
        <v>45874</v>
      </c>
      <c r="AD756" s="101">
        <v>149</v>
      </c>
      <c r="AE756" s="101">
        <v>3</v>
      </c>
      <c r="AF756" s="101">
        <v>8505000</v>
      </c>
      <c r="AG756" s="99" t="str">
        <f>VLOOKUP(AA756,recency!$K$6:$P$818,6,0)</f>
        <v>Low</v>
      </c>
      <c r="AH756" s="132" t="str">
        <f>VLOOKUP(AA756,frequency!$F$6:$H$818,3,FALSE)</f>
        <v>High</v>
      </c>
      <c r="AI756" s="129" t="str">
        <f>VLOOKUP(AA756,monetary!$B$5:$F$817,5,0)</f>
        <v>Low</v>
      </c>
      <c r="AJ756" s="99" t="str">
        <f t="shared" si="118"/>
        <v>LHL</v>
      </c>
      <c r="AK756" s="99" t="str">
        <f>VLOOKUP(AJ756,rfm[],2,0)</f>
        <v>🔁 Former Loyal Low Spend</v>
      </c>
      <c r="AN756" s="99" t="b">
        <f t="shared" si="119"/>
        <v>1</v>
      </c>
    </row>
    <row r="757" spans="2:40" x14ac:dyDescent="0.3">
      <c r="B757" s="99" t="s">
        <v>1091</v>
      </c>
      <c r="C757" s="100">
        <v>45792</v>
      </c>
      <c r="D757" s="99" t="s">
        <v>28</v>
      </c>
      <c r="E757" s="99" t="s">
        <v>29</v>
      </c>
      <c r="F757" s="99" t="s">
        <v>20</v>
      </c>
      <c r="G757" s="99">
        <v>7</v>
      </c>
      <c r="H757" s="112">
        <v>450000</v>
      </c>
      <c r="I757" s="112">
        <v>3150000</v>
      </c>
      <c r="J757" s="99" t="s">
        <v>2785</v>
      </c>
      <c r="K757" s="99" t="s">
        <v>69</v>
      </c>
      <c r="N757" s="99" t="s">
        <v>2788</v>
      </c>
      <c r="O757" s="99" t="s">
        <v>69</v>
      </c>
      <c r="P757" s="100">
        <f t="shared" si="111"/>
        <v>45922</v>
      </c>
      <c r="Q757" s="101">
        <f t="shared" si="110"/>
        <v>101</v>
      </c>
      <c r="R757" s="99">
        <f t="shared" si="112"/>
        <v>6</v>
      </c>
      <c r="S757" s="101">
        <f t="shared" si="113"/>
        <v>62550000</v>
      </c>
      <c r="T757" s="99" t="str">
        <f t="shared" si="114"/>
        <v>Low</v>
      </c>
      <c r="U757" s="99" t="str">
        <f t="shared" si="115"/>
        <v>High</v>
      </c>
      <c r="V757" s="99" t="str">
        <f t="shared" si="116"/>
        <v>High</v>
      </c>
      <c r="W757" s="99" t="str">
        <f t="shared" si="117"/>
        <v>LHH</v>
      </c>
      <c r="X757" s="99" t="str">
        <f>VLOOKUP(W757,rfm[],2,FALSE)</f>
        <v>⚠️ At Risk High Value</v>
      </c>
      <c r="AA757" s="99" t="s">
        <v>2788</v>
      </c>
      <c r="AB757" s="99" t="s">
        <v>69</v>
      </c>
      <c r="AC757" s="100">
        <v>45922</v>
      </c>
      <c r="AD757" s="101">
        <v>101</v>
      </c>
      <c r="AE757" s="101">
        <v>6</v>
      </c>
      <c r="AF757" s="101">
        <v>62550000</v>
      </c>
      <c r="AG757" s="99" t="str">
        <f>VLOOKUP(AA757,recency!$K$6:$P$818,6,0)</f>
        <v>Low</v>
      </c>
      <c r="AH757" s="132" t="str">
        <f>VLOOKUP(AA757,frequency!$F$6:$H$818,3,FALSE)</f>
        <v>High</v>
      </c>
      <c r="AI757" s="129" t="str">
        <f>VLOOKUP(AA757,monetary!$B$5:$F$817,5,0)</f>
        <v>High</v>
      </c>
      <c r="AJ757" s="99" t="str">
        <f t="shared" si="118"/>
        <v>LHH</v>
      </c>
      <c r="AK757" s="99" t="str">
        <f>VLOOKUP(AJ757,rfm[],2,0)</f>
        <v>⚠️ At Risk High Value</v>
      </c>
      <c r="AN757" s="99" t="b">
        <f t="shared" si="119"/>
        <v>1</v>
      </c>
    </row>
    <row r="758" spans="2:40" x14ac:dyDescent="0.3">
      <c r="B758" s="99" t="s">
        <v>1092</v>
      </c>
      <c r="C758" s="100">
        <v>45792</v>
      </c>
      <c r="D758" s="99" t="s">
        <v>44</v>
      </c>
      <c r="E758" s="99" t="s">
        <v>45</v>
      </c>
      <c r="F758" s="99" t="s">
        <v>16</v>
      </c>
      <c r="G758" s="99">
        <v>30</v>
      </c>
      <c r="H758" s="112">
        <v>250000</v>
      </c>
      <c r="I758" s="112">
        <v>7500000</v>
      </c>
      <c r="J758" s="99" t="s">
        <v>2820</v>
      </c>
      <c r="K758" s="99" t="s">
        <v>127</v>
      </c>
      <c r="N758" s="99" t="s">
        <v>2789</v>
      </c>
      <c r="O758" s="99" t="s">
        <v>127</v>
      </c>
      <c r="P758" s="100">
        <f t="shared" si="111"/>
        <v>45854</v>
      </c>
      <c r="Q758" s="101">
        <f t="shared" si="110"/>
        <v>169</v>
      </c>
      <c r="R758" s="99">
        <f t="shared" si="112"/>
        <v>5</v>
      </c>
      <c r="S758" s="101">
        <f t="shared" si="113"/>
        <v>37575000</v>
      </c>
      <c r="T758" s="99" t="str">
        <f t="shared" si="114"/>
        <v>Low</v>
      </c>
      <c r="U758" s="99" t="str">
        <f t="shared" si="115"/>
        <v>High</v>
      </c>
      <c r="V758" s="99" t="str">
        <f t="shared" si="116"/>
        <v>High</v>
      </c>
      <c r="W758" s="99" t="str">
        <f t="shared" si="117"/>
        <v>LHH</v>
      </c>
      <c r="X758" s="99" t="str">
        <f>VLOOKUP(W758,rfm[],2,FALSE)</f>
        <v>⚠️ At Risk High Value</v>
      </c>
      <c r="AA758" s="99" t="s">
        <v>2789</v>
      </c>
      <c r="AB758" s="99" t="s">
        <v>127</v>
      </c>
      <c r="AC758" s="100">
        <v>45854</v>
      </c>
      <c r="AD758" s="101">
        <v>169</v>
      </c>
      <c r="AE758" s="101">
        <v>5</v>
      </c>
      <c r="AF758" s="101">
        <v>37575000</v>
      </c>
      <c r="AG758" s="99" t="str">
        <f>VLOOKUP(AA758,recency!$K$6:$P$818,6,0)</f>
        <v>Low</v>
      </c>
      <c r="AH758" s="132" t="str">
        <f>VLOOKUP(AA758,frequency!$F$6:$H$818,3,FALSE)</f>
        <v>High</v>
      </c>
      <c r="AI758" s="129" t="str">
        <f>VLOOKUP(AA758,monetary!$B$5:$F$817,5,0)</f>
        <v>Low</v>
      </c>
      <c r="AJ758" s="99" t="str">
        <f t="shared" si="118"/>
        <v>LHL</v>
      </c>
      <c r="AK758" s="99" t="str">
        <f>VLOOKUP(AJ758,rfm[],2,0)</f>
        <v>🔁 Former Loyal Low Spend</v>
      </c>
      <c r="AN758" s="99" t="b">
        <f t="shared" si="119"/>
        <v>0</v>
      </c>
    </row>
    <row r="759" spans="2:40" x14ac:dyDescent="0.3">
      <c r="B759" s="99" t="s">
        <v>1093</v>
      </c>
      <c r="C759" s="100">
        <v>45793</v>
      </c>
      <c r="D759" s="99" t="s">
        <v>40</v>
      </c>
      <c r="E759" s="99" t="s">
        <v>41</v>
      </c>
      <c r="F759" s="99" t="s">
        <v>16</v>
      </c>
      <c r="G759" s="99">
        <v>29</v>
      </c>
      <c r="H759" s="112">
        <v>950000</v>
      </c>
      <c r="I759" s="112">
        <v>27550000</v>
      </c>
      <c r="J759" s="99" t="s">
        <v>2364</v>
      </c>
      <c r="K759" s="99" t="s">
        <v>127</v>
      </c>
      <c r="N759" s="99" t="s">
        <v>2790</v>
      </c>
      <c r="O759" s="99" t="s">
        <v>127</v>
      </c>
      <c r="P759" s="100">
        <f t="shared" si="111"/>
        <v>45930</v>
      </c>
      <c r="Q759" s="101">
        <f t="shared" si="110"/>
        <v>93</v>
      </c>
      <c r="R759" s="99">
        <f t="shared" si="112"/>
        <v>1</v>
      </c>
      <c r="S759" s="101">
        <f t="shared" si="113"/>
        <v>1750000</v>
      </c>
      <c r="T759" s="99" t="str">
        <f t="shared" si="114"/>
        <v>High</v>
      </c>
      <c r="U759" s="99" t="str">
        <f t="shared" si="115"/>
        <v>Low</v>
      </c>
      <c r="V759" s="99" t="str">
        <f t="shared" si="116"/>
        <v>Low</v>
      </c>
      <c r="W759" s="99" t="str">
        <f t="shared" si="117"/>
        <v>HLL</v>
      </c>
      <c r="X759" s="99" t="str">
        <f>VLOOKUP(W759,rfm[],2,FALSE)</f>
        <v>🌱 Potential Loyalists</v>
      </c>
      <c r="AA759" s="99" t="s">
        <v>2790</v>
      </c>
      <c r="AB759" s="99" t="s">
        <v>127</v>
      </c>
      <c r="AC759" s="100">
        <v>45930</v>
      </c>
      <c r="AD759" s="101">
        <v>93</v>
      </c>
      <c r="AE759" s="101">
        <v>1</v>
      </c>
      <c r="AF759" s="101">
        <v>1750000</v>
      </c>
      <c r="AG759" s="99" t="str">
        <f>VLOOKUP(AA759,recency!$K$6:$P$818,6,0)</f>
        <v>Low</v>
      </c>
      <c r="AH759" s="132" t="str">
        <f>VLOOKUP(AA759,frequency!$F$6:$H$818,3,FALSE)</f>
        <v>Low</v>
      </c>
      <c r="AI759" s="129" t="str">
        <f>VLOOKUP(AA759,monetary!$B$5:$F$817,5,0)</f>
        <v>Low</v>
      </c>
      <c r="AJ759" s="99" t="str">
        <f t="shared" si="118"/>
        <v>LLL</v>
      </c>
      <c r="AK759" s="99" t="str">
        <f>VLOOKUP(AJ759,rfm[],2,0)</f>
        <v>💤 Lost / Low Value</v>
      </c>
      <c r="AN759" s="99" t="b">
        <f t="shared" si="119"/>
        <v>0</v>
      </c>
    </row>
    <row r="760" spans="2:40" x14ac:dyDescent="0.3">
      <c r="B760" s="99" t="s">
        <v>1094</v>
      </c>
      <c r="C760" s="100">
        <v>45793</v>
      </c>
      <c r="D760" s="99" t="s">
        <v>40</v>
      </c>
      <c r="E760" s="99" t="s">
        <v>41</v>
      </c>
      <c r="F760" s="99" t="s">
        <v>16</v>
      </c>
      <c r="G760" s="99">
        <v>18</v>
      </c>
      <c r="H760" s="112">
        <v>950000</v>
      </c>
      <c r="I760" s="112">
        <v>17100000</v>
      </c>
      <c r="J760" s="99" t="s">
        <v>2485</v>
      </c>
      <c r="K760" s="99" t="s">
        <v>127</v>
      </c>
      <c r="N760" s="99" t="s">
        <v>2791</v>
      </c>
      <c r="O760" s="99" t="s">
        <v>8</v>
      </c>
      <c r="P760" s="100">
        <f t="shared" si="111"/>
        <v>45659</v>
      </c>
      <c r="Q760" s="101">
        <f t="shared" si="110"/>
        <v>364</v>
      </c>
      <c r="R760" s="99">
        <f t="shared" si="112"/>
        <v>1</v>
      </c>
      <c r="S760" s="101">
        <f t="shared" si="113"/>
        <v>7350000</v>
      </c>
      <c r="T760" s="99" t="str">
        <f t="shared" si="114"/>
        <v>Low</v>
      </c>
      <c r="U760" s="99" t="str">
        <f t="shared" si="115"/>
        <v>Low</v>
      </c>
      <c r="V760" s="99" t="str">
        <f t="shared" si="116"/>
        <v>Low</v>
      </c>
      <c r="W760" s="99" t="str">
        <f t="shared" si="117"/>
        <v>LLL</v>
      </c>
      <c r="X760" s="99" t="str">
        <f>VLOOKUP(W760,rfm[],2,FALSE)</f>
        <v>💤 Lost / Low Value</v>
      </c>
      <c r="AA760" s="99" t="s">
        <v>2791</v>
      </c>
      <c r="AB760" s="99" t="s">
        <v>8</v>
      </c>
      <c r="AC760" s="100">
        <v>45659</v>
      </c>
      <c r="AD760" s="101">
        <v>364</v>
      </c>
      <c r="AE760" s="101">
        <v>1</v>
      </c>
      <c r="AF760" s="101">
        <v>7350000</v>
      </c>
      <c r="AG760" s="99" t="str">
        <f>VLOOKUP(AA760,recency!$K$6:$P$818,6,0)</f>
        <v>Low</v>
      </c>
      <c r="AH760" s="132" t="str">
        <f>VLOOKUP(AA760,frequency!$F$6:$H$818,3,FALSE)</f>
        <v>Low</v>
      </c>
      <c r="AI760" s="129" t="str">
        <f>VLOOKUP(AA760,monetary!$B$5:$F$817,5,0)</f>
        <v>Low</v>
      </c>
      <c r="AJ760" s="99" t="str">
        <f t="shared" si="118"/>
        <v>LLL</v>
      </c>
      <c r="AK760" s="99" t="str">
        <f>VLOOKUP(AJ760,rfm[],2,0)</f>
        <v>💤 Lost / Low Value</v>
      </c>
      <c r="AN760" s="99" t="b">
        <f t="shared" si="119"/>
        <v>1</v>
      </c>
    </row>
    <row r="761" spans="2:40" x14ac:dyDescent="0.3">
      <c r="B761" s="99" t="s">
        <v>1095</v>
      </c>
      <c r="C761" s="100">
        <v>45793</v>
      </c>
      <c r="D761" s="99" t="s">
        <v>14</v>
      </c>
      <c r="E761" s="99" t="s">
        <v>15</v>
      </c>
      <c r="F761" s="99" t="s">
        <v>16</v>
      </c>
      <c r="G761" s="99">
        <v>33</v>
      </c>
      <c r="H761" s="112">
        <v>350000</v>
      </c>
      <c r="I761" s="112">
        <v>11550000</v>
      </c>
      <c r="J761" s="99" t="s">
        <v>2712</v>
      </c>
      <c r="K761" s="99" t="s">
        <v>8</v>
      </c>
      <c r="N761" s="99" t="s">
        <v>2792</v>
      </c>
      <c r="O761" s="99" t="s">
        <v>69</v>
      </c>
      <c r="P761" s="100">
        <f t="shared" si="111"/>
        <v>45996</v>
      </c>
      <c r="Q761" s="101">
        <f t="shared" si="110"/>
        <v>27</v>
      </c>
      <c r="R761" s="99">
        <f t="shared" si="112"/>
        <v>1</v>
      </c>
      <c r="S761" s="101">
        <f t="shared" si="113"/>
        <v>20900000</v>
      </c>
      <c r="T761" s="99" t="str">
        <f t="shared" si="114"/>
        <v>High</v>
      </c>
      <c r="U761" s="99" t="str">
        <f t="shared" si="115"/>
        <v>Low</v>
      </c>
      <c r="V761" s="99" t="str">
        <f t="shared" si="116"/>
        <v>High</v>
      </c>
      <c r="W761" s="99" t="str">
        <f t="shared" si="117"/>
        <v>HLH</v>
      </c>
      <c r="X761" s="99" t="str">
        <f>VLOOKUP(W761,rfm[],2,FALSE)</f>
        <v>🛒 Big Spenders (Occasional)</v>
      </c>
      <c r="AA761" s="99" t="s">
        <v>2792</v>
      </c>
      <c r="AB761" s="99" t="s">
        <v>69</v>
      </c>
      <c r="AC761" s="100">
        <v>45996</v>
      </c>
      <c r="AD761" s="101">
        <v>27</v>
      </c>
      <c r="AE761" s="101">
        <v>1</v>
      </c>
      <c r="AF761" s="101">
        <v>20900000</v>
      </c>
      <c r="AG761" s="99" t="str">
        <f>VLOOKUP(AA761,recency!$K$6:$P$818,6,0)</f>
        <v>High</v>
      </c>
      <c r="AH761" s="132" t="str">
        <f>VLOOKUP(AA761,frequency!$F$6:$H$818,3,FALSE)</f>
        <v>Low</v>
      </c>
      <c r="AI761" s="129" t="str">
        <f>VLOOKUP(AA761,monetary!$B$5:$F$817,5,0)</f>
        <v>Low</v>
      </c>
      <c r="AJ761" s="99" t="str">
        <f t="shared" si="118"/>
        <v>HLL</v>
      </c>
      <c r="AK761" s="99" t="str">
        <f>VLOOKUP(AJ761,rfm[],2,0)</f>
        <v>🌱 Potential Loyalists</v>
      </c>
      <c r="AN761" s="99" t="b">
        <f t="shared" si="119"/>
        <v>0</v>
      </c>
    </row>
    <row r="762" spans="2:40" x14ac:dyDescent="0.3">
      <c r="B762" s="99" t="s">
        <v>1129</v>
      </c>
      <c r="C762" s="100">
        <v>45793</v>
      </c>
      <c r="D762" s="99" t="s">
        <v>28</v>
      </c>
      <c r="E762" s="99" t="s">
        <v>29</v>
      </c>
      <c r="F762" s="99" t="s">
        <v>20</v>
      </c>
      <c r="G762" s="99">
        <v>18</v>
      </c>
      <c r="H762" s="112">
        <v>450000</v>
      </c>
      <c r="I762" s="112">
        <v>8100000</v>
      </c>
      <c r="J762" s="99" t="s">
        <v>596</v>
      </c>
      <c r="K762" s="99" t="s">
        <v>60</v>
      </c>
      <c r="N762" s="99" t="s">
        <v>2793</v>
      </c>
      <c r="O762" s="99" t="s">
        <v>69</v>
      </c>
      <c r="P762" s="100">
        <f t="shared" si="111"/>
        <v>45699</v>
      </c>
      <c r="Q762" s="101">
        <f t="shared" si="110"/>
        <v>324</v>
      </c>
      <c r="R762" s="99">
        <f t="shared" si="112"/>
        <v>1</v>
      </c>
      <c r="S762" s="101">
        <f t="shared" si="113"/>
        <v>38950000</v>
      </c>
      <c r="T762" s="99" t="str">
        <f t="shared" si="114"/>
        <v>Low</v>
      </c>
      <c r="U762" s="99" t="str">
        <f t="shared" si="115"/>
        <v>Low</v>
      </c>
      <c r="V762" s="99" t="str">
        <f t="shared" si="116"/>
        <v>High</v>
      </c>
      <c r="W762" s="99" t="str">
        <f t="shared" si="117"/>
        <v>LLH</v>
      </c>
      <c r="X762" s="99" t="str">
        <f>VLOOKUP(W762,rfm[],2,FALSE)</f>
        <v>💸 Lost High Spenders</v>
      </c>
      <c r="AA762" s="99" t="s">
        <v>2793</v>
      </c>
      <c r="AB762" s="99" t="s">
        <v>69</v>
      </c>
      <c r="AC762" s="100">
        <v>45699</v>
      </c>
      <c r="AD762" s="101">
        <v>324</v>
      </c>
      <c r="AE762" s="101">
        <v>1</v>
      </c>
      <c r="AF762" s="101">
        <v>38950000</v>
      </c>
      <c r="AG762" s="99" t="str">
        <f>VLOOKUP(AA762,recency!$K$6:$P$818,6,0)</f>
        <v>Low</v>
      </c>
      <c r="AH762" s="132" t="str">
        <f>VLOOKUP(AA762,frequency!$F$6:$H$818,3,FALSE)</f>
        <v>Low</v>
      </c>
      <c r="AI762" s="129" t="str">
        <f>VLOOKUP(AA762,monetary!$B$5:$F$817,5,0)</f>
        <v>Low</v>
      </c>
      <c r="AJ762" s="99" t="str">
        <f t="shared" si="118"/>
        <v>LLL</v>
      </c>
      <c r="AK762" s="99" t="str">
        <f>VLOOKUP(AJ762,rfm[],2,0)</f>
        <v>💤 Lost / Low Value</v>
      </c>
      <c r="AN762" s="99" t="b">
        <f t="shared" si="119"/>
        <v>0</v>
      </c>
    </row>
    <row r="763" spans="2:40" x14ac:dyDescent="0.3">
      <c r="B763" s="99" t="s">
        <v>1130</v>
      </c>
      <c r="C763" s="100">
        <v>45793</v>
      </c>
      <c r="D763" s="99" t="s">
        <v>44</v>
      </c>
      <c r="E763" s="99" t="s">
        <v>45</v>
      </c>
      <c r="F763" s="99" t="s">
        <v>16</v>
      </c>
      <c r="G763" s="99">
        <v>490</v>
      </c>
      <c r="H763" s="112">
        <v>250000</v>
      </c>
      <c r="I763" s="112">
        <v>122500000</v>
      </c>
      <c r="J763" s="99" t="s">
        <v>2266</v>
      </c>
      <c r="K763" s="99" t="s">
        <v>8</v>
      </c>
      <c r="N763" s="99" t="s">
        <v>2794</v>
      </c>
      <c r="O763" s="99" t="s">
        <v>69</v>
      </c>
      <c r="P763" s="100">
        <f t="shared" si="111"/>
        <v>45799</v>
      </c>
      <c r="Q763" s="101">
        <f t="shared" si="110"/>
        <v>224</v>
      </c>
      <c r="R763" s="99">
        <f t="shared" si="112"/>
        <v>1</v>
      </c>
      <c r="S763" s="101">
        <f t="shared" si="113"/>
        <v>720000</v>
      </c>
      <c r="T763" s="99" t="str">
        <f t="shared" si="114"/>
        <v>Low</v>
      </c>
      <c r="U763" s="99" t="str">
        <f t="shared" si="115"/>
        <v>Low</v>
      </c>
      <c r="V763" s="99" t="str">
        <f t="shared" si="116"/>
        <v>Low</v>
      </c>
      <c r="W763" s="99" t="str">
        <f t="shared" si="117"/>
        <v>LLL</v>
      </c>
      <c r="X763" s="99" t="str">
        <f>VLOOKUP(W763,rfm[],2,FALSE)</f>
        <v>💤 Lost / Low Value</v>
      </c>
      <c r="AA763" s="99" t="s">
        <v>2794</v>
      </c>
      <c r="AB763" s="99" t="s">
        <v>69</v>
      </c>
      <c r="AC763" s="100">
        <v>45799</v>
      </c>
      <c r="AD763" s="101">
        <v>224</v>
      </c>
      <c r="AE763" s="101">
        <v>1</v>
      </c>
      <c r="AF763" s="101">
        <v>720000</v>
      </c>
      <c r="AG763" s="99" t="str">
        <f>VLOOKUP(AA763,recency!$K$6:$P$818,6,0)</f>
        <v>Low</v>
      </c>
      <c r="AH763" s="132" t="str">
        <f>VLOOKUP(AA763,frequency!$F$6:$H$818,3,FALSE)</f>
        <v>Low</v>
      </c>
      <c r="AI763" s="129" t="str">
        <f>VLOOKUP(AA763,monetary!$B$5:$F$817,5,0)</f>
        <v>Low</v>
      </c>
      <c r="AJ763" s="99" t="str">
        <f t="shared" si="118"/>
        <v>LLL</v>
      </c>
      <c r="AK763" s="99" t="str">
        <f>VLOOKUP(AJ763,rfm[],2,0)</f>
        <v>💤 Lost / Low Value</v>
      </c>
      <c r="AN763" s="99" t="b">
        <f t="shared" si="119"/>
        <v>1</v>
      </c>
    </row>
    <row r="764" spans="2:40" x14ac:dyDescent="0.3">
      <c r="B764" s="99" t="s">
        <v>1131</v>
      </c>
      <c r="C764" s="100">
        <v>45793</v>
      </c>
      <c r="D764" s="99" t="s">
        <v>38</v>
      </c>
      <c r="E764" s="99" t="s">
        <v>39</v>
      </c>
      <c r="F764" s="99" t="s">
        <v>16</v>
      </c>
      <c r="G764" s="99">
        <v>90</v>
      </c>
      <c r="H764" s="112">
        <v>200000</v>
      </c>
      <c r="I764" s="112">
        <v>18000000</v>
      </c>
      <c r="J764" s="99" t="s">
        <v>2184</v>
      </c>
      <c r="K764" s="99" t="s">
        <v>127</v>
      </c>
      <c r="N764" s="99" t="s">
        <v>2795</v>
      </c>
      <c r="O764" s="99" t="s">
        <v>8</v>
      </c>
      <c r="P764" s="100">
        <f t="shared" si="111"/>
        <v>45835</v>
      </c>
      <c r="Q764" s="101">
        <f t="shared" si="110"/>
        <v>188</v>
      </c>
      <c r="R764" s="99">
        <f t="shared" si="112"/>
        <v>1</v>
      </c>
      <c r="S764" s="101">
        <f t="shared" si="113"/>
        <v>8640000</v>
      </c>
      <c r="T764" s="99" t="str">
        <f t="shared" si="114"/>
        <v>Low</v>
      </c>
      <c r="U764" s="99" t="str">
        <f t="shared" si="115"/>
        <v>Low</v>
      </c>
      <c r="V764" s="99" t="str">
        <f t="shared" si="116"/>
        <v>Low</v>
      </c>
      <c r="W764" s="99" t="str">
        <f t="shared" si="117"/>
        <v>LLL</v>
      </c>
      <c r="X764" s="99" t="str">
        <f>VLOOKUP(W764,rfm[],2,FALSE)</f>
        <v>💤 Lost / Low Value</v>
      </c>
      <c r="AA764" s="99" t="s">
        <v>2795</v>
      </c>
      <c r="AB764" s="99" t="s">
        <v>8</v>
      </c>
      <c r="AC764" s="100">
        <v>45835</v>
      </c>
      <c r="AD764" s="101">
        <v>188</v>
      </c>
      <c r="AE764" s="101">
        <v>1</v>
      </c>
      <c r="AF764" s="101">
        <v>8640000</v>
      </c>
      <c r="AG764" s="99" t="str">
        <f>VLOOKUP(AA764,recency!$K$6:$P$818,6,0)</f>
        <v>Low</v>
      </c>
      <c r="AH764" s="132" t="str">
        <f>VLOOKUP(AA764,frequency!$F$6:$H$818,3,FALSE)</f>
        <v>Low</v>
      </c>
      <c r="AI764" s="129" t="str">
        <f>VLOOKUP(AA764,monetary!$B$5:$F$817,5,0)</f>
        <v>Low</v>
      </c>
      <c r="AJ764" s="99" t="str">
        <f t="shared" si="118"/>
        <v>LLL</v>
      </c>
      <c r="AK764" s="99" t="str">
        <f>VLOOKUP(AJ764,rfm[],2,0)</f>
        <v>💤 Lost / Low Value</v>
      </c>
      <c r="AN764" s="99" t="b">
        <f t="shared" si="119"/>
        <v>1</v>
      </c>
    </row>
    <row r="765" spans="2:40" x14ac:dyDescent="0.3">
      <c r="B765" s="99" t="s">
        <v>1132</v>
      </c>
      <c r="C765" s="100">
        <v>45793</v>
      </c>
      <c r="D765" s="99" t="s">
        <v>40</v>
      </c>
      <c r="E765" s="99" t="s">
        <v>41</v>
      </c>
      <c r="F765" s="99" t="s">
        <v>16</v>
      </c>
      <c r="G765" s="99">
        <v>22</v>
      </c>
      <c r="H765" s="112">
        <v>950000</v>
      </c>
      <c r="I765" s="112">
        <v>20900000</v>
      </c>
      <c r="J765" s="99" t="s">
        <v>2367</v>
      </c>
      <c r="K765" s="99" t="s">
        <v>127</v>
      </c>
      <c r="N765" s="99" t="s">
        <v>2796</v>
      </c>
      <c r="O765" s="99" t="s">
        <v>127</v>
      </c>
      <c r="P765" s="100">
        <f t="shared" si="111"/>
        <v>45874</v>
      </c>
      <c r="Q765" s="101">
        <f t="shared" si="110"/>
        <v>149</v>
      </c>
      <c r="R765" s="99">
        <f t="shared" si="112"/>
        <v>3</v>
      </c>
      <c r="S765" s="101">
        <f t="shared" si="113"/>
        <v>19200000</v>
      </c>
      <c r="T765" s="99" t="str">
        <f t="shared" si="114"/>
        <v>Low</v>
      </c>
      <c r="U765" s="99" t="str">
        <f t="shared" si="115"/>
        <v>High</v>
      </c>
      <c r="V765" s="99" t="str">
        <f t="shared" si="116"/>
        <v>High</v>
      </c>
      <c r="W765" s="99" t="str">
        <f t="shared" si="117"/>
        <v>LHH</v>
      </c>
      <c r="X765" s="99" t="str">
        <f>VLOOKUP(W765,rfm[],2,FALSE)</f>
        <v>⚠️ At Risk High Value</v>
      </c>
      <c r="AA765" s="99" t="s">
        <v>2796</v>
      </c>
      <c r="AB765" s="99" t="s">
        <v>127</v>
      </c>
      <c r="AC765" s="100">
        <v>45874</v>
      </c>
      <c r="AD765" s="101">
        <v>149</v>
      </c>
      <c r="AE765" s="101">
        <v>3</v>
      </c>
      <c r="AF765" s="101">
        <v>19200000</v>
      </c>
      <c r="AG765" s="99" t="str">
        <f>VLOOKUP(AA765,recency!$K$6:$P$818,6,0)</f>
        <v>Low</v>
      </c>
      <c r="AH765" s="132" t="str">
        <f>VLOOKUP(AA765,frequency!$F$6:$H$818,3,FALSE)</f>
        <v>High</v>
      </c>
      <c r="AI765" s="129" t="str">
        <f>VLOOKUP(AA765,monetary!$B$5:$F$817,5,0)</f>
        <v>Low</v>
      </c>
      <c r="AJ765" s="99" t="str">
        <f t="shared" si="118"/>
        <v>LHL</v>
      </c>
      <c r="AK765" s="99" t="str">
        <f>VLOOKUP(AJ765,rfm[],2,0)</f>
        <v>🔁 Former Loyal Low Spend</v>
      </c>
      <c r="AN765" s="99" t="b">
        <f t="shared" si="119"/>
        <v>0</v>
      </c>
    </row>
    <row r="766" spans="2:40" x14ac:dyDescent="0.3">
      <c r="B766" s="99" t="s">
        <v>1133</v>
      </c>
      <c r="C766" s="100">
        <v>45796</v>
      </c>
      <c r="D766" s="99" t="s">
        <v>28</v>
      </c>
      <c r="E766" s="99" t="s">
        <v>29</v>
      </c>
      <c r="F766" s="99" t="s">
        <v>20</v>
      </c>
      <c r="G766" s="99">
        <v>47</v>
      </c>
      <c r="H766" s="112">
        <v>450000</v>
      </c>
      <c r="I766" s="112">
        <v>21150000</v>
      </c>
      <c r="J766" s="99" t="s">
        <v>2293</v>
      </c>
      <c r="K766" s="99" t="s">
        <v>47</v>
      </c>
      <c r="N766" s="99" t="s">
        <v>2797</v>
      </c>
      <c r="O766" s="99" t="s">
        <v>47</v>
      </c>
      <c r="P766" s="100">
        <f t="shared" si="111"/>
        <v>45978</v>
      </c>
      <c r="Q766" s="101">
        <f t="shared" si="110"/>
        <v>45</v>
      </c>
      <c r="R766" s="99">
        <f t="shared" si="112"/>
        <v>2</v>
      </c>
      <c r="S766" s="101">
        <f t="shared" si="113"/>
        <v>47450000</v>
      </c>
      <c r="T766" s="99" t="str">
        <f t="shared" si="114"/>
        <v>High</v>
      </c>
      <c r="U766" s="99" t="str">
        <f t="shared" si="115"/>
        <v>Low</v>
      </c>
      <c r="V766" s="99" t="str">
        <f t="shared" si="116"/>
        <v>High</v>
      </c>
      <c r="W766" s="99" t="str">
        <f t="shared" si="117"/>
        <v>HLH</v>
      </c>
      <c r="X766" s="99" t="str">
        <f>VLOOKUP(W766,rfm[],2,FALSE)</f>
        <v>🛒 Big Spenders (Occasional)</v>
      </c>
      <c r="AA766" s="99" t="s">
        <v>2797</v>
      </c>
      <c r="AB766" s="99" t="s">
        <v>47</v>
      </c>
      <c r="AC766" s="100">
        <v>45978</v>
      </c>
      <c r="AD766" s="101">
        <v>45</v>
      </c>
      <c r="AE766" s="101">
        <v>2</v>
      </c>
      <c r="AF766" s="101">
        <v>47450000</v>
      </c>
      <c r="AG766" s="99" t="str">
        <f>VLOOKUP(AA766,recency!$K$6:$P$818,6,0)</f>
        <v>High</v>
      </c>
      <c r="AH766" s="132" t="str">
        <f>VLOOKUP(AA766,frequency!$F$6:$H$818,3,FALSE)</f>
        <v>Low</v>
      </c>
      <c r="AI766" s="129" t="str">
        <f>VLOOKUP(AA766,monetary!$B$5:$F$817,5,0)</f>
        <v>Low</v>
      </c>
      <c r="AJ766" s="99" t="str">
        <f t="shared" si="118"/>
        <v>HLL</v>
      </c>
      <c r="AK766" s="99" t="str">
        <f>VLOOKUP(AJ766,rfm[],2,0)</f>
        <v>🌱 Potential Loyalists</v>
      </c>
      <c r="AN766" s="99" t="b">
        <f t="shared" si="119"/>
        <v>0</v>
      </c>
    </row>
    <row r="767" spans="2:40" x14ac:dyDescent="0.3">
      <c r="B767" s="99" t="s">
        <v>1134</v>
      </c>
      <c r="C767" s="100">
        <v>45796</v>
      </c>
      <c r="D767" s="99" t="s">
        <v>28</v>
      </c>
      <c r="E767" s="99" t="s">
        <v>29</v>
      </c>
      <c r="F767" s="99" t="s">
        <v>20</v>
      </c>
      <c r="G767" s="99">
        <v>40</v>
      </c>
      <c r="H767" s="112">
        <v>450000</v>
      </c>
      <c r="I767" s="112">
        <v>18000000</v>
      </c>
      <c r="J767" s="99" t="s">
        <v>2120</v>
      </c>
      <c r="K767" s="99" t="s">
        <v>8</v>
      </c>
      <c r="N767" s="99" t="s">
        <v>2798</v>
      </c>
      <c r="O767" s="99" t="s">
        <v>47</v>
      </c>
      <c r="P767" s="100">
        <f t="shared" si="111"/>
        <v>45764</v>
      </c>
      <c r="Q767" s="101">
        <f t="shared" si="110"/>
        <v>259</v>
      </c>
      <c r="R767" s="99">
        <f t="shared" si="112"/>
        <v>1</v>
      </c>
      <c r="S767" s="101">
        <f t="shared" si="113"/>
        <v>7600000</v>
      </c>
      <c r="T767" s="99" t="str">
        <f t="shared" si="114"/>
        <v>Low</v>
      </c>
      <c r="U767" s="99" t="str">
        <f t="shared" si="115"/>
        <v>Low</v>
      </c>
      <c r="V767" s="99" t="str">
        <f t="shared" si="116"/>
        <v>Low</v>
      </c>
      <c r="W767" s="99" t="str">
        <f t="shared" si="117"/>
        <v>LLL</v>
      </c>
      <c r="X767" s="99" t="str">
        <f>VLOOKUP(W767,rfm[],2,FALSE)</f>
        <v>💤 Lost / Low Value</v>
      </c>
      <c r="AA767" s="99" t="s">
        <v>2798</v>
      </c>
      <c r="AB767" s="99" t="s">
        <v>47</v>
      </c>
      <c r="AC767" s="100">
        <v>45764</v>
      </c>
      <c r="AD767" s="101">
        <v>259</v>
      </c>
      <c r="AE767" s="101">
        <v>1</v>
      </c>
      <c r="AF767" s="101">
        <v>7600000</v>
      </c>
      <c r="AG767" s="99" t="str">
        <f>VLOOKUP(AA767,recency!$K$6:$P$818,6,0)</f>
        <v>Low</v>
      </c>
      <c r="AH767" s="132" t="str">
        <f>VLOOKUP(AA767,frequency!$F$6:$H$818,3,FALSE)</f>
        <v>Low</v>
      </c>
      <c r="AI767" s="129" t="str">
        <f>VLOOKUP(AA767,monetary!$B$5:$F$817,5,0)</f>
        <v>Low</v>
      </c>
      <c r="AJ767" s="99" t="str">
        <f t="shared" si="118"/>
        <v>LLL</v>
      </c>
      <c r="AK767" s="99" t="str">
        <f>VLOOKUP(AJ767,rfm[],2,0)</f>
        <v>💤 Lost / Low Value</v>
      </c>
      <c r="AN767" s="99" t="b">
        <f t="shared" si="119"/>
        <v>1</v>
      </c>
    </row>
    <row r="768" spans="2:40" x14ac:dyDescent="0.3">
      <c r="B768" s="99" t="s">
        <v>1135</v>
      </c>
      <c r="C768" s="100">
        <v>45796</v>
      </c>
      <c r="D768" s="99" t="s">
        <v>40</v>
      </c>
      <c r="E768" s="99" t="s">
        <v>41</v>
      </c>
      <c r="F768" s="99" t="s">
        <v>16</v>
      </c>
      <c r="G768" s="99">
        <v>20</v>
      </c>
      <c r="H768" s="112">
        <v>950000</v>
      </c>
      <c r="I768" s="112">
        <v>19000000</v>
      </c>
      <c r="J768" s="99" t="s">
        <v>2501</v>
      </c>
      <c r="K768" s="99" t="s">
        <v>69</v>
      </c>
      <c r="N768" s="99" t="s">
        <v>2799</v>
      </c>
      <c r="O768" s="99" t="s">
        <v>8</v>
      </c>
      <c r="P768" s="100">
        <f t="shared" si="111"/>
        <v>45883</v>
      </c>
      <c r="Q768" s="101">
        <f t="shared" si="110"/>
        <v>140</v>
      </c>
      <c r="R768" s="99">
        <f t="shared" si="112"/>
        <v>1</v>
      </c>
      <c r="S768" s="101">
        <f t="shared" si="113"/>
        <v>7740000</v>
      </c>
      <c r="T768" s="99" t="str">
        <f t="shared" si="114"/>
        <v>Low</v>
      </c>
      <c r="U768" s="99" t="str">
        <f t="shared" si="115"/>
        <v>Low</v>
      </c>
      <c r="V768" s="99" t="str">
        <f t="shared" si="116"/>
        <v>Low</v>
      </c>
      <c r="W768" s="99" t="str">
        <f t="shared" si="117"/>
        <v>LLL</v>
      </c>
      <c r="X768" s="99" t="str">
        <f>VLOOKUP(W768,rfm[],2,FALSE)</f>
        <v>💤 Lost / Low Value</v>
      </c>
      <c r="AA768" s="99" t="s">
        <v>2799</v>
      </c>
      <c r="AB768" s="99" t="s">
        <v>8</v>
      </c>
      <c r="AC768" s="100">
        <v>45883</v>
      </c>
      <c r="AD768" s="101">
        <v>140</v>
      </c>
      <c r="AE768" s="101">
        <v>1</v>
      </c>
      <c r="AF768" s="101">
        <v>7740000</v>
      </c>
      <c r="AG768" s="99" t="str">
        <f>VLOOKUP(AA768,recency!$K$6:$P$818,6,0)</f>
        <v>Low</v>
      </c>
      <c r="AH768" s="132" t="str">
        <f>VLOOKUP(AA768,frequency!$F$6:$H$818,3,FALSE)</f>
        <v>Low</v>
      </c>
      <c r="AI768" s="129" t="str">
        <f>VLOOKUP(AA768,monetary!$B$5:$F$817,5,0)</f>
        <v>Low</v>
      </c>
      <c r="AJ768" s="99" t="str">
        <f t="shared" si="118"/>
        <v>LLL</v>
      </c>
      <c r="AK768" s="99" t="str">
        <f>VLOOKUP(AJ768,rfm[],2,0)</f>
        <v>💤 Lost / Low Value</v>
      </c>
      <c r="AN768" s="99" t="b">
        <f t="shared" si="119"/>
        <v>1</v>
      </c>
    </row>
    <row r="769" spans="2:40" x14ac:dyDescent="0.3">
      <c r="B769" s="99" t="s">
        <v>1171</v>
      </c>
      <c r="C769" s="100">
        <v>45796</v>
      </c>
      <c r="D769" s="99" t="s">
        <v>38</v>
      </c>
      <c r="E769" s="99" t="s">
        <v>39</v>
      </c>
      <c r="F769" s="99" t="s">
        <v>16</v>
      </c>
      <c r="G769" s="99">
        <v>34</v>
      </c>
      <c r="H769" s="112">
        <v>200000</v>
      </c>
      <c r="I769" s="112">
        <v>6800000</v>
      </c>
      <c r="J769" s="99" t="s">
        <v>2179</v>
      </c>
      <c r="K769" s="99" t="s">
        <v>127</v>
      </c>
      <c r="N769" s="99" t="s">
        <v>2800</v>
      </c>
      <c r="O769" s="99" t="s">
        <v>69</v>
      </c>
      <c r="P769" s="100">
        <f t="shared" si="111"/>
        <v>45883</v>
      </c>
      <c r="Q769" s="101">
        <f t="shared" si="110"/>
        <v>140</v>
      </c>
      <c r="R769" s="99">
        <f t="shared" si="112"/>
        <v>3</v>
      </c>
      <c r="S769" s="101">
        <f t="shared" si="113"/>
        <v>37850000</v>
      </c>
      <c r="T769" s="99" t="str">
        <f t="shared" si="114"/>
        <v>Low</v>
      </c>
      <c r="U769" s="99" t="str">
        <f t="shared" si="115"/>
        <v>High</v>
      </c>
      <c r="V769" s="99" t="str">
        <f t="shared" si="116"/>
        <v>High</v>
      </c>
      <c r="W769" s="99" t="str">
        <f t="shared" si="117"/>
        <v>LHH</v>
      </c>
      <c r="X769" s="99" t="str">
        <f>VLOOKUP(W769,rfm[],2,FALSE)</f>
        <v>⚠️ At Risk High Value</v>
      </c>
      <c r="AA769" s="99" t="s">
        <v>2800</v>
      </c>
      <c r="AB769" s="99" t="s">
        <v>69</v>
      </c>
      <c r="AC769" s="100">
        <v>45883</v>
      </c>
      <c r="AD769" s="101">
        <v>140</v>
      </c>
      <c r="AE769" s="101">
        <v>3</v>
      </c>
      <c r="AF769" s="101">
        <v>37850000</v>
      </c>
      <c r="AG769" s="99" t="str">
        <f>VLOOKUP(AA769,recency!$K$6:$P$818,6,0)</f>
        <v>Low</v>
      </c>
      <c r="AH769" s="132" t="str">
        <f>VLOOKUP(AA769,frequency!$F$6:$H$818,3,FALSE)</f>
        <v>High</v>
      </c>
      <c r="AI769" s="129" t="str">
        <f>VLOOKUP(AA769,monetary!$B$5:$F$817,5,0)</f>
        <v>Low</v>
      </c>
      <c r="AJ769" s="99" t="str">
        <f t="shared" si="118"/>
        <v>LHL</v>
      </c>
      <c r="AK769" s="99" t="str">
        <f>VLOOKUP(AJ769,rfm[],2,0)</f>
        <v>🔁 Former Loyal Low Spend</v>
      </c>
      <c r="AN769" s="99" t="b">
        <f t="shared" si="119"/>
        <v>0</v>
      </c>
    </row>
    <row r="770" spans="2:40" x14ac:dyDescent="0.3">
      <c r="B770" s="99" t="s">
        <v>1211</v>
      </c>
      <c r="C770" s="100">
        <v>45796</v>
      </c>
      <c r="D770" s="99" t="s">
        <v>40</v>
      </c>
      <c r="E770" s="99" t="s">
        <v>41</v>
      </c>
      <c r="F770" s="99" t="s">
        <v>16</v>
      </c>
      <c r="G770" s="99">
        <v>38</v>
      </c>
      <c r="H770" s="112">
        <v>950000</v>
      </c>
      <c r="I770" s="112">
        <v>36100000</v>
      </c>
      <c r="J770" s="99" t="s">
        <v>2443</v>
      </c>
      <c r="K770" s="99" t="s">
        <v>8</v>
      </c>
      <c r="N770" s="99" t="s">
        <v>2801</v>
      </c>
      <c r="O770" s="99" t="s">
        <v>60</v>
      </c>
      <c r="P770" s="100">
        <f t="shared" si="111"/>
        <v>45974</v>
      </c>
      <c r="Q770" s="101">
        <f t="shared" si="110"/>
        <v>49</v>
      </c>
      <c r="R770" s="99">
        <f t="shared" si="112"/>
        <v>3</v>
      </c>
      <c r="S770" s="101">
        <f t="shared" si="113"/>
        <v>23400000</v>
      </c>
      <c r="T770" s="99" t="str">
        <f t="shared" si="114"/>
        <v>High</v>
      </c>
      <c r="U770" s="99" t="str">
        <f t="shared" si="115"/>
        <v>High</v>
      </c>
      <c r="V770" s="99" t="str">
        <f t="shared" si="116"/>
        <v>High</v>
      </c>
      <c r="W770" s="99" t="str">
        <f t="shared" si="117"/>
        <v>HHH</v>
      </c>
      <c r="X770" s="99" t="str">
        <f>VLOOKUP(W770,rfm[],2,FALSE)</f>
        <v>🥇 Champions</v>
      </c>
      <c r="AA770" s="99" t="s">
        <v>2801</v>
      </c>
      <c r="AB770" s="99" t="s">
        <v>60</v>
      </c>
      <c r="AC770" s="100">
        <v>45974</v>
      </c>
      <c r="AD770" s="101">
        <v>49</v>
      </c>
      <c r="AE770" s="101">
        <v>3</v>
      </c>
      <c r="AF770" s="101">
        <v>23400000</v>
      </c>
      <c r="AG770" s="99" t="str">
        <f>VLOOKUP(AA770,recency!$K$6:$P$818,6,0)</f>
        <v>High</v>
      </c>
      <c r="AH770" s="132" t="str">
        <f>VLOOKUP(AA770,frequency!$F$6:$H$818,3,FALSE)</f>
        <v>High</v>
      </c>
      <c r="AI770" s="129" t="str">
        <f>VLOOKUP(AA770,monetary!$B$5:$F$817,5,0)</f>
        <v>Low</v>
      </c>
      <c r="AJ770" s="99" t="str">
        <f t="shared" si="118"/>
        <v>HHL</v>
      </c>
      <c r="AK770" s="99" t="str">
        <f>VLOOKUP(AJ770,rfm[],2,0)</f>
        <v>💎 Loyal High Value</v>
      </c>
      <c r="AN770" s="99" t="b">
        <f t="shared" si="119"/>
        <v>0</v>
      </c>
    </row>
    <row r="771" spans="2:40" x14ac:dyDescent="0.3">
      <c r="B771" s="99" t="s">
        <v>1212</v>
      </c>
      <c r="C771" s="100">
        <v>45796</v>
      </c>
      <c r="D771" s="99" t="s">
        <v>28</v>
      </c>
      <c r="E771" s="99" t="s">
        <v>29</v>
      </c>
      <c r="F771" s="99" t="s">
        <v>20</v>
      </c>
      <c r="G771" s="99">
        <v>12</v>
      </c>
      <c r="H771" s="112">
        <v>450000</v>
      </c>
      <c r="I771" s="112">
        <v>5400000</v>
      </c>
      <c r="J771" s="99" t="s">
        <v>2570</v>
      </c>
      <c r="K771" s="99" t="s">
        <v>8</v>
      </c>
      <c r="N771" s="99" t="s">
        <v>2802</v>
      </c>
      <c r="O771" s="99" t="s">
        <v>69</v>
      </c>
      <c r="P771" s="100">
        <f t="shared" si="111"/>
        <v>45967</v>
      </c>
      <c r="Q771" s="101">
        <f t="shared" si="110"/>
        <v>56</v>
      </c>
      <c r="R771" s="99">
        <f t="shared" si="112"/>
        <v>1</v>
      </c>
      <c r="S771" s="101">
        <f t="shared" si="113"/>
        <v>8550000</v>
      </c>
      <c r="T771" s="99" t="str">
        <f t="shared" si="114"/>
        <v>High</v>
      </c>
      <c r="U771" s="99" t="str">
        <f t="shared" si="115"/>
        <v>Low</v>
      </c>
      <c r="V771" s="99" t="str">
        <f t="shared" si="116"/>
        <v>Low</v>
      </c>
      <c r="W771" s="99" t="str">
        <f t="shared" si="117"/>
        <v>HLL</v>
      </c>
      <c r="X771" s="99" t="str">
        <f>VLOOKUP(W771,rfm[],2,FALSE)</f>
        <v>🌱 Potential Loyalists</v>
      </c>
      <c r="AA771" s="99" t="s">
        <v>2802</v>
      </c>
      <c r="AB771" s="99" t="s">
        <v>69</v>
      </c>
      <c r="AC771" s="100">
        <v>45967</v>
      </c>
      <c r="AD771" s="101">
        <v>56</v>
      </c>
      <c r="AE771" s="101">
        <v>1</v>
      </c>
      <c r="AF771" s="101">
        <v>8550000</v>
      </c>
      <c r="AG771" s="99" t="str">
        <f>VLOOKUP(AA771,recency!$K$6:$P$818,6,0)</f>
        <v>High</v>
      </c>
      <c r="AH771" s="132" t="str">
        <f>VLOOKUP(AA771,frequency!$F$6:$H$818,3,FALSE)</f>
        <v>Low</v>
      </c>
      <c r="AI771" s="129" t="str">
        <f>VLOOKUP(AA771,monetary!$B$5:$F$817,5,0)</f>
        <v>Low</v>
      </c>
      <c r="AJ771" s="99" t="str">
        <f t="shared" si="118"/>
        <v>HLL</v>
      </c>
      <c r="AK771" s="99" t="str">
        <f>VLOOKUP(AJ771,rfm[],2,0)</f>
        <v>🌱 Potential Loyalists</v>
      </c>
      <c r="AN771" s="99" t="b">
        <f t="shared" si="119"/>
        <v>1</v>
      </c>
    </row>
    <row r="772" spans="2:40" x14ac:dyDescent="0.3">
      <c r="B772" s="99" t="s">
        <v>1213</v>
      </c>
      <c r="C772" s="100">
        <v>45796</v>
      </c>
      <c r="D772" s="99" t="s">
        <v>31</v>
      </c>
      <c r="E772" s="99" t="s">
        <v>32</v>
      </c>
      <c r="F772" s="99" t="s">
        <v>20</v>
      </c>
      <c r="G772" s="99">
        <v>36</v>
      </c>
      <c r="H772" s="112">
        <v>180000</v>
      </c>
      <c r="I772" s="112">
        <v>6480000</v>
      </c>
      <c r="J772" s="99" t="s">
        <v>2498</v>
      </c>
      <c r="K772" s="99" t="s">
        <v>8</v>
      </c>
      <c r="N772" s="99" t="s">
        <v>2803</v>
      </c>
      <c r="O772" s="99" t="s">
        <v>47</v>
      </c>
      <c r="P772" s="100">
        <f t="shared" si="111"/>
        <v>45740</v>
      </c>
      <c r="Q772" s="101">
        <f t="shared" si="110"/>
        <v>283</v>
      </c>
      <c r="R772" s="99">
        <f t="shared" si="112"/>
        <v>1</v>
      </c>
      <c r="S772" s="101">
        <f t="shared" si="113"/>
        <v>22050000</v>
      </c>
      <c r="T772" s="99" t="str">
        <f t="shared" si="114"/>
        <v>Low</v>
      </c>
      <c r="U772" s="99" t="str">
        <f t="shared" si="115"/>
        <v>Low</v>
      </c>
      <c r="V772" s="99" t="str">
        <f t="shared" si="116"/>
        <v>High</v>
      </c>
      <c r="W772" s="99" t="str">
        <f t="shared" si="117"/>
        <v>LLH</v>
      </c>
      <c r="X772" s="99" t="str">
        <f>VLOOKUP(W772,rfm[],2,FALSE)</f>
        <v>💸 Lost High Spenders</v>
      </c>
      <c r="AA772" s="99" t="s">
        <v>2803</v>
      </c>
      <c r="AB772" s="99" t="s">
        <v>47</v>
      </c>
      <c r="AC772" s="100">
        <v>45740</v>
      </c>
      <c r="AD772" s="101">
        <v>283</v>
      </c>
      <c r="AE772" s="101">
        <v>1</v>
      </c>
      <c r="AF772" s="101">
        <v>22050000</v>
      </c>
      <c r="AG772" s="99" t="str">
        <f>VLOOKUP(AA772,recency!$K$6:$P$818,6,0)</f>
        <v>Low</v>
      </c>
      <c r="AH772" s="132" t="str">
        <f>VLOOKUP(AA772,frequency!$F$6:$H$818,3,FALSE)</f>
        <v>Low</v>
      </c>
      <c r="AI772" s="129" t="str">
        <f>VLOOKUP(AA772,monetary!$B$5:$F$817,5,0)</f>
        <v>Low</v>
      </c>
      <c r="AJ772" s="99" t="str">
        <f t="shared" si="118"/>
        <v>LLL</v>
      </c>
      <c r="AK772" s="99" t="str">
        <f>VLOOKUP(AJ772,rfm[],2,0)</f>
        <v>💤 Lost / Low Value</v>
      </c>
      <c r="AN772" s="99" t="b">
        <f t="shared" si="119"/>
        <v>0</v>
      </c>
    </row>
    <row r="773" spans="2:40" x14ac:dyDescent="0.3">
      <c r="B773" s="99" t="s">
        <v>1214</v>
      </c>
      <c r="C773" s="100">
        <v>45796</v>
      </c>
      <c r="D773" s="99" t="s">
        <v>22</v>
      </c>
      <c r="E773" s="99" t="s">
        <v>23</v>
      </c>
      <c r="F773" s="99" t="s">
        <v>12</v>
      </c>
      <c r="G773" s="99">
        <v>430</v>
      </c>
      <c r="H773" s="112">
        <v>25000</v>
      </c>
      <c r="I773" s="112">
        <v>10750000</v>
      </c>
      <c r="J773" s="99" t="s">
        <v>2753</v>
      </c>
      <c r="K773" s="99" t="s">
        <v>47</v>
      </c>
      <c r="N773" s="99" t="s">
        <v>2804</v>
      </c>
      <c r="O773" s="99" t="s">
        <v>8</v>
      </c>
      <c r="P773" s="100">
        <f t="shared" si="111"/>
        <v>45959</v>
      </c>
      <c r="Q773" s="101">
        <f t="shared" si="110"/>
        <v>64</v>
      </c>
      <c r="R773" s="99">
        <f t="shared" si="112"/>
        <v>3</v>
      </c>
      <c r="S773" s="101">
        <f t="shared" si="113"/>
        <v>44300000</v>
      </c>
      <c r="T773" s="99" t="str">
        <f t="shared" si="114"/>
        <v>High</v>
      </c>
      <c r="U773" s="99" t="str">
        <f t="shared" si="115"/>
        <v>High</v>
      </c>
      <c r="V773" s="99" t="str">
        <f t="shared" si="116"/>
        <v>High</v>
      </c>
      <c r="W773" s="99" t="str">
        <f t="shared" si="117"/>
        <v>HHH</v>
      </c>
      <c r="X773" s="99" t="str">
        <f>VLOOKUP(W773,rfm[],2,FALSE)</f>
        <v>🥇 Champions</v>
      </c>
      <c r="AA773" s="99" t="s">
        <v>2804</v>
      </c>
      <c r="AB773" s="99" t="s">
        <v>8</v>
      </c>
      <c r="AC773" s="100">
        <v>45959</v>
      </c>
      <c r="AD773" s="101">
        <v>64</v>
      </c>
      <c r="AE773" s="101">
        <v>3</v>
      </c>
      <c r="AF773" s="101">
        <v>44300000</v>
      </c>
      <c r="AG773" s="99" t="str">
        <f>VLOOKUP(AA773,recency!$K$6:$P$818,6,0)</f>
        <v>Low</v>
      </c>
      <c r="AH773" s="132" t="str">
        <f>VLOOKUP(AA773,frequency!$F$6:$H$818,3,FALSE)</f>
        <v>High</v>
      </c>
      <c r="AI773" s="129" t="str">
        <f>VLOOKUP(AA773,monetary!$B$5:$F$817,5,0)</f>
        <v>Low</v>
      </c>
      <c r="AJ773" s="99" t="str">
        <f t="shared" si="118"/>
        <v>LHL</v>
      </c>
      <c r="AK773" s="99" t="str">
        <f>VLOOKUP(AJ773,rfm[],2,0)</f>
        <v>🔁 Former Loyal Low Spend</v>
      </c>
      <c r="AN773" s="99" t="b">
        <f t="shared" si="119"/>
        <v>0</v>
      </c>
    </row>
    <row r="774" spans="2:40" x14ac:dyDescent="0.3">
      <c r="B774" s="99" t="s">
        <v>1215</v>
      </c>
      <c r="C774" s="100">
        <v>45796</v>
      </c>
      <c r="D774" s="99" t="s">
        <v>31</v>
      </c>
      <c r="E774" s="99" t="s">
        <v>32</v>
      </c>
      <c r="F774" s="99" t="s">
        <v>20</v>
      </c>
      <c r="G774" s="99">
        <v>8</v>
      </c>
      <c r="H774" s="112">
        <v>180000</v>
      </c>
      <c r="I774" s="112">
        <v>1440000</v>
      </c>
      <c r="J774" s="99" t="s">
        <v>2544</v>
      </c>
      <c r="K774" s="99" t="s">
        <v>60</v>
      </c>
      <c r="N774" s="99" t="s">
        <v>2805</v>
      </c>
      <c r="O774" s="99" t="s">
        <v>8</v>
      </c>
      <c r="P774" s="100">
        <f t="shared" si="111"/>
        <v>45986</v>
      </c>
      <c r="Q774" s="101">
        <f t="shared" ref="Q774:Q817" si="120">analysis_date-P774</f>
        <v>37</v>
      </c>
      <c r="R774" s="99">
        <f t="shared" si="112"/>
        <v>1</v>
      </c>
      <c r="S774" s="101">
        <f t="shared" si="113"/>
        <v>5500000</v>
      </c>
      <c r="T774" s="99" t="str">
        <f t="shared" si="114"/>
        <v>High</v>
      </c>
      <c r="U774" s="99" t="str">
        <f t="shared" si="115"/>
        <v>Low</v>
      </c>
      <c r="V774" s="99" t="str">
        <f t="shared" si="116"/>
        <v>Low</v>
      </c>
      <c r="W774" s="99" t="str">
        <f t="shared" si="117"/>
        <v>HLL</v>
      </c>
      <c r="X774" s="99" t="str">
        <f>VLOOKUP(W774,rfm[],2,FALSE)</f>
        <v>🌱 Potential Loyalists</v>
      </c>
      <c r="AA774" s="99" t="s">
        <v>2805</v>
      </c>
      <c r="AB774" s="99" t="s">
        <v>8</v>
      </c>
      <c r="AC774" s="100">
        <v>45986</v>
      </c>
      <c r="AD774" s="101">
        <v>37</v>
      </c>
      <c r="AE774" s="101">
        <v>1</v>
      </c>
      <c r="AF774" s="101">
        <v>5500000</v>
      </c>
      <c r="AG774" s="99" t="str">
        <f>VLOOKUP(AA774,recency!$K$6:$P$818,6,0)</f>
        <v>High</v>
      </c>
      <c r="AH774" s="132" t="str">
        <f>VLOOKUP(AA774,frequency!$F$6:$H$818,3,FALSE)</f>
        <v>Low</v>
      </c>
      <c r="AI774" s="129" t="str">
        <f>VLOOKUP(AA774,monetary!$B$5:$F$817,5,0)</f>
        <v>Low</v>
      </c>
      <c r="AJ774" s="99" t="str">
        <f t="shared" si="118"/>
        <v>HLL</v>
      </c>
      <c r="AK774" s="99" t="str">
        <f>VLOOKUP(AJ774,rfm[],2,0)</f>
        <v>🌱 Potential Loyalists</v>
      </c>
      <c r="AN774" s="99" t="b">
        <f t="shared" si="119"/>
        <v>1</v>
      </c>
    </row>
    <row r="775" spans="2:40" x14ac:dyDescent="0.3">
      <c r="B775" s="99" t="s">
        <v>1216</v>
      </c>
      <c r="C775" s="100">
        <v>45796</v>
      </c>
      <c r="D775" s="99" t="s">
        <v>40</v>
      </c>
      <c r="E775" s="99" t="s">
        <v>41</v>
      </c>
      <c r="F775" s="99" t="s">
        <v>16</v>
      </c>
      <c r="G775" s="99">
        <v>38</v>
      </c>
      <c r="H775" s="112">
        <v>950000</v>
      </c>
      <c r="I775" s="112">
        <v>36100000</v>
      </c>
      <c r="J775" s="99" t="s">
        <v>2804</v>
      </c>
      <c r="K775" s="99" t="s">
        <v>8</v>
      </c>
      <c r="N775" s="99" t="s">
        <v>2806</v>
      </c>
      <c r="O775" s="99" t="s">
        <v>69</v>
      </c>
      <c r="P775" s="100">
        <f t="shared" ref="P775:P817" si="121">_xlfn.MAXIFS($C$6:$C$2005,$J$6:$J$2005,N775)</f>
        <v>45875</v>
      </c>
      <c r="Q775" s="101">
        <f t="shared" si="120"/>
        <v>148</v>
      </c>
      <c r="R775" s="99">
        <f t="shared" ref="R775:R817" si="122">COUNTIFS($J$6:$J$2005,N775)</f>
        <v>4</v>
      </c>
      <c r="S775" s="101">
        <f t="shared" ref="S775:S817" si="123">SUMIFS($I$6:$I$2005,$J$6:$J$2005,N775)</f>
        <v>30720000</v>
      </c>
      <c r="T775" s="99" t="str">
        <f t="shared" ref="T775:T817" si="124">IF(Q775&lt;MEDIAN($Q$6:$Q$817),"High","Low")</f>
        <v>Low</v>
      </c>
      <c r="U775" s="99" t="str">
        <f t="shared" ref="U775:U817" si="125">IF(R775&gt;MEDIAN($R$6:$R$817),"High","Low")</f>
        <v>High</v>
      </c>
      <c r="V775" s="99" t="str">
        <f t="shared" ref="V775:V817" si="126">IF(S775&gt;MEDIAN($S$6:$S$817),"High","Low")</f>
        <v>High</v>
      </c>
      <c r="W775" s="99" t="str">
        <f t="shared" ref="W775:W817" si="127">_xlfn.CONCAT(LEFT(T775,1),LEFT(U775,1),LEFT(V775,1))</f>
        <v>LHH</v>
      </c>
      <c r="X775" s="99" t="str">
        <f>VLOOKUP(W775,rfm[],2,FALSE)</f>
        <v>⚠️ At Risk High Value</v>
      </c>
      <c r="AA775" s="99" t="s">
        <v>2806</v>
      </c>
      <c r="AB775" s="99" t="s">
        <v>69</v>
      </c>
      <c r="AC775" s="100">
        <v>45875</v>
      </c>
      <c r="AD775" s="101">
        <v>148</v>
      </c>
      <c r="AE775" s="101">
        <v>4</v>
      </c>
      <c r="AF775" s="101">
        <v>30720000</v>
      </c>
      <c r="AG775" s="99" t="str">
        <f>VLOOKUP(AA775,recency!$K$6:$P$818,6,0)</f>
        <v>Low</v>
      </c>
      <c r="AH775" s="132" t="str">
        <f>VLOOKUP(AA775,frequency!$F$6:$H$818,3,FALSE)</f>
        <v>High</v>
      </c>
      <c r="AI775" s="129" t="str">
        <f>VLOOKUP(AA775,monetary!$B$5:$F$817,5,0)</f>
        <v>Low</v>
      </c>
      <c r="AJ775" s="99" t="str">
        <f t="shared" ref="AJ775:AJ817" si="128">_xlfn.CONCAT(LEFT(AG775,1),LEFT(AH775,1),LEFT(AI775,1))</f>
        <v>LHL</v>
      </c>
      <c r="AK775" s="99" t="str">
        <f>VLOOKUP(AJ775,rfm[],2,0)</f>
        <v>🔁 Former Loyal Low Spend</v>
      </c>
      <c r="AN775" s="99" t="b">
        <f t="shared" ref="AN775:AN817" si="129">AJ775=W775</f>
        <v>0</v>
      </c>
    </row>
    <row r="776" spans="2:40" x14ac:dyDescent="0.3">
      <c r="B776" s="99" t="s">
        <v>1217</v>
      </c>
      <c r="C776" s="100">
        <v>45796</v>
      </c>
      <c r="D776" s="99" t="s">
        <v>42</v>
      </c>
      <c r="E776" s="99" t="s">
        <v>43</v>
      </c>
      <c r="F776" s="99" t="s">
        <v>16</v>
      </c>
      <c r="G776" s="99">
        <v>28</v>
      </c>
      <c r="H776" s="112">
        <v>1200000</v>
      </c>
      <c r="I776" s="112">
        <v>33600000</v>
      </c>
      <c r="J776" s="99" t="s">
        <v>2394</v>
      </c>
      <c r="K776" s="99" t="s">
        <v>127</v>
      </c>
      <c r="N776" s="99" t="s">
        <v>2807</v>
      </c>
      <c r="O776" s="99" t="s">
        <v>60</v>
      </c>
      <c r="P776" s="100">
        <f t="shared" si="121"/>
        <v>45911</v>
      </c>
      <c r="Q776" s="101">
        <f t="shared" si="120"/>
        <v>112</v>
      </c>
      <c r="R776" s="99">
        <f t="shared" si="122"/>
        <v>3</v>
      </c>
      <c r="S776" s="101">
        <f t="shared" si="123"/>
        <v>7370000</v>
      </c>
      <c r="T776" s="99" t="str">
        <f t="shared" si="124"/>
        <v>Low</v>
      </c>
      <c r="U776" s="99" t="str">
        <f t="shared" si="125"/>
        <v>High</v>
      </c>
      <c r="V776" s="99" t="str">
        <f t="shared" si="126"/>
        <v>Low</v>
      </c>
      <c r="W776" s="99" t="str">
        <f t="shared" si="127"/>
        <v>LHL</v>
      </c>
      <c r="X776" s="99" t="str">
        <f>VLOOKUP(W776,rfm[],2,FALSE)</f>
        <v>🔁 Former Loyal Low Spend</v>
      </c>
      <c r="AA776" s="99" t="s">
        <v>2807</v>
      </c>
      <c r="AB776" s="99" t="s">
        <v>60</v>
      </c>
      <c r="AC776" s="100">
        <v>45911</v>
      </c>
      <c r="AD776" s="101">
        <v>112</v>
      </c>
      <c r="AE776" s="101">
        <v>3</v>
      </c>
      <c r="AF776" s="101">
        <v>7370000</v>
      </c>
      <c r="AG776" s="99" t="str">
        <f>VLOOKUP(AA776,recency!$K$6:$P$818,6,0)</f>
        <v>Low</v>
      </c>
      <c r="AH776" s="132" t="str">
        <f>VLOOKUP(AA776,frequency!$F$6:$H$818,3,FALSE)</f>
        <v>High</v>
      </c>
      <c r="AI776" s="129" t="str">
        <f>VLOOKUP(AA776,monetary!$B$5:$F$817,5,0)</f>
        <v>Low</v>
      </c>
      <c r="AJ776" s="99" t="str">
        <f t="shared" si="128"/>
        <v>LHL</v>
      </c>
      <c r="AK776" s="99" t="str">
        <f>VLOOKUP(AJ776,rfm[],2,0)</f>
        <v>🔁 Former Loyal Low Spend</v>
      </c>
      <c r="AN776" s="99" t="b">
        <f t="shared" si="129"/>
        <v>1</v>
      </c>
    </row>
    <row r="777" spans="2:40" x14ac:dyDescent="0.3">
      <c r="B777" s="99" t="s">
        <v>1218</v>
      </c>
      <c r="C777" s="100">
        <v>45796</v>
      </c>
      <c r="D777" s="99" t="s">
        <v>22</v>
      </c>
      <c r="E777" s="99" t="s">
        <v>23</v>
      </c>
      <c r="F777" s="99" t="s">
        <v>12</v>
      </c>
      <c r="G777" s="99">
        <v>13</v>
      </c>
      <c r="H777" s="112">
        <v>25000</v>
      </c>
      <c r="I777" s="112">
        <v>325000</v>
      </c>
      <c r="J777" s="99" t="s">
        <v>2820</v>
      </c>
      <c r="K777" s="99" t="s">
        <v>127</v>
      </c>
      <c r="N777" s="99" t="s">
        <v>2808</v>
      </c>
      <c r="O777" s="99" t="s">
        <v>8</v>
      </c>
      <c r="P777" s="100">
        <f t="shared" si="121"/>
        <v>46008</v>
      </c>
      <c r="Q777" s="101">
        <f t="shared" si="120"/>
        <v>15</v>
      </c>
      <c r="R777" s="99">
        <f t="shared" si="122"/>
        <v>8</v>
      </c>
      <c r="S777" s="101">
        <f t="shared" si="123"/>
        <v>73675000</v>
      </c>
      <c r="T777" s="99" t="str">
        <f t="shared" si="124"/>
        <v>High</v>
      </c>
      <c r="U777" s="99" t="str">
        <f t="shared" si="125"/>
        <v>High</v>
      </c>
      <c r="V777" s="99" t="str">
        <f t="shared" si="126"/>
        <v>High</v>
      </c>
      <c r="W777" s="99" t="str">
        <f t="shared" si="127"/>
        <v>HHH</v>
      </c>
      <c r="X777" s="99" t="str">
        <f>VLOOKUP(W777,rfm[],2,FALSE)</f>
        <v>🥇 Champions</v>
      </c>
      <c r="AA777" s="99" t="s">
        <v>2808</v>
      </c>
      <c r="AB777" s="99" t="s">
        <v>8</v>
      </c>
      <c r="AC777" s="100">
        <v>46008</v>
      </c>
      <c r="AD777" s="101">
        <v>15</v>
      </c>
      <c r="AE777" s="101">
        <v>8</v>
      </c>
      <c r="AF777" s="101">
        <v>73675000</v>
      </c>
      <c r="AG777" s="99" t="str">
        <f>VLOOKUP(AA777,recency!$K$6:$P$818,6,0)</f>
        <v>High</v>
      </c>
      <c r="AH777" s="132" t="str">
        <f>VLOOKUP(AA777,frequency!$F$6:$H$818,3,FALSE)</f>
        <v>High</v>
      </c>
      <c r="AI777" s="129" t="str">
        <f>VLOOKUP(AA777,monetary!$B$5:$F$817,5,0)</f>
        <v>High</v>
      </c>
      <c r="AJ777" s="99" t="str">
        <f t="shared" si="128"/>
        <v>HHH</v>
      </c>
      <c r="AK777" s="99" t="str">
        <f>VLOOKUP(AJ777,rfm[],2,0)</f>
        <v>🥇 Champions</v>
      </c>
      <c r="AN777" s="99" t="b">
        <f t="shared" si="129"/>
        <v>1</v>
      </c>
    </row>
    <row r="778" spans="2:40" x14ac:dyDescent="0.3">
      <c r="B778" s="99" t="s">
        <v>1250</v>
      </c>
      <c r="C778" s="100">
        <v>45796</v>
      </c>
      <c r="D778" s="99" t="s">
        <v>42</v>
      </c>
      <c r="E778" s="99" t="s">
        <v>43</v>
      </c>
      <c r="F778" s="99" t="s">
        <v>16</v>
      </c>
      <c r="G778" s="99">
        <v>7</v>
      </c>
      <c r="H778" s="112">
        <v>1200000</v>
      </c>
      <c r="I778" s="112">
        <v>8400000</v>
      </c>
      <c r="J778" s="99" t="s">
        <v>2527</v>
      </c>
      <c r="K778" s="99" t="s">
        <v>69</v>
      </c>
      <c r="N778" s="99" t="s">
        <v>2809</v>
      </c>
      <c r="O778" s="99" t="s">
        <v>47</v>
      </c>
      <c r="P778" s="100">
        <f t="shared" si="121"/>
        <v>45924</v>
      </c>
      <c r="Q778" s="101">
        <f t="shared" si="120"/>
        <v>99</v>
      </c>
      <c r="R778" s="99">
        <f t="shared" si="122"/>
        <v>4</v>
      </c>
      <c r="S778" s="101">
        <f t="shared" si="123"/>
        <v>40700000</v>
      </c>
      <c r="T778" s="99" t="str">
        <f t="shared" si="124"/>
        <v>Low</v>
      </c>
      <c r="U778" s="99" t="str">
        <f t="shared" si="125"/>
        <v>High</v>
      </c>
      <c r="V778" s="99" t="str">
        <f t="shared" si="126"/>
        <v>High</v>
      </c>
      <c r="W778" s="99" t="str">
        <f t="shared" si="127"/>
        <v>LHH</v>
      </c>
      <c r="X778" s="99" t="str">
        <f>VLOOKUP(W778,rfm[],2,FALSE)</f>
        <v>⚠️ At Risk High Value</v>
      </c>
      <c r="AA778" s="99" t="s">
        <v>2809</v>
      </c>
      <c r="AB778" s="99" t="s">
        <v>47</v>
      </c>
      <c r="AC778" s="100">
        <v>45924</v>
      </c>
      <c r="AD778" s="101">
        <v>99</v>
      </c>
      <c r="AE778" s="101">
        <v>4</v>
      </c>
      <c r="AF778" s="101">
        <v>40700000</v>
      </c>
      <c r="AG778" s="99" t="str">
        <f>VLOOKUP(AA778,recency!$K$6:$P$818,6,0)</f>
        <v>Low</v>
      </c>
      <c r="AH778" s="132" t="str">
        <f>VLOOKUP(AA778,frequency!$F$6:$H$818,3,FALSE)</f>
        <v>High</v>
      </c>
      <c r="AI778" s="129" t="str">
        <f>VLOOKUP(AA778,monetary!$B$5:$F$817,5,0)</f>
        <v>Low</v>
      </c>
      <c r="AJ778" s="99" t="str">
        <f t="shared" si="128"/>
        <v>LHL</v>
      </c>
      <c r="AK778" s="99" t="str">
        <f>VLOOKUP(AJ778,rfm[],2,0)</f>
        <v>🔁 Former Loyal Low Spend</v>
      </c>
      <c r="AN778" s="99" t="b">
        <f t="shared" si="129"/>
        <v>0</v>
      </c>
    </row>
    <row r="779" spans="2:40" x14ac:dyDescent="0.3">
      <c r="B779" s="99" t="s">
        <v>1251</v>
      </c>
      <c r="C779" s="100">
        <v>45796</v>
      </c>
      <c r="D779" s="99" t="s">
        <v>40</v>
      </c>
      <c r="E779" s="99" t="s">
        <v>41</v>
      </c>
      <c r="F779" s="99" t="s">
        <v>16</v>
      </c>
      <c r="G779" s="99">
        <v>50</v>
      </c>
      <c r="H779" s="112">
        <v>950000</v>
      </c>
      <c r="I779" s="112">
        <v>47500000</v>
      </c>
      <c r="J779" s="99" t="s">
        <v>2269</v>
      </c>
      <c r="K779" s="99" t="s">
        <v>8</v>
      </c>
      <c r="N779" s="99" t="s">
        <v>2810</v>
      </c>
      <c r="O779" s="99" t="s">
        <v>69</v>
      </c>
      <c r="P779" s="100">
        <f t="shared" si="121"/>
        <v>45940</v>
      </c>
      <c r="Q779" s="101">
        <f t="shared" si="120"/>
        <v>83</v>
      </c>
      <c r="R779" s="99">
        <f t="shared" si="122"/>
        <v>2</v>
      </c>
      <c r="S779" s="101">
        <f t="shared" si="123"/>
        <v>47150000</v>
      </c>
      <c r="T779" s="99" t="str">
        <f t="shared" si="124"/>
        <v>High</v>
      </c>
      <c r="U779" s="99" t="str">
        <f t="shared" si="125"/>
        <v>Low</v>
      </c>
      <c r="V779" s="99" t="str">
        <f t="shared" si="126"/>
        <v>High</v>
      </c>
      <c r="W779" s="99" t="str">
        <f t="shared" si="127"/>
        <v>HLH</v>
      </c>
      <c r="X779" s="99" t="str">
        <f>VLOOKUP(W779,rfm[],2,FALSE)</f>
        <v>🛒 Big Spenders (Occasional)</v>
      </c>
      <c r="AA779" s="99" t="s">
        <v>2810</v>
      </c>
      <c r="AB779" s="99" t="s">
        <v>69</v>
      </c>
      <c r="AC779" s="100">
        <v>45940</v>
      </c>
      <c r="AD779" s="101">
        <v>83</v>
      </c>
      <c r="AE779" s="101">
        <v>2</v>
      </c>
      <c r="AF779" s="101">
        <v>47150000</v>
      </c>
      <c r="AG779" s="99" t="str">
        <f>VLOOKUP(AA779,recency!$K$6:$P$818,6,0)</f>
        <v>Low</v>
      </c>
      <c r="AH779" s="132" t="str">
        <f>VLOOKUP(AA779,frequency!$F$6:$H$818,3,FALSE)</f>
        <v>Low</v>
      </c>
      <c r="AI779" s="129" t="str">
        <f>VLOOKUP(AA779,monetary!$B$5:$F$817,5,0)</f>
        <v>Low</v>
      </c>
      <c r="AJ779" s="99" t="str">
        <f t="shared" si="128"/>
        <v>LLL</v>
      </c>
      <c r="AK779" s="99" t="str">
        <f>VLOOKUP(AJ779,rfm[],2,0)</f>
        <v>💤 Lost / Low Value</v>
      </c>
      <c r="AN779" s="99" t="b">
        <f t="shared" si="129"/>
        <v>0</v>
      </c>
    </row>
    <row r="780" spans="2:40" x14ac:dyDescent="0.3">
      <c r="B780" s="99" t="s">
        <v>1252</v>
      </c>
      <c r="C780" s="100">
        <v>45796</v>
      </c>
      <c r="D780" s="99" t="s">
        <v>22</v>
      </c>
      <c r="E780" s="99" t="s">
        <v>23</v>
      </c>
      <c r="F780" s="99" t="s">
        <v>12</v>
      </c>
      <c r="G780" s="99">
        <v>450</v>
      </c>
      <c r="H780" s="112">
        <v>25000</v>
      </c>
      <c r="I780" s="112">
        <v>11250000</v>
      </c>
      <c r="J780" s="99" t="s">
        <v>2624</v>
      </c>
      <c r="K780" s="99" t="s">
        <v>60</v>
      </c>
      <c r="N780" s="99" t="s">
        <v>2811</v>
      </c>
      <c r="O780" s="99" t="s">
        <v>47</v>
      </c>
      <c r="P780" s="100">
        <f t="shared" si="121"/>
        <v>45833</v>
      </c>
      <c r="Q780" s="101">
        <f t="shared" si="120"/>
        <v>190</v>
      </c>
      <c r="R780" s="99">
        <f t="shared" si="122"/>
        <v>2</v>
      </c>
      <c r="S780" s="101">
        <f t="shared" si="123"/>
        <v>17250000</v>
      </c>
      <c r="T780" s="99" t="str">
        <f t="shared" si="124"/>
        <v>Low</v>
      </c>
      <c r="U780" s="99" t="str">
        <f t="shared" si="125"/>
        <v>Low</v>
      </c>
      <c r="V780" s="99" t="str">
        <f t="shared" si="126"/>
        <v>Low</v>
      </c>
      <c r="W780" s="99" t="str">
        <f t="shared" si="127"/>
        <v>LLL</v>
      </c>
      <c r="X780" s="99" t="str">
        <f>VLOOKUP(W780,rfm[],2,FALSE)</f>
        <v>💤 Lost / Low Value</v>
      </c>
      <c r="AA780" s="99" t="s">
        <v>2811</v>
      </c>
      <c r="AB780" s="99" t="s">
        <v>47</v>
      </c>
      <c r="AC780" s="100">
        <v>45833</v>
      </c>
      <c r="AD780" s="101">
        <v>190</v>
      </c>
      <c r="AE780" s="101">
        <v>2</v>
      </c>
      <c r="AF780" s="101">
        <v>17250000</v>
      </c>
      <c r="AG780" s="99" t="str">
        <f>VLOOKUP(AA780,recency!$K$6:$P$818,6,0)</f>
        <v>Low</v>
      </c>
      <c r="AH780" s="132" t="str">
        <f>VLOOKUP(AA780,frequency!$F$6:$H$818,3,FALSE)</f>
        <v>Low</v>
      </c>
      <c r="AI780" s="129" t="str">
        <f>VLOOKUP(AA780,monetary!$B$5:$F$817,5,0)</f>
        <v>Low</v>
      </c>
      <c r="AJ780" s="99" t="str">
        <f t="shared" si="128"/>
        <v>LLL</v>
      </c>
      <c r="AK780" s="99" t="str">
        <f>VLOOKUP(AJ780,rfm[],2,0)</f>
        <v>💤 Lost / Low Value</v>
      </c>
      <c r="AN780" s="99" t="b">
        <f t="shared" si="129"/>
        <v>1</v>
      </c>
    </row>
    <row r="781" spans="2:40" x14ac:dyDescent="0.3">
      <c r="B781" s="99" t="s">
        <v>1253</v>
      </c>
      <c r="C781" s="100">
        <v>45796</v>
      </c>
      <c r="D781" s="99" t="s">
        <v>44</v>
      </c>
      <c r="E781" s="99" t="s">
        <v>45</v>
      </c>
      <c r="F781" s="99" t="s">
        <v>16</v>
      </c>
      <c r="G781" s="99">
        <v>50</v>
      </c>
      <c r="H781" s="112">
        <v>250000</v>
      </c>
      <c r="I781" s="112">
        <v>12500000</v>
      </c>
      <c r="J781" s="99" t="s">
        <v>2777</v>
      </c>
      <c r="K781" s="99" t="s">
        <v>8</v>
      </c>
      <c r="N781" s="99" t="s">
        <v>2812</v>
      </c>
      <c r="O781" s="99" t="s">
        <v>47</v>
      </c>
      <c r="P781" s="100">
        <f t="shared" si="121"/>
        <v>45807</v>
      </c>
      <c r="Q781" s="101">
        <f t="shared" si="120"/>
        <v>216</v>
      </c>
      <c r="R781" s="99">
        <f t="shared" si="122"/>
        <v>1</v>
      </c>
      <c r="S781" s="101">
        <f t="shared" si="123"/>
        <v>7350000</v>
      </c>
      <c r="T781" s="99" t="str">
        <f t="shared" si="124"/>
        <v>Low</v>
      </c>
      <c r="U781" s="99" t="str">
        <f t="shared" si="125"/>
        <v>Low</v>
      </c>
      <c r="V781" s="99" t="str">
        <f t="shared" si="126"/>
        <v>Low</v>
      </c>
      <c r="W781" s="99" t="str">
        <f t="shared" si="127"/>
        <v>LLL</v>
      </c>
      <c r="X781" s="99" t="str">
        <f>VLOOKUP(W781,rfm[],2,FALSE)</f>
        <v>💤 Lost / Low Value</v>
      </c>
      <c r="AA781" s="99" t="s">
        <v>2812</v>
      </c>
      <c r="AB781" s="99" t="s">
        <v>47</v>
      </c>
      <c r="AC781" s="100">
        <v>45807</v>
      </c>
      <c r="AD781" s="101">
        <v>216</v>
      </c>
      <c r="AE781" s="101">
        <v>1</v>
      </c>
      <c r="AF781" s="101">
        <v>7350000</v>
      </c>
      <c r="AG781" s="99" t="str">
        <f>VLOOKUP(AA781,recency!$K$6:$P$818,6,0)</f>
        <v>Low</v>
      </c>
      <c r="AH781" s="132" t="str">
        <f>VLOOKUP(AA781,frequency!$F$6:$H$818,3,FALSE)</f>
        <v>Low</v>
      </c>
      <c r="AI781" s="129" t="str">
        <f>VLOOKUP(AA781,monetary!$B$5:$F$817,5,0)</f>
        <v>Low</v>
      </c>
      <c r="AJ781" s="99" t="str">
        <f t="shared" si="128"/>
        <v>LLL</v>
      </c>
      <c r="AK781" s="99" t="str">
        <f>VLOOKUP(AJ781,rfm[],2,0)</f>
        <v>💤 Lost / Low Value</v>
      </c>
      <c r="AN781" s="99" t="b">
        <f t="shared" si="129"/>
        <v>1</v>
      </c>
    </row>
    <row r="782" spans="2:40" x14ac:dyDescent="0.3">
      <c r="B782" s="99" t="s">
        <v>1254</v>
      </c>
      <c r="C782" s="100">
        <v>45796</v>
      </c>
      <c r="D782" s="99" t="s">
        <v>31</v>
      </c>
      <c r="E782" s="99" t="s">
        <v>32</v>
      </c>
      <c r="F782" s="99" t="s">
        <v>20</v>
      </c>
      <c r="G782" s="99">
        <v>12</v>
      </c>
      <c r="H782" s="112">
        <v>180000</v>
      </c>
      <c r="I782" s="112">
        <v>2160000</v>
      </c>
      <c r="J782" s="99" t="s">
        <v>2260</v>
      </c>
      <c r="K782" s="99" t="s">
        <v>127</v>
      </c>
      <c r="N782" s="99" t="s">
        <v>2813</v>
      </c>
      <c r="O782" s="99" t="s">
        <v>60</v>
      </c>
      <c r="P782" s="100">
        <f t="shared" si="121"/>
        <v>45673</v>
      </c>
      <c r="Q782" s="101">
        <f t="shared" si="120"/>
        <v>350</v>
      </c>
      <c r="R782" s="99">
        <f t="shared" si="122"/>
        <v>1</v>
      </c>
      <c r="S782" s="101">
        <f t="shared" si="123"/>
        <v>6000000</v>
      </c>
      <c r="T782" s="99" t="str">
        <f t="shared" si="124"/>
        <v>Low</v>
      </c>
      <c r="U782" s="99" t="str">
        <f t="shared" si="125"/>
        <v>Low</v>
      </c>
      <c r="V782" s="99" t="str">
        <f t="shared" si="126"/>
        <v>Low</v>
      </c>
      <c r="W782" s="99" t="str">
        <f t="shared" si="127"/>
        <v>LLL</v>
      </c>
      <c r="X782" s="99" t="str">
        <f>VLOOKUP(W782,rfm[],2,FALSE)</f>
        <v>💤 Lost / Low Value</v>
      </c>
      <c r="AA782" s="99" t="s">
        <v>2813</v>
      </c>
      <c r="AB782" s="99" t="s">
        <v>60</v>
      </c>
      <c r="AC782" s="100">
        <v>45673</v>
      </c>
      <c r="AD782" s="101">
        <v>350</v>
      </c>
      <c r="AE782" s="101">
        <v>1</v>
      </c>
      <c r="AF782" s="101">
        <v>6000000</v>
      </c>
      <c r="AG782" s="99" t="str">
        <f>VLOOKUP(AA782,recency!$K$6:$P$818,6,0)</f>
        <v>Low</v>
      </c>
      <c r="AH782" s="132" t="str">
        <f>VLOOKUP(AA782,frequency!$F$6:$H$818,3,FALSE)</f>
        <v>Low</v>
      </c>
      <c r="AI782" s="129" t="str">
        <f>VLOOKUP(AA782,monetary!$B$5:$F$817,5,0)</f>
        <v>Low</v>
      </c>
      <c r="AJ782" s="99" t="str">
        <f>_xlfn.CONCAT(LEFT(AG782,1),LEFT(AH782,1),LEFT(AI782,1))</f>
        <v>LLL</v>
      </c>
      <c r="AK782" s="99" t="str">
        <f>VLOOKUP(AJ782,rfm[],2,0)</f>
        <v>💤 Lost / Low Value</v>
      </c>
      <c r="AN782" s="99" t="b">
        <f t="shared" si="129"/>
        <v>1</v>
      </c>
    </row>
    <row r="783" spans="2:40" x14ac:dyDescent="0.3">
      <c r="B783" s="99" t="s">
        <v>1296</v>
      </c>
      <c r="C783" s="100">
        <v>45796</v>
      </c>
      <c r="D783" s="99" t="s">
        <v>44</v>
      </c>
      <c r="E783" s="99" t="s">
        <v>45</v>
      </c>
      <c r="F783" s="99" t="s">
        <v>16</v>
      </c>
      <c r="G783" s="99">
        <v>39</v>
      </c>
      <c r="H783" s="112">
        <v>250000</v>
      </c>
      <c r="I783" s="112">
        <v>9750000</v>
      </c>
      <c r="J783" s="99" t="s">
        <v>573</v>
      </c>
      <c r="K783" s="99" t="s">
        <v>47</v>
      </c>
      <c r="N783" s="99" t="s">
        <v>2814</v>
      </c>
      <c r="O783" s="99" t="s">
        <v>8</v>
      </c>
      <c r="P783" s="100">
        <f t="shared" si="121"/>
        <v>46000</v>
      </c>
      <c r="Q783" s="101">
        <f t="shared" si="120"/>
        <v>23</v>
      </c>
      <c r="R783" s="99">
        <f t="shared" si="122"/>
        <v>2</v>
      </c>
      <c r="S783" s="101">
        <f t="shared" si="123"/>
        <v>25290000</v>
      </c>
      <c r="T783" s="99" t="str">
        <f t="shared" si="124"/>
        <v>High</v>
      </c>
      <c r="U783" s="99" t="str">
        <f t="shared" si="125"/>
        <v>Low</v>
      </c>
      <c r="V783" s="99" t="str">
        <f t="shared" si="126"/>
        <v>High</v>
      </c>
      <c r="W783" s="99" t="str">
        <f t="shared" si="127"/>
        <v>HLH</v>
      </c>
      <c r="X783" s="99" t="str">
        <f>VLOOKUP(W783,rfm[],2,FALSE)</f>
        <v>🛒 Big Spenders (Occasional)</v>
      </c>
      <c r="AA783" s="99" t="s">
        <v>2814</v>
      </c>
      <c r="AB783" s="99" t="s">
        <v>8</v>
      </c>
      <c r="AC783" s="100">
        <v>46000</v>
      </c>
      <c r="AD783" s="101">
        <v>23</v>
      </c>
      <c r="AE783" s="101">
        <v>2</v>
      </c>
      <c r="AF783" s="101">
        <v>25290000</v>
      </c>
      <c r="AG783" s="99" t="str">
        <f>VLOOKUP(AA783,recency!$K$6:$P$818,6,0)</f>
        <v>High</v>
      </c>
      <c r="AH783" s="132" t="str">
        <f>VLOOKUP(AA783,frequency!$F$6:$H$818,3,FALSE)</f>
        <v>Low</v>
      </c>
      <c r="AI783" s="129" t="str">
        <f>VLOOKUP(AA783,monetary!$B$5:$F$817,5,0)</f>
        <v>Low</v>
      </c>
      <c r="AJ783" s="99" t="str">
        <f t="shared" si="128"/>
        <v>HLL</v>
      </c>
      <c r="AK783" s="99" t="str">
        <f>VLOOKUP(AJ783,rfm[],2,0)</f>
        <v>🌱 Potential Loyalists</v>
      </c>
      <c r="AN783" s="99" t="b">
        <f t="shared" si="129"/>
        <v>0</v>
      </c>
    </row>
    <row r="784" spans="2:40" x14ac:dyDescent="0.3">
      <c r="B784" s="99" t="s">
        <v>1297</v>
      </c>
      <c r="C784" s="100">
        <v>45798</v>
      </c>
      <c r="D784" s="99" t="s">
        <v>10</v>
      </c>
      <c r="E784" s="99" t="s">
        <v>11</v>
      </c>
      <c r="F784" s="99" t="s">
        <v>12</v>
      </c>
      <c r="G784" s="99">
        <v>7</v>
      </c>
      <c r="H784" s="112">
        <v>120000</v>
      </c>
      <c r="I784" s="112">
        <v>840000</v>
      </c>
      <c r="J784" s="99" t="s">
        <v>2474</v>
      </c>
      <c r="K784" s="99" t="s">
        <v>8</v>
      </c>
      <c r="N784" s="99" t="s">
        <v>2815</v>
      </c>
      <c r="O784" s="99" t="s">
        <v>127</v>
      </c>
      <c r="P784" s="100">
        <f t="shared" si="121"/>
        <v>45994</v>
      </c>
      <c r="Q784" s="101">
        <f t="shared" si="120"/>
        <v>29</v>
      </c>
      <c r="R784" s="99">
        <f t="shared" si="122"/>
        <v>6</v>
      </c>
      <c r="S784" s="101">
        <f t="shared" si="123"/>
        <v>50400000</v>
      </c>
      <c r="T784" s="99" t="str">
        <f t="shared" si="124"/>
        <v>High</v>
      </c>
      <c r="U784" s="99" t="str">
        <f t="shared" si="125"/>
        <v>High</v>
      </c>
      <c r="V784" s="99" t="str">
        <f t="shared" si="126"/>
        <v>High</v>
      </c>
      <c r="W784" s="99" t="str">
        <f t="shared" si="127"/>
        <v>HHH</v>
      </c>
      <c r="X784" s="99" t="str">
        <f>VLOOKUP(W784,rfm[],2,FALSE)</f>
        <v>🥇 Champions</v>
      </c>
      <c r="AA784" s="99" t="s">
        <v>2815</v>
      </c>
      <c r="AB784" s="99" t="s">
        <v>127</v>
      </c>
      <c r="AC784" s="100">
        <v>45994</v>
      </c>
      <c r="AD784" s="101">
        <v>29</v>
      </c>
      <c r="AE784" s="101">
        <v>6</v>
      </c>
      <c r="AF784" s="101">
        <v>50400000</v>
      </c>
      <c r="AG784" s="99" t="str">
        <f>VLOOKUP(AA784,recency!$K$6:$P$818,6,0)</f>
        <v>High</v>
      </c>
      <c r="AH784" s="132" t="str">
        <f>VLOOKUP(AA784,frequency!$F$6:$H$818,3,FALSE)</f>
        <v>High</v>
      </c>
      <c r="AI784" s="129" t="str">
        <f>VLOOKUP(AA784,monetary!$B$5:$F$817,5,0)</f>
        <v>High</v>
      </c>
      <c r="AJ784" s="99" t="str">
        <f t="shared" si="128"/>
        <v>HHH</v>
      </c>
      <c r="AK784" s="99" t="str">
        <f>VLOOKUP(AJ784,rfm[],2,0)</f>
        <v>🥇 Champions</v>
      </c>
      <c r="AN784" s="99" t="b">
        <f t="shared" si="129"/>
        <v>1</v>
      </c>
    </row>
    <row r="785" spans="2:40" x14ac:dyDescent="0.3">
      <c r="B785" s="99" t="s">
        <v>1298</v>
      </c>
      <c r="C785" s="100">
        <v>45798</v>
      </c>
      <c r="D785" s="99" t="s">
        <v>14</v>
      </c>
      <c r="E785" s="99" t="s">
        <v>15</v>
      </c>
      <c r="F785" s="99" t="s">
        <v>16</v>
      </c>
      <c r="G785" s="99">
        <v>5</v>
      </c>
      <c r="H785" s="112">
        <v>350000</v>
      </c>
      <c r="I785" s="112">
        <v>1750000</v>
      </c>
      <c r="J785" s="99" t="s">
        <v>2442</v>
      </c>
      <c r="K785" s="99" t="s">
        <v>47</v>
      </c>
      <c r="N785" s="99" t="s">
        <v>2816</v>
      </c>
      <c r="O785" s="99" t="s">
        <v>69</v>
      </c>
      <c r="P785" s="100">
        <f t="shared" si="121"/>
        <v>45881</v>
      </c>
      <c r="Q785" s="101">
        <f t="shared" si="120"/>
        <v>142</v>
      </c>
      <c r="R785" s="99">
        <f t="shared" si="122"/>
        <v>2</v>
      </c>
      <c r="S785" s="101">
        <f t="shared" si="123"/>
        <v>6595000</v>
      </c>
      <c r="T785" s="99" t="str">
        <f t="shared" si="124"/>
        <v>Low</v>
      </c>
      <c r="U785" s="99" t="str">
        <f t="shared" si="125"/>
        <v>Low</v>
      </c>
      <c r="V785" s="99" t="str">
        <f t="shared" si="126"/>
        <v>Low</v>
      </c>
      <c r="W785" s="99" t="str">
        <f t="shared" si="127"/>
        <v>LLL</v>
      </c>
      <c r="X785" s="99" t="str">
        <f>VLOOKUP(W785,rfm[],2,FALSE)</f>
        <v>💤 Lost / Low Value</v>
      </c>
      <c r="AA785" s="99" t="s">
        <v>2816</v>
      </c>
      <c r="AB785" s="99" t="s">
        <v>69</v>
      </c>
      <c r="AC785" s="100">
        <v>45881</v>
      </c>
      <c r="AD785" s="101">
        <v>142</v>
      </c>
      <c r="AE785" s="101">
        <v>2</v>
      </c>
      <c r="AF785" s="101">
        <v>6595000</v>
      </c>
      <c r="AG785" s="99" t="str">
        <f>VLOOKUP(AA785,recency!$K$6:$P$818,6,0)</f>
        <v>Low</v>
      </c>
      <c r="AH785" s="132" t="str">
        <f>VLOOKUP(AA785,frequency!$F$6:$H$818,3,FALSE)</f>
        <v>Low</v>
      </c>
      <c r="AI785" s="129" t="str">
        <f>VLOOKUP(AA785,monetary!$B$5:$F$817,5,0)</f>
        <v>Low</v>
      </c>
      <c r="AJ785" s="99" t="str">
        <f t="shared" si="128"/>
        <v>LLL</v>
      </c>
      <c r="AK785" s="99" t="str">
        <f>VLOOKUP(AJ785,rfm[],2,0)</f>
        <v>💤 Lost / Low Value</v>
      </c>
      <c r="AN785" s="99" t="b">
        <f t="shared" si="129"/>
        <v>1</v>
      </c>
    </row>
    <row r="786" spans="2:40" x14ac:dyDescent="0.3">
      <c r="B786" s="99" t="s">
        <v>1299</v>
      </c>
      <c r="C786" s="100">
        <v>45798</v>
      </c>
      <c r="D786" s="99" t="s">
        <v>42</v>
      </c>
      <c r="E786" s="99" t="s">
        <v>43</v>
      </c>
      <c r="F786" s="99" t="s">
        <v>16</v>
      </c>
      <c r="G786" s="99">
        <v>380</v>
      </c>
      <c r="H786" s="112">
        <v>1200000</v>
      </c>
      <c r="I786" s="112">
        <v>456000000</v>
      </c>
      <c r="J786" s="99" t="s">
        <v>2739</v>
      </c>
      <c r="K786" s="99" t="s">
        <v>8</v>
      </c>
      <c r="N786" s="99" t="s">
        <v>2817</v>
      </c>
      <c r="O786" s="99" t="s">
        <v>127</v>
      </c>
      <c r="P786" s="100">
        <f t="shared" si="121"/>
        <v>45917</v>
      </c>
      <c r="Q786" s="101">
        <f t="shared" si="120"/>
        <v>106</v>
      </c>
      <c r="R786" s="99">
        <f t="shared" si="122"/>
        <v>6</v>
      </c>
      <c r="S786" s="101">
        <f t="shared" si="123"/>
        <v>52460000</v>
      </c>
      <c r="T786" s="99" t="str">
        <f t="shared" si="124"/>
        <v>Low</v>
      </c>
      <c r="U786" s="99" t="str">
        <f t="shared" si="125"/>
        <v>High</v>
      </c>
      <c r="V786" s="99" t="str">
        <f t="shared" si="126"/>
        <v>High</v>
      </c>
      <c r="W786" s="99" t="str">
        <f t="shared" si="127"/>
        <v>LHH</v>
      </c>
      <c r="X786" s="99" t="str">
        <f>VLOOKUP(W786,rfm[],2,FALSE)</f>
        <v>⚠️ At Risk High Value</v>
      </c>
      <c r="AA786" s="99" t="s">
        <v>2817</v>
      </c>
      <c r="AB786" s="99" t="s">
        <v>127</v>
      </c>
      <c r="AC786" s="100">
        <v>45917</v>
      </c>
      <c r="AD786" s="101">
        <v>106</v>
      </c>
      <c r="AE786" s="101">
        <v>6</v>
      </c>
      <c r="AF786" s="101">
        <v>52460000</v>
      </c>
      <c r="AG786" s="99" t="str">
        <f>VLOOKUP(AA786,recency!$K$6:$P$818,6,0)</f>
        <v>Low</v>
      </c>
      <c r="AH786" s="132" t="str">
        <f>VLOOKUP(AA786,frequency!$F$6:$H$818,3,FALSE)</f>
        <v>High</v>
      </c>
      <c r="AI786" s="129" t="str">
        <f>VLOOKUP(AA786,monetary!$B$5:$F$817,5,0)</f>
        <v>High</v>
      </c>
      <c r="AJ786" s="99" t="str">
        <f t="shared" si="128"/>
        <v>LHH</v>
      </c>
      <c r="AK786" s="99" t="str">
        <f>VLOOKUP(AJ786,rfm[],2,0)</f>
        <v>⚠️ At Risk High Value</v>
      </c>
      <c r="AN786" s="99" t="b">
        <f t="shared" si="129"/>
        <v>1</v>
      </c>
    </row>
    <row r="787" spans="2:40" x14ac:dyDescent="0.3">
      <c r="B787" s="99" t="s">
        <v>1300</v>
      </c>
      <c r="C787" s="100">
        <v>45798</v>
      </c>
      <c r="D787" s="99" t="s">
        <v>42</v>
      </c>
      <c r="E787" s="99" t="s">
        <v>43</v>
      </c>
      <c r="F787" s="99" t="s">
        <v>16</v>
      </c>
      <c r="G787" s="99">
        <v>9</v>
      </c>
      <c r="H787" s="112">
        <v>1200000</v>
      </c>
      <c r="I787" s="112">
        <v>10800000</v>
      </c>
      <c r="J787" s="99" t="s">
        <v>2220</v>
      </c>
      <c r="K787" s="99" t="s">
        <v>8</v>
      </c>
      <c r="N787" s="99" t="s">
        <v>2818</v>
      </c>
      <c r="O787" s="99" t="s">
        <v>127</v>
      </c>
      <c r="P787" s="100">
        <f t="shared" si="121"/>
        <v>45988</v>
      </c>
      <c r="Q787" s="101">
        <f t="shared" si="120"/>
        <v>35</v>
      </c>
      <c r="R787" s="99">
        <f t="shared" si="122"/>
        <v>5</v>
      </c>
      <c r="S787" s="101">
        <f t="shared" si="123"/>
        <v>31805000</v>
      </c>
      <c r="T787" s="99" t="str">
        <f t="shared" si="124"/>
        <v>High</v>
      </c>
      <c r="U787" s="99" t="str">
        <f t="shared" si="125"/>
        <v>High</v>
      </c>
      <c r="V787" s="99" t="str">
        <f t="shared" si="126"/>
        <v>High</v>
      </c>
      <c r="W787" s="99" t="str">
        <f t="shared" si="127"/>
        <v>HHH</v>
      </c>
      <c r="X787" s="99" t="str">
        <f>VLOOKUP(W787,rfm[],2,FALSE)</f>
        <v>🥇 Champions</v>
      </c>
      <c r="AA787" s="99" t="s">
        <v>2818</v>
      </c>
      <c r="AB787" s="99" t="s">
        <v>127</v>
      </c>
      <c r="AC787" s="100">
        <v>45988</v>
      </c>
      <c r="AD787" s="101">
        <v>35</v>
      </c>
      <c r="AE787" s="101">
        <v>5</v>
      </c>
      <c r="AF787" s="101">
        <v>31805000</v>
      </c>
      <c r="AG787" s="99" t="str">
        <f>VLOOKUP(AA787,recency!$K$6:$P$818,6,0)</f>
        <v>High</v>
      </c>
      <c r="AH787" s="132" t="str">
        <f>VLOOKUP(AA787,frequency!$F$6:$H$818,3,FALSE)</f>
        <v>High</v>
      </c>
      <c r="AI787" s="129" t="str">
        <f>VLOOKUP(AA787,monetary!$B$5:$F$817,5,0)</f>
        <v>Low</v>
      </c>
      <c r="AJ787" s="99" t="str">
        <f t="shared" si="128"/>
        <v>HHL</v>
      </c>
      <c r="AK787" s="99" t="str">
        <f>VLOOKUP(AJ787,rfm[],2,0)</f>
        <v>💎 Loyal High Value</v>
      </c>
      <c r="AN787" s="99" t="b">
        <f t="shared" si="129"/>
        <v>0</v>
      </c>
    </row>
    <row r="788" spans="2:40" x14ac:dyDescent="0.3">
      <c r="B788" s="99" t="s">
        <v>1301</v>
      </c>
      <c r="C788" s="100">
        <v>45798</v>
      </c>
      <c r="D788" s="99" t="s">
        <v>42</v>
      </c>
      <c r="E788" s="99" t="s">
        <v>43</v>
      </c>
      <c r="F788" s="99" t="s">
        <v>16</v>
      </c>
      <c r="G788" s="99">
        <v>410</v>
      </c>
      <c r="H788" s="112">
        <v>1200000</v>
      </c>
      <c r="I788" s="112">
        <v>492000000</v>
      </c>
      <c r="J788" s="99" t="s">
        <v>2847</v>
      </c>
      <c r="K788" s="99" t="s">
        <v>127</v>
      </c>
      <c r="N788" s="99" t="s">
        <v>2819</v>
      </c>
      <c r="O788" s="99" t="s">
        <v>8</v>
      </c>
      <c r="P788" s="100">
        <f t="shared" si="121"/>
        <v>45938</v>
      </c>
      <c r="Q788" s="101">
        <f t="shared" si="120"/>
        <v>85</v>
      </c>
      <c r="R788" s="99">
        <f t="shared" si="122"/>
        <v>1</v>
      </c>
      <c r="S788" s="101">
        <f t="shared" si="123"/>
        <v>6500000</v>
      </c>
      <c r="T788" s="99" t="str">
        <f t="shared" si="124"/>
        <v>High</v>
      </c>
      <c r="U788" s="99" t="str">
        <f t="shared" si="125"/>
        <v>Low</v>
      </c>
      <c r="V788" s="99" t="str">
        <f t="shared" si="126"/>
        <v>Low</v>
      </c>
      <c r="W788" s="99" t="str">
        <f t="shared" si="127"/>
        <v>HLL</v>
      </c>
      <c r="X788" s="99" t="str">
        <f>VLOOKUP(W788,rfm[],2,FALSE)</f>
        <v>🌱 Potential Loyalists</v>
      </c>
      <c r="AA788" s="99" t="s">
        <v>2819</v>
      </c>
      <c r="AB788" s="99" t="s">
        <v>8</v>
      </c>
      <c r="AC788" s="100">
        <v>45938</v>
      </c>
      <c r="AD788" s="101">
        <v>85</v>
      </c>
      <c r="AE788" s="101">
        <v>1</v>
      </c>
      <c r="AF788" s="101">
        <v>6500000</v>
      </c>
      <c r="AG788" s="99" t="str">
        <f>VLOOKUP(AA788,recency!$K$6:$P$818,6,0)</f>
        <v>Low</v>
      </c>
      <c r="AH788" s="132" t="str">
        <f>VLOOKUP(AA788,frequency!$F$6:$H$818,3,FALSE)</f>
        <v>Low</v>
      </c>
      <c r="AI788" s="129" t="str">
        <f>VLOOKUP(AA788,monetary!$B$5:$F$817,5,0)</f>
        <v>Low</v>
      </c>
      <c r="AJ788" s="99" t="str">
        <f t="shared" si="128"/>
        <v>LLL</v>
      </c>
      <c r="AK788" s="99" t="str">
        <f>VLOOKUP(AJ788,rfm[],2,0)</f>
        <v>💤 Lost / Low Value</v>
      </c>
      <c r="AN788" s="99" t="b">
        <f t="shared" si="129"/>
        <v>0</v>
      </c>
    </row>
    <row r="789" spans="2:40" x14ac:dyDescent="0.3">
      <c r="B789" s="99" t="s">
        <v>1337</v>
      </c>
      <c r="C789" s="100">
        <v>45798</v>
      </c>
      <c r="D789" s="99" t="s">
        <v>44</v>
      </c>
      <c r="E789" s="99" t="s">
        <v>45</v>
      </c>
      <c r="F789" s="99" t="s">
        <v>16</v>
      </c>
      <c r="G789" s="99">
        <v>6</v>
      </c>
      <c r="H789" s="112">
        <v>250000</v>
      </c>
      <c r="I789" s="112">
        <v>1500000</v>
      </c>
      <c r="J789" s="99" t="s">
        <v>2565</v>
      </c>
      <c r="K789" s="99" t="s">
        <v>8</v>
      </c>
      <c r="N789" s="99" t="s">
        <v>2820</v>
      </c>
      <c r="O789" s="99" t="s">
        <v>127</v>
      </c>
      <c r="P789" s="100">
        <f t="shared" si="121"/>
        <v>46015</v>
      </c>
      <c r="Q789" s="101">
        <f t="shared" si="120"/>
        <v>8</v>
      </c>
      <c r="R789" s="99">
        <f t="shared" si="122"/>
        <v>6</v>
      </c>
      <c r="S789" s="101">
        <f t="shared" si="123"/>
        <v>32765000</v>
      </c>
      <c r="T789" s="99" t="str">
        <f t="shared" si="124"/>
        <v>High</v>
      </c>
      <c r="U789" s="99" t="str">
        <f t="shared" si="125"/>
        <v>High</v>
      </c>
      <c r="V789" s="99" t="str">
        <f t="shared" si="126"/>
        <v>High</v>
      </c>
      <c r="W789" s="99" t="str">
        <f t="shared" si="127"/>
        <v>HHH</v>
      </c>
      <c r="X789" s="99" t="str">
        <f>VLOOKUP(W789,rfm[],2,FALSE)</f>
        <v>🥇 Champions</v>
      </c>
      <c r="AA789" s="99" t="s">
        <v>2820</v>
      </c>
      <c r="AB789" s="99" t="s">
        <v>127</v>
      </c>
      <c r="AC789" s="100">
        <v>46015</v>
      </c>
      <c r="AD789" s="101">
        <v>8</v>
      </c>
      <c r="AE789" s="101">
        <v>6</v>
      </c>
      <c r="AF789" s="101">
        <v>32765000</v>
      </c>
      <c r="AG789" s="99" t="str">
        <f>VLOOKUP(AA789,recency!$K$6:$P$818,6,0)</f>
        <v>High</v>
      </c>
      <c r="AH789" s="132" t="str">
        <f>VLOOKUP(AA789,frequency!$F$6:$H$818,3,FALSE)</f>
        <v>High</v>
      </c>
      <c r="AI789" s="129" t="str">
        <f>VLOOKUP(AA789,monetary!$B$5:$F$817,5,0)</f>
        <v>Low</v>
      </c>
      <c r="AJ789" s="99" t="str">
        <f t="shared" si="128"/>
        <v>HHL</v>
      </c>
      <c r="AK789" s="99" t="str">
        <f>VLOOKUP(AJ789,rfm[],2,0)</f>
        <v>💎 Loyal High Value</v>
      </c>
      <c r="AN789" s="99" t="b">
        <f t="shared" si="129"/>
        <v>0</v>
      </c>
    </row>
    <row r="790" spans="2:40" x14ac:dyDescent="0.3">
      <c r="B790" s="99" t="s">
        <v>1338</v>
      </c>
      <c r="C790" s="100">
        <v>45798</v>
      </c>
      <c r="D790" s="99" t="s">
        <v>44</v>
      </c>
      <c r="E790" s="99" t="s">
        <v>45</v>
      </c>
      <c r="F790" s="99" t="s">
        <v>16</v>
      </c>
      <c r="G790" s="99">
        <v>25</v>
      </c>
      <c r="H790" s="112">
        <v>250000</v>
      </c>
      <c r="I790" s="112">
        <v>6250000</v>
      </c>
      <c r="J790" s="99" t="s">
        <v>2095</v>
      </c>
      <c r="K790" s="99" t="s">
        <v>69</v>
      </c>
      <c r="N790" s="99" t="s">
        <v>2821</v>
      </c>
      <c r="O790" s="99" t="s">
        <v>8</v>
      </c>
      <c r="P790" s="100">
        <f t="shared" si="121"/>
        <v>45909</v>
      </c>
      <c r="Q790" s="101">
        <f t="shared" si="120"/>
        <v>114</v>
      </c>
      <c r="R790" s="99">
        <f t="shared" si="122"/>
        <v>1</v>
      </c>
      <c r="S790" s="101">
        <f t="shared" si="123"/>
        <v>16100000</v>
      </c>
      <c r="T790" s="99" t="str">
        <f t="shared" si="124"/>
        <v>Low</v>
      </c>
      <c r="U790" s="99" t="str">
        <f t="shared" si="125"/>
        <v>Low</v>
      </c>
      <c r="V790" s="99" t="str">
        <f t="shared" si="126"/>
        <v>Low</v>
      </c>
      <c r="W790" s="99" t="str">
        <f t="shared" si="127"/>
        <v>LLL</v>
      </c>
      <c r="X790" s="99" t="str">
        <f>VLOOKUP(W790,rfm[],2,FALSE)</f>
        <v>💤 Lost / Low Value</v>
      </c>
      <c r="AA790" s="99" t="s">
        <v>2821</v>
      </c>
      <c r="AB790" s="99" t="s">
        <v>8</v>
      </c>
      <c r="AC790" s="100">
        <v>45909</v>
      </c>
      <c r="AD790" s="101">
        <v>114</v>
      </c>
      <c r="AE790" s="101">
        <v>1</v>
      </c>
      <c r="AF790" s="101">
        <v>16100000</v>
      </c>
      <c r="AG790" s="99" t="str">
        <f>VLOOKUP(AA790,recency!$K$6:$P$818,6,0)</f>
        <v>Low</v>
      </c>
      <c r="AH790" s="132" t="str">
        <f>VLOOKUP(AA790,frequency!$F$6:$H$818,3,FALSE)</f>
        <v>Low</v>
      </c>
      <c r="AI790" s="129" t="str">
        <f>VLOOKUP(AA790,monetary!$B$5:$F$817,5,0)</f>
        <v>Low</v>
      </c>
      <c r="AJ790" s="99" t="str">
        <f t="shared" si="128"/>
        <v>LLL</v>
      </c>
      <c r="AK790" s="99" t="str">
        <f>VLOOKUP(AJ790,rfm[],2,0)</f>
        <v>💤 Lost / Low Value</v>
      </c>
      <c r="AN790" s="99" t="b">
        <f t="shared" si="129"/>
        <v>1</v>
      </c>
    </row>
    <row r="791" spans="2:40" x14ac:dyDescent="0.3">
      <c r="B791" s="99" t="s">
        <v>1339</v>
      </c>
      <c r="C791" s="100">
        <v>45798</v>
      </c>
      <c r="D791" s="99" t="s">
        <v>42</v>
      </c>
      <c r="E791" s="99" t="s">
        <v>43</v>
      </c>
      <c r="F791" s="99" t="s">
        <v>16</v>
      </c>
      <c r="G791" s="99">
        <v>17</v>
      </c>
      <c r="H791" s="112">
        <v>1200000</v>
      </c>
      <c r="I791" s="112">
        <v>20400000</v>
      </c>
      <c r="J791" s="99" t="s">
        <v>2170</v>
      </c>
      <c r="K791" s="99" t="s">
        <v>127</v>
      </c>
      <c r="N791" s="99" t="s">
        <v>2822</v>
      </c>
      <c r="O791" s="99" t="s">
        <v>47</v>
      </c>
      <c r="P791" s="100">
        <f t="shared" si="121"/>
        <v>45922</v>
      </c>
      <c r="Q791" s="101">
        <f t="shared" si="120"/>
        <v>101</v>
      </c>
      <c r="R791" s="99">
        <f t="shared" si="122"/>
        <v>1</v>
      </c>
      <c r="S791" s="101">
        <f t="shared" si="123"/>
        <v>8200000</v>
      </c>
      <c r="T791" s="99" t="str">
        <f t="shared" si="124"/>
        <v>Low</v>
      </c>
      <c r="U791" s="99" t="str">
        <f t="shared" si="125"/>
        <v>Low</v>
      </c>
      <c r="V791" s="99" t="str">
        <f t="shared" si="126"/>
        <v>Low</v>
      </c>
      <c r="W791" s="99" t="str">
        <f t="shared" si="127"/>
        <v>LLL</v>
      </c>
      <c r="X791" s="99" t="str">
        <f>VLOOKUP(W791,rfm[],2,FALSE)</f>
        <v>💤 Lost / Low Value</v>
      </c>
      <c r="AA791" s="99" t="s">
        <v>2822</v>
      </c>
      <c r="AB791" s="99" t="s">
        <v>47</v>
      </c>
      <c r="AC791" s="100">
        <v>45922</v>
      </c>
      <c r="AD791" s="101">
        <v>101</v>
      </c>
      <c r="AE791" s="101">
        <v>1</v>
      </c>
      <c r="AF791" s="101">
        <v>8200000</v>
      </c>
      <c r="AG791" s="99" t="str">
        <f>VLOOKUP(AA791,recency!$K$6:$P$818,6,0)</f>
        <v>Low</v>
      </c>
      <c r="AH791" s="132" t="str">
        <f>VLOOKUP(AA791,frequency!$F$6:$H$818,3,FALSE)</f>
        <v>Low</v>
      </c>
      <c r="AI791" s="129" t="str">
        <f>VLOOKUP(AA791,monetary!$B$5:$F$817,5,0)</f>
        <v>Low</v>
      </c>
      <c r="AJ791" s="99" t="str">
        <f t="shared" si="128"/>
        <v>LLL</v>
      </c>
      <c r="AK791" s="99" t="str">
        <f>VLOOKUP(AJ791,rfm[],2,0)</f>
        <v>💤 Lost / Low Value</v>
      </c>
      <c r="AN791" s="99" t="b">
        <f t="shared" si="129"/>
        <v>1</v>
      </c>
    </row>
    <row r="792" spans="2:40" x14ac:dyDescent="0.3">
      <c r="B792" s="99" t="s">
        <v>1340</v>
      </c>
      <c r="C792" s="100">
        <v>45798</v>
      </c>
      <c r="D792" s="99" t="s">
        <v>28</v>
      </c>
      <c r="E792" s="99" t="s">
        <v>29</v>
      </c>
      <c r="F792" s="99" t="s">
        <v>20</v>
      </c>
      <c r="G792" s="99">
        <v>17</v>
      </c>
      <c r="H792" s="112">
        <v>450000</v>
      </c>
      <c r="I792" s="112">
        <v>7650000</v>
      </c>
      <c r="J792" s="99" t="s">
        <v>2607</v>
      </c>
      <c r="K792" s="99" t="s">
        <v>47</v>
      </c>
      <c r="N792" s="99" t="s">
        <v>2823</v>
      </c>
      <c r="O792" s="99" t="s">
        <v>69</v>
      </c>
      <c r="P792" s="100">
        <f t="shared" si="121"/>
        <v>46022</v>
      </c>
      <c r="Q792" s="101">
        <f t="shared" si="120"/>
        <v>1</v>
      </c>
      <c r="R792" s="99">
        <f t="shared" si="122"/>
        <v>4</v>
      </c>
      <c r="S792" s="101">
        <f t="shared" si="123"/>
        <v>33050000</v>
      </c>
      <c r="T792" s="99" t="str">
        <f t="shared" si="124"/>
        <v>High</v>
      </c>
      <c r="U792" s="99" t="str">
        <f t="shared" si="125"/>
        <v>High</v>
      </c>
      <c r="V792" s="99" t="str">
        <f t="shared" si="126"/>
        <v>High</v>
      </c>
      <c r="W792" s="99" t="str">
        <f t="shared" si="127"/>
        <v>HHH</v>
      </c>
      <c r="X792" s="99" t="str">
        <f>VLOOKUP(W792,rfm[],2,FALSE)</f>
        <v>🥇 Champions</v>
      </c>
      <c r="AA792" s="99" t="s">
        <v>2823</v>
      </c>
      <c r="AB792" s="99" t="s">
        <v>69</v>
      </c>
      <c r="AC792" s="100">
        <v>46022</v>
      </c>
      <c r="AD792" s="101">
        <v>1</v>
      </c>
      <c r="AE792" s="101">
        <v>4</v>
      </c>
      <c r="AF792" s="101">
        <v>33050000</v>
      </c>
      <c r="AG792" s="99" t="str">
        <f>VLOOKUP(AA792,recency!$K$6:$P$818,6,0)</f>
        <v>High</v>
      </c>
      <c r="AH792" s="132" t="str">
        <f>VLOOKUP(AA792,frequency!$F$6:$H$818,3,FALSE)</f>
        <v>High</v>
      </c>
      <c r="AI792" s="129" t="str">
        <f>VLOOKUP(AA792,monetary!$B$5:$F$817,5,0)</f>
        <v>Low</v>
      </c>
      <c r="AJ792" s="99" t="str">
        <f t="shared" si="128"/>
        <v>HHL</v>
      </c>
      <c r="AK792" s="99" t="str">
        <f>VLOOKUP(AJ792,rfm[],2,0)</f>
        <v>💎 Loyal High Value</v>
      </c>
      <c r="AN792" s="99" t="b">
        <f t="shared" si="129"/>
        <v>0</v>
      </c>
    </row>
    <row r="793" spans="2:40" x14ac:dyDescent="0.3">
      <c r="B793" s="99" t="s">
        <v>1369</v>
      </c>
      <c r="C793" s="100">
        <v>45798</v>
      </c>
      <c r="D793" s="99" t="s">
        <v>40</v>
      </c>
      <c r="E793" s="99" t="s">
        <v>41</v>
      </c>
      <c r="F793" s="99" t="s">
        <v>16</v>
      </c>
      <c r="G793" s="99">
        <v>38</v>
      </c>
      <c r="H793" s="112">
        <v>950000</v>
      </c>
      <c r="I793" s="112">
        <v>36100000</v>
      </c>
      <c r="J793" s="99" t="s">
        <v>2211</v>
      </c>
      <c r="K793" s="99" t="s">
        <v>69</v>
      </c>
      <c r="N793" s="99" t="s">
        <v>2824</v>
      </c>
      <c r="O793" s="99" t="s">
        <v>127</v>
      </c>
      <c r="P793" s="100">
        <f t="shared" si="121"/>
        <v>45992</v>
      </c>
      <c r="Q793" s="101">
        <f t="shared" si="120"/>
        <v>31</v>
      </c>
      <c r="R793" s="99">
        <f t="shared" si="122"/>
        <v>7</v>
      </c>
      <c r="S793" s="101">
        <f t="shared" si="123"/>
        <v>412000000</v>
      </c>
      <c r="T793" s="99" t="str">
        <f t="shared" si="124"/>
        <v>High</v>
      </c>
      <c r="U793" s="99" t="str">
        <f t="shared" si="125"/>
        <v>High</v>
      </c>
      <c r="V793" s="99" t="str">
        <f t="shared" si="126"/>
        <v>High</v>
      </c>
      <c r="W793" s="99" t="str">
        <f t="shared" si="127"/>
        <v>HHH</v>
      </c>
      <c r="X793" s="99" t="str">
        <f>VLOOKUP(W793,rfm[],2,FALSE)</f>
        <v>🥇 Champions</v>
      </c>
      <c r="AA793" s="99" t="s">
        <v>2824</v>
      </c>
      <c r="AB793" s="99" t="s">
        <v>127</v>
      </c>
      <c r="AC793" s="100">
        <v>45992</v>
      </c>
      <c r="AD793" s="101">
        <v>31</v>
      </c>
      <c r="AE793" s="101">
        <v>7</v>
      </c>
      <c r="AF793" s="101">
        <v>412000000</v>
      </c>
      <c r="AG793" s="99" t="str">
        <f>VLOOKUP(AA793,recency!$K$6:$P$818,6,0)</f>
        <v>High</v>
      </c>
      <c r="AH793" s="132" t="str">
        <f>VLOOKUP(AA793,frequency!$F$6:$H$818,3,FALSE)</f>
        <v>High</v>
      </c>
      <c r="AI793" s="129" t="str">
        <f>VLOOKUP(AA793,monetary!$B$5:$F$817,5,0)</f>
        <v>High</v>
      </c>
      <c r="AJ793" s="99" t="str">
        <f t="shared" si="128"/>
        <v>HHH</v>
      </c>
      <c r="AK793" s="99" t="str">
        <f>VLOOKUP(AJ793,rfm[],2,0)</f>
        <v>🥇 Champions</v>
      </c>
      <c r="AN793" s="99" t="b">
        <f t="shared" si="129"/>
        <v>1</v>
      </c>
    </row>
    <row r="794" spans="2:40" x14ac:dyDescent="0.3">
      <c r="B794" s="99" t="s">
        <v>1370</v>
      </c>
      <c r="C794" s="100">
        <v>45799</v>
      </c>
      <c r="D794" s="99" t="s">
        <v>28</v>
      </c>
      <c r="E794" s="99" t="s">
        <v>29</v>
      </c>
      <c r="F794" s="99" t="s">
        <v>20</v>
      </c>
      <c r="G794" s="99">
        <v>8</v>
      </c>
      <c r="H794" s="112">
        <v>450000</v>
      </c>
      <c r="I794" s="112">
        <v>3600000</v>
      </c>
      <c r="J794" s="99" t="s">
        <v>2472</v>
      </c>
      <c r="K794" s="99" t="s">
        <v>69</v>
      </c>
      <c r="N794" s="99" t="s">
        <v>2825</v>
      </c>
      <c r="O794" s="99" t="s">
        <v>127</v>
      </c>
      <c r="P794" s="100">
        <f t="shared" si="121"/>
        <v>45995</v>
      </c>
      <c r="Q794" s="101">
        <f t="shared" si="120"/>
        <v>28</v>
      </c>
      <c r="R794" s="99">
        <f t="shared" si="122"/>
        <v>4</v>
      </c>
      <c r="S794" s="101">
        <f t="shared" si="123"/>
        <v>42910000</v>
      </c>
      <c r="T794" s="99" t="str">
        <f t="shared" si="124"/>
        <v>High</v>
      </c>
      <c r="U794" s="99" t="str">
        <f t="shared" si="125"/>
        <v>High</v>
      </c>
      <c r="V794" s="99" t="str">
        <f t="shared" si="126"/>
        <v>High</v>
      </c>
      <c r="W794" s="99" t="str">
        <f t="shared" si="127"/>
        <v>HHH</v>
      </c>
      <c r="X794" s="99" t="str">
        <f>VLOOKUP(W794,rfm[],2,FALSE)</f>
        <v>🥇 Champions</v>
      </c>
      <c r="AA794" s="99" t="s">
        <v>2825</v>
      </c>
      <c r="AB794" s="99" t="s">
        <v>127</v>
      </c>
      <c r="AC794" s="100">
        <v>45995</v>
      </c>
      <c r="AD794" s="101">
        <v>28</v>
      </c>
      <c r="AE794" s="101">
        <v>4</v>
      </c>
      <c r="AF794" s="101">
        <v>42910000</v>
      </c>
      <c r="AG794" s="99" t="str">
        <f>VLOOKUP(AA794,recency!$K$6:$P$818,6,0)</f>
        <v>High</v>
      </c>
      <c r="AH794" s="132" t="str">
        <f>VLOOKUP(AA794,frequency!$F$6:$H$818,3,FALSE)</f>
        <v>High</v>
      </c>
      <c r="AI794" s="129" t="str">
        <f>VLOOKUP(AA794,monetary!$B$5:$F$817,5,0)</f>
        <v>Low</v>
      </c>
      <c r="AJ794" s="99" t="str">
        <f t="shared" si="128"/>
        <v>HHL</v>
      </c>
      <c r="AK794" s="99" t="str">
        <f>VLOOKUP(AJ794,rfm[],2,0)</f>
        <v>💎 Loyal High Value</v>
      </c>
      <c r="AN794" s="99" t="b">
        <f t="shared" si="129"/>
        <v>0</v>
      </c>
    </row>
    <row r="795" spans="2:40" x14ac:dyDescent="0.3">
      <c r="B795" s="99" t="s">
        <v>1371</v>
      </c>
      <c r="C795" s="100">
        <v>45799</v>
      </c>
      <c r="D795" s="99" t="s">
        <v>38</v>
      </c>
      <c r="E795" s="99" t="s">
        <v>39</v>
      </c>
      <c r="F795" s="99" t="s">
        <v>16</v>
      </c>
      <c r="G795" s="99">
        <v>7</v>
      </c>
      <c r="H795" s="112">
        <v>200000</v>
      </c>
      <c r="I795" s="112">
        <v>1400000</v>
      </c>
      <c r="J795" s="99" t="s">
        <v>1939</v>
      </c>
      <c r="K795" s="99" t="s">
        <v>8</v>
      </c>
      <c r="N795" s="99" t="s">
        <v>2826</v>
      </c>
      <c r="O795" s="99" t="s">
        <v>60</v>
      </c>
      <c r="P795" s="100">
        <f t="shared" si="121"/>
        <v>45750</v>
      </c>
      <c r="Q795" s="101">
        <f t="shared" si="120"/>
        <v>273</v>
      </c>
      <c r="R795" s="99">
        <f t="shared" si="122"/>
        <v>1</v>
      </c>
      <c r="S795" s="101">
        <f t="shared" si="123"/>
        <v>5000000</v>
      </c>
      <c r="T795" s="99" t="str">
        <f t="shared" si="124"/>
        <v>Low</v>
      </c>
      <c r="U795" s="99" t="str">
        <f t="shared" si="125"/>
        <v>Low</v>
      </c>
      <c r="V795" s="99" t="str">
        <f t="shared" si="126"/>
        <v>Low</v>
      </c>
      <c r="W795" s="99" t="str">
        <f t="shared" si="127"/>
        <v>LLL</v>
      </c>
      <c r="X795" s="99" t="str">
        <f>VLOOKUP(W795,rfm[],2,FALSE)</f>
        <v>💤 Lost / Low Value</v>
      </c>
      <c r="AA795" s="99" t="s">
        <v>2826</v>
      </c>
      <c r="AB795" s="99" t="s">
        <v>60</v>
      </c>
      <c r="AC795" s="100">
        <v>45750</v>
      </c>
      <c r="AD795" s="101">
        <v>273</v>
      </c>
      <c r="AE795" s="101">
        <v>1</v>
      </c>
      <c r="AF795" s="101">
        <v>5000000</v>
      </c>
      <c r="AG795" s="99" t="str">
        <f>VLOOKUP(AA795,recency!$K$6:$P$818,6,0)</f>
        <v>Low</v>
      </c>
      <c r="AH795" s="132" t="str">
        <f>VLOOKUP(AA795,frequency!$F$6:$H$818,3,FALSE)</f>
        <v>Low</v>
      </c>
      <c r="AI795" s="129" t="str">
        <f>VLOOKUP(AA795,monetary!$B$5:$F$817,5,0)</f>
        <v>Low</v>
      </c>
      <c r="AJ795" s="99" t="str">
        <f t="shared" si="128"/>
        <v>LLL</v>
      </c>
      <c r="AK795" s="99" t="str">
        <f>VLOOKUP(AJ795,rfm[],2,0)</f>
        <v>💤 Lost / Low Value</v>
      </c>
      <c r="AN795" s="99" t="b">
        <f t="shared" si="129"/>
        <v>1</v>
      </c>
    </row>
    <row r="796" spans="2:40" x14ac:dyDescent="0.3">
      <c r="B796" s="99" t="s">
        <v>1372</v>
      </c>
      <c r="C796" s="100">
        <v>45799</v>
      </c>
      <c r="D796" s="99" t="s">
        <v>44</v>
      </c>
      <c r="E796" s="99" t="s">
        <v>45</v>
      </c>
      <c r="F796" s="99" t="s">
        <v>16</v>
      </c>
      <c r="G796" s="99">
        <v>26</v>
      </c>
      <c r="H796" s="112">
        <v>250000</v>
      </c>
      <c r="I796" s="112">
        <v>6500000</v>
      </c>
      <c r="J796" s="99" t="s">
        <v>2396</v>
      </c>
      <c r="K796" s="99" t="s">
        <v>127</v>
      </c>
      <c r="N796" s="99" t="s">
        <v>2827</v>
      </c>
      <c r="O796" s="99" t="s">
        <v>60</v>
      </c>
      <c r="P796" s="100">
        <f t="shared" si="121"/>
        <v>45842</v>
      </c>
      <c r="Q796" s="101">
        <f t="shared" si="120"/>
        <v>181</v>
      </c>
      <c r="R796" s="99">
        <f t="shared" si="122"/>
        <v>2</v>
      </c>
      <c r="S796" s="101">
        <f t="shared" si="123"/>
        <v>37200000</v>
      </c>
      <c r="T796" s="99" t="str">
        <f t="shared" si="124"/>
        <v>Low</v>
      </c>
      <c r="U796" s="99" t="str">
        <f t="shared" si="125"/>
        <v>Low</v>
      </c>
      <c r="V796" s="99" t="str">
        <f t="shared" si="126"/>
        <v>High</v>
      </c>
      <c r="W796" s="99" t="str">
        <f t="shared" si="127"/>
        <v>LLH</v>
      </c>
      <c r="X796" s="99" t="str">
        <f>VLOOKUP(W796,rfm[],2,FALSE)</f>
        <v>💸 Lost High Spenders</v>
      </c>
      <c r="AA796" s="99" t="s">
        <v>2827</v>
      </c>
      <c r="AB796" s="99" t="s">
        <v>60</v>
      </c>
      <c r="AC796" s="100">
        <v>45842</v>
      </c>
      <c r="AD796" s="101">
        <v>181</v>
      </c>
      <c r="AE796" s="101">
        <v>2</v>
      </c>
      <c r="AF796" s="101">
        <v>37200000</v>
      </c>
      <c r="AG796" s="99" t="str">
        <f>VLOOKUP(AA796,recency!$K$6:$P$818,6,0)</f>
        <v>Low</v>
      </c>
      <c r="AH796" s="132" t="str">
        <f>VLOOKUP(AA796,frequency!$F$6:$H$818,3,FALSE)</f>
        <v>Low</v>
      </c>
      <c r="AI796" s="129" t="str">
        <f>VLOOKUP(AA796,monetary!$B$5:$F$817,5,0)</f>
        <v>Low</v>
      </c>
      <c r="AJ796" s="99" t="str">
        <f t="shared" si="128"/>
        <v>LLL</v>
      </c>
      <c r="AK796" s="99" t="str">
        <f>VLOOKUP(AJ796,rfm[],2,0)</f>
        <v>💤 Lost / Low Value</v>
      </c>
      <c r="AN796" s="99" t="b">
        <f t="shared" si="129"/>
        <v>0</v>
      </c>
    </row>
    <row r="797" spans="2:40" x14ac:dyDescent="0.3">
      <c r="B797" s="99" t="s">
        <v>1373</v>
      </c>
      <c r="C797" s="100">
        <v>45799</v>
      </c>
      <c r="D797" s="99" t="s">
        <v>10</v>
      </c>
      <c r="E797" s="99" t="s">
        <v>11</v>
      </c>
      <c r="F797" s="99" t="s">
        <v>12</v>
      </c>
      <c r="G797" s="99">
        <v>26</v>
      </c>
      <c r="H797" s="112">
        <v>120000</v>
      </c>
      <c r="I797" s="112">
        <v>3120000</v>
      </c>
      <c r="J797" s="99" t="s">
        <v>2685</v>
      </c>
      <c r="K797" s="99" t="s">
        <v>69</v>
      </c>
      <c r="N797" s="99" t="s">
        <v>2828</v>
      </c>
      <c r="O797" s="99" t="s">
        <v>127</v>
      </c>
      <c r="P797" s="100">
        <f t="shared" si="121"/>
        <v>46013</v>
      </c>
      <c r="Q797" s="101">
        <f t="shared" si="120"/>
        <v>10</v>
      </c>
      <c r="R797" s="99">
        <f t="shared" si="122"/>
        <v>3</v>
      </c>
      <c r="S797" s="101">
        <f t="shared" si="123"/>
        <v>60150000</v>
      </c>
      <c r="T797" s="99" t="str">
        <f t="shared" si="124"/>
        <v>High</v>
      </c>
      <c r="U797" s="99" t="str">
        <f t="shared" si="125"/>
        <v>High</v>
      </c>
      <c r="V797" s="99" t="str">
        <f t="shared" si="126"/>
        <v>High</v>
      </c>
      <c r="W797" s="99" t="str">
        <f t="shared" si="127"/>
        <v>HHH</v>
      </c>
      <c r="X797" s="99" t="str">
        <f>VLOOKUP(W797,rfm[],2,FALSE)</f>
        <v>🥇 Champions</v>
      </c>
      <c r="AA797" s="99" t="s">
        <v>2828</v>
      </c>
      <c r="AB797" s="99" t="s">
        <v>127</v>
      </c>
      <c r="AC797" s="100">
        <v>46013</v>
      </c>
      <c r="AD797" s="101">
        <v>10</v>
      </c>
      <c r="AE797" s="101">
        <v>3</v>
      </c>
      <c r="AF797" s="101">
        <v>60150000</v>
      </c>
      <c r="AG797" s="99" t="str">
        <f>VLOOKUP(AA797,recency!$K$6:$P$818,6,0)</f>
        <v>High</v>
      </c>
      <c r="AH797" s="132" t="str">
        <f>VLOOKUP(AA797,frequency!$F$6:$H$818,3,FALSE)</f>
        <v>High</v>
      </c>
      <c r="AI797" s="129" t="str">
        <f>VLOOKUP(AA797,monetary!$B$5:$F$817,5,0)</f>
        <v>High</v>
      </c>
      <c r="AJ797" s="99" t="str">
        <f t="shared" si="128"/>
        <v>HHH</v>
      </c>
      <c r="AK797" s="99" t="str">
        <f>VLOOKUP(AJ797,rfm[],2,0)</f>
        <v>🥇 Champions</v>
      </c>
      <c r="AN797" s="99" t="b">
        <f t="shared" si="129"/>
        <v>1</v>
      </c>
    </row>
    <row r="798" spans="2:40" x14ac:dyDescent="0.3">
      <c r="B798" s="99" t="s">
        <v>1374</v>
      </c>
      <c r="C798" s="100">
        <v>45799</v>
      </c>
      <c r="D798" s="99" t="s">
        <v>22</v>
      </c>
      <c r="E798" s="99" t="s">
        <v>23</v>
      </c>
      <c r="F798" s="99" t="s">
        <v>12</v>
      </c>
      <c r="G798" s="99">
        <v>10</v>
      </c>
      <c r="H798" s="112">
        <v>25000</v>
      </c>
      <c r="I798" s="112">
        <v>250000</v>
      </c>
      <c r="J798" s="99" t="s">
        <v>2414</v>
      </c>
      <c r="K798" s="99" t="s">
        <v>8</v>
      </c>
      <c r="N798" s="99" t="s">
        <v>2829</v>
      </c>
      <c r="O798" s="99" t="s">
        <v>69</v>
      </c>
      <c r="P798" s="100">
        <f t="shared" si="121"/>
        <v>46016</v>
      </c>
      <c r="Q798" s="101">
        <f t="shared" si="120"/>
        <v>7</v>
      </c>
      <c r="R798" s="99">
        <f t="shared" si="122"/>
        <v>3</v>
      </c>
      <c r="S798" s="101">
        <f t="shared" si="123"/>
        <v>10260000</v>
      </c>
      <c r="T798" s="99" t="str">
        <f t="shared" si="124"/>
        <v>High</v>
      </c>
      <c r="U798" s="99" t="str">
        <f t="shared" si="125"/>
        <v>High</v>
      </c>
      <c r="V798" s="99" t="str">
        <f t="shared" si="126"/>
        <v>Low</v>
      </c>
      <c r="W798" s="99" t="str">
        <f t="shared" si="127"/>
        <v>HHL</v>
      </c>
      <c r="X798" s="99" t="str">
        <f>VLOOKUP(W798,rfm[],2,FALSE)</f>
        <v>💎 Loyal High Value</v>
      </c>
      <c r="AA798" s="99" t="s">
        <v>2829</v>
      </c>
      <c r="AB798" s="99" t="s">
        <v>69</v>
      </c>
      <c r="AC798" s="100">
        <v>46016</v>
      </c>
      <c r="AD798" s="101">
        <v>7</v>
      </c>
      <c r="AE798" s="101">
        <v>3</v>
      </c>
      <c r="AF798" s="101">
        <v>10260000</v>
      </c>
      <c r="AG798" s="99" t="str">
        <f>VLOOKUP(AA798,recency!$K$6:$P$818,6,0)</f>
        <v>High</v>
      </c>
      <c r="AH798" s="132" t="str">
        <f>VLOOKUP(AA798,frequency!$F$6:$H$818,3,FALSE)</f>
        <v>High</v>
      </c>
      <c r="AI798" s="129" t="str">
        <f>VLOOKUP(AA798,monetary!$B$5:$F$817,5,0)</f>
        <v>Low</v>
      </c>
      <c r="AJ798" s="99" t="str">
        <f t="shared" si="128"/>
        <v>HHL</v>
      </c>
      <c r="AK798" s="99" t="str">
        <f>VLOOKUP(AJ798,rfm[],2,0)</f>
        <v>💎 Loyal High Value</v>
      </c>
      <c r="AN798" s="99" t="b">
        <f t="shared" si="129"/>
        <v>1</v>
      </c>
    </row>
    <row r="799" spans="2:40" x14ac:dyDescent="0.3">
      <c r="B799" s="99" t="s">
        <v>1375</v>
      </c>
      <c r="C799" s="100">
        <v>45799</v>
      </c>
      <c r="D799" s="99" t="s">
        <v>38</v>
      </c>
      <c r="E799" s="99" t="s">
        <v>39</v>
      </c>
      <c r="F799" s="99" t="s">
        <v>16</v>
      </c>
      <c r="G799" s="99">
        <v>6</v>
      </c>
      <c r="H799" s="112">
        <v>200000</v>
      </c>
      <c r="I799" s="112">
        <v>1200000</v>
      </c>
      <c r="J799" s="99" t="s">
        <v>2526</v>
      </c>
      <c r="K799" s="99" t="s">
        <v>127</v>
      </c>
      <c r="N799" s="99" t="s">
        <v>2830</v>
      </c>
      <c r="O799" s="99" t="s">
        <v>69</v>
      </c>
      <c r="P799" s="100">
        <f t="shared" si="121"/>
        <v>45954</v>
      </c>
      <c r="Q799" s="101">
        <f t="shared" si="120"/>
        <v>69</v>
      </c>
      <c r="R799" s="99">
        <f t="shared" si="122"/>
        <v>4</v>
      </c>
      <c r="S799" s="101">
        <f t="shared" si="123"/>
        <v>1161100000</v>
      </c>
      <c r="T799" s="99" t="str">
        <f t="shared" si="124"/>
        <v>High</v>
      </c>
      <c r="U799" s="99" t="str">
        <f t="shared" si="125"/>
        <v>High</v>
      </c>
      <c r="V799" s="99" t="str">
        <f t="shared" si="126"/>
        <v>High</v>
      </c>
      <c r="W799" s="99" t="str">
        <f t="shared" si="127"/>
        <v>HHH</v>
      </c>
      <c r="X799" s="99" t="str">
        <f>VLOOKUP(W799,rfm[],2,FALSE)</f>
        <v>🥇 Champions</v>
      </c>
      <c r="AA799" s="99" t="s">
        <v>2830</v>
      </c>
      <c r="AB799" s="99" t="s">
        <v>69</v>
      </c>
      <c r="AC799" s="100">
        <v>45954</v>
      </c>
      <c r="AD799" s="101">
        <v>69</v>
      </c>
      <c r="AE799" s="101">
        <v>4</v>
      </c>
      <c r="AF799" s="101">
        <v>1161100000</v>
      </c>
      <c r="AG799" s="99" t="str">
        <f>VLOOKUP(AA799,recency!$K$6:$P$818,6,0)</f>
        <v>Low</v>
      </c>
      <c r="AH799" s="132" t="str">
        <f>VLOOKUP(AA799,frequency!$F$6:$H$818,3,FALSE)</f>
        <v>High</v>
      </c>
      <c r="AI799" s="129" t="str">
        <f>VLOOKUP(AA799,monetary!$B$5:$F$817,5,0)</f>
        <v>High</v>
      </c>
      <c r="AJ799" s="99" t="str">
        <f t="shared" si="128"/>
        <v>LHH</v>
      </c>
      <c r="AK799" s="99" t="str">
        <f>VLOOKUP(AJ799,rfm[],2,0)</f>
        <v>⚠️ At Risk High Value</v>
      </c>
      <c r="AN799" s="99" t="b">
        <f t="shared" si="129"/>
        <v>0</v>
      </c>
    </row>
    <row r="800" spans="2:40" x14ac:dyDescent="0.3">
      <c r="B800" s="99" t="s">
        <v>1376</v>
      </c>
      <c r="C800" s="100">
        <v>45799</v>
      </c>
      <c r="D800" s="99" t="s">
        <v>44</v>
      </c>
      <c r="E800" s="99" t="s">
        <v>45</v>
      </c>
      <c r="F800" s="99" t="s">
        <v>16</v>
      </c>
      <c r="G800" s="99">
        <v>32</v>
      </c>
      <c r="H800" s="112">
        <v>250000</v>
      </c>
      <c r="I800" s="112">
        <v>8000000</v>
      </c>
      <c r="J800" s="99" t="s">
        <v>2801</v>
      </c>
      <c r="K800" s="99" t="s">
        <v>60</v>
      </c>
      <c r="N800" s="99" t="s">
        <v>2831</v>
      </c>
      <c r="O800" s="99" t="s">
        <v>8</v>
      </c>
      <c r="P800" s="100">
        <f t="shared" si="121"/>
        <v>45827</v>
      </c>
      <c r="Q800" s="101">
        <f t="shared" si="120"/>
        <v>196</v>
      </c>
      <c r="R800" s="99">
        <f t="shared" si="122"/>
        <v>4</v>
      </c>
      <c r="S800" s="101">
        <f t="shared" si="123"/>
        <v>15585000</v>
      </c>
      <c r="T800" s="99" t="str">
        <f t="shared" si="124"/>
        <v>Low</v>
      </c>
      <c r="U800" s="99" t="str">
        <f t="shared" si="125"/>
        <v>High</v>
      </c>
      <c r="V800" s="99" t="str">
        <f t="shared" si="126"/>
        <v>Low</v>
      </c>
      <c r="W800" s="99" t="str">
        <f t="shared" si="127"/>
        <v>LHL</v>
      </c>
      <c r="X800" s="99" t="str">
        <f>VLOOKUP(W800,rfm[],2,FALSE)</f>
        <v>🔁 Former Loyal Low Spend</v>
      </c>
      <c r="AA800" s="99" t="s">
        <v>2831</v>
      </c>
      <c r="AB800" s="99" t="s">
        <v>8</v>
      </c>
      <c r="AC800" s="100">
        <v>45827</v>
      </c>
      <c r="AD800" s="101">
        <v>196</v>
      </c>
      <c r="AE800" s="101">
        <v>4</v>
      </c>
      <c r="AF800" s="101">
        <v>15585000</v>
      </c>
      <c r="AG800" s="99" t="str">
        <f>VLOOKUP(AA800,recency!$K$6:$P$818,6,0)</f>
        <v>Low</v>
      </c>
      <c r="AH800" s="132" t="str">
        <f>VLOOKUP(AA800,frequency!$F$6:$H$818,3,FALSE)</f>
        <v>High</v>
      </c>
      <c r="AI800" s="129" t="str">
        <f>VLOOKUP(AA800,monetary!$B$5:$F$817,5,0)</f>
        <v>Low</v>
      </c>
      <c r="AJ800" s="99" t="str">
        <f t="shared" si="128"/>
        <v>LHL</v>
      </c>
      <c r="AK800" s="99" t="str">
        <f>VLOOKUP(AJ800,rfm[],2,0)</f>
        <v>🔁 Former Loyal Low Spend</v>
      </c>
      <c r="AN800" s="99" t="b">
        <f t="shared" si="129"/>
        <v>1</v>
      </c>
    </row>
    <row r="801" spans="2:40" x14ac:dyDescent="0.3">
      <c r="B801" s="99" t="s">
        <v>1377</v>
      </c>
      <c r="C801" s="100">
        <v>45799</v>
      </c>
      <c r="D801" s="99" t="s">
        <v>14</v>
      </c>
      <c r="E801" s="99" t="s">
        <v>15</v>
      </c>
      <c r="F801" s="99" t="s">
        <v>16</v>
      </c>
      <c r="G801" s="99">
        <v>18</v>
      </c>
      <c r="H801" s="112">
        <v>350000</v>
      </c>
      <c r="I801" s="112">
        <v>6300000</v>
      </c>
      <c r="J801" s="99" t="s">
        <v>2421</v>
      </c>
      <c r="K801" s="99" t="s">
        <v>69</v>
      </c>
      <c r="N801" s="99" t="s">
        <v>2832</v>
      </c>
      <c r="O801" s="99" t="s">
        <v>69</v>
      </c>
      <c r="P801" s="100">
        <f t="shared" si="121"/>
        <v>45799</v>
      </c>
      <c r="Q801" s="101">
        <f t="shared" si="120"/>
        <v>224</v>
      </c>
      <c r="R801" s="99">
        <f t="shared" si="122"/>
        <v>2</v>
      </c>
      <c r="S801" s="101">
        <f t="shared" si="123"/>
        <v>15600000</v>
      </c>
      <c r="T801" s="99" t="str">
        <f t="shared" si="124"/>
        <v>Low</v>
      </c>
      <c r="U801" s="99" t="str">
        <f t="shared" si="125"/>
        <v>Low</v>
      </c>
      <c r="V801" s="99" t="str">
        <f t="shared" si="126"/>
        <v>Low</v>
      </c>
      <c r="W801" s="99" t="str">
        <f t="shared" si="127"/>
        <v>LLL</v>
      </c>
      <c r="X801" s="99" t="str">
        <f>VLOOKUP(W801,rfm[],2,FALSE)</f>
        <v>💤 Lost / Low Value</v>
      </c>
      <c r="AA801" s="99" t="s">
        <v>2832</v>
      </c>
      <c r="AB801" s="99" t="s">
        <v>69</v>
      </c>
      <c r="AC801" s="100">
        <v>45799</v>
      </c>
      <c r="AD801" s="101">
        <v>224</v>
      </c>
      <c r="AE801" s="101">
        <v>2</v>
      </c>
      <c r="AF801" s="101">
        <v>15600000</v>
      </c>
      <c r="AG801" s="99" t="str">
        <f>VLOOKUP(AA801,recency!$K$6:$P$818,6,0)</f>
        <v>Low</v>
      </c>
      <c r="AH801" s="132" t="str">
        <f>VLOOKUP(AA801,frequency!$F$6:$H$818,3,FALSE)</f>
        <v>Low</v>
      </c>
      <c r="AI801" s="129" t="str">
        <f>VLOOKUP(AA801,monetary!$B$5:$F$817,5,0)</f>
        <v>Low</v>
      </c>
      <c r="AJ801" s="99" t="str">
        <f t="shared" si="128"/>
        <v>LLL</v>
      </c>
      <c r="AK801" s="99" t="str">
        <f>VLOOKUP(AJ801,rfm[],2,0)</f>
        <v>💤 Lost / Low Value</v>
      </c>
      <c r="AN801" s="99" t="b">
        <f t="shared" si="129"/>
        <v>1</v>
      </c>
    </row>
    <row r="802" spans="2:40" x14ac:dyDescent="0.3">
      <c r="B802" s="99" t="s">
        <v>1378</v>
      </c>
      <c r="C802" s="100">
        <v>45799</v>
      </c>
      <c r="D802" s="99" t="s">
        <v>38</v>
      </c>
      <c r="E802" s="99" t="s">
        <v>39</v>
      </c>
      <c r="F802" s="99" t="s">
        <v>16</v>
      </c>
      <c r="G802" s="99">
        <v>24</v>
      </c>
      <c r="H802" s="112">
        <v>200000</v>
      </c>
      <c r="I802" s="112">
        <v>4800000</v>
      </c>
      <c r="J802" s="99" t="s">
        <v>2832</v>
      </c>
      <c r="K802" s="99" t="s">
        <v>69</v>
      </c>
      <c r="N802" s="99" t="s">
        <v>2833</v>
      </c>
      <c r="O802" s="99" t="s">
        <v>60</v>
      </c>
      <c r="P802" s="100">
        <f t="shared" si="121"/>
        <v>45951</v>
      </c>
      <c r="Q802" s="101">
        <f t="shared" si="120"/>
        <v>72</v>
      </c>
      <c r="R802" s="99">
        <f t="shared" si="122"/>
        <v>4</v>
      </c>
      <c r="S802" s="101">
        <f t="shared" si="123"/>
        <v>35375000</v>
      </c>
      <c r="T802" s="99" t="str">
        <f t="shared" si="124"/>
        <v>High</v>
      </c>
      <c r="U802" s="99" t="str">
        <f t="shared" si="125"/>
        <v>High</v>
      </c>
      <c r="V802" s="99" t="str">
        <f t="shared" si="126"/>
        <v>High</v>
      </c>
      <c r="W802" s="99" t="str">
        <f t="shared" si="127"/>
        <v>HHH</v>
      </c>
      <c r="X802" s="99" t="str">
        <f>VLOOKUP(W802,rfm[],2,FALSE)</f>
        <v>🥇 Champions</v>
      </c>
      <c r="AA802" s="99" t="s">
        <v>2833</v>
      </c>
      <c r="AB802" s="99" t="s">
        <v>60</v>
      </c>
      <c r="AC802" s="100">
        <v>45951</v>
      </c>
      <c r="AD802" s="101">
        <v>72</v>
      </c>
      <c r="AE802" s="101">
        <v>4</v>
      </c>
      <c r="AF802" s="101">
        <v>35375000</v>
      </c>
      <c r="AG802" s="99" t="str">
        <f>VLOOKUP(AA802,recency!$K$6:$P$818,6,0)</f>
        <v>Low</v>
      </c>
      <c r="AH802" s="132" t="str">
        <f>VLOOKUP(AA802,frequency!$F$6:$H$818,3,FALSE)</f>
        <v>High</v>
      </c>
      <c r="AI802" s="129" t="str">
        <f>VLOOKUP(AA802,monetary!$B$5:$F$817,5,0)</f>
        <v>Low</v>
      </c>
      <c r="AJ802" s="99" t="str">
        <f t="shared" si="128"/>
        <v>LHL</v>
      </c>
      <c r="AK802" s="99" t="str">
        <f>VLOOKUP(AJ802,rfm[],2,0)</f>
        <v>🔁 Former Loyal Low Spend</v>
      </c>
      <c r="AN802" s="99" t="b">
        <f t="shared" si="129"/>
        <v>0</v>
      </c>
    </row>
    <row r="803" spans="2:40" x14ac:dyDescent="0.3">
      <c r="B803" s="99" t="s">
        <v>1412</v>
      </c>
      <c r="C803" s="100">
        <v>45799</v>
      </c>
      <c r="D803" s="99" t="s">
        <v>42</v>
      </c>
      <c r="E803" s="99" t="s">
        <v>43</v>
      </c>
      <c r="F803" s="99" t="s">
        <v>16</v>
      </c>
      <c r="G803" s="99">
        <v>16</v>
      </c>
      <c r="H803" s="112">
        <v>1200000</v>
      </c>
      <c r="I803" s="112">
        <v>19200000</v>
      </c>
      <c r="J803" s="99" t="s">
        <v>2366</v>
      </c>
      <c r="K803" s="99" t="s">
        <v>8</v>
      </c>
      <c r="N803" s="99" t="s">
        <v>2834</v>
      </c>
      <c r="O803" s="99" t="s">
        <v>127</v>
      </c>
      <c r="P803" s="100">
        <f t="shared" si="121"/>
        <v>45848</v>
      </c>
      <c r="Q803" s="101">
        <f t="shared" si="120"/>
        <v>175</v>
      </c>
      <c r="R803" s="99">
        <f t="shared" si="122"/>
        <v>3</v>
      </c>
      <c r="S803" s="101">
        <f t="shared" si="123"/>
        <v>56300000</v>
      </c>
      <c r="T803" s="99" t="str">
        <f t="shared" si="124"/>
        <v>Low</v>
      </c>
      <c r="U803" s="99" t="str">
        <f t="shared" si="125"/>
        <v>High</v>
      </c>
      <c r="V803" s="99" t="str">
        <f t="shared" si="126"/>
        <v>High</v>
      </c>
      <c r="W803" s="99" t="str">
        <f t="shared" si="127"/>
        <v>LHH</v>
      </c>
      <c r="X803" s="99" t="str">
        <f>VLOOKUP(W803,rfm[],2,FALSE)</f>
        <v>⚠️ At Risk High Value</v>
      </c>
      <c r="AA803" s="99" t="s">
        <v>2834</v>
      </c>
      <c r="AB803" s="99" t="s">
        <v>127</v>
      </c>
      <c r="AC803" s="100">
        <v>45848</v>
      </c>
      <c r="AD803" s="101">
        <v>175</v>
      </c>
      <c r="AE803" s="101">
        <v>3</v>
      </c>
      <c r="AF803" s="101">
        <v>56300000</v>
      </c>
      <c r="AG803" s="99" t="str">
        <f>VLOOKUP(AA803,recency!$K$6:$P$818,6,0)</f>
        <v>Low</v>
      </c>
      <c r="AH803" s="132" t="str">
        <f>VLOOKUP(AA803,frequency!$F$6:$H$818,3,FALSE)</f>
        <v>High</v>
      </c>
      <c r="AI803" s="129" t="str">
        <f>VLOOKUP(AA803,monetary!$B$5:$F$817,5,0)</f>
        <v>High</v>
      </c>
      <c r="AJ803" s="99" t="str">
        <f t="shared" si="128"/>
        <v>LHH</v>
      </c>
      <c r="AK803" s="99" t="str">
        <f>VLOOKUP(AJ803,rfm[],2,0)</f>
        <v>⚠️ At Risk High Value</v>
      </c>
      <c r="AN803" s="99" t="b">
        <f t="shared" si="129"/>
        <v>1</v>
      </c>
    </row>
    <row r="804" spans="2:40" x14ac:dyDescent="0.3">
      <c r="B804" s="99" t="s">
        <v>1413</v>
      </c>
      <c r="C804" s="100">
        <v>45799</v>
      </c>
      <c r="D804" s="99" t="s">
        <v>10</v>
      </c>
      <c r="E804" s="99" t="s">
        <v>11</v>
      </c>
      <c r="F804" s="99" t="s">
        <v>12</v>
      </c>
      <c r="G804" s="99">
        <v>6</v>
      </c>
      <c r="H804" s="112">
        <v>120000</v>
      </c>
      <c r="I804" s="112">
        <v>720000</v>
      </c>
      <c r="J804" s="99" t="s">
        <v>2794</v>
      </c>
      <c r="K804" s="99" t="s">
        <v>69</v>
      </c>
      <c r="N804" s="99" t="s">
        <v>2835</v>
      </c>
      <c r="O804" s="99" t="s">
        <v>69</v>
      </c>
      <c r="P804" s="100">
        <f t="shared" si="121"/>
        <v>45701</v>
      </c>
      <c r="Q804" s="101">
        <f t="shared" si="120"/>
        <v>322</v>
      </c>
      <c r="R804" s="99">
        <f t="shared" si="122"/>
        <v>1</v>
      </c>
      <c r="S804" s="101">
        <f t="shared" si="123"/>
        <v>2250000</v>
      </c>
      <c r="T804" s="99" t="str">
        <f t="shared" si="124"/>
        <v>Low</v>
      </c>
      <c r="U804" s="99" t="str">
        <f t="shared" si="125"/>
        <v>Low</v>
      </c>
      <c r="V804" s="99" t="str">
        <f t="shared" si="126"/>
        <v>Low</v>
      </c>
      <c r="W804" s="99" t="str">
        <f t="shared" si="127"/>
        <v>LLL</v>
      </c>
      <c r="X804" s="99" t="str">
        <f>VLOOKUP(W804,rfm[],2,FALSE)</f>
        <v>💤 Lost / Low Value</v>
      </c>
      <c r="AA804" s="99" t="s">
        <v>2835</v>
      </c>
      <c r="AB804" s="99" t="s">
        <v>69</v>
      </c>
      <c r="AC804" s="100">
        <v>45701</v>
      </c>
      <c r="AD804" s="101">
        <v>322</v>
      </c>
      <c r="AE804" s="101">
        <v>1</v>
      </c>
      <c r="AF804" s="101">
        <v>2250000</v>
      </c>
      <c r="AG804" s="99" t="str">
        <f>VLOOKUP(AA804,recency!$K$6:$P$818,6,0)</f>
        <v>Low</v>
      </c>
      <c r="AH804" s="132" t="str">
        <f>VLOOKUP(AA804,frequency!$F$6:$H$818,3,FALSE)</f>
        <v>Low</v>
      </c>
      <c r="AI804" s="129" t="str">
        <f>VLOOKUP(AA804,monetary!$B$5:$F$817,5,0)</f>
        <v>Low</v>
      </c>
      <c r="AJ804" s="99" t="str">
        <f t="shared" si="128"/>
        <v>LLL</v>
      </c>
      <c r="AK804" s="99" t="str">
        <f>VLOOKUP(AJ804,rfm[],2,0)</f>
        <v>💤 Lost / Low Value</v>
      </c>
      <c r="AN804" s="99" t="b">
        <f t="shared" si="129"/>
        <v>1</v>
      </c>
    </row>
    <row r="805" spans="2:40" x14ac:dyDescent="0.3">
      <c r="B805" s="99" t="s">
        <v>1414</v>
      </c>
      <c r="C805" s="100">
        <v>45799</v>
      </c>
      <c r="D805" s="99" t="s">
        <v>40</v>
      </c>
      <c r="E805" s="99" t="s">
        <v>41</v>
      </c>
      <c r="F805" s="99" t="s">
        <v>16</v>
      </c>
      <c r="G805" s="99">
        <v>31</v>
      </c>
      <c r="H805" s="112">
        <v>950000</v>
      </c>
      <c r="I805" s="112">
        <v>29450000</v>
      </c>
      <c r="J805" s="99" t="s">
        <v>2540</v>
      </c>
      <c r="K805" s="99" t="s">
        <v>8</v>
      </c>
      <c r="N805" s="99" t="s">
        <v>2836</v>
      </c>
      <c r="O805" s="99" t="s">
        <v>69</v>
      </c>
      <c r="P805" s="100">
        <f t="shared" si="121"/>
        <v>45716</v>
      </c>
      <c r="Q805" s="101">
        <f t="shared" si="120"/>
        <v>307</v>
      </c>
      <c r="R805" s="99">
        <f t="shared" si="122"/>
        <v>1</v>
      </c>
      <c r="S805" s="101">
        <f t="shared" si="123"/>
        <v>7740000</v>
      </c>
      <c r="T805" s="99" t="str">
        <f t="shared" si="124"/>
        <v>Low</v>
      </c>
      <c r="U805" s="99" t="str">
        <f t="shared" si="125"/>
        <v>Low</v>
      </c>
      <c r="V805" s="99" t="str">
        <f t="shared" si="126"/>
        <v>Low</v>
      </c>
      <c r="W805" s="99" t="str">
        <f t="shared" si="127"/>
        <v>LLL</v>
      </c>
      <c r="X805" s="99" t="str">
        <f>VLOOKUP(W805,rfm[],2,FALSE)</f>
        <v>💤 Lost / Low Value</v>
      </c>
      <c r="AA805" s="99" t="s">
        <v>2836</v>
      </c>
      <c r="AB805" s="99" t="s">
        <v>69</v>
      </c>
      <c r="AC805" s="100">
        <v>45716</v>
      </c>
      <c r="AD805" s="101">
        <v>307</v>
      </c>
      <c r="AE805" s="101">
        <v>1</v>
      </c>
      <c r="AF805" s="101">
        <v>7740000</v>
      </c>
      <c r="AG805" s="99" t="str">
        <f>VLOOKUP(AA805,recency!$K$6:$P$818,6,0)</f>
        <v>Low</v>
      </c>
      <c r="AH805" s="132" t="str">
        <f>VLOOKUP(AA805,frequency!$F$6:$H$818,3,FALSE)</f>
        <v>Low</v>
      </c>
      <c r="AI805" s="129" t="str">
        <f>VLOOKUP(AA805,monetary!$B$5:$F$817,5,0)</f>
        <v>Low</v>
      </c>
      <c r="AJ805" s="99" t="str">
        <f t="shared" si="128"/>
        <v>LLL</v>
      </c>
      <c r="AK805" s="99" t="str">
        <f>VLOOKUP(AJ805,rfm[],2,0)</f>
        <v>💤 Lost / Low Value</v>
      </c>
      <c r="AN805" s="99" t="b">
        <f t="shared" si="129"/>
        <v>1</v>
      </c>
    </row>
    <row r="806" spans="2:40" x14ac:dyDescent="0.3">
      <c r="B806" s="99" t="s">
        <v>1415</v>
      </c>
      <c r="C806" s="100">
        <v>45805</v>
      </c>
      <c r="D806" s="99" t="s">
        <v>28</v>
      </c>
      <c r="E806" s="99" t="s">
        <v>29</v>
      </c>
      <c r="F806" s="99" t="s">
        <v>20</v>
      </c>
      <c r="G806" s="99">
        <v>24</v>
      </c>
      <c r="H806" s="112">
        <v>450000</v>
      </c>
      <c r="I806" s="112">
        <v>10800000</v>
      </c>
      <c r="J806" s="99" t="s">
        <v>2562</v>
      </c>
      <c r="K806" s="99" t="s">
        <v>8</v>
      </c>
      <c r="N806" s="99" t="s">
        <v>2837</v>
      </c>
      <c r="O806" s="99" t="s">
        <v>47</v>
      </c>
      <c r="P806" s="100">
        <f t="shared" si="121"/>
        <v>45999</v>
      </c>
      <c r="Q806" s="101">
        <f t="shared" si="120"/>
        <v>24</v>
      </c>
      <c r="R806" s="99">
        <f t="shared" si="122"/>
        <v>5</v>
      </c>
      <c r="S806" s="101">
        <f t="shared" si="123"/>
        <v>1105000000</v>
      </c>
      <c r="T806" s="99" t="str">
        <f t="shared" si="124"/>
        <v>High</v>
      </c>
      <c r="U806" s="99" t="str">
        <f t="shared" si="125"/>
        <v>High</v>
      </c>
      <c r="V806" s="99" t="str">
        <f t="shared" si="126"/>
        <v>High</v>
      </c>
      <c r="W806" s="99" t="str">
        <f t="shared" si="127"/>
        <v>HHH</v>
      </c>
      <c r="X806" s="99" t="str">
        <f>VLOOKUP(W806,rfm[],2,FALSE)</f>
        <v>🥇 Champions</v>
      </c>
      <c r="AA806" s="99" t="s">
        <v>2837</v>
      </c>
      <c r="AB806" s="99" t="s">
        <v>47</v>
      </c>
      <c r="AC806" s="100">
        <v>45999</v>
      </c>
      <c r="AD806" s="101">
        <v>24</v>
      </c>
      <c r="AE806" s="101">
        <v>5</v>
      </c>
      <c r="AF806" s="101">
        <v>1105000000</v>
      </c>
      <c r="AG806" s="99" t="str">
        <f>VLOOKUP(AA806,recency!$K$6:$P$818,6,0)</f>
        <v>High</v>
      </c>
      <c r="AH806" s="132" t="str">
        <f>VLOOKUP(AA806,frequency!$F$6:$H$818,3,FALSE)</f>
        <v>High</v>
      </c>
      <c r="AI806" s="129" t="str">
        <f>VLOOKUP(AA806,monetary!$B$5:$F$817,5,0)</f>
        <v>High</v>
      </c>
      <c r="AJ806" s="99" t="str">
        <f t="shared" si="128"/>
        <v>HHH</v>
      </c>
      <c r="AK806" s="99" t="str">
        <f>VLOOKUP(AJ806,rfm[],2,0)</f>
        <v>🥇 Champions</v>
      </c>
      <c r="AN806" s="99" t="b">
        <f t="shared" si="129"/>
        <v>1</v>
      </c>
    </row>
    <row r="807" spans="2:40" x14ac:dyDescent="0.3">
      <c r="B807" s="99" t="s">
        <v>1416</v>
      </c>
      <c r="C807" s="100">
        <v>45805</v>
      </c>
      <c r="D807" s="99" t="s">
        <v>44</v>
      </c>
      <c r="E807" s="99" t="s">
        <v>45</v>
      </c>
      <c r="F807" s="99" t="s">
        <v>16</v>
      </c>
      <c r="G807" s="99">
        <v>20</v>
      </c>
      <c r="H807" s="112">
        <v>250000</v>
      </c>
      <c r="I807" s="112">
        <v>5000000</v>
      </c>
      <c r="J807" s="99" t="s">
        <v>2700</v>
      </c>
      <c r="K807" s="99" t="s">
        <v>60</v>
      </c>
      <c r="N807" s="99" t="s">
        <v>2838</v>
      </c>
      <c r="O807" s="99" t="s">
        <v>47</v>
      </c>
      <c r="P807" s="100">
        <f t="shared" si="121"/>
        <v>45726</v>
      </c>
      <c r="Q807" s="101">
        <f t="shared" si="120"/>
        <v>297</v>
      </c>
      <c r="R807" s="99">
        <f t="shared" si="122"/>
        <v>1</v>
      </c>
      <c r="S807" s="101">
        <f t="shared" si="123"/>
        <v>17100000</v>
      </c>
      <c r="T807" s="99" t="str">
        <f t="shared" si="124"/>
        <v>Low</v>
      </c>
      <c r="U807" s="99" t="str">
        <f t="shared" si="125"/>
        <v>Low</v>
      </c>
      <c r="V807" s="99" t="str">
        <f t="shared" si="126"/>
        <v>Low</v>
      </c>
      <c r="W807" s="99" t="str">
        <f t="shared" si="127"/>
        <v>LLL</v>
      </c>
      <c r="X807" s="99" t="str">
        <f>VLOOKUP(W807,rfm[],2,FALSE)</f>
        <v>💤 Lost / Low Value</v>
      </c>
      <c r="AA807" s="99" t="s">
        <v>2838</v>
      </c>
      <c r="AB807" s="99" t="s">
        <v>47</v>
      </c>
      <c r="AC807" s="100">
        <v>45726</v>
      </c>
      <c r="AD807" s="101">
        <v>297</v>
      </c>
      <c r="AE807" s="101">
        <v>1</v>
      </c>
      <c r="AF807" s="101">
        <v>17100000</v>
      </c>
      <c r="AG807" s="99" t="str">
        <f>VLOOKUP(AA807,recency!$K$6:$P$818,6,0)</f>
        <v>Low</v>
      </c>
      <c r="AH807" s="132" t="str">
        <f>VLOOKUP(AA807,frequency!$F$6:$H$818,3,FALSE)</f>
        <v>Low</v>
      </c>
      <c r="AI807" s="129" t="str">
        <f>VLOOKUP(AA807,monetary!$B$5:$F$817,5,0)</f>
        <v>Low</v>
      </c>
      <c r="AJ807" s="99" t="str">
        <f t="shared" si="128"/>
        <v>LLL</v>
      </c>
      <c r="AK807" s="99" t="str">
        <f>VLOOKUP(AJ807,rfm[],2,0)</f>
        <v>💤 Lost / Low Value</v>
      </c>
      <c r="AN807" s="99" t="b">
        <f t="shared" si="129"/>
        <v>1</v>
      </c>
    </row>
    <row r="808" spans="2:40" x14ac:dyDescent="0.3">
      <c r="B808" s="99" t="s">
        <v>1417</v>
      </c>
      <c r="C808" s="100">
        <v>45805</v>
      </c>
      <c r="D808" s="99" t="s">
        <v>38</v>
      </c>
      <c r="E808" s="99" t="s">
        <v>39</v>
      </c>
      <c r="F808" s="99" t="s">
        <v>16</v>
      </c>
      <c r="G808" s="99">
        <v>18</v>
      </c>
      <c r="H808" s="112">
        <v>200000</v>
      </c>
      <c r="I808" s="112">
        <v>3600000</v>
      </c>
      <c r="J808" s="99" t="s">
        <v>2254</v>
      </c>
      <c r="K808" s="99" t="s">
        <v>8</v>
      </c>
      <c r="N808" s="99" t="s">
        <v>2839</v>
      </c>
      <c r="O808" s="99" t="s">
        <v>47</v>
      </c>
      <c r="P808" s="100">
        <f t="shared" si="121"/>
        <v>45918</v>
      </c>
      <c r="Q808" s="101">
        <f t="shared" si="120"/>
        <v>105</v>
      </c>
      <c r="R808" s="99">
        <f t="shared" si="122"/>
        <v>2</v>
      </c>
      <c r="S808" s="101">
        <f t="shared" si="123"/>
        <v>16500000</v>
      </c>
      <c r="T808" s="99" t="str">
        <f t="shared" si="124"/>
        <v>Low</v>
      </c>
      <c r="U808" s="99" t="str">
        <f t="shared" si="125"/>
        <v>Low</v>
      </c>
      <c r="V808" s="99" t="str">
        <f t="shared" si="126"/>
        <v>Low</v>
      </c>
      <c r="W808" s="99" t="str">
        <f t="shared" si="127"/>
        <v>LLL</v>
      </c>
      <c r="X808" s="99" t="str">
        <f>VLOOKUP(W808,rfm[],2,FALSE)</f>
        <v>💤 Lost / Low Value</v>
      </c>
      <c r="AA808" s="99" t="s">
        <v>2839</v>
      </c>
      <c r="AB808" s="99" t="s">
        <v>47</v>
      </c>
      <c r="AC808" s="100">
        <v>45918</v>
      </c>
      <c r="AD808" s="101">
        <v>105</v>
      </c>
      <c r="AE808" s="101">
        <v>2</v>
      </c>
      <c r="AF808" s="101">
        <v>16500000</v>
      </c>
      <c r="AG808" s="99" t="str">
        <f>VLOOKUP(AA808,recency!$K$6:$P$818,6,0)</f>
        <v>Low</v>
      </c>
      <c r="AH808" s="132" t="str">
        <f>VLOOKUP(AA808,frequency!$F$6:$H$818,3,FALSE)</f>
        <v>Low</v>
      </c>
      <c r="AI808" s="129" t="str">
        <f>VLOOKUP(AA808,monetary!$B$5:$F$817,5,0)</f>
        <v>Low</v>
      </c>
      <c r="AJ808" s="99" t="str">
        <f t="shared" si="128"/>
        <v>LLL</v>
      </c>
      <c r="AK808" s="99" t="str">
        <f>VLOOKUP(AJ808,rfm[],2,0)</f>
        <v>💤 Lost / Low Value</v>
      </c>
      <c r="AN808" s="99" t="b">
        <f t="shared" si="129"/>
        <v>1</v>
      </c>
    </row>
    <row r="809" spans="2:40" x14ac:dyDescent="0.3">
      <c r="B809" s="99" t="s">
        <v>1418</v>
      </c>
      <c r="C809" s="100">
        <v>45805</v>
      </c>
      <c r="D809" s="99" t="s">
        <v>42</v>
      </c>
      <c r="E809" s="99" t="s">
        <v>43</v>
      </c>
      <c r="F809" s="99" t="s">
        <v>16</v>
      </c>
      <c r="G809" s="99">
        <v>7</v>
      </c>
      <c r="H809" s="112">
        <v>1200000</v>
      </c>
      <c r="I809" s="112">
        <v>8400000</v>
      </c>
      <c r="J809" s="99" t="s">
        <v>2512</v>
      </c>
      <c r="K809" s="99" t="s">
        <v>47</v>
      </c>
      <c r="N809" s="99" t="s">
        <v>2840</v>
      </c>
      <c r="O809" s="99" t="s">
        <v>8</v>
      </c>
      <c r="P809" s="100">
        <f t="shared" si="121"/>
        <v>45698</v>
      </c>
      <c r="Q809" s="101">
        <f t="shared" si="120"/>
        <v>325</v>
      </c>
      <c r="R809" s="99">
        <f t="shared" si="122"/>
        <v>1</v>
      </c>
      <c r="S809" s="101">
        <f t="shared" si="123"/>
        <v>16200000</v>
      </c>
      <c r="T809" s="99" t="str">
        <f t="shared" si="124"/>
        <v>Low</v>
      </c>
      <c r="U809" s="99" t="str">
        <f t="shared" si="125"/>
        <v>Low</v>
      </c>
      <c r="V809" s="99" t="str">
        <f t="shared" si="126"/>
        <v>Low</v>
      </c>
      <c r="W809" s="99" t="str">
        <f t="shared" si="127"/>
        <v>LLL</v>
      </c>
      <c r="X809" s="99" t="str">
        <f>VLOOKUP(W809,rfm[],2,FALSE)</f>
        <v>💤 Lost / Low Value</v>
      </c>
      <c r="AA809" s="99" t="s">
        <v>2840</v>
      </c>
      <c r="AB809" s="99" t="s">
        <v>8</v>
      </c>
      <c r="AC809" s="100">
        <v>45698</v>
      </c>
      <c r="AD809" s="101">
        <v>325</v>
      </c>
      <c r="AE809" s="101">
        <v>1</v>
      </c>
      <c r="AF809" s="101">
        <v>16200000</v>
      </c>
      <c r="AG809" s="99" t="str">
        <f>VLOOKUP(AA809,recency!$K$6:$P$818,6,0)</f>
        <v>Low</v>
      </c>
      <c r="AH809" s="132" t="str">
        <f>VLOOKUP(AA809,frequency!$F$6:$H$818,3,FALSE)</f>
        <v>Low</v>
      </c>
      <c r="AI809" s="129" t="str">
        <f>VLOOKUP(AA809,monetary!$B$5:$F$817,5,0)</f>
        <v>Low</v>
      </c>
      <c r="AJ809" s="99" t="str">
        <f t="shared" si="128"/>
        <v>LLL</v>
      </c>
      <c r="AK809" s="99" t="str">
        <f>VLOOKUP(AJ809,rfm[],2,0)</f>
        <v>💤 Lost / Low Value</v>
      </c>
      <c r="AN809" s="99" t="b">
        <f t="shared" si="129"/>
        <v>1</v>
      </c>
    </row>
    <row r="810" spans="2:40" x14ac:dyDescent="0.3">
      <c r="B810" s="99" t="s">
        <v>1445</v>
      </c>
      <c r="C810" s="100">
        <v>45805</v>
      </c>
      <c r="D810" s="99" t="s">
        <v>44</v>
      </c>
      <c r="E810" s="99" t="s">
        <v>45</v>
      </c>
      <c r="F810" s="99" t="s">
        <v>16</v>
      </c>
      <c r="G810" s="99">
        <v>17</v>
      </c>
      <c r="H810" s="112">
        <v>250000</v>
      </c>
      <c r="I810" s="112">
        <v>4250000</v>
      </c>
      <c r="J810" s="99" t="s">
        <v>2269</v>
      </c>
      <c r="K810" s="99" t="s">
        <v>8</v>
      </c>
      <c r="N810" s="99" t="s">
        <v>2841</v>
      </c>
      <c r="O810" s="99" t="s">
        <v>8</v>
      </c>
      <c r="P810" s="100">
        <f t="shared" si="121"/>
        <v>45875</v>
      </c>
      <c r="Q810" s="101">
        <f t="shared" si="120"/>
        <v>148</v>
      </c>
      <c r="R810" s="99">
        <f t="shared" si="122"/>
        <v>2</v>
      </c>
      <c r="S810" s="101">
        <f t="shared" si="123"/>
        <v>2595000</v>
      </c>
      <c r="T810" s="99" t="str">
        <f t="shared" si="124"/>
        <v>Low</v>
      </c>
      <c r="U810" s="99" t="str">
        <f t="shared" si="125"/>
        <v>Low</v>
      </c>
      <c r="V810" s="99" t="str">
        <f t="shared" si="126"/>
        <v>Low</v>
      </c>
      <c r="W810" s="99" t="str">
        <f t="shared" si="127"/>
        <v>LLL</v>
      </c>
      <c r="X810" s="99" t="str">
        <f>VLOOKUP(W810,rfm[],2,FALSE)</f>
        <v>💤 Lost / Low Value</v>
      </c>
      <c r="AA810" s="99" t="s">
        <v>2841</v>
      </c>
      <c r="AB810" s="99" t="s">
        <v>8</v>
      </c>
      <c r="AC810" s="100">
        <v>45875</v>
      </c>
      <c r="AD810" s="101">
        <v>148</v>
      </c>
      <c r="AE810" s="101">
        <v>2</v>
      </c>
      <c r="AF810" s="101">
        <v>2595000</v>
      </c>
      <c r="AG810" s="99" t="str">
        <f>VLOOKUP(AA810,recency!$K$6:$P$818,6,0)</f>
        <v>Low</v>
      </c>
      <c r="AH810" s="132" t="str">
        <f>VLOOKUP(AA810,frequency!$F$6:$H$818,3,FALSE)</f>
        <v>Low</v>
      </c>
      <c r="AI810" s="129" t="str">
        <f>VLOOKUP(AA810,monetary!$B$5:$F$817,5,0)</f>
        <v>Low</v>
      </c>
      <c r="AJ810" s="99" t="str">
        <f t="shared" si="128"/>
        <v>LLL</v>
      </c>
      <c r="AK810" s="99" t="str">
        <f>VLOOKUP(AJ810,rfm[],2,0)</f>
        <v>💤 Lost / Low Value</v>
      </c>
      <c r="AN810" s="99" t="b">
        <f t="shared" si="129"/>
        <v>1</v>
      </c>
    </row>
    <row r="811" spans="2:40" x14ac:dyDescent="0.3">
      <c r="B811" s="99" t="s">
        <v>1446</v>
      </c>
      <c r="C811" s="100">
        <v>45805</v>
      </c>
      <c r="D811" s="99" t="s">
        <v>14</v>
      </c>
      <c r="E811" s="99" t="s">
        <v>15</v>
      </c>
      <c r="F811" s="99" t="s">
        <v>16</v>
      </c>
      <c r="G811" s="99">
        <v>22</v>
      </c>
      <c r="H811" s="112">
        <v>350000</v>
      </c>
      <c r="I811" s="112">
        <v>7700000</v>
      </c>
      <c r="J811" s="99" t="s">
        <v>2504</v>
      </c>
      <c r="K811" s="99" t="s">
        <v>127</v>
      </c>
      <c r="N811" s="99" t="s">
        <v>2842</v>
      </c>
      <c r="O811" s="99" t="s">
        <v>127</v>
      </c>
      <c r="P811" s="100">
        <f t="shared" si="121"/>
        <v>46008</v>
      </c>
      <c r="Q811" s="101">
        <f t="shared" si="120"/>
        <v>15</v>
      </c>
      <c r="R811" s="99">
        <f t="shared" si="122"/>
        <v>3</v>
      </c>
      <c r="S811" s="101">
        <f t="shared" si="123"/>
        <v>21250000</v>
      </c>
      <c r="T811" s="99" t="str">
        <f t="shared" si="124"/>
        <v>High</v>
      </c>
      <c r="U811" s="99" t="str">
        <f t="shared" si="125"/>
        <v>High</v>
      </c>
      <c r="V811" s="99" t="str">
        <f t="shared" si="126"/>
        <v>High</v>
      </c>
      <c r="W811" s="99" t="str">
        <f t="shared" si="127"/>
        <v>HHH</v>
      </c>
      <c r="X811" s="99" t="str">
        <f>VLOOKUP(W811,rfm[],2,FALSE)</f>
        <v>🥇 Champions</v>
      </c>
      <c r="AA811" s="99" t="s">
        <v>2842</v>
      </c>
      <c r="AB811" s="99" t="s">
        <v>127</v>
      </c>
      <c r="AC811" s="100">
        <v>46008</v>
      </c>
      <c r="AD811" s="101">
        <v>15</v>
      </c>
      <c r="AE811" s="101">
        <v>3</v>
      </c>
      <c r="AF811" s="101">
        <v>21250000</v>
      </c>
      <c r="AG811" s="99" t="str">
        <f>VLOOKUP(AA811,recency!$K$6:$P$818,6,0)</f>
        <v>High</v>
      </c>
      <c r="AH811" s="132" t="str">
        <f>VLOOKUP(AA811,frequency!$F$6:$H$818,3,FALSE)</f>
        <v>High</v>
      </c>
      <c r="AI811" s="129" t="str">
        <f>VLOOKUP(AA811,monetary!$B$5:$F$817,5,0)</f>
        <v>Low</v>
      </c>
      <c r="AJ811" s="99" t="str">
        <f t="shared" si="128"/>
        <v>HHL</v>
      </c>
      <c r="AK811" s="99" t="str">
        <f>VLOOKUP(AJ811,rfm[],2,0)</f>
        <v>💎 Loyal High Value</v>
      </c>
      <c r="AN811" s="99" t="b">
        <f t="shared" si="129"/>
        <v>0</v>
      </c>
    </row>
    <row r="812" spans="2:40" x14ac:dyDescent="0.3">
      <c r="B812" s="99" t="s">
        <v>1447</v>
      </c>
      <c r="C812" s="100">
        <v>45805</v>
      </c>
      <c r="D812" s="99" t="s">
        <v>10</v>
      </c>
      <c r="E812" s="99" t="s">
        <v>11</v>
      </c>
      <c r="F812" s="99" t="s">
        <v>12</v>
      </c>
      <c r="G812" s="99">
        <v>27</v>
      </c>
      <c r="H812" s="112">
        <v>120000</v>
      </c>
      <c r="I812" s="112">
        <v>3240000</v>
      </c>
      <c r="J812" s="99" t="s">
        <v>2522</v>
      </c>
      <c r="K812" s="99" t="s">
        <v>8</v>
      </c>
      <c r="N812" s="99" t="s">
        <v>2843</v>
      </c>
      <c r="O812" s="99" t="s">
        <v>8</v>
      </c>
      <c r="P812" s="100">
        <f t="shared" si="121"/>
        <v>45861</v>
      </c>
      <c r="Q812" s="101">
        <f t="shared" si="120"/>
        <v>162</v>
      </c>
      <c r="R812" s="99">
        <f t="shared" si="122"/>
        <v>3</v>
      </c>
      <c r="S812" s="101">
        <f t="shared" si="123"/>
        <v>18075000</v>
      </c>
      <c r="T812" s="99" t="str">
        <f t="shared" si="124"/>
        <v>Low</v>
      </c>
      <c r="U812" s="99" t="str">
        <f t="shared" si="125"/>
        <v>High</v>
      </c>
      <c r="V812" s="99" t="str">
        <f t="shared" si="126"/>
        <v>Low</v>
      </c>
      <c r="W812" s="99" t="str">
        <f t="shared" si="127"/>
        <v>LHL</v>
      </c>
      <c r="X812" s="99" t="str">
        <f>VLOOKUP(W812,rfm[],2,FALSE)</f>
        <v>🔁 Former Loyal Low Spend</v>
      </c>
      <c r="AA812" s="99" t="s">
        <v>2843</v>
      </c>
      <c r="AB812" s="99" t="s">
        <v>8</v>
      </c>
      <c r="AC812" s="100">
        <v>45861</v>
      </c>
      <c r="AD812" s="101">
        <v>162</v>
      </c>
      <c r="AE812" s="101">
        <v>3</v>
      </c>
      <c r="AF812" s="101">
        <v>18075000</v>
      </c>
      <c r="AG812" s="99" t="str">
        <f>VLOOKUP(AA812,recency!$K$6:$P$818,6,0)</f>
        <v>Low</v>
      </c>
      <c r="AH812" s="132" t="str">
        <f>VLOOKUP(AA812,frequency!$F$6:$H$818,3,FALSE)</f>
        <v>High</v>
      </c>
      <c r="AI812" s="129" t="str">
        <f>VLOOKUP(AA812,monetary!$B$5:$F$817,5,0)</f>
        <v>Low</v>
      </c>
      <c r="AJ812" s="99" t="str">
        <f t="shared" si="128"/>
        <v>LHL</v>
      </c>
      <c r="AK812" s="99" t="str">
        <f>VLOOKUP(AJ812,rfm[],2,0)</f>
        <v>🔁 Former Loyal Low Spend</v>
      </c>
      <c r="AN812" s="99" t="b">
        <f t="shared" si="129"/>
        <v>1</v>
      </c>
    </row>
    <row r="813" spans="2:40" x14ac:dyDescent="0.3">
      <c r="B813" s="99" t="s">
        <v>1485</v>
      </c>
      <c r="C813" s="100">
        <v>45805</v>
      </c>
      <c r="D813" s="99" t="s">
        <v>42</v>
      </c>
      <c r="E813" s="99" t="s">
        <v>43</v>
      </c>
      <c r="F813" s="99" t="s">
        <v>16</v>
      </c>
      <c r="G813" s="99">
        <v>25</v>
      </c>
      <c r="H813" s="112">
        <v>1200000</v>
      </c>
      <c r="I813" s="112">
        <v>30000000</v>
      </c>
      <c r="J813" s="99" t="s">
        <v>2750</v>
      </c>
      <c r="K813" s="99" t="s">
        <v>127</v>
      </c>
      <c r="N813" s="99" t="s">
        <v>2844</v>
      </c>
      <c r="O813" s="99" t="s">
        <v>47</v>
      </c>
      <c r="P813" s="100">
        <f t="shared" si="121"/>
        <v>46014</v>
      </c>
      <c r="Q813" s="101">
        <f t="shared" si="120"/>
        <v>9</v>
      </c>
      <c r="R813" s="99">
        <f t="shared" si="122"/>
        <v>2</v>
      </c>
      <c r="S813" s="101">
        <f t="shared" si="123"/>
        <v>6900000</v>
      </c>
      <c r="T813" s="99" t="str">
        <f t="shared" si="124"/>
        <v>High</v>
      </c>
      <c r="U813" s="99" t="str">
        <f t="shared" si="125"/>
        <v>Low</v>
      </c>
      <c r="V813" s="99" t="str">
        <f t="shared" si="126"/>
        <v>Low</v>
      </c>
      <c r="W813" s="99" t="str">
        <f t="shared" si="127"/>
        <v>HLL</v>
      </c>
      <c r="X813" s="99" t="str">
        <f>VLOOKUP(W813,rfm[],2,FALSE)</f>
        <v>🌱 Potential Loyalists</v>
      </c>
      <c r="AA813" s="99" t="s">
        <v>2844</v>
      </c>
      <c r="AB813" s="99" t="s">
        <v>47</v>
      </c>
      <c r="AC813" s="100">
        <v>46014</v>
      </c>
      <c r="AD813" s="101">
        <v>9</v>
      </c>
      <c r="AE813" s="101">
        <v>2</v>
      </c>
      <c r="AF813" s="101">
        <v>6900000</v>
      </c>
      <c r="AG813" s="99" t="str">
        <f>VLOOKUP(AA813,recency!$K$6:$P$818,6,0)</f>
        <v>High</v>
      </c>
      <c r="AH813" s="132" t="str">
        <f>VLOOKUP(AA813,frequency!$F$6:$H$818,3,FALSE)</f>
        <v>Low</v>
      </c>
      <c r="AI813" s="129" t="str">
        <f>VLOOKUP(AA813,monetary!$B$5:$F$817,5,0)</f>
        <v>Low</v>
      </c>
      <c r="AJ813" s="99" t="str">
        <f t="shared" si="128"/>
        <v>HLL</v>
      </c>
      <c r="AK813" s="99" t="str">
        <f>VLOOKUP(AJ813,rfm[],2,0)</f>
        <v>🌱 Potential Loyalists</v>
      </c>
      <c r="AN813" s="99" t="b">
        <f t="shared" si="129"/>
        <v>1</v>
      </c>
    </row>
    <row r="814" spans="2:40" x14ac:dyDescent="0.3">
      <c r="B814" s="99" t="s">
        <v>1486</v>
      </c>
      <c r="C814" s="100">
        <v>45805</v>
      </c>
      <c r="D814" s="99" t="s">
        <v>22</v>
      </c>
      <c r="E814" s="99" t="s">
        <v>23</v>
      </c>
      <c r="F814" s="99" t="s">
        <v>12</v>
      </c>
      <c r="G814" s="99">
        <v>23</v>
      </c>
      <c r="H814" s="112">
        <v>25000</v>
      </c>
      <c r="I814" s="112">
        <v>575000</v>
      </c>
      <c r="J814" s="99" t="s">
        <v>2158</v>
      </c>
      <c r="K814" s="99" t="s">
        <v>8</v>
      </c>
      <c r="N814" s="99" t="s">
        <v>2845</v>
      </c>
      <c r="O814" s="99" t="s">
        <v>8</v>
      </c>
      <c r="P814" s="100">
        <f t="shared" si="121"/>
        <v>45918</v>
      </c>
      <c r="Q814" s="101">
        <f t="shared" si="120"/>
        <v>105</v>
      </c>
      <c r="R814" s="99">
        <f t="shared" si="122"/>
        <v>3</v>
      </c>
      <c r="S814" s="101">
        <f t="shared" si="123"/>
        <v>14870000</v>
      </c>
      <c r="T814" s="99" t="str">
        <f t="shared" si="124"/>
        <v>Low</v>
      </c>
      <c r="U814" s="99" t="str">
        <f t="shared" si="125"/>
        <v>High</v>
      </c>
      <c r="V814" s="99" t="str">
        <f t="shared" si="126"/>
        <v>Low</v>
      </c>
      <c r="W814" s="99" t="str">
        <f t="shared" si="127"/>
        <v>LHL</v>
      </c>
      <c r="X814" s="99" t="str">
        <f>VLOOKUP(W814,rfm[],2,FALSE)</f>
        <v>🔁 Former Loyal Low Spend</v>
      </c>
      <c r="AA814" s="99" t="s">
        <v>2845</v>
      </c>
      <c r="AB814" s="99" t="s">
        <v>8</v>
      </c>
      <c r="AC814" s="100">
        <v>45918</v>
      </c>
      <c r="AD814" s="101">
        <v>105</v>
      </c>
      <c r="AE814" s="101">
        <v>3</v>
      </c>
      <c r="AF814" s="101">
        <v>14870000</v>
      </c>
      <c r="AG814" s="99" t="str">
        <f>VLOOKUP(AA814,recency!$K$6:$P$818,6,0)</f>
        <v>Low</v>
      </c>
      <c r="AH814" s="132" t="str">
        <f>VLOOKUP(AA814,frequency!$F$6:$H$818,3,FALSE)</f>
        <v>High</v>
      </c>
      <c r="AI814" s="129" t="str">
        <f>VLOOKUP(AA814,monetary!$B$5:$F$817,5,0)</f>
        <v>Low</v>
      </c>
      <c r="AJ814" s="99" t="str">
        <f t="shared" si="128"/>
        <v>LHL</v>
      </c>
      <c r="AK814" s="99" t="str">
        <f>VLOOKUP(AJ814,rfm[],2,0)</f>
        <v>🔁 Former Loyal Low Spend</v>
      </c>
      <c r="AN814" s="99" t="b">
        <f t="shared" si="129"/>
        <v>1</v>
      </c>
    </row>
    <row r="815" spans="2:40" x14ac:dyDescent="0.3">
      <c r="B815" s="99" t="s">
        <v>1487</v>
      </c>
      <c r="C815" s="100">
        <v>45805</v>
      </c>
      <c r="D815" s="99" t="s">
        <v>40</v>
      </c>
      <c r="E815" s="99" t="s">
        <v>41</v>
      </c>
      <c r="F815" s="99" t="s">
        <v>16</v>
      </c>
      <c r="G815" s="99">
        <v>5</v>
      </c>
      <c r="H815" s="112">
        <v>950000</v>
      </c>
      <c r="I815" s="112">
        <v>4750000</v>
      </c>
      <c r="J815" s="99" t="s">
        <v>2415</v>
      </c>
      <c r="K815" s="99" t="s">
        <v>8</v>
      </c>
      <c r="N815" s="99" t="s">
        <v>2846</v>
      </c>
      <c r="O815" s="99" t="s">
        <v>127</v>
      </c>
      <c r="P815" s="100">
        <f t="shared" si="121"/>
        <v>45918</v>
      </c>
      <c r="Q815" s="101">
        <f t="shared" si="120"/>
        <v>105</v>
      </c>
      <c r="R815" s="99">
        <f t="shared" si="122"/>
        <v>3</v>
      </c>
      <c r="S815" s="101">
        <f t="shared" si="123"/>
        <v>58470000</v>
      </c>
      <c r="T815" s="99" t="str">
        <f t="shared" si="124"/>
        <v>Low</v>
      </c>
      <c r="U815" s="99" t="str">
        <f t="shared" si="125"/>
        <v>High</v>
      </c>
      <c r="V815" s="99" t="str">
        <f t="shared" si="126"/>
        <v>High</v>
      </c>
      <c r="W815" s="99" t="str">
        <f t="shared" si="127"/>
        <v>LHH</v>
      </c>
      <c r="X815" s="99" t="str">
        <f>VLOOKUP(W815,rfm[],2,FALSE)</f>
        <v>⚠️ At Risk High Value</v>
      </c>
      <c r="AA815" s="99" t="s">
        <v>2846</v>
      </c>
      <c r="AB815" s="99" t="s">
        <v>127</v>
      </c>
      <c r="AC815" s="100">
        <v>45918</v>
      </c>
      <c r="AD815" s="101">
        <v>105</v>
      </c>
      <c r="AE815" s="101">
        <v>3</v>
      </c>
      <c r="AF815" s="101">
        <v>58470000</v>
      </c>
      <c r="AG815" s="99" t="str">
        <f>VLOOKUP(AA815,recency!$K$6:$P$818,6,0)</f>
        <v>Low</v>
      </c>
      <c r="AH815" s="132" t="str">
        <f>VLOOKUP(AA815,frequency!$F$6:$H$818,3,FALSE)</f>
        <v>High</v>
      </c>
      <c r="AI815" s="129" t="str">
        <f>VLOOKUP(AA815,monetary!$B$5:$F$817,5,0)</f>
        <v>High</v>
      </c>
      <c r="AJ815" s="99" t="str">
        <f t="shared" si="128"/>
        <v>LHH</v>
      </c>
      <c r="AK815" s="99" t="str">
        <f>VLOOKUP(AJ815,rfm[],2,0)</f>
        <v>⚠️ At Risk High Value</v>
      </c>
      <c r="AN815" s="99" t="b">
        <f t="shared" si="129"/>
        <v>1</v>
      </c>
    </row>
    <row r="816" spans="2:40" x14ac:dyDescent="0.3">
      <c r="B816" s="99" t="s">
        <v>1488</v>
      </c>
      <c r="C816" s="100">
        <v>45807</v>
      </c>
      <c r="D816" s="99" t="s">
        <v>31</v>
      </c>
      <c r="E816" s="99" t="s">
        <v>32</v>
      </c>
      <c r="F816" s="99" t="s">
        <v>20</v>
      </c>
      <c r="G816" s="99">
        <v>28</v>
      </c>
      <c r="H816" s="112">
        <v>180000</v>
      </c>
      <c r="I816" s="112">
        <v>5040000</v>
      </c>
      <c r="J816" s="99" t="s">
        <v>2569</v>
      </c>
      <c r="K816" s="99" t="s">
        <v>127</v>
      </c>
      <c r="N816" s="99" t="s">
        <v>2847</v>
      </c>
      <c r="O816" s="99" t="s">
        <v>127</v>
      </c>
      <c r="P816" s="100">
        <f t="shared" si="121"/>
        <v>45943</v>
      </c>
      <c r="Q816" s="101">
        <f t="shared" si="120"/>
        <v>80</v>
      </c>
      <c r="R816" s="99">
        <f t="shared" si="122"/>
        <v>5</v>
      </c>
      <c r="S816" s="101">
        <f t="shared" si="123"/>
        <v>852750000</v>
      </c>
      <c r="T816" s="99" t="str">
        <f t="shared" si="124"/>
        <v>High</v>
      </c>
      <c r="U816" s="99" t="str">
        <f t="shared" si="125"/>
        <v>High</v>
      </c>
      <c r="V816" s="99" t="str">
        <f t="shared" si="126"/>
        <v>High</v>
      </c>
      <c r="W816" s="99" t="str">
        <f t="shared" si="127"/>
        <v>HHH</v>
      </c>
      <c r="X816" s="99" t="str">
        <f>VLOOKUP(W816,rfm[],2,FALSE)</f>
        <v>🥇 Champions</v>
      </c>
      <c r="AA816" s="99" t="s">
        <v>2847</v>
      </c>
      <c r="AB816" s="99" t="s">
        <v>127</v>
      </c>
      <c r="AC816" s="100">
        <v>45943</v>
      </c>
      <c r="AD816" s="101">
        <v>80</v>
      </c>
      <c r="AE816" s="101">
        <v>5</v>
      </c>
      <c r="AF816" s="101">
        <v>852750000</v>
      </c>
      <c r="AG816" s="99" t="str">
        <f>VLOOKUP(AA816,recency!$K$6:$P$818,6,0)</f>
        <v>Low</v>
      </c>
      <c r="AH816" s="132" t="str">
        <f>VLOOKUP(AA816,frequency!$F$6:$H$818,3,FALSE)</f>
        <v>High</v>
      </c>
      <c r="AI816" s="129" t="str">
        <f>VLOOKUP(AA816,monetary!$B$5:$F$817,5,0)</f>
        <v>High</v>
      </c>
      <c r="AJ816" s="99" t="str">
        <f t="shared" si="128"/>
        <v>LHH</v>
      </c>
      <c r="AK816" s="99" t="str">
        <f>VLOOKUP(AJ816,rfm[],2,0)</f>
        <v>⚠️ At Risk High Value</v>
      </c>
      <c r="AN816" s="99" t="b">
        <f t="shared" si="129"/>
        <v>0</v>
      </c>
    </row>
    <row r="817" spans="2:40" x14ac:dyDescent="0.3">
      <c r="B817" s="99" t="s">
        <v>1489</v>
      </c>
      <c r="C817" s="100">
        <v>45807</v>
      </c>
      <c r="D817" s="99" t="s">
        <v>14</v>
      </c>
      <c r="E817" s="99" t="s">
        <v>15</v>
      </c>
      <c r="F817" s="99" t="s">
        <v>16</v>
      </c>
      <c r="G817" s="99">
        <v>35</v>
      </c>
      <c r="H817" s="112">
        <v>350000</v>
      </c>
      <c r="I817" s="112">
        <v>12250000</v>
      </c>
      <c r="J817" s="99" t="s">
        <v>2536</v>
      </c>
      <c r="K817" s="99" t="s">
        <v>127</v>
      </c>
      <c r="N817" s="99" t="s">
        <v>2848</v>
      </c>
      <c r="O817" s="99" t="s">
        <v>60</v>
      </c>
      <c r="P817" s="100">
        <f t="shared" si="121"/>
        <v>45855</v>
      </c>
      <c r="Q817" s="101">
        <f t="shared" si="120"/>
        <v>168</v>
      </c>
      <c r="R817" s="99">
        <f t="shared" si="122"/>
        <v>2</v>
      </c>
      <c r="S817" s="101">
        <f t="shared" si="123"/>
        <v>10800000</v>
      </c>
      <c r="T817" s="99" t="str">
        <f t="shared" si="124"/>
        <v>Low</v>
      </c>
      <c r="U817" s="99" t="str">
        <f t="shared" si="125"/>
        <v>Low</v>
      </c>
      <c r="V817" s="99" t="str">
        <f t="shared" si="126"/>
        <v>Low</v>
      </c>
      <c r="W817" s="99" t="str">
        <f t="shared" si="127"/>
        <v>LLL</v>
      </c>
      <c r="X817" s="99" t="str">
        <f>VLOOKUP(W817,rfm[],2,FALSE)</f>
        <v>💤 Lost / Low Value</v>
      </c>
      <c r="AA817" s="99" t="s">
        <v>2848</v>
      </c>
      <c r="AB817" s="99" t="s">
        <v>60</v>
      </c>
      <c r="AC817" s="100">
        <v>45855</v>
      </c>
      <c r="AD817" s="101">
        <v>168</v>
      </c>
      <c r="AE817" s="101">
        <v>2</v>
      </c>
      <c r="AF817" s="101">
        <v>10800000</v>
      </c>
      <c r="AG817" s="99" t="str">
        <f>VLOOKUP(AA817,recency!$K$6:$P$818,6,0)</f>
        <v>Low</v>
      </c>
      <c r="AH817" s="132" t="str">
        <f>VLOOKUP(AA817,frequency!$F$6:$H$818,3,FALSE)</f>
        <v>Low</v>
      </c>
      <c r="AI817" s="129" t="str">
        <f>VLOOKUP(AA817,monetary!$B$5:$F$817,5,0)</f>
        <v>Low</v>
      </c>
      <c r="AJ817" s="99" t="str">
        <f t="shared" si="128"/>
        <v>LLL</v>
      </c>
      <c r="AK817" s="99" t="str">
        <f>VLOOKUP(AJ817,rfm[],2,0)</f>
        <v>💤 Lost / Low Value</v>
      </c>
      <c r="AN817" s="99" t="b">
        <f t="shared" si="129"/>
        <v>1</v>
      </c>
    </row>
    <row r="818" spans="2:40" x14ac:dyDescent="0.3">
      <c r="B818" s="99" t="s">
        <v>1490</v>
      </c>
      <c r="C818" s="100">
        <v>45807</v>
      </c>
      <c r="D818" s="99" t="s">
        <v>38</v>
      </c>
      <c r="E818" s="99" t="s">
        <v>39</v>
      </c>
      <c r="F818" s="99" t="s">
        <v>16</v>
      </c>
      <c r="G818" s="99">
        <v>28</v>
      </c>
      <c r="H818" s="112">
        <v>200000</v>
      </c>
      <c r="I818" s="112">
        <v>5600000</v>
      </c>
      <c r="J818" s="99" t="s">
        <v>2773</v>
      </c>
      <c r="K818" s="99" t="s">
        <v>8</v>
      </c>
      <c r="AF818" s="106">
        <f>SUM(AF6:AF817)</f>
        <v>59851600000</v>
      </c>
    </row>
    <row r="819" spans="2:40" x14ac:dyDescent="0.3">
      <c r="B819" s="99" t="s">
        <v>1534</v>
      </c>
      <c r="C819" s="100">
        <v>45807</v>
      </c>
      <c r="D819" s="99" t="s">
        <v>14</v>
      </c>
      <c r="E819" s="99" t="s">
        <v>15</v>
      </c>
      <c r="F819" s="99" t="s">
        <v>16</v>
      </c>
      <c r="G819" s="99">
        <v>160</v>
      </c>
      <c r="H819" s="112">
        <v>350000</v>
      </c>
      <c r="I819" s="112">
        <v>56000000</v>
      </c>
      <c r="J819" s="99" t="s">
        <v>2362</v>
      </c>
      <c r="K819" s="99" t="s">
        <v>8</v>
      </c>
      <c r="AF819" s="92">
        <v>59851600000</v>
      </c>
    </row>
    <row r="820" spans="2:40" x14ac:dyDescent="0.3">
      <c r="B820" s="99" t="s">
        <v>1535</v>
      </c>
      <c r="C820" s="100">
        <v>45807</v>
      </c>
      <c r="D820" s="99" t="s">
        <v>14</v>
      </c>
      <c r="E820" s="99" t="s">
        <v>15</v>
      </c>
      <c r="F820" s="99" t="s">
        <v>16</v>
      </c>
      <c r="G820" s="99">
        <v>15</v>
      </c>
      <c r="H820" s="112">
        <v>350000</v>
      </c>
      <c r="I820" s="112">
        <v>5250000</v>
      </c>
      <c r="J820" s="99" t="s">
        <v>2297</v>
      </c>
      <c r="K820" s="99" t="s">
        <v>69</v>
      </c>
    </row>
    <row r="821" spans="2:40" x14ac:dyDescent="0.3">
      <c r="B821" s="99" t="s">
        <v>1536</v>
      </c>
      <c r="C821" s="100">
        <v>45807</v>
      </c>
      <c r="D821" s="99" t="s">
        <v>40</v>
      </c>
      <c r="E821" s="99" t="s">
        <v>41</v>
      </c>
      <c r="F821" s="99" t="s">
        <v>16</v>
      </c>
      <c r="G821" s="99">
        <v>7</v>
      </c>
      <c r="H821" s="112">
        <v>950000</v>
      </c>
      <c r="I821" s="112">
        <v>6650000</v>
      </c>
      <c r="J821" s="99" t="s">
        <v>2707</v>
      </c>
      <c r="K821" s="99" t="s">
        <v>127</v>
      </c>
      <c r="Q821" s="106"/>
    </row>
    <row r="822" spans="2:40" x14ac:dyDescent="0.3">
      <c r="B822" s="99" t="s">
        <v>1537</v>
      </c>
      <c r="C822" s="100">
        <v>45807</v>
      </c>
      <c r="D822" s="99" t="s">
        <v>44</v>
      </c>
      <c r="E822" s="99" t="s">
        <v>45</v>
      </c>
      <c r="F822" s="99" t="s">
        <v>16</v>
      </c>
      <c r="G822" s="99">
        <v>100</v>
      </c>
      <c r="H822" s="112">
        <v>250000</v>
      </c>
      <c r="I822" s="112">
        <v>25000000</v>
      </c>
      <c r="J822" s="99" t="s">
        <v>2779</v>
      </c>
      <c r="K822" s="99" t="s">
        <v>8</v>
      </c>
    </row>
    <row r="823" spans="2:40" x14ac:dyDescent="0.3">
      <c r="B823" s="99" t="s">
        <v>1538</v>
      </c>
      <c r="C823" s="100">
        <v>45807</v>
      </c>
      <c r="D823" s="99" t="s">
        <v>14</v>
      </c>
      <c r="E823" s="99" t="s">
        <v>15</v>
      </c>
      <c r="F823" s="99" t="s">
        <v>16</v>
      </c>
      <c r="G823" s="99">
        <v>21</v>
      </c>
      <c r="H823" s="112">
        <v>350000</v>
      </c>
      <c r="I823" s="112">
        <v>7350000</v>
      </c>
      <c r="J823" s="99" t="s">
        <v>2812</v>
      </c>
      <c r="K823" s="99" t="s">
        <v>47</v>
      </c>
    </row>
    <row r="824" spans="2:40" x14ac:dyDescent="0.3">
      <c r="B824" s="99" t="s">
        <v>1539</v>
      </c>
      <c r="C824" s="100">
        <v>45807</v>
      </c>
      <c r="D824" s="99" t="s">
        <v>31</v>
      </c>
      <c r="E824" s="99" t="s">
        <v>32</v>
      </c>
      <c r="F824" s="99" t="s">
        <v>20</v>
      </c>
      <c r="G824" s="99">
        <v>24</v>
      </c>
      <c r="H824" s="112">
        <v>180000</v>
      </c>
      <c r="I824" s="112">
        <v>4320000</v>
      </c>
      <c r="J824" s="99" t="s">
        <v>2581</v>
      </c>
      <c r="K824" s="99" t="s">
        <v>60</v>
      </c>
    </row>
    <row r="825" spans="2:40" x14ac:dyDescent="0.3">
      <c r="B825" s="99" t="s">
        <v>1540</v>
      </c>
      <c r="C825" s="100">
        <v>45807</v>
      </c>
      <c r="D825" s="99" t="s">
        <v>22</v>
      </c>
      <c r="E825" s="99" t="s">
        <v>23</v>
      </c>
      <c r="F825" s="99" t="s">
        <v>12</v>
      </c>
      <c r="G825" s="99">
        <v>150</v>
      </c>
      <c r="H825" s="112">
        <v>25000</v>
      </c>
      <c r="I825" s="112">
        <v>3750000</v>
      </c>
      <c r="J825" s="99" t="s">
        <v>2184</v>
      </c>
      <c r="K825" s="99" t="s">
        <v>127</v>
      </c>
    </row>
    <row r="826" spans="2:40" x14ac:dyDescent="0.3">
      <c r="B826" s="99" t="s">
        <v>1541</v>
      </c>
      <c r="C826" s="100">
        <v>45807</v>
      </c>
      <c r="D826" s="99" t="s">
        <v>10</v>
      </c>
      <c r="E826" s="99" t="s">
        <v>11</v>
      </c>
      <c r="F826" s="99" t="s">
        <v>12</v>
      </c>
      <c r="G826" s="99">
        <v>13</v>
      </c>
      <c r="H826" s="112">
        <v>120000</v>
      </c>
      <c r="I826" s="112">
        <v>1560000</v>
      </c>
      <c r="J826" s="99" t="s">
        <v>1431</v>
      </c>
      <c r="K826" s="99" t="s">
        <v>69</v>
      </c>
    </row>
    <row r="827" spans="2:40" x14ac:dyDescent="0.3">
      <c r="B827" s="99" t="s">
        <v>1566</v>
      </c>
      <c r="C827" s="100">
        <v>45807</v>
      </c>
      <c r="D827" s="99" t="s">
        <v>40</v>
      </c>
      <c r="E827" s="99" t="s">
        <v>41</v>
      </c>
      <c r="F827" s="99" t="s">
        <v>16</v>
      </c>
      <c r="G827" s="99">
        <v>44</v>
      </c>
      <c r="H827" s="112">
        <v>950000</v>
      </c>
      <c r="I827" s="112">
        <v>41800000</v>
      </c>
      <c r="J827" s="99" t="s">
        <v>2643</v>
      </c>
      <c r="K827" s="99" t="s">
        <v>60</v>
      </c>
    </row>
    <row r="828" spans="2:40" x14ac:dyDescent="0.3">
      <c r="B828" s="99" t="s">
        <v>1567</v>
      </c>
      <c r="C828" s="100">
        <v>45807</v>
      </c>
      <c r="D828" s="99" t="s">
        <v>10</v>
      </c>
      <c r="E828" s="99" t="s">
        <v>11</v>
      </c>
      <c r="F828" s="99" t="s">
        <v>12</v>
      </c>
      <c r="G828" s="99">
        <v>36</v>
      </c>
      <c r="H828" s="112">
        <v>120000</v>
      </c>
      <c r="I828" s="112">
        <v>4320000</v>
      </c>
      <c r="J828" s="99" t="s">
        <v>2343</v>
      </c>
      <c r="K828" s="99" t="s">
        <v>8</v>
      </c>
    </row>
    <row r="829" spans="2:40" x14ac:dyDescent="0.3">
      <c r="B829" s="99" t="s">
        <v>1568</v>
      </c>
      <c r="C829" s="100">
        <v>45807</v>
      </c>
      <c r="D829" s="99" t="s">
        <v>44</v>
      </c>
      <c r="E829" s="99" t="s">
        <v>45</v>
      </c>
      <c r="F829" s="99" t="s">
        <v>16</v>
      </c>
      <c r="G829" s="99">
        <v>29</v>
      </c>
      <c r="H829" s="112">
        <v>250000</v>
      </c>
      <c r="I829" s="112">
        <v>7250000</v>
      </c>
      <c r="J829" s="99" t="s">
        <v>2258</v>
      </c>
      <c r="K829" s="99" t="s">
        <v>127</v>
      </c>
    </row>
    <row r="830" spans="2:40" x14ac:dyDescent="0.3">
      <c r="B830" s="99" t="s">
        <v>1591</v>
      </c>
      <c r="C830" s="100">
        <v>45812</v>
      </c>
      <c r="D830" s="99" t="s">
        <v>28</v>
      </c>
      <c r="E830" s="99" t="s">
        <v>29</v>
      </c>
      <c r="F830" s="99" t="s">
        <v>20</v>
      </c>
      <c r="G830" s="99">
        <v>46</v>
      </c>
      <c r="H830" s="112">
        <v>450000</v>
      </c>
      <c r="I830" s="112">
        <v>20700000</v>
      </c>
      <c r="J830" s="99" t="s">
        <v>2716</v>
      </c>
      <c r="K830" s="99" t="s">
        <v>127</v>
      </c>
    </row>
    <row r="831" spans="2:40" x14ac:dyDescent="0.3">
      <c r="B831" s="99" t="s">
        <v>1592</v>
      </c>
      <c r="C831" s="100">
        <v>45812</v>
      </c>
      <c r="D831" s="99" t="s">
        <v>44</v>
      </c>
      <c r="E831" s="99" t="s">
        <v>45</v>
      </c>
      <c r="F831" s="99" t="s">
        <v>16</v>
      </c>
      <c r="G831" s="99">
        <v>25</v>
      </c>
      <c r="H831" s="112">
        <v>250000</v>
      </c>
      <c r="I831" s="112">
        <v>6250000</v>
      </c>
      <c r="J831" s="99" t="s">
        <v>2412</v>
      </c>
      <c r="K831" s="99" t="s">
        <v>69</v>
      </c>
    </row>
    <row r="832" spans="2:40" x14ac:dyDescent="0.3">
      <c r="B832" s="99" t="s">
        <v>1593</v>
      </c>
      <c r="C832" s="100">
        <v>45812</v>
      </c>
      <c r="D832" s="99" t="s">
        <v>22</v>
      </c>
      <c r="E832" s="99" t="s">
        <v>23</v>
      </c>
      <c r="F832" s="99" t="s">
        <v>12</v>
      </c>
      <c r="G832" s="99">
        <v>35</v>
      </c>
      <c r="H832" s="112">
        <v>25000</v>
      </c>
      <c r="I832" s="112">
        <v>875000</v>
      </c>
      <c r="J832" s="99" t="s">
        <v>2202</v>
      </c>
      <c r="K832" s="99" t="s">
        <v>8</v>
      </c>
    </row>
    <row r="833" spans="2:11" x14ac:dyDescent="0.3">
      <c r="B833" s="99" t="s">
        <v>1594</v>
      </c>
      <c r="C833" s="100">
        <v>45812</v>
      </c>
      <c r="D833" s="99" t="s">
        <v>38</v>
      </c>
      <c r="E833" s="99" t="s">
        <v>39</v>
      </c>
      <c r="F833" s="99" t="s">
        <v>16</v>
      </c>
      <c r="G833" s="99">
        <v>15</v>
      </c>
      <c r="H833" s="112">
        <v>200000</v>
      </c>
      <c r="I833" s="112">
        <v>3000000</v>
      </c>
      <c r="J833" s="99" t="s">
        <v>2507</v>
      </c>
      <c r="K833" s="99" t="s">
        <v>127</v>
      </c>
    </row>
    <row r="834" spans="2:11" x14ac:dyDescent="0.3">
      <c r="B834" s="99" t="s">
        <v>1595</v>
      </c>
      <c r="C834" s="100">
        <v>45812</v>
      </c>
      <c r="D834" s="99" t="s">
        <v>31</v>
      </c>
      <c r="E834" s="99" t="s">
        <v>32</v>
      </c>
      <c r="F834" s="99" t="s">
        <v>20</v>
      </c>
      <c r="G834" s="99">
        <v>26</v>
      </c>
      <c r="H834" s="112">
        <v>180000</v>
      </c>
      <c r="I834" s="112">
        <v>4680000</v>
      </c>
      <c r="J834" s="99" t="s">
        <v>2210</v>
      </c>
      <c r="K834" s="99" t="s">
        <v>127</v>
      </c>
    </row>
    <row r="835" spans="2:11" x14ac:dyDescent="0.3">
      <c r="B835" s="99" t="s">
        <v>1617</v>
      </c>
      <c r="C835" s="100">
        <v>45812</v>
      </c>
      <c r="D835" s="99" t="s">
        <v>31</v>
      </c>
      <c r="E835" s="99" t="s">
        <v>32</v>
      </c>
      <c r="F835" s="99" t="s">
        <v>20</v>
      </c>
      <c r="G835" s="99">
        <v>9</v>
      </c>
      <c r="H835" s="112">
        <v>180000</v>
      </c>
      <c r="I835" s="112">
        <v>1620000</v>
      </c>
      <c r="J835" s="99" t="s">
        <v>2641</v>
      </c>
      <c r="K835" s="99" t="s">
        <v>47</v>
      </c>
    </row>
    <row r="836" spans="2:11" x14ac:dyDescent="0.3">
      <c r="B836" s="99" t="s">
        <v>1618</v>
      </c>
      <c r="C836" s="100">
        <v>45812</v>
      </c>
      <c r="D836" s="99" t="s">
        <v>38</v>
      </c>
      <c r="E836" s="99" t="s">
        <v>39</v>
      </c>
      <c r="F836" s="99" t="s">
        <v>16</v>
      </c>
      <c r="G836" s="99">
        <v>37</v>
      </c>
      <c r="H836" s="112">
        <v>200000</v>
      </c>
      <c r="I836" s="112">
        <v>7400000</v>
      </c>
      <c r="J836" s="99" t="s">
        <v>2053</v>
      </c>
      <c r="K836" s="99" t="s">
        <v>8</v>
      </c>
    </row>
    <row r="837" spans="2:11" x14ac:dyDescent="0.3">
      <c r="B837" s="99" t="s">
        <v>1619</v>
      </c>
      <c r="C837" s="100">
        <v>45812</v>
      </c>
      <c r="D837" s="99" t="s">
        <v>44</v>
      </c>
      <c r="E837" s="99" t="s">
        <v>45</v>
      </c>
      <c r="F837" s="99" t="s">
        <v>16</v>
      </c>
      <c r="G837" s="99">
        <v>10</v>
      </c>
      <c r="H837" s="112">
        <v>250000</v>
      </c>
      <c r="I837" s="112">
        <v>2500000</v>
      </c>
      <c r="J837" s="99" t="s">
        <v>2207</v>
      </c>
      <c r="K837" s="99" t="s">
        <v>8</v>
      </c>
    </row>
    <row r="838" spans="2:11" x14ac:dyDescent="0.3">
      <c r="B838" s="99" t="s">
        <v>1620</v>
      </c>
      <c r="C838" s="100">
        <v>45812</v>
      </c>
      <c r="D838" s="99" t="s">
        <v>10</v>
      </c>
      <c r="E838" s="99" t="s">
        <v>11</v>
      </c>
      <c r="F838" s="99" t="s">
        <v>12</v>
      </c>
      <c r="G838" s="99">
        <v>46</v>
      </c>
      <c r="H838" s="112">
        <v>120000</v>
      </c>
      <c r="I838" s="112">
        <v>5520000</v>
      </c>
      <c r="J838" s="99" t="s">
        <v>792</v>
      </c>
      <c r="K838" s="99" t="s">
        <v>47</v>
      </c>
    </row>
    <row r="839" spans="2:11" x14ac:dyDescent="0.3">
      <c r="B839" s="99" t="s">
        <v>1621</v>
      </c>
      <c r="C839" s="100">
        <v>45812</v>
      </c>
      <c r="D839" s="99" t="s">
        <v>22</v>
      </c>
      <c r="E839" s="99" t="s">
        <v>23</v>
      </c>
      <c r="F839" s="99" t="s">
        <v>12</v>
      </c>
      <c r="G839" s="99">
        <v>21</v>
      </c>
      <c r="H839" s="112">
        <v>25000</v>
      </c>
      <c r="I839" s="112">
        <v>525000</v>
      </c>
      <c r="J839" s="99" t="s">
        <v>2445</v>
      </c>
      <c r="K839" s="99" t="s">
        <v>69</v>
      </c>
    </row>
    <row r="840" spans="2:11" x14ac:dyDescent="0.3">
      <c r="B840" s="99" t="s">
        <v>1654</v>
      </c>
      <c r="C840" s="100">
        <v>45812</v>
      </c>
      <c r="D840" s="99" t="s">
        <v>44</v>
      </c>
      <c r="E840" s="99" t="s">
        <v>45</v>
      </c>
      <c r="F840" s="99" t="s">
        <v>16</v>
      </c>
      <c r="G840" s="99">
        <v>49</v>
      </c>
      <c r="H840" s="112">
        <v>250000</v>
      </c>
      <c r="I840" s="112">
        <v>12250000</v>
      </c>
      <c r="J840" s="99" t="s">
        <v>2431</v>
      </c>
      <c r="K840" s="99" t="s">
        <v>127</v>
      </c>
    </row>
    <row r="841" spans="2:11" x14ac:dyDescent="0.3">
      <c r="B841" s="99" t="s">
        <v>1655</v>
      </c>
      <c r="C841" s="100">
        <v>45813</v>
      </c>
      <c r="D841" s="99" t="s">
        <v>28</v>
      </c>
      <c r="E841" s="99" t="s">
        <v>29</v>
      </c>
      <c r="F841" s="99" t="s">
        <v>20</v>
      </c>
      <c r="G841" s="99">
        <v>44</v>
      </c>
      <c r="H841" s="112">
        <v>450000</v>
      </c>
      <c r="I841" s="112">
        <v>19800000</v>
      </c>
      <c r="J841" s="99" t="s">
        <v>2376</v>
      </c>
      <c r="K841" s="99" t="s">
        <v>127</v>
      </c>
    </row>
    <row r="842" spans="2:11" x14ac:dyDescent="0.3">
      <c r="B842" s="99" t="s">
        <v>1656</v>
      </c>
      <c r="C842" s="100">
        <v>45813</v>
      </c>
      <c r="D842" s="99" t="s">
        <v>44</v>
      </c>
      <c r="E842" s="99" t="s">
        <v>45</v>
      </c>
      <c r="F842" s="99" t="s">
        <v>16</v>
      </c>
      <c r="G842" s="99">
        <v>4</v>
      </c>
      <c r="H842" s="112">
        <v>250000</v>
      </c>
      <c r="I842" s="112">
        <v>1000000</v>
      </c>
      <c r="J842" s="99" t="s">
        <v>2276</v>
      </c>
      <c r="K842" s="99" t="s">
        <v>8</v>
      </c>
    </row>
    <row r="843" spans="2:11" x14ac:dyDescent="0.3">
      <c r="B843" s="99" t="s">
        <v>1657</v>
      </c>
      <c r="C843" s="100">
        <v>45813</v>
      </c>
      <c r="D843" s="99" t="s">
        <v>40</v>
      </c>
      <c r="E843" s="99" t="s">
        <v>41</v>
      </c>
      <c r="F843" s="99" t="s">
        <v>16</v>
      </c>
      <c r="G843" s="99">
        <v>280</v>
      </c>
      <c r="H843" s="112">
        <v>950000</v>
      </c>
      <c r="I843" s="112">
        <v>266000000</v>
      </c>
      <c r="J843" s="99" t="s">
        <v>728</v>
      </c>
      <c r="K843" s="99" t="s">
        <v>47</v>
      </c>
    </row>
    <row r="844" spans="2:11" x14ac:dyDescent="0.3">
      <c r="B844" s="99" t="s">
        <v>1658</v>
      </c>
      <c r="C844" s="100">
        <v>45813</v>
      </c>
      <c r="D844" s="99" t="s">
        <v>14</v>
      </c>
      <c r="E844" s="99" t="s">
        <v>15</v>
      </c>
      <c r="F844" s="99" t="s">
        <v>16</v>
      </c>
      <c r="G844" s="99">
        <v>21</v>
      </c>
      <c r="H844" s="112">
        <v>350000</v>
      </c>
      <c r="I844" s="112">
        <v>7350000</v>
      </c>
      <c r="J844" s="99" t="s">
        <v>2129</v>
      </c>
      <c r="K844" s="99" t="s">
        <v>8</v>
      </c>
    </row>
    <row r="845" spans="2:11" x14ac:dyDescent="0.3">
      <c r="B845" s="99" t="s">
        <v>1659</v>
      </c>
      <c r="C845" s="100">
        <v>45813</v>
      </c>
      <c r="D845" s="99" t="s">
        <v>18</v>
      </c>
      <c r="E845" s="99" t="s">
        <v>19</v>
      </c>
      <c r="F845" s="99" t="s">
        <v>20</v>
      </c>
      <c r="G845" s="99">
        <v>110</v>
      </c>
      <c r="H845" s="112">
        <v>500000</v>
      </c>
      <c r="I845" s="112">
        <v>55000000</v>
      </c>
      <c r="J845" s="99" t="s">
        <v>2432</v>
      </c>
      <c r="K845" s="99" t="s">
        <v>8</v>
      </c>
    </row>
    <row r="846" spans="2:11" x14ac:dyDescent="0.3">
      <c r="B846" s="99" t="s">
        <v>1690</v>
      </c>
      <c r="C846" s="100">
        <v>45813</v>
      </c>
      <c r="D846" s="99" t="s">
        <v>28</v>
      </c>
      <c r="E846" s="99" t="s">
        <v>29</v>
      </c>
      <c r="F846" s="99" t="s">
        <v>20</v>
      </c>
      <c r="G846" s="99">
        <v>15</v>
      </c>
      <c r="H846" s="112">
        <v>450000</v>
      </c>
      <c r="I846" s="112">
        <v>6750000</v>
      </c>
      <c r="J846" s="99" t="s">
        <v>2482</v>
      </c>
      <c r="K846" s="99" t="s">
        <v>127</v>
      </c>
    </row>
    <row r="847" spans="2:11" x14ac:dyDescent="0.3">
      <c r="B847" s="99" t="s">
        <v>1691</v>
      </c>
      <c r="C847" s="100">
        <v>45813</v>
      </c>
      <c r="D847" s="99" t="s">
        <v>14</v>
      </c>
      <c r="E847" s="99" t="s">
        <v>15</v>
      </c>
      <c r="F847" s="99" t="s">
        <v>16</v>
      </c>
      <c r="G847" s="99">
        <v>10</v>
      </c>
      <c r="H847" s="112">
        <v>350000</v>
      </c>
      <c r="I847" s="112">
        <v>3500000</v>
      </c>
      <c r="J847" s="99" t="s">
        <v>2470</v>
      </c>
      <c r="K847" s="99" t="s">
        <v>60</v>
      </c>
    </row>
    <row r="848" spans="2:11" x14ac:dyDescent="0.3">
      <c r="B848" s="99" t="s">
        <v>1692</v>
      </c>
      <c r="C848" s="100">
        <v>45813</v>
      </c>
      <c r="D848" s="99" t="s">
        <v>38</v>
      </c>
      <c r="E848" s="99" t="s">
        <v>39</v>
      </c>
      <c r="F848" s="99" t="s">
        <v>16</v>
      </c>
      <c r="G848" s="99">
        <v>11</v>
      </c>
      <c r="H848" s="112">
        <v>200000</v>
      </c>
      <c r="I848" s="112">
        <v>2200000</v>
      </c>
      <c r="J848" s="99" t="s">
        <v>2448</v>
      </c>
      <c r="K848" s="99" t="s">
        <v>60</v>
      </c>
    </row>
    <row r="849" spans="2:11" x14ac:dyDescent="0.3">
      <c r="B849" s="99" t="s">
        <v>1693</v>
      </c>
      <c r="C849" s="100">
        <v>45813</v>
      </c>
      <c r="D849" s="99" t="s">
        <v>44</v>
      </c>
      <c r="E849" s="99" t="s">
        <v>45</v>
      </c>
      <c r="F849" s="99" t="s">
        <v>16</v>
      </c>
      <c r="G849" s="99">
        <v>23</v>
      </c>
      <c r="H849" s="112">
        <v>250000</v>
      </c>
      <c r="I849" s="112">
        <v>5750000</v>
      </c>
      <c r="J849" s="99" t="s">
        <v>2230</v>
      </c>
      <c r="K849" s="99" t="s">
        <v>47</v>
      </c>
    </row>
    <row r="850" spans="2:11" x14ac:dyDescent="0.3">
      <c r="B850" s="99" t="s">
        <v>1694</v>
      </c>
      <c r="C850" s="100">
        <v>45817</v>
      </c>
      <c r="D850" s="99" t="s">
        <v>38</v>
      </c>
      <c r="E850" s="99" t="s">
        <v>39</v>
      </c>
      <c r="F850" s="99" t="s">
        <v>16</v>
      </c>
      <c r="G850" s="99">
        <v>100</v>
      </c>
      <c r="H850" s="112">
        <v>200000</v>
      </c>
      <c r="I850" s="112">
        <v>20000000</v>
      </c>
      <c r="J850" s="99" t="s">
        <v>2779</v>
      </c>
      <c r="K850" s="99" t="s">
        <v>8</v>
      </c>
    </row>
    <row r="851" spans="2:11" x14ac:dyDescent="0.3">
      <c r="B851" s="99" t="s">
        <v>1695</v>
      </c>
      <c r="C851" s="100">
        <v>45817</v>
      </c>
      <c r="D851" s="99" t="s">
        <v>22</v>
      </c>
      <c r="E851" s="99" t="s">
        <v>23</v>
      </c>
      <c r="F851" s="99" t="s">
        <v>12</v>
      </c>
      <c r="G851" s="99">
        <v>22</v>
      </c>
      <c r="H851" s="112">
        <v>25000</v>
      </c>
      <c r="I851" s="112">
        <v>550000</v>
      </c>
      <c r="J851" s="99" t="s">
        <v>2202</v>
      </c>
      <c r="K851" s="99" t="s">
        <v>8</v>
      </c>
    </row>
    <row r="852" spans="2:11" x14ac:dyDescent="0.3">
      <c r="B852" s="99" t="s">
        <v>1727</v>
      </c>
      <c r="C852" s="100">
        <v>45817</v>
      </c>
      <c r="D852" s="99" t="s">
        <v>40</v>
      </c>
      <c r="E852" s="99" t="s">
        <v>41</v>
      </c>
      <c r="F852" s="99" t="s">
        <v>16</v>
      </c>
      <c r="G852" s="99">
        <v>5</v>
      </c>
      <c r="H852" s="112">
        <v>950000</v>
      </c>
      <c r="I852" s="112">
        <v>4750000</v>
      </c>
      <c r="J852" s="99" t="s">
        <v>2427</v>
      </c>
      <c r="K852" s="99" t="s">
        <v>8</v>
      </c>
    </row>
    <row r="853" spans="2:11" x14ac:dyDescent="0.3">
      <c r="B853" s="99" t="s">
        <v>1728</v>
      </c>
      <c r="C853" s="100">
        <v>45817</v>
      </c>
      <c r="D853" s="99" t="s">
        <v>44</v>
      </c>
      <c r="E853" s="99" t="s">
        <v>45</v>
      </c>
      <c r="F853" s="99" t="s">
        <v>16</v>
      </c>
      <c r="G853" s="99">
        <v>28</v>
      </c>
      <c r="H853" s="112">
        <v>250000</v>
      </c>
      <c r="I853" s="112">
        <v>7000000</v>
      </c>
      <c r="J853" s="99" t="s">
        <v>1584</v>
      </c>
      <c r="K853" s="99" t="s">
        <v>127</v>
      </c>
    </row>
    <row r="854" spans="2:11" x14ac:dyDescent="0.3">
      <c r="B854" s="99" t="s">
        <v>1729</v>
      </c>
      <c r="C854" s="100">
        <v>45817</v>
      </c>
      <c r="D854" s="99" t="s">
        <v>38</v>
      </c>
      <c r="E854" s="99" t="s">
        <v>39</v>
      </c>
      <c r="F854" s="99" t="s">
        <v>16</v>
      </c>
      <c r="G854" s="99">
        <v>100</v>
      </c>
      <c r="H854" s="112">
        <v>200000</v>
      </c>
      <c r="I854" s="112">
        <v>20000000</v>
      </c>
      <c r="J854" s="99" t="s">
        <v>2779</v>
      </c>
      <c r="K854" s="99" t="s">
        <v>8</v>
      </c>
    </row>
    <row r="855" spans="2:11" x14ac:dyDescent="0.3">
      <c r="B855" s="99" t="s">
        <v>1730</v>
      </c>
      <c r="C855" s="100">
        <v>45817</v>
      </c>
      <c r="D855" s="99" t="s">
        <v>40</v>
      </c>
      <c r="E855" s="99" t="s">
        <v>41</v>
      </c>
      <c r="F855" s="99" t="s">
        <v>16</v>
      </c>
      <c r="G855" s="99">
        <v>28</v>
      </c>
      <c r="H855" s="112">
        <v>950000</v>
      </c>
      <c r="I855" s="112">
        <v>26600000</v>
      </c>
      <c r="J855" s="99" t="s">
        <v>2476</v>
      </c>
      <c r="K855" s="99" t="s">
        <v>47</v>
      </c>
    </row>
    <row r="856" spans="2:11" x14ac:dyDescent="0.3">
      <c r="B856" s="99" t="s">
        <v>1731</v>
      </c>
      <c r="C856" s="100">
        <v>45817</v>
      </c>
      <c r="D856" s="99" t="s">
        <v>31</v>
      </c>
      <c r="E856" s="99" t="s">
        <v>32</v>
      </c>
      <c r="F856" s="99" t="s">
        <v>20</v>
      </c>
      <c r="G856" s="99">
        <v>18</v>
      </c>
      <c r="H856" s="112">
        <v>180000</v>
      </c>
      <c r="I856" s="112">
        <v>3240000</v>
      </c>
      <c r="J856" s="99" t="s">
        <v>2672</v>
      </c>
      <c r="K856" s="99" t="s">
        <v>47</v>
      </c>
    </row>
    <row r="857" spans="2:11" x14ac:dyDescent="0.3">
      <c r="B857" s="99" t="s">
        <v>1732</v>
      </c>
      <c r="C857" s="100">
        <v>45817</v>
      </c>
      <c r="D857" s="99" t="s">
        <v>14</v>
      </c>
      <c r="E857" s="99" t="s">
        <v>15</v>
      </c>
      <c r="F857" s="99" t="s">
        <v>16</v>
      </c>
      <c r="G857" s="99">
        <v>39</v>
      </c>
      <c r="H857" s="112">
        <v>350000</v>
      </c>
      <c r="I857" s="112">
        <v>13650000</v>
      </c>
      <c r="J857" s="99" t="s">
        <v>2026</v>
      </c>
      <c r="K857" s="99" t="s">
        <v>47</v>
      </c>
    </row>
    <row r="858" spans="2:11" x14ac:dyDescent="0.3">
      <c r="B858" s="99" t="s">
        <v>1733</v>
      </c>
      <c r="C858" s="100">
        <v>45817</v>
      </c>
      <c r="D858" s="99" t="s">
        <v>14</v>
      </c>
      <c r="E858" s="99" t="s">
        <v>15</v>
      </c>
      <c r="F858" s="99" t="s">
        <v>16</v>
      </c>
      <c r="G858" s="99">
        <v>27</v>
      </c>
      <c r="H858" s="112">
        <v>350000</v>
      </c>
      <c r="I858" s="112">
        <v>9450000</v>
      </c>
      <c r="J858" s="99" t="s">
        <v>2831</v>
      </c>
      <c r="K858" s="99" t="s">
        <v>8</v>
      </c>
    </row>
    <row r="859" spans="2:11" x14ac:dyDescent="0.3">
      <c r="B859" s="99" t="s">
        <v>1734</v>
      </c>
      <c r="C859" s="100">
        <v>45817</v>
      </c>
      <c r="D859" s="99" t="s">
        <v>40</v>
      </c>
      <c r="E859" s="99" t="s">
        <v>41</v>
      </c>
      <c r="F859" s="99" t="s">
        <v>16</v>
      </c>
      <c r="G859" s="99">
        <v>340</v>
      </c>
      <c r="H859" s="112">
        <v>950000</v>
      </c>
      <c r="I859" s="112">
        <v>323000000</v>
      </c>
      <c r="J859" s="99" t="s">
        <v>2604</v>
      </c>
      <c r="K859" s="99" t="s">
        <v>47</v>
      </c>
    </row>
    <row r="860" spans="2:11" x14ac:dyDescent="0.3">
      <c r="B860" s="99" t="s">
        <v>1768</v>
      </c>
      <c r="C860" s="100">
        <v>45817</v>
      </c>
      <c r="D860" s="99" t="s">
        <v>44</v>
      </c>
      <c r="E860" s="99" t="s">
        <v>45</v>
      </c>
      <c r="F860" s="99" t="s">
        <v>16</v>
      </c>
      <c r="G860" s="99">
        <v>28</v>
      </c>
      <c r="H860" s="112">
        <v>250000</v>
      </c>
      <c r="I860" s="112">
        <v>7000000</v>
      </c>
      <c r="J860" s="99" t="s">
        <v>878</v>
      </c>
      <c r="K860" s="99" t="s">
        <v>8</v>
      </c>
    </row>
    <row r="861" spans="2:11" x14ac:dyDescent="0.3">
      <c r="B861" s="99" t="s">
        <v>1769</v>
      </c>
      <c r="C861" s="100">
        <v>45817</v>
      </c>
      <c r="D861" s="99" t="s">
        <v>42</v>
      </c>
      <c r="E861" s="99" t="s">
        <v>43</v>
      </c>
      <c r="F861" s="99" t="s">
        <v>16</v>
      </c>
      <c r="G861" s="99">
        <v>490</v>
      </c>
      <c r="H861" s="112">
        <v>1200000</v>
      </c>
      <c r="I861" s="112">
        <v>588000000</v>
      </c>
      <c r="J861" s="99" t="s">
        <v>2432</v>
      </c>
      <c r="K861" s="99" t="s">
        <v>8</v>
      </c>
    </row>
    <row r="862" spans="2:11" x14ac:dyDescent="0.3">
      <c r="B862" s="99" t="s">
        <v>1770</v>
      </c>
      <c r="C862" s="100">
        <v>45817</v>
      </c>
      <c r="D862" s="99" t="s">
        <v>31</v>
      </c>
      <c r="E862" s="99" t="s">
        <v>32</v>
      </c>
      <c r="F862" s="99" t="s">
        <v>20</v>
      </c>
      <c r="G862" s="99">
        <v>370</v>
      </c>
      <c r="H862" s="112">
        <v>180000</v>
      </c>
      <c r="I862" s="112">
        <v>66600000</v>
      </c>
      <c r="J862" s="99" t="s">
        <v>2429</v>
      </c>
      <c r="K862" s="99" t="s">
        <v>127</v>
      </c>
    </row>
    <row r="863" spans="2:11" x14ac:dyDescent="0.3">
      <c r="B863" s="99" t="s">
        <v>1800</v>
      </c>
      <c r="C863" s="100">
        <v>45817</v>
      </c>
      <c r="D863" s="99" t="s">
        <v>10</v>
      </c>
      <c r="E863" s="99" t="s">
        <v>11</v>
      </c>
      <c r="F863" s="99" t="s">
        <v>12</v>
      </c>
      <c r="G863" s="99">
        <v>44</v>
      </c>
      <c r="H863" s="112">
        <v>120000</v>
      </c>
      <c r="I863" s="112">
        <v>5280000</v>
      </c>
      <c r="J863" s="99" t="s">
        <v>2728</v>
      </c>
      <c r="K863" s="99" t="s">
        <v>47</v>
      </c>
    </row>
    <row r="864" spans="2:11" x14ac:dyDescent="0.3">
      <c r="B864" s="99" t="s">
        <v>1801</v>
      </c>
      <c r="C864" s="100">
        <v>45819</v>
      </c>
      <c r="D864" s="99" t="s">
        <v>38</v>
      </c>
      <c r="E864" s="99" t="s">
        <v>39</v>
      </c>
      <c r="F864" s="99" t="s">
        <v>16</v>
      </c>
      <c r="G864" s="99">
        <v>440</v>
      </c>
      <c r="H864" s="112">
        <v>200000</v>
      </c>
      <c r="I864" s="112">
        <v>88000000</v>
      </c>
      <c r="J864" s="99" t="s">
        <v>2618</v>
      </c>
      <c r="K864" s="99" t="s">
        <v>8</v>
      </c>
    </row>
    <row r="865" spans="2:11" x14ac:dyDescent="0.3">
      <c r="B865" s="99" t="s">
        <v>1802</v>
      </c>
      <c r="C865" s="100">
        <v>45819</v>
      </c>
      <c r="D865" s="99" t="s">
        <v>28</v>
      </c>
      <c r="E865" s="99" t="s">
        <v>29</v>
      </c>
      <c r="F865" s="99" t="s">
        <v>20</v>
      </c>
      <c r="G865" s="99">
        <v>40</v>
      </c>
      <c r="H865" s="112">
        <v>450000</v>
      </c>
      <c r="I865" s="112">
        <v>18000000</v>
      </c>
      <c r="J865" s="99" t="s">
        <v>2289</v>
      </c>
      <c r="K865" s="99" t="s">
        <v>127</v>
      </c>
    </row>
    <row r="866" spans="2:11" x14ac:dyDescent="0.3">
      <c r="B866" s="99" t="s">
        <v>1803</v>
      </c>
      <c r="C866" s="100">
        <v>45819</v>
      </c>
      <c r="D866" s="99" t="s">
        <v>14</v>
      </c>
      <c r="E866" s="99" t="s">
        <v>15</v>
      </c>
      <c r="F866" s="99" t="s">
        <v>16</v>
      </c>
      <c r="G866" s="99">
        <v>46</v>
      </c>
      <c r="H866" s="112">
        <v>350000</v>
      </c>
      <c r="I866" s="112">
        <v>16100000</v>
      </c>
      <c r="J866" s="99" t="s">
        <v>2186</v>
      </c>
      <c r="K866" s="99" t="s">
        <v>69</v>
      </c>
    </row>
    <row r="867" spans="2:11" x14ac:dyDescent="0.3">
      <c r="B867" s="99" t="s">
        <v>1832</v>
      </c>
      <c r="C867" s="100">
        <v>45819</v>
      </c>
      <c r="D867" s="99" t="s">
        <v>42</v>
      </c>
      <c r="E867" s="99" t="s">
        <v>43</v>
      </c>
      <c r="F867" s="99" t="s">
        <v>16</v>
      </c>
      <c r="G867" s="99">
        <v>310</v>
      </c>
      <c r="H867" s="112">
        <v>1200000</v>
      </c>
      <c r="I867" s="112">
        <v>372000000</v>
      </c>
      <c r="J867" s="99" t="s">
        <v>2197</v>
      </c>
      <c r="K867" s="99" t="s">
        <v>8</v>
      </c>
    </row>
    <row r="868" spans="2:11" x14ac:dyDescent="0.3">
      <c r="B868" s="99" t="s">
        <v>1833</v>
      </c>
      <c r="C868" s="100">
        <v>45819</v>
      </c>
      <c r="D868" s="99" t="s">
        <v>14</v>
      </c>
      <c r="E868" s="99" t="s">
        <v>15</v>
      </c>
      <c r="F868" s="99" t="s">
        <v>16</v>
      </c>
      <c r="G868" s="99">
        <v>14</v>
      </c>
      <c r="H868" s="112">
        <v>350000</v>
      </c>
      <c r="I868" s="112">
        <v>4900000</v>
      </c>
      <c r="J868" s="99" t="s">
        <v>2741</v>
      </c>
      <c r="K868" s="99" t="s">
        <v>60</v>
      </c>
    </row>
    <row r="869" spans="2:11" x14ac:dyDescent="0.3">
      <c r="B869" s="99" t="s">
        <v>1834</v>
      </c>
      <c r="C869" s="100">
        <v>45819</v>
      </c>
      <c r="D869" s="99" t="s">
        <v>10</v>
      </c>
      <c r="E869" s="99" t="s">
        <v>11</v>
      </c>
      <c r="F869" s="99" t="s">
        <v>12</v>
      </c>
      <c r="G869" s="99">
        <v>50</v>
      </c>
      <c r="H869" s="112">
        <v>120000</v>
      </c>
      <c r="I869" s="112">
        <v>6000000</v>
      </c>
      <c r="J869" s="99" t="s">
        <v>2551</v>
      </c>
      <c r="K869" s="99" t="s">
        <v>8</v>
      </c>
    </row>
    <row r="870" spans="2:11" x14ac:dyDescent="0.3">
      <c r="B870" s="99" t="s">
        <v>1835</v>
      </c>
      <c r="C870" s="100">
        <v>45819</v>
      </c>
      <c r="D870" s="99" t="s">
        <v>40</v>
      </c>
      <c r="E870" s="99" t="s">
        <v>41</v>
      </c>
      <c r="F870" s="99" t="s">
        <v>16</v>
      </c>
      <c r="G870" s="99">
        <v>25</v>
      </c>
      <c r="H870" s="112">
        <v>950000</v>
      </c>
      <c r="I870" s="112">
        <v>23750000</v>
      </c>
      <c r="J870" s="99" t="s">
        <v>2580</v>
      </c>
      <c r="K870" s="99" t="s">
        <v>60</v>
      </c>
    </row>
    <row r="871" spans="2:11" x14ac:dyDescent="0.3">
      <c r="B871" s="99" t="s">
        <v>1836</v>
      </c>
      <c r="C871" s="100">
        <v>45820</v>
      </c>
      <c r="D871" s="99" t="s">
        <v>14</v>
      </c>
      <c r="E871" s="99" t="s">
        <v>15</v>
      </c>
      <c r="F871" s="99" t="s">
        <v>16</v>
      </c>
      <c r="G871" s="99">
        <v>45</v>
      </c>
      <c r="H871" s="112">
        <v>350000</v>
      </c>
      <c r="I871" s="112">
        <v>15750000</v>
      </c>
      <c r="J871" s="99" t="s">
        <v>2823</v>
      </c>
      <c r="K871" s="99" t="s">
        <v>69</v>
      </c>
    </row>
    <row r="872" spans="2:11" x14ac:dyDescent="0.3">
      <c r="B872" s="99" t="s">
        <v>1837</v>
      </c>
      <c r="C872" s="100">
        <v>45820</v>
      </c>
      <c r="D872" s="99" t="s">
        <v>40</v>
      </c>
      <c r="E872" s="99" t="s">
        <v>41</v>
      </c>
      <c r="F872" s="99" t="s">
        <v>16</v>
      </c>
      <c r="G872" s="99">
        <v>29</v>
      </c>
      <c r="H872" s="112">
        <v>950000</v>
      </c>
      <c r="I872" s="112">
        <v>27550000</v>
      </c>
      <c r="J872" s="99" t="s">
        <v>2752</v>
      </c>
      <c r="K872" s="99" t="s">
        <v>127</v>
      </c>
    </row>
    <row r="873" spans="2:11" x14ac:dyDescent="0.3">
      <c r="B873" s="99" t="s">
        <v>1863</v>
      </c>
      <c r="C873" s="100">
        <v>45820</v>
      </c>
      <c r="D873" s="99" t="s">
        <v>10</v>
      </c>
      <c r="E873" s="99" t="s">
        <v>11</v>
      </c>
      <c r="F873" s="99" t="s">
        <v>12</v>
      </c>
      <c r="G873" s="99">
        <v>46</v>
      </c>
      <c r="H873" s="112">
        <v>120000</v>
      </c>
      <c r="I873" s="112">
        <v>5520000</v>
      </c>
      <c r="J873" s="99" t="s">
        <v>2376</v>
      </c>
      <c r="K873" s="99" t="s">
        <v>127</v>
      </c>
    </row>
    <row r="874" spans="2:11" x14ac:dyDescent="0.3">
      <c r="B874" s="99" t="s">
        <v>1864</v>
      </c>
      <c r="C874" s="100">
        <v>45820</v>
      </c>
      <c r="D874" s="99" t="s">
        <v>10</v>
      </c>
      <c r="E874" s="99" t="s">
        <v>11</v>
      </c>
      <c r="F874" s="99" t="s">
        <v>12</v>
      </c>
      <c r="G874" s="99">
        <v>7</v>
      </c>
      <c r="H874" s="112">
        <v>120000</v>
      </c>
      <c r="I874" s="112">
        <v>840000</v>
      </c>
      <c r="J874" s="99" t="s">
        <v>2669</v>
      </c>
      <c r="K874" s="99" t="s">
        <v>8</v>
      </c>
    </row>
    <row r="875" spans="2:11" x14ac:dyDescent="0.3">
      <c r="B875" s="99" t="s">
        <v>1865</v>
      </c>
      <c r="C875" s="100">
        <v>45820</v>
      </c>
      <c r="D875" s="99" t="s">
        <v>44</v>
      </c>
      <c r="E875" s="99" t="s">
        <v>45</v>
      </c>
      <c r="F875" s="99" t="s">
        <v>16</v>
      </c>
      <c r="G875" s="99">
        <v>23</v>
      </c>
      <c r="H875" s="112">
        <v>250000</v>
      </c>
      <c r="I875" s="112">
        <v>5750000</v>
      </c>
      <c r="J875" s="99" t="s">
        <v>2279</v>
      </c>
      <c r="K875" s="99" t="s">
        <v>60</v>
      </c>
    </row>
    <row r="876" spans="2:11" x14ac:dyDescent="0.3">
      <c r="B876" s="99" t="s">
        <v>1866</v>
      </c>
      <c r="C876" s="100">
        <v>45820</v>
      </c>
      <c r="D876" s="99" t="s">
        <v>22</v>
      </c>
      <c r="E876" s="99" t="s">
        <v>23</v>
      </c>
      <c r="F876" s="99" t="s">
        <v>12</v>
      </c>
      <c r="G876" s="99">
        <v>47</v>
      </c>
      <c r="H876" s="112">
        <v>25000</v>
      </c>
      <c r="I876" s="112">
        <v>1175000</v>
      </c>
      <c r="J876" s="99" t="s">
        <v>2615</v>
      </c>
      <c r="K876" s="99" t="s">
        <v>69</v>
      </c>
    </row>
    <row r="877" spans="2:11" x14ac:dyDescent="0.3">
      <c r="B877" s="99" t="s">
        <v>1867</v>
      </c>
      <c r="C877" s="100">
        <v>45820</v>
      </c>
      <c r="D877" s="99" t="s">
        <v>31</v>
      </c>
      <c r="E877" s="99" t="s">
        <v>32</v>
      </c>
      <c r="F877" s="99" t="s">
        <v>20</v>
      </c>
      <c r="G877" s="99">
        <v>18</v>
      </c>
      <c r="H877" s="112">
        <v>180000</v>
      </c>
      <c r="I877" s="112">
        <v>3240000</v>
      </c>
      <c r="J877" s="99" t="s">
        <v>2320</v>
      </c>
      <c r="K877" s="99" t="s">
        <v>47</v>
      </c>
    </row>
    <row r="878" spans="2:11" x14ac:dyDescent="0.3">
      <c r="B878" s="99" t="s">
        <v>1868</v>
      </c>
      <c r="C878" s="100">
        <v>45820</v>
      </c>
      <c r="D878" s="99" t="s">
        <v>28</v>
      </c>
      <c r="E878" s="99" t="s">
        <v>29</v>
      </c>
      <c r="F878" s="99" t="s">
        <v>20</v>
      </c>
      <c r="G878" s="99">
        <v>33</v>
      </c>
      <c r="H878" s="112">
        <v>450000</v>
      </c>
      <c r="I878" s="112">
        <v>14850000</v>
      </c>
      <c r="J878" s="99" t="s">
        <v>771</v>
      </c>
      <c r="K878" s="99" t="s">
        <v>69</v>
      </c>
    </row>
    <row r="879" spans="2:11" x14ac:dyDescent="0.3">
      <c r="B879" s="99" t="s">
        <v>1869</v>
      </c>
      <c r="C879" s="100">
        <v>45821</v>
      </c>
      <c r="D879" s="99" t="s">
        <v>22</v>
      </c>
      <c r="E879" s="99" t="s">
        <v>23</v>
      </c>
      <c r="F879" s="99" t="s">
        <v>12</v>
      </c>
      <c r="G879" s="99">
        <v>40</v>
      </c>
      <c r="H879" s="112">
        <v>25000</v>
      </c>
      <c r="I879" s="112">
        <v>1000000</v>
      </c>
      <c r="J879" s="99" t="s">
        <v>2588</v>
      </c>
      <c r="K879" s="99" t="s">
        <v>47</v>
      </c>
    </row>
    <row r="880" spans="2:11" x14ac:dyDescent="0.3">
      <c r="B880" s="99" t="s">
        <v>1870</v>
      </c>
      <c r="C880" s="100">
        <v>45821</v>
      </c>
      <c r="D880" s="99" t="s">
        <v>18</v>
      </c>
      <c r="E880" s="99" t="s">
        <v>19</v>
      </c>
      <c r="F880" s="99" t="s">
        <v>20</v>
      </c>
      <c r="G880" s="99">
        <v>370</v>
      </c>
      <c r="H880" s="112">
        <v>500000</v>
      </c>
      <c r="I880" s="112">
        <v>185000000</v>
      </c>
      <c r="J880" s="99" t="s">
        <v>2688</v>
      </c>
      <c r="K880" s="99" t="s">
        <v>60</v>
      </c>
    </row>
    <row r="881" spans="2:11" x14ac:dyDescent="0.3">
      <c r="B881" s="99" t="s">
        <v>1890</v>
      </c>
      <c r="C881" s="100">
        <v>45821</v>
      </c>
      <c r="D881" s="99" t="s">
        <v>40</v>
      </c>
      <c r="E881" s="99" t="s">
        <v>41</v>
      </c>
      <c r="F881" s="99" t="s">
        <v>16</v>
      </c>
      <c r="G881" s="99">
        <v>7</v>
      </c>
      <c r="H881" s="112">
        <v>950000</v>
      </c>
      <c r="I881" s="112">
        <v>6650000</v>
      </c>
      <c r="J881" s="99" t="s">
        <v>2206</v>
      </c>
      <c r="K881" s="99" t="s">
        <v>8</v>
      </c>
    </row>
    <row r="882" spans="2:11" x14ac:dyDescent="0.3">
      <c r="B882" s="99" t="s">
        <v>1891</v>
      </c>
      <c r="C882" s="100">
        <v>45821</v>
      </c>
      <c r="D882" s="99" t="s">
        <v>22</v>
      </c>
      <c r="E882" s="99" t="s">
        <v>23</v>
      </c>
      <c r="F882" s="99" t="s">
        <v>12</v>
      </c>
      <c r="G882" s="99">
        <v>39</v>
      </c>
      <c r="H882" s="112">
        <v>25000</v>
      </c>
      <c r="I882" s="112">
        <v>975000</v>
      </c>
      <c r="J882" s="99" t="s">
        <v>2808</v>
      </c>
      <c r="K882" s="99" t="s">
        <v>8</v>
      </c>
    </row>
    <row r="883" spans="2:11" x14ac:dyDescent="0.3">
      <c r="B883" s="99" t="s">
        <v>1892</v>
      </c>
      <c r="C883" s="100">
        <v>45821</v>
      </c>
      <c r="D883" s="99" t="s">
        <v>31</v>
      </c>
      <c r="E883" s="99" t="s">
        <v>32</v>
      </c>
      <c r="F883" s="99" t="s">
        <v>20</v>
      </c>
      <c r="G883" s="99">
        <v>6</v>
      </c>
      <c r="H883" s="112">
        <v>180000</v>
      </c>
      <c r="I883" s="112">
        <v>1080000</v>
      </c>
      <c r="J883" s="99" t="s">
        <v>2555</v>
      </c>
      <c r="K883" s="99" t="s">
        <v>127</v>
      </c>
    </row>
    <row r="884" spans="2:11" x14ac:dyDescent="0.3">
      <c r="B884" s="99" t="s">
        <v>1904</v>
      </c>
      <c r="C884" s="100">
        <v>45821</v>
      </c>
      <c r="D884" s="99" t="s">
        <v>22</v>
      </c>
      <c r="E884" s="99" t="s">
        <v>23</v>
      </c>
      <c r="F884" s="99" t="s">
        <v>12</v>
      </c>
      <c r="G884" s="99">
        <v>26</v>
      </c>
      <c r="H884" s="112">
        <v>25000</v>
      </c>
      <c r="I884" s="112">
        <v>650000</v>
      </c>
      <c r="J884" s="99" t="s">
        <v>2620</v>
      </c>
      <c r="K884" s="99" t="s">
        <v>127</v>
      </c>
    </row>
    <row r="885" spans="2:11" x14ac:dyDescent="0.3">
      <c r="B885" s="99" t="s">
        <v>1905</v>
      </c>
      <c r="C885" s="100">
        <v>45821</v>
      </c>
      <c r="D885" s="99" t="s">
        <v>42</v>
      </c>
      <c r="E885" s="99" t="s">
        <v>43</v>
      </c>
      <c r="F885" s="99" t="s">
        <v>16</v>
      </c>
      <c r="G885" s="99">
        <v>11</v>
      </c>
      <c r="H885" s="112">
        <v>1200000</v>
      </c>
      <c r="I885" s="112">
        <v>13200000</v>
      </c>
      <c r="J885" s="99" t="s">
        <v>2629</v>
      </c>
      <c r="K885" s="99" t="s">
        <v>8</v>
      </c>
    </row>
    <row r="886" spans="2:11" x14ac:dyDescent="0.3">
      <c r="B886" s="99" t="s">
        <v>1917</v>
      </c>
      <c r="C886" s="100">
        <v>45821</v>
      </c>
      <c r="D886" s="99" t="s">
        <v>10</v>
      </c>
      <c r="E886" s="99" t="s">
        <v>11</v>
      </c>
      <c r="F886" s="99" t="s">
        <v>12</v>
      </c>
      <c r="G886" s="99">
        <v>43</v>
      </c>
      <c r="H886" s="112">
        <v>120000</v>
      </c>
      <c r="I886" s="112">
        <v>5160000</v>
      </c>
      <c r="J886" s="99" t="s">
        <v>1320</v>
      </c>
      <c r="K886" s="99" t="s">
        <v>47</v>
      </c>
    </row>
    <row r="887" spans="2:11" x14ac:dyDescent="0.3">
      <c r="B887" s="99" t="s">
        <v>1918</v>
      </c>
      <c r="C887" s="100">
        <v>45821</v>
      </c>
      <c r="D887" s="99" t="s">
        <v>22</v>
      </c>
      <c r="E887" s="99" t="s">
        <v>23</v>
      </c>
      <c r="F887" s="99" t="s">
        <v>12</v>
      </c>
      <c r="G887" s="99">
        <v>11</v>
      </c>
      <c r="H887" s="112">
        <v>25000</v>
      </c>
      <c r="I887" s="112">
        <v>275000</v>
      </c>
      <c r="J887" s="99" t="s">
        <v>2650</v>
      </c>
      <c r="K887" s="99" t="s">
        <v>127</v>
      </c>
    </row>
    <row r="888" spans="2:11" x14ac:dyDescent="0.3">
      <c r="B888" s="99" t="s">
        <v>1933</v>
      </c>
      <c r="C888" s="100">
        <v>45821</v>
      </c>
      <c r="D888" s="99" t="s">
        <v>44</v>
      </c>
      <c r="E888" s="99" t="s">
        <v>45</v>
      </c>
      <c r="F888" s="99" t="s">
        <v>16</v>
      </c>
      <c r="G888" s="99">
        <v>16</v>
      </c>
      <c r="H888" s="112">
        <v>250000</v>
      </c>
      <c r="I888" s="112">
        <v>4000000</v>
      </c>
      <c r="J888" s="99" t="s">
        <v>1970</v>
      </c>
      <c r="K888" s="99" t="s">
        <v>127</v>
      </c>
    </row>
    <row r="889" spans="2:11" x14ac:dyDescent="0.3">
      <c r="B889" s="99" t="s">
        <v>1934</v>
      </c>
      <c r="C889" s="100">
        <v>45824</v>
      </c>
      <c r="D889" s="99" t="s">
        <v>22</v>
      </c>
      <c r="E889" s="99" t="s">
        <v>23</v>
      </c>
      <c r="F889" s="99" t="s">
        <v>12</v>
      </c>
      <c r="G889" s="99">
        <v>20</v>
      </c>
      <c r="H889" s="112">
        <v>25000</v>
      </c>
      <c r="I889" s="112">
        <v>500000</v>
      </c>
      <c r="J889" s="99" t="s">
        <v>2662</v>
      </c>
      <c r="K889" s="99" t="s">
        <v>127</v>
      </c>
    </row>
    <row r="890" spans="2:11" x14ac:dyDescent="0.3">
      <c r="B890" s="99" t="s">
        <v>1944</v>
      </c>
      <c r="C890" s="100">
        <v>45824</v>
      </c>
      <c r="D890" s="99" t="s">
        <v>22</v>
      </c>
      <c r="E890" s="99" t="s">
        <v>23</v>
      </c>
      <c r="F890" s="99" t="s">
        <v>12</v>
      </c>
      <c r="G890" s="99">
        <v>46</v>
      </c>
      <c r="H890" s="112">
        <v>25000</v>
      </c>
      <c r="I890" s="112">
        <v>1150000</v>
      </c>
      <c r="J890" s="99" t="s">
        <v>2746</v>
      </c>
      <c r="K890" s="99" t="s">
        <v>127</v>
      </c>
    </row>
    <row r="891" spans="2:11" x14ac:dyDescent="0.3">
      <c r="B891" s="99" t="s">
        <v>1945</v>
      </c>
      <c r="C891" s="100">
        <v>45824</v>
      </c>
      <c r="D891" s="99" t="s">
        <v>38</v>
      </c>
      <c r="E891" s="99" t="s">
        <v>39</v>
      </c>
      <c r="F891" s="99" t="s">
        <v>16</v>
      </c>
      <c r="G891" s="99">
        <v>32</v>
      </c>
      <c r="H891" s="112">
        <v>200000</v>
      </c>
      <c r="I891" s="112">
        <v>6400000</v>
      </c>
      <c r="J891" s="99" t="s">
        <v>2280</v>
      </c>
      <c r="K891" s="99" t="s">
        <v>60</v>
      </c>
    </row>
    <row r="892" spans="2:11" x14ac:dyDescent="0.3">
      <c r="B892" s="99" t="s">
        <v>1954</v>
      </c>
      <c r="C892" s="100">
        <v>45824</v>
      </c>
      <c r="D892" s="99" t="s">
        <v>38</v>
      </c>
      <c r="E892" s="99" t="s">
        <v>39</v>
      </c>
      <c r="F892" s="99" t="s">
        <v>16</v>
      </c>
      <c r="G892" s="99">
        <v>5</v>
      </c>
      <c r="H892" s="112">
        <v>200000</v>
      </c>
      <c r="I892" s="112">
        <v>1000000</v>
      </c>
      <c r="J892" s="99" t="s">
        <v>2260</v>
      </c>
      <c r="K892" s="99" t="s">
        <v>127</v>
      </c>
    </row>
    <row r="893" spans="2:11" x14ac:dyDescent="0.3">
      <c r="B893" s="99" t="s">
        <v>1963</v>
      </c>
      <c r="C893" s="100">
        <v>45824</v>
      </c>
      <c r="D893" s="99" t="s">
        <v>44</v>
      </c>
      <c r="E893" s="99" t="s">
        <v>45</v>
      </c>
      <c r="F893" s="99" t="s">
        <v>16</v>
      </c>
      <c r="G893" s="99">
        <v>18</v>
      </c>
      <c r="H893" s="112">
        <v>250000</v>
      </c>
      <c r="I893" s="112">
        <v>4500000</v>
      </c>
      <c r="J893" s="99" t="s">
        <v>2409</v>
      </c>
      <c r="K893" s="99" t="s">
        <v>69</v>
      </c>
    </row>
    <row r="894" spans="2:11" x14ac:dyDescent="0.3">
      <c r="B894" s="99" t="s">
        <v>1964</v>
      </c>
      <c r="C894" s="100">
        <v>45824</v>
      </c>
      <c r="D894" s="99" t="s">
        <v>44</v>
      </c>
      <c r="E894" s="99" t="s">
        <v>45</v>
      </c>
      <c r="F894" s="99" t="s">
        <v>16</v>
      </c>
      <c r="G894" s="99">
        <v>27</v>
      </c>
      <c r="H894" s="112">
        <v>250000</v>
      </c>
      <c r="I894" s="112">
        <v>6750000</v>
      </c>
      <c r="J894" s="99" t="s">
        <v>2500</v>
      </c>
      <c r="K894" s="99" t="s">
        <v>69</v>
      </c>
    </row>
    <row r="895" spans="2:11" x14ac:dyDescent="0.3">
      <c r="B895" s="99" t="s">
        <v>1981</v>
      </c>
      <c r="C895" s="100">
        <v>45824</v>
      </c>
      <c r="D895" s="99" t="s">
        <v>38</v>
      </c>
      <c r="E895" s="99" t="s">
        <v>39</v>
      </c>
      <c r="F895" s="99" t="s">
        <v>16</v>
      </c>
      <c r="G895" s="99">
        <v>43</v>
      </c>
      <c r="H895" s="112">
        <v>200000</v>
      </c>
      <c r="I895" s="112">
        <v>8600000</v>
      </c>
      <c r="J895" s="99" t="s">
        <v>2174</v>
      </c>
      <c r="K895" s="99" t="s">
        <v>127</v>
      </c>
    </row>
    <row r="896" spans="2:11" x14ac:dyDescent="0.3">
      <c r="B896" s="99" t="s">
        <v>1982</v>
      </c>
      <c r="C896" s="100">
        <v>45824</v>
      </c>
      <c r="D896" s="99" t="s">
        <v>38</v>
      </c>
      <c r="E896" s="99" t="s">
        <v>39</v>
      </c>
      <c r="F896" s="99" t="s">
        <v>16</v>
      </c>
      <c r="G896" s="99">
        <v>11</v>
      </c>
      <c r="H896" s="112">
        <v>200000</v>
      </c>
      <c r="I896" s="112">
        <v>2200000</v>
      </c>
      <c r="J896" s="99" t="s">
        <v>2807</v>
      </c>
      <c r="K896" s="99" t="s">
        <v>60</v>
      </c>
    </row>
    <row r="897" spans="2:11" x14ac:dyDescent="0.3">
      <c r="B897" s="99" t="s">
        <v>2006</v>
      </c>
      <c r="C897" s="100">
        <v>45824</v>
      </c>
      <c r="D897" s="99" t="s">
        <v>44</v>
      </c>
      <c r="E897" s="99" t="s">
        <v>45</v>
      </c>
      <c r="F897" s="99" t="s">
        <v>16</v>
      </c>
      <c r="G897" s="99">
        <v>47</v>
      </c>
      <c r="H897" s="112">
        <v>250000</v>
      </c>
      <c r="I897" s="112">
        <v>11750000</v>
      </c>
      <c r="J897" s="99" t="s">
        <v>2669</v>
      </c>
      <c r="K897" s="99" t="s">
        <v>8</v>
      </c>
    </row>
    <row r="898" spans="2:11" x14ac:dyDescent="0.3">
      <c r="B898" s="99" t="s">
        <v>2007</v>
      </c>
      <c r="C898" s="100">
        <v>45824</v>
      </c>
      <c r="D898" s="99" t="s">
        <v>14</v>
      </c>
      <c r="E898" s="99" t="s">
        <v>15</v>
      </c>
      <c r="F898" s="99" t="s">
        <v>16</v>
      </c>
      <c r="G898" s="99">
        <v>36</v>
      </c>
      <c r="H898" s="112">
        <v>350000</v>
      </c>
      <c r="I898" s="112">
        <v>12600000</v>
      </c>
      <c r="J898" s="99" t="s">
        <v>2777</v>
      </c>
      <c r="K898" s="99" t="s">
        <v>8</v>
      </c>
    </row>
    <row r="899" spans="2:11" x14ac:dyDescent="0.3">
      <c r="B899" s="99" t="s">
        <v>2020</v>
      </c>
      <c r="C899" s="100">
        <v>45825</v>
      </c>
      <c r="D899" s="99" t="s">
        <v>22</v>
      </c>
      <c r="E899" s="99" t="s">
        <v>23</v>
      </c>
      <c r="F899" s="99" t="s">
        <v>12</v>
      </c>
      <c r="G899" s="99">
        <v>23</v>
      </c>
      <c r="H899" s="112">
        <v>25000</v>
      </c>
      <c r="I899" s="112">
        <v>575000</v>
      </c>
      <c r="J899" s="99" t="s">
        <v>2623</v>
      </c>
      <c r="K899" s="99" t="s">
        <v>127</v>
      </c>
    </row>
    <row r="900" spans="2:11" x14ac:dyDescent="0.3">
      <c r="B900" s="99" t="s">
        <v>2021</v>
      </c>
      <c r="C900" s="100">
        <v>45825</v>
      </c>
      <c r="D900" s="99" t="s">
        <v>18</v>
      </c>
      <c r="E900" s="99" t="s">
        <v>19</v>
      </c>
      <c r="F900" s="99" t="s">
        <v>20</v>
      </c>
      <c r="G900" s="99">
        <v>49</v>
      </c>
      <c r="H900" s="112">
        <v>500000</v>
      </c>
      <c r="I900" s="112">
        <v>24500000</v>
      </c>
      <c r="J900" s="99" t="s">
        <v>2376</v>
      </c>
      <c r="K900" s="99" t="s">
        <v>127</v>
      </c>
    </row>
    <row r="901" spans="2:11" x14ac:dyDescent="0.3">
      <c r="B901" s="99" t="s">
        <v>2022</v>
      </c>
      <c r="C901" s="100">
        <v>45825</v>
      </c>
      <c r="D901" s="99" t="s">
        <v>28</v>
      </c>
      <c r="E901" s="99" t="s">
        <v>29</v>
      </c>
      <c r="F901" s="99" t="s">
        <v>20</v>
      </c>
      <c r="G901" s="99">
        <v>36</v>
      </c>
      <c r="H901" s="112">
        <v>450000</v>
      </c>
      <c r="I901" s="112">
        <v>16200000</v>
      </c>
      <c r="J901" s="99" t="s">
        <v>2392</v>
      </c>
      <c r="K901" s="99" t="s">
        <v>8</v>
      </c>
    </row>
    <row r="902" spans="2:11" x14ac:dyDescent="0.3">
      <c r="B902" s="99" t="s">
        <v>2023</v>
      </c>
      <c r="C902" s="100">
        <v>45825</v>
      </c>
      <c r="D902" s="99" t="s">
        <v>28</v>
      </c>
      <c r="E902" s="99" t="s">
        <v>29</v>
      </c>
      <c r="F902" s="99" t="s">
        <v>20</v>
      </c>
      <c r="G902" s="99">
        <v>8</v>
      </c>
      <c r="H902" s="112">
        <v>450000</v>
      </c>
      <c r="I902" s="112">
        <v>3600000</v>
      </c>
      <c r="J902" s="99" t="s">
        <v>2542</v>
      </c>
      <c r="K902" s="99" t="s">
        <v>60</v>
      </c>
    </row>
    <row r="903" spans="2:11" x14ac:dyDescent="0.3">
      <c r="B903" s="99" t="s">
        <v>2030</v>
      </c>
      <c r="C903" s="100">
        <v>45825</v>
      </c>
      <c r="D903" s="99" t="s">
        <v>40</v>
      </c>
      <c r="E903" s="99" t="s">
        <v>41</v>
      </c>
      <c r="F903" s="99" t="s">
        <v>16</v>
      </c>
      <c r="G903" s="99">
        <v>33</v>
      </c>
      <c r="H903" s="112">
        <v>950000</v>
      </c>
      <c r="I903" s="112">
        <v>31350000</v>
      </c>
      <c r="J903" s="99" t="s">
        <v>2706</v>
      </c>
      <c r="K903" s="99" t="s">
        <v>60</v>
      </c>
    </row>
    <row r="904" spans="2:11" x14ac:dyDescent="0.3">
      <c r="B904" s="99" t="s">
        <v>2031</v>
      </c>
      <c r="C904" s="100">
        <v>45825</v>
      </c>
      <c r="D904" s="99" t="s">
        <v>42</v>
      </c>
      <c r="E904" s="99" t="s">
        <v>43</v>
      </c>
      <c r="F904" s="99" t="s">
        <v>16</v>
      </c>
      <c r="G904" s="99">
        <v>18</v>
      </c>
      <c r="H904" s="112">
        <v>1200000</v>
      </c>
      <c r="I904" s="112">
        <v>21600000</v>
      </c>
      <c r="J904" s="99" t="s">
        <v>2622</v>
      </c>
      <c r="K904" s="99" t="s">
        <v>60</v>
      </c>
    </row>
    <row r="905" spans="2:11" x14ac:dyDescent="0.3">
      <c r="B905" s="99" t="s">
        <v>2044</v>
      </c>
      <c r="C905" s="100">
        <v>45825</v>
      </c>
      <c r="D905" s="99" t="s">
        <v>44</v>
      </c>
      <c r="E905" s="99" t="s">
        <v>45</v>
      </c>
      <c r="F905" s="99" t="s">
        <v>16</v>
      </c>
      <c r="G905" s="99">
        <v>10</v>
      </c>
      <c r="H905" s="112">
        <v>250000</v>
      </c>
      <c r="I905" s="112">
        <v>2500000</v>
      </c>
      <c r="J905" s="99" t="s">
        <v>2748</v>
      </c>
      <c r="K905" s="99" t="s">
        <v>60</v>
      </c>
    </row>
    <row r="906" spans="2:11" x14ac:dyDescent="0.3">
      <c r="B906" s="99" t="s">
        <v>2045</v>
      </c>
      <c r="C906" s="100">
        <v>45825</v>
      </c>
      <c r="D906" s="99" t="s">
        <v>31</v>
      </c>
      <c r="E906" s="99" t="s">
        <v>32</v>
      </c>
      <c r="F906" s="99" t="s">
        <v>20</v>
      </c>
      <c r="G906" s="99">
        <v>27</v>
      </c>
      <c r="H906" s="112">
        <v>180000</v>
      </c>
      <c r="I906" s="112">
        <v>4860000</v>
      </c>
      <c r="J906" s="99" t="s">
        <v>2663</v>
      </c>
      <c r="K906" s="99" t="s">
        <v>8</v>
      </c>
    </row>
    <row r="907" spans="2:11" x14ac:dyDescent="0.3">
      <c r="B907" s="99" t="s">
        <v>2057</v>
      </c>
      <c r="C907" s="100">
        <v>45825</v>
      </c>
      <c r="D907" s="99" t="s">
        <v>44</v>
      </c>
      <c r="E907" s="99" t="s">
        <v>45</v>
      </c>
      <c r="F907" s="99" t="s">
        <v>16</v>
      </c>
      <c r="G907" s="99">
        <v>27</v>
      </c>
      <c r="H907" s="112">
        <v>250000</v>
      </c>
      <c r="I907" s="112">
        <v>6750000</v>
      </c>
      <c r="J907" s="99" t="s">
        <v>2365</v>
      </c>
      <c r="K907" s="99" t="s">
        <v>60</v>
      </c>
    </row>
    <row r="908" spans="2:11" x14ac:dyDescent="0.3">
      <c r="B908" s="99" t="s">
        <v>2069</v>
      </c>
      <c r="C908" s="100">
        <v>45825</v>
      </c>
      <c r="D908" s="99" t="s">
        <v>10</v>
      </c>
      <c r="E908" s="99" t="s">
        <v>11</v>
      </c>
      <c r="F908" s="99" t="s">
        <v>12</v>
      </c>
      <c r="G908" s="99">
        <v>39</v>
      </c>
      <c r="H908" s="112">
        <v>120000</v>
      </c>
      <c r="I908" s="112">
        <v>4680000</v>
      </c>
      <c r="J908" s="99" t="s">
        <v>2196</v>
      </c>
      <c r="K908" s="99" t="s">
        <v>69</v>
      </c>
    </row>
    <row r="909" spans="2:11" x14ac:dyDescent="0.3">
      <c r="B909" s="99" t="s">
        <v>2080</v>
      </c>
      <c r="C909" s="100">
        <v>45825</v>
      </c>
      <c r="D909" s="99" t="s">
        <v>42</v>
      </c>
      <c r="E909" s="99" t="s">
        <v>43</v>
      </c>
      <c r="F909" s="99" t="s">
        <v>16</v>
      </c>
      <c r="G909" s="99">
        <v>260</v>
      </c>
      <c r="H909" s="112">
        <v>1200000</v>
      </c>
      <c r="I909" s="112">
        <v>312000000</v>
      </c>
      <c r="J909" s="99" t="s">
        <v>2266</v>
      </c>
      <c r="K909" s="99" t="s">
        <v>8</v>
      </c>
    </row>
    <row r="910" spans="2:11" x14ac:dyDescent="0.3">
      <c r="B910" s="99" t="s">
        <v>2081</v>
      </c>
      <c r="C910" s="100">
        <v>45825</v>
      </c>
      <c r="D910" s="99" t="s">
        <v>28</v>
      </c>
      <c r="E910" s="99" t="s">
        <v>29</v>
      </c>
      <c r="F910" s="99" t="s">
        <v>20</v>
      </c>
      <c r="G910" s="99">
        <v>13</v>
      </c>
      <c r="H910" s="112">
        <v>450000</v>
      </c>
      <c r="I910" s="112">
        <v>5850000</v>
      </c>
      <c r="J910" s="99" t="s">
        <v>68</v>
      </c>
      <c r="K910" s="99" t="s">
        <v>8</v>
      </c>
    </row>
    <row r="911" spans="2:11" x14ac:dyDescent="0.3">
      <c r="B911" s="99" t="s">
        <v>2090</v>
      </c>
      <c r="C911" s="100">
        <v>45825</v>
      </c>
      <c r="D911" s="99" t="s">
        <v>10</v>
      </c>
      <c r="E911" s="99" t="s">
        <v>11</v>
      </c>
      <c r="F911" s="99" t="s">
        <v>12</v>
      </c>
      <c r="G911" s="99">
        <v>35</v>
      </c>
      <c r="H911" s="112">
        <v>120000</v>
      </c>
      <c r="I911" s="112">
        <v>4200000</v>
      </c>
      <c r="J911" s="99" t="s">
        <v>2484</v>
      </c>
      <c r="K911" s="99" t="s">
        <v>60</v>
      </c>
    </row>
    <row r="912" spans="2:11" x14ac:dyDescent="0.3">
      <c r="B912" s="99" t="s">
        <v>2091</v>
      </c>
      <c r="C912" s="100">
        <v>45825</v>
      </c>
      <c r="D912" s="99" t="s">
        <v>18</v>
      </c>
      <c r="E912" s="99" t="s">
        <v>19</v>
      </c>
      <c r="F912" s="99" t="s">
        <v>20</v>
      </c>
      <c r="G912" s="99">
        <v>22</v>
      </c>
      <c r="H912" s="112">
        <v>500000</v>
      </c>
      <c r="I912" s="112">
        <v>11000000</v>
      </c>
      <c r="J912" s="99" t="s">
        <v>2727</v>
      </c>
      <c r="K912" s="99" t="s">
        <v>69</v>
      </c>
    </row>
    <row r="913" spans="2:11" x14ac:dyDescent="0.3">
      <c r="B913" s="99" t="s">
        <v>2099</v>
      </c>
      <c r="C913" s="100">
        <v>45825</v>
      </c>
      <c r="D913" s="99" t="s">
        <v>40</v>
      </c>
      <c r="E913" s="99" t="s">
        <v>41</v>
      </c>
      <c r="F913" s="99" t="s">
        <v>16</v>
      </c>
      <c r="G913" s="99">
        <v>360</v>
      </c>
      <c r="H913" s="112">
        <v>950000</v>
      </c>
      <c r="I913" s="112">
        <v>342000000</v>
      </c>
      <c r="J913" s="99" t="s">
        <v>2740</v>
      </c>
      <c r="K913" s="99" t="s">
        <v>127</v>
      </c>
    </row>
    <row r="914" spans="2:11" x14ac:dyDescent="0.3">
      <c r="B914" s="99" t="s">
        <v>2100</v>
      </c>
      <c r="C914" s="100">
        <v>45827</v>
      </c>
      <c r="D914" s="99" t="s">
        <v>38</v>
      </c>
      <c r="E914" s="99" t="s">
        <v>39</v>
      </c>
      <c r="F914" s="99" t="s">
        <v>16</v>
      </c>
      <c r="G914" s="99">
        <v>48</v>
      </c>
      <c r="H914" s="112">
        <v>200000</v>
      </c>
      <c r="I914" s="112">
        <v>9600000</v>
      </c>
      <c r="J914" s="99" t="s">
        <v>2529</v>
      </c>
      <c r="K914" s="99" t="s">
        <v>69</v>
      </c>
    </row>
    <row r="915" spans="2:11" x14ac:dyDescent="0.3">
      <c r="B915" s="99" t="s">
        <v>2101</v>
      </c>
      <c r="C915" s="100">
        <v>45827</v>
      </c>
      <c r="D915" s="99" t="s">
        <v>44</v>
      </c>
      <c r="E915" s="99" t="s">
        <v>45</v>
      </c>
      <c r="F915" s="99" t="s">
        <v>16</v>
      </c>
      <c r="G915" s="99">
        <v>43</v>
      </c>
      <c r="H915" s="112">
        <v>250000</v>
      </c>
      <c r="I915" s="112">
        <v>10750000</v>
      </c>
      <c r="J915" s="99" t="s">
        <v>2598</v>
      </c>
      <c r="K915" s="99" t="s">
        <v>127</v>
      </c>
    </row>
    <row r="916" spans="2:11" x14ac:dyDescent="0.3">
      <c r="B916" s="99" t="s">
        <v>2108</v>
      </c>
      <c r="C916" s="100">
        <v>45827</v>
      </c>
      <c r="D916" s="99" t="s">
        <v>10</v>
      </c>
      <c r="E916" s="99" t="s">
        <v>11</v>
      </c>
      <c r="F916" s="99" t="s">
        <v>12</v>
      </c>
      <c r="G916" s="99">
        <v>31</v>
      </c>
      <c r="H916" s="112">
        <v>120000</v>
      </c>
      <c r="I916" s="112">
        <v>3720000</v>
      </c>
      <c r="J916" s="99" t="s">
        <v>2831</v>
      </c>
      <c r="K916" s="99" t="s">
        <v>8</v>
      </c>
    </row>
    <row r="917" spans="2:11" x14ac:dyDescent="0.3">
      <c r="B917" s="99" t="s">
        <v>27</v>
      </c>
      <c r="C917" s="100">
        <v>45827</v>
      </c>
      <c r="D917" s="99" t="s">
        <v>10</v>
      </c>
      <c r="E917" s="99" t="s">
        <v>11</v>
      </c>
      <c r="F917" s="99" t="s">
        <v>12</v>
      </c>
      <c r="G917" s="99">
        <v>17</v>
      </c>
      <c r="H917" s="112">
        <v>120000</v>
      </c>
      <c r="I917" s="112">
        <v>2040000</v>
      </c>
      <c r="J917" s="99" t="s">
        <v>2831</v>
      </c>
      <c r="K917" s="99" t="s">
        <v>8</v>
      </c>
    </row>
    <row r="918" spans="2:11" x14ac:dyDescent="0.3">
      <c r="B918" s="99" t="s">
        <v>52</v>
      </c>
      <c r="C918" s="100">
        <v>45827</v>
      </c>
      <c r="D918" s="99" t="s">
        <v>22</v>
      </c>
      <c r="E918" s="99" t="s">
        <v>23</v>
      </c>
      <c r="F918" s="99" t="s">
        <v>12</v>
      </c>
      <c r="G918" s="99">
        <v>43</v>
      </c>
      <c r="H918" s="112">
        <v>25000</v>
      </c>
      <c r="I918" s="112">
        <v>1075000</v>
      </c>
      <c r="J918" s="99" t="s">
        <v>2140</v>
      </c>
      <c r="K918" s="99" t="s">
        <v>127</v>
      </c>
    </row>
    <row r="919" spans="2:11" x14ac:dyDescent="0.3">
      <c r="B919" s="99" t="s">
        <v>63</v>
      </c>
      <c r="C919" s="100">
        <v>45827</v>
      </c>
      <c r="D919" s="99" t="s">
        <v>14</v>
      </c>
      <c r="E919" s="99" t="s">
        <v>15</v>
      </c>
      <c r="F919" s="99" t="s">
        <v>16</v>
      </c>
      <c r="G919" s="99">
        <v>27</v>
      </c>
      <c r="H919" s="112">
        <v>350000</v>
      </c>
      <c r="I919" s="112">
        <v>9450000</v>
      </c>
      <c r="J919" s="99" t="s">
        <v>2834</v>
      </c>
      <c r="K919" s="99" t="s">
        <v>127</v>
      </c>
    </row>
    <row r="920" spans="2:11" x14ac:dyDescent="0.3">
      <c r="B920" s="99" t="s">
        <v>64</v>
      </c>
      <c r="C920" s="100">
        <v>45827</v>
      </c>
      <c r="D920" s="99" t="s">
        <v>40</v>
      </c>
      <c r="E920" s="99" t="s">
        <v>41</v>
      </c>
      <c r="F920" s="99" t="s">
        <v>16</v>
      </c>
      <c r="G920" s="99">
        <v>35</v>
      </c>
      <c r="H920" s="112">
        <v>950000</v>
      </c>
      <c r="I920" s="112">
        <v>33250000</v>
      </c>
      <c r="J920" s="99" t="s">
        <v>2201</v>
      </c>
      <c r="K920" s="99" t="s">
        <v>60</v>
      </c>
    </row>
    <row r="921" spans="2:11" x14ac:dyDescent="0.3">
      <c r="B921" s="99" t="s">
        <v>65</v>
      </c>
      <c r="C921" s="100">
        <v>45827</v>
      </c>
      <c r="D921" s="99" t="s">
        <v>22</v>
      </c>
      <c r="E921" s="99" t="s">
        <v>23</v>
      </c>
      <c r="F921" s="99" t="s">
        <v>12</v>
      </c>
      <c r="G921" s="99">
        <v>26</v>
      </c>
      <c r="H921" s="112">
        <v>25000</v>
      </c>
      <c r="I921" s="112">
        <v>650000</v>
      </c>
      <c r="J921" s="99" t="s">
        <v>2580</v>
      </c>
      <c r="K921" s="99" t="s">
        <v>60</v>
      </c>
    </row>
    <row r="922" spans="2:11" x14ac:dyDescent="0.3">
      <c r="B922" s="99" t="s">
        <v>73</v>
      </c>
      <c r="C922" s="100">
        <v>45831</v>
      </c>
      <c r="D922" s="99" t="s">
        <v>31</v>
      </c>
      <c r="E922" s="99" t="s">
        <v>32</v>
      </c>
      <c r="F922" s="99" t="s">
        <v>20</v>
      </c>
      <c r="G922" s="99">
        <v>210</v>
      </c>
      <c r="H922" s="112">
        <v>180000</v>
      </c>
      <c r="I922" s="112">
        <v>37800000</v>
      </c>
      <c r="J922" s="99" t="s">
        <v>2688</v>
      </c>
      <c r="K922" s="99" t="s">
        <v>60</v>
      </c>
    </row>
    <row r="923" spans="2:11" x14ac:dyDescent="0.3">
      <c r="B923" s="99" t="s">
        <v>84</v>
      </c>
      <c r="C923" s="100">
        <v>45831</v>
      </c>
      <c r="D923" s="99" t="s">
        <v>44</v>
      </c>
      <c r="E923" s="99" t="s">
        <v>45</v>
      </c>
      <c r="F923" s="99" t="s">
        <v>16</v>
      </c>
      <c r="G923" s="99">
        <v>6</v>
      </c>
      <c r="H923" s="112">
        <v>250000</v>
      </c>
      <c r="I923" s="112">
        <v>1500000</v>
      </c>
      <c r="J923" s="99" t="s">
        <v>2376</v>
      </c>
      <c r="K923" s="99" t="s">
        <v>127</v>
      </c>
    </row>
    <row r="924" spans="2:11" x14ac:dyDescent="0.3">
      <c r="B924" s="99" t="s">
        <v>97</v>
      </c>
      <c r="C924" s="100">
        <v>45831</v>
      </c>
      <c r="D924" s="99" t="s">
        <v>44</v>
      </c>
      <c r="E924" s="99" t="s">
        <v>45</v>
      </c>
      <c r="F924" s="99" t="s">
        <v>16</v>
      </c>
      <c r="G924" s="99">
        <v>20</v>
      </c>
      <c r="H924" s="112">
        <v>250000</v>
      </c>
      <c r="I924" s="112">
        <v>5000000</v>
      </c>
      <c r="J924" s="99" t="s">
        <v>878</v>
      </c>
      <c r="K924" s="99" t="s">
        <v>8</v>
      </c>
    </row>
    <row r="925" spans="2:11" x14ac:dyDescent="0.3">
      <c r="B925" s="99" t="s">
        <v>110</v>
      </c>
      <c r="C925" s="100">
        <v>45831</v>
      </c>
      <c r="D925" s="99" t="s">
        <v>40</v>
      </c>
      <c r="E925" s="99" t="s">
        <v>41</v>
      </c>
      <c r="F925" s="99" t="s">
        <v>16</v>
      </c>
      <c r="G925" s="99">
        <v>245</v>
      </c>
      <c r="H925" s="112">
        <v>950000</v>
      </c>
      <c r="I925" s="112">
        <v>232750000</v>
      </c>
      <c r="J925" s="99" t="s">
        <v>2776</v>
      </c>
      <c r="K925" s="99" t="s">
        <v>8</v>
      </c>
    </row>
    <row r="926" spans="2:11" x14ac:dyDescent="0.3">
      <c r="B926" s="99" t="s">
        <v>111</v>
      </c>
      <c r="C926" s="100">
        <v>45831</v>
      </c>
      <c r="D926" s="99" t="s">
        <v>22</v>
      </c>
      <c r="E926" s="99" t="s">
        <v>23</v>
      </c>
      <c r="F926" s="99" t="s">
        <v>12</v>
      </c>
      <c r="G926" s="99">
        <v>50</v>
      </c>
      <c r="H926" s="112">
        <v>25000</v>
      </c>
      <c r="I926" s="112">
        <v>1250000</v>
      </c>
      <c r="J926" s="99" t="s">
        <v>2536</v>
      </c>
      <c r="K926" s="99" t="s">
        <v>127</v>
      </c>
    </row>
    <row r="927" spans="2:11" x14ac:dyDescent="0.3">
      <c r="B927" s="99" t="s">
        <v>112</v>
      </c>
      <c r="C927" s="100">
        <v>45831</v>
      </c>
      <c r="D927" s="99" t="s">
        <v>10</v>
      </c>
      <c r="E927" s="99" t="s">
        <v>11</v>
      </c>
      <c r="F927" s="99" t="s">
        <v>12</v>
      </c>
      <c r="G927" s="99">
        <v>5</v>
      </c>
      <c r="H927" s="112">
        <v>120000</v>
      </c>
      <c r="I927" s="112">
        <v>600000</v>
      </c>
      <c r="J927" s="99" t="s">
        <v>2156</v>
      </c>
      <c r="K927" s="99" t="s">
        <v>47</v>
      </c>
    </row>
    <row r="928" spans="2:11" x14ac:dyDescent="0.3">
      <c r="B928" s="99" t="s">
        <v>122</v>
      </c>
      <c r="C928" s="100">
        <v>45831</v>
      </c>
      <c r="D928" s="99" t="s">
        <v>14</v>
      </c>
      <c r="E928" s="99" t="s">
        <v>15</v>
      </c>
      <c r="F928" s="99" t="s">
        <v>16</v>
      </c>
      <c r="G928" s="99">
        <v>48</v>
      </c>
      <c r="H928" s="112">
        <v>350000</v>
      </c>
      <c r="I928" s="112">
        <v>16800000</v>
      </c>
      <c r="J928" s="99" t="s">
        <v>2364</v>
      </c>
      <c r="K928" s="99" t="s">
        <v>127</v>
      </c>
    </row>
    <row r="929" spans="2:11" x14ac:dyDescent="0.3">
      <c r="B929" s="99" t="s">
        <v>133</v>
      </c>
      <c r="C929" s="100">
        <v>45831</v>
      </c>
      <c r="D929" s="99" t="s">
        <v>28</v>
      </c>
      <c r="E929" s="99" t="s">
        <v>29</v>
      </c>
      <c r="F929" s="99" t="s">
        <v>20</v>
      </c>
      <c r="G929" s="99">
        <v>30</v>
      </c>
      <c r="H929" s="112">
        <v>450000</v>
      </c>
      <c r="I929" s="112">
        <v>13500000</v>
      </c>
      <c r="J929" s="99" t="s">
        <v>2240</v>
      </c>
      <c r="K929" s="99" t="s">
        <v>8</v>
      </c>
    </row>
    <row r="930" spans="2:11" x14ac:dyDescent="0.3">
      <c r="B930" s="99" t="s">
        <v>138</v>
      </c>
      <c r="C930" s="100">
        <v>45831</v>
      </c>
      <c r="D930" s="99" t="s">
        <v>28</v>
      </c>
      <c r="E930" s="99" t="s">
        <v>29</v>
      </c>
      <c r="F930" s="99" t="s">
        <v>20</v>
      </c>
      <c r="G930" s="99">
        <v>6</v>
      </c>
      <c r="H930" s="112">
        <v>450000</v>
      </c>
      <c r="I930" s="112">
        <v>2700000</v>
      </c>
      <c r="J930" s="99" t="s">
        <v>709</v>
      </c>
      <c r="K930" s="99" t="s">
        <v>8</v>
      </c>
    </row>
    <row r="931" spans="2:11" x14ac:dyDescent="0.3">
      <c r="B931" s="99" t="s">
        <v>150</v>
      </c>
      <c r="C931" s="100">
        <v>45831</v>
      </c>
      <c r="D931" s="99" t="s">
        <v>22</v>
      </c>
      <c r="E931" s="99" t="s">
        <v>23</v>
      </c>
      <c r="F931" s="99" t="s">
        <v>12</v>
      </c>
      <c r="G931" s="99">
        <v>30</v>
      </c>
      <c r="H931" s="112">
        <v>25000</v>
      </c>
      <c r="I931" s="112">
        <v>750000</v>
      </c>
      <c r="J931" s="99" t="s">
        <v>2505</v>
      </c>
      <c r="K931" s="99" t="s">
        <v>69</v>
      </c>
    </row>
    <row r="932" spans="2:11" x14ac:dyDescent="0.3">
      <c r="B932" s="99" t="s">
        <v>151</v>
      </c>
      <c r="C932" s="100">
        <v>45831</v>
      </c>
      <c r="D932" s="99" t="s">
        <v>14</v>
      </c>
      <c r="E932" s="99" t="s">
        <v>15</v>
      </c>
      <c r="F932" s="99" t="s">
        <v>16</v>
      </c>
      <c r="G932" s="99">
        <v>44</v>
      </c>
      <c r="H932" s="112">
        <v>350000</v>
      </c>
      <c r="I932" s="112">
        <v>15400000</v>
      </c>
      <c r="J932" s="99" t="s">
        <v>2770</v>
      </c>
      <c r="K932" s="99" t="s">
        <v>127</v>
      </c>
    </row>
    <row r="933" spans="2:11" x14ac:dyDescent="0.3">
      <c r="B933" s="99" t="s">
        <v>157</v>
      </c>
      <c r="C933" s="100">
        <v>45831</v>
      </c>
      <c r="D933" s="99" t="s">
        <v>22</v>
      </c>
      <c r="E933" s="99" t="s">
        <v>23</v>
      </c>
      <c r="F933" s="99" t="s">
        <v>12</v>
      </c>
      <c r="G933" s="99">
        <v>11</v>
      </c>
      <c r="H933" s="112">
        <v>25000</v>
      </c>
      <c r="I933" s="112">
        <v>275000</v>
      </c>
      <c r="J933" s="99" t="s">
        <v>2290</v>
      </c>
      <c r="K933" s="99" t="s">
        <v>8</v>
      </c>
    </row>
    <row r="934" spans="2:11" x14ac:dyDescent="0.3">
      <c r="B934" s="99" t="s">
        <v>158</v>
      </c>
      <c r="C934" s="100">
        <v>45831</v>
      </c>
      <c r="D934" s="99" t="s">
        <v>44</v>
      </c>
      <c r="E934" s="99" t="s">
        <v>45</v>
      </c>
      <c r="F934" s="99" t="s">
        <v>16</v>
      </c>
      <c r="G934" s="99">
        <v>19</v>
      </c>
      <c r="H934" s="112">
        <v>250000</v>
      </c>
      <c r="I934" s="112">
        <v>4750000</v>
      </c>
      <c r="J934" s="99" t="s">
        <v>2328</v>
      </c>
      <c r="K934" s="99" t="s">
        <v>8</v>
      </c>
    </row>
    <row r="935" spans="2:11" x14ac:dyDescent="0.3">
      <c r="B935" s="99" t="s">
        <v>159</v>
      </c>
      <c r="C935" s="100">
        <v>45831</v>
      </c>
      <c r="D935" s="99" t="s">
        <v>10</v>
      </c>
      <c r="E935" s="99" t="s">
        <v>11</v>
      </c>
      <c r="F935" s="99" t="s">
        <v>12</v>
      </c>
      <c r="G935" s="99">
        <v>36</v>
      </c>
      <c r="H935" s="112">
        <v>120000</v>
      </c>
      <c r="I935" s="112">
        <v>4320000</v>
      </c>
      <c r="J935" s="99" t="s">
        <v>2515</v>
      </c>
      <c r="K935" s="99" t="s">
        <v>60</v>
      </c>
    </row>
    <row r="936" spans="2:11" x14ac:dyDescent="0.3">
      <c r="B936" s="99" t="s">
        <v>170</v>
      </c>
      <c r="C936" s="100">
        <v>45833</v>
      </c>
      <c r="D936" s="99" t="s">
        <v>22</v>
      </c>
      <c r="E936" s="99" t="s">
        <v>23</v>
      </c>
      <c r="F936" s="99" t="s">
        <v>12</v>
      </c>
      <c r="G936" s="99">
        <v>17</v>
      </c>
      <c r="H936" s="112">
        <v>25000</v>
      </c>
      <c r="I936" s="112">
        <v>425000</v>
      </c>
      <c r="J936" s="99" t="s">
        <v>2213</v>
      </c>
      <c r="K936" s="99" t="s">
        <v>8</v>
      </c>
    </row>
    <row r="937" spans="2:11" x14ac:dyDescent="0.3">
      <c r="B937" s="99" t="s">
        <v>171</v>
      </c>
      <c r="C937" s="100">
        <v>45833</v>
      </c>
      <c r="D937" s="99" t="s">
        <v>10</v>
      </c>
      <c r="E937" s="99" t="s">
        <v>11</v>
      </c>
      <c r="F937" s="99" t="s">
        <v>12</v>
      </c>
      <c r="G937" s="99">
        <v>150</v>
      </c>
      <c r="H937" s="112">
        <v>120000</v>
      </c>
      <c r="I937" s="112">
        <v>18000000</v>
      </c>
      <c r="J937" s="99" t="s">
        <v>2567</v>
      </c>
      <c r="K937" s="99" t="s">
        <v>8</v>
      </c>
    </row>
    <row r="938" spans="2:11" x14ac:dyDescent="0.3">
      <c r="B938" s="99" t="s">
        <v>172</v>
      </c>
      <c r="C938" s="100">
        <v>45833</v>
      </c>
      <c r="D938" s="99" t="s">
        <v>28</v>
      </c>
      <c r="E938" s="99" t="s">
        <v>29</v>
      </c>
      <c r="F938" s="99" t="s">
        <v>20</v>
      </c>
      <c r="G938" s="99">
        <v>36</v>
      </c>
      <c r="H938" s="112">
        <v>450000</v>
      </c>
      <c r="I938" s="112">
        <v>16200000</v>
      </c>
      <c r="J938" s="99" t="s">
        <v>2166</v>
      </c>
      <c r="K938" s="99" t="s">
        <v>60</v>
      </c>
    </row>
    <row r="939" spans="2:11" x14ac:dyDescent="0.3">
      <c r="B939" s="99" t="s">
        <v>195</v>
      </c>
      <c r="C939" s="100">
        <v>45833</v>
      </c>
      <c r="D939" s="99" t="s">
        <v>10</v>
      </c>
      <c r="E939" s="99" t="s">
        <v>11</v>
      </c>
      <c r="F939" s="99" t="s">
        <v>12</v>
      </c>
      <c r="G939" s="99">
        <v>41</v>
      </c>
      <c r="H939" s="112">
        <v>120000</v>
      </c>
      <c r="I939" s="112">
        <v>4920000</v>
      </c>
      <c r="J939" s="99" t="s">
        <v>2846</v>
      </c>
      <c r="K939" s="99" t="s">
        <v>127</v>
      </c>
    </row>
    <row r="940" spans="2:11" x14ac:dyDescent="0.3">
      <c r="B940" s="99" t="s">
        <v>196</v>
      </c>
      <c r="C940" s="100">
        <v>45833</v>
      </c>
      <c r="D940" s="99" t="s">
        <v>28</v>
      </c>
      <c r="E940" s="99" t="s">
        <v>29</v>
      </c>
      <c r="F940" s="99" t="s">
        <v>20</v>
      </c>
      <c r="G940" s="99">
        <v>7</v>
      </c>
      <c r="H940" s="112">
        <v>450000</v>
      </c>
      <c r="I940" s="112">
        <v>3150000</v>
      </c>
      <c r="J940" s="99" t="s">
        <v>2277</v>
      </c>
      <c r="K940" s="99" t="s">
        <v>127</v>
      </c>
    </row>
    <row r="941" spans="2:11" x14ac:dyDescent="0.3">
      <c r="B941" s="99" t="s">
        <v>197</v>
      </c>
      <c r="C941" s="100">
        <v>45833</v>
      </c>
      <c r="D941" s="99" t="s">
        <v>31</v>
      </c>
      <c r="E941" s="99" t="s">
        <v>32</v>
      </c>
      <c r="F941" s="99" t="s">
        <v>20</v>
      </c>
      <c r="G941" s="99">
        <v>230</v>
      </c>
      <c r="H941" s="112">
        <v>180000</v>
      </c>
      <c r="I941" s="112">
        <v>41400000</v>
      </c>
      <c r="J941" s="99" t="s">
        <v>2577</v>
      </c>
      <c r="K941" s="99" t="s">
        <v>47</v>
      </c>
    </row>
    <row r="942" spans="2:11" x14ac:dyDescent="0.3">
      <c r="B942" s="99" t="s">
        <v>198</v>
      </c>
      <c r="C942" s="100">
        <v>45833</v>
      </c>
      <c r="D942" s="99" t="s">
        <v>28</v>
      </c>
      <c r="E942" s="99" t="s">
        <v>29</v>
      </c>
      <c r="F942" s="99" t="s">
        <v>20</v>
      </c>
      <c r="G942" s="99">
        <v>24</v>
      </c>
      <c r="H942" s="112">
        <v>450000</v>
      </c>
      <c r="I942" s="112">
        <v>10800000</v>
      </c>
      <c r="J942" s="99" t="s">
        <v>2441</v>
      </c>
      <c r="K942" s="99" t="s">
        <v>127</v>
      </c>
    </row>
    <row r="943" spans="2:11" x14ac:dyDescent="0.3">
      <c r="B943" s="99" t="s">
        <v>207</v>
      </c>
      <c r="C943" s="100">
        <v>45833</v>
      </c>
      <c r="D943" s="99" t="s">
        <v>31</v>
      </c>
      <c r="E943" s="99" t="s">
        <v>32</v>
      </c>
      <c r="F943" s="99" t="s">
        <v>20</v>
      </c>
      <c r="G943" s="99">
        <v>26</v>
      </c>
      <c r="H943" s="112">
        <v>180000</v>
      </c>
      <c r="I943" s="112">
        <v>4680000</v>
      </c>
      <c r="J943" s="99" t="s">
        <v>2261</v>
      </c>
      <c r="K943" s="99" t="s">
        <v>47</v>
      </c>
    </row>
    <row r="944" spans="2:11" x14ac:dyDescent="0.3">
      <c r="B944" s="99" t="s">
        <v>208</v>
      </c>
      <c r="C944" s="100">
        <v>45833</v>
      </c>
      <c r="D944" s="99" t="s">
        <v>18</v>
      </c>
      <c r="E944" s="99" t="s">
        <v>19</v>
      </c>
      <c r="F944" s="99" t="s">
        <v>20</v>
      </c>
      <c r="G944" s="99">
        <v>29</v>
      </c>
      <c r="H944" s="112">
        <v>500000</v>
      </c>
      <c r="I944" s="112">
        <v>14500000</v>
      </c>
      <c r="J944" s="99" t="s">
        <v>2228</v>
      </c>
      <c r="K944" s="99" t="s">
        <v>127</v>
      </c>
    </row>
    <row r="945" spans="2:11" x14ac:dyDescent="0.3">
      <c r="B945" s="99" t="s">
        <v>223</v>
      </c>
      <c r="C945" s="100">
        <v>45833</v>
      </c>
      <c r="D945" s="99" t="s">
        <v>28</v>
      </c>
      <c r="E945" s="99" t="s">
        <v>29</v>
      </c>
      <c r="F945" s="99" t="s">
        <v>20</v>
      </c>
      <c r="G945" s="99">
        <v>36</v>
      </c>
      <c r="H945" s="112">
        <v>450000</v>
      </c>
      <c r="I945" s="112">
        <v>16200000</v>
      </c>
      <c r="J945" s="99" t="s">
        <v>2774</v>
      </c>
      <c r="K945" s="99" t="s">
        <v>8</v>
      </c>
    </row>
    <row r="946" spans="2:11" x14ac:dyDescent="0.3">
      <c r="B946" s="99" t="s">
        <v>232</v>
      </c>
      <c r="C946" s="100">
        <v>45833</v>
      </c>
      <c r="D946" s="99" t="s">
        <v>44</v>
      </c>
      <c r="E946" s="99" t="s">
        <v>45</v>
      </c>
      <c r="F946" s="99" t="s">
        <v>16</v>
      </c>
      <c r="G946" s="99">
        <v>25</v>
      </c>
      <c r="H946" s="112">
        <v>250000</v>
      </c>
      <c r="I946" s="112">
        <v>6250000</v>
      </c>
      <c r="J946" s="99" t="s">
        <v>2811</v>
      </c>
      <c r="K946" s="99" t="s">
        <v>47</v>
      </c>
    </row>
    <row r="947" spans="2:11" x14ac:dyDescent="0.3">
      <c r="B947" s="99" t="s">
        <v>246</v>
      </c>
      <c r="C947" s="100">
        <v>45833</v>
      </c>
      <c r="D947" s="99" t="s">
        <v>10</v>
      </c>
      <c r="E947" s="99" t="s">
        <v>11</v>
      </c>
      <c r="F947" s="99" t="s">
        <v>12</v>
      </c>
      <c r="G947" s="99">
        <v>33</v>
      </c>
      <c r="H947" s="112">
        <v>120000</v>
      </c>
      <c r="I947" s="112">
        <v>3960000</v>
      </c>
      <c r="J947" s="99" t="s">
        <v>2404</v>
      </c>
      <c r="K947" s="99" t="s">
        <v>60</v>
      </c>
    </row>
    <row r="948" spans="2:11" x14ac:dyDescent="0.3">
      <c r="B948" s="99" t="s">
        <v>247</v>
      </c>
      <c r="C948" s="100">
        <v>45834</v>
      </c>
      <c r="D948" s="99" t="s">
        <v>18</v>
      </c>
      <c r="E948" s="99" t="s">
        <v>19</v>
      </c>
      <c r="F948" s="99" t="s">
        <v>20</v>
      </c>
      <c r="G948" s="99">
        <v>165</v>
      </c>
      <c r="H948" s="112">
        <v>500000</v>
      </c>
      <c r="I948" s="112">
        <v>82500000</v>
      </c>
      <c r="J948" s="99" t="s">
        <v>2563</v>
      </c>
      <c r="K948" s="99" t="s">
        <v>47</v>
      </c>
    </row>
    <row r="949" spans="2:11" x14ac:dyDescent="0.3">
      <c r="B949" s="99" t="s">
        <v>248</v>
      </c>
      <c r="C949" s="100">
        <v>45834</v>
      </c>
      <c r="D949" s="99" t="s">
        <v>44</v>
      </c>
      <c r="E949" s="99" t="s">
        <v>45</v>
      </c>
      <c r="F949" s="99" t="s">
        <v>16</v>
      </c>
      <c r="G949" s="99">
        <v>410</v>
      </c>
      <c r="H949" s="112">
        <v>250000</v>
      </c>
      <c r="I949" s="112">
        <v>102500000</v>
      </c>
      <c r="J949" s="99" t="s">
        <v>2299</v>
      </c>
      <c r="K949" s="99" t="s">
        <v>127</v>
      </c>
    </row>
    <row r="950" spans="2:11" x14ac:dyDescent="0.3">
      <c r="B950" s="99" t="s">
        <v>266</v>
      </c>
      <c r="C950" s="100">
        <v>45834</v>
      </c>
      <c r="D950" s="99" t="s">
        <v>10</v>
      </c>
      <c r="E950" s="99" t="s">
        <v>11</v>
      </c>
      <c r="F950" s="99" t="s">
        <v>12</v>
      </c>
      <c r="G950" s="99">
        <v>36</v>
      </c>
      <c r="H950" s="112">
        <v>120000</v>
      </c>
      <c r="I950" s="112">
        <v>4320000</v>
      </c>
      <c r="J950" s="99" t="s">
        <v>2807</v>
      </c>
      <c r="K950" s="99" t="s">
        <v>60</v>
      </c>
    </row>
    <row r="951" spans="2:11" x14ac:dyDescent="0.3">
      <c r="B951" s="99" t="s">
        <v>267</v>
      </c>
      <c r="C951" s="100">
        <v>45834</v>
      </c>
      <c r="D951" s="99" t="s">
        <v>38</v>
      </c>
      <c r="E951" s="99" t="s">
        <v>39</v>
      </c>
      <c r="F951" s="99" t="s">
        <v>16</v>
      </c>
      <c r="G951" s="99">
        <v>11</v>
      </c>
      <c r="H951" s="112">
        <v>200000</v>
      </c>
      <c r="I951" s="112">
        <v>2200000</v>
      </c>
      <c r="J951" s="99" t="s">
        <v>1986</v>
      </c>
      <c r="K951" s="99" t="s">
        <v>127</v>
      </c>
    </row>
    <row r="952" spans="2:11" x14ac:dyDescent="0.3">
      <c r="B952" s="99" t="s">
        <v>268</v>
      </c>
      <c r="C952" s="100">
        <v>45834</v>
      </c>
      <c r="D952" s="99" t="s">
        <v>38</v>
      </c>
      <c r="E952" s="99" t="s">
        <v>39</v>
      </c>
      <c r="F952" s="99" t="s">
        <v>16</v>
      </c>
      <c r="G952" s="99">
        <v>22</v>
      </c>
      <c r="H952" s="112">
        <v>200000</v>
      </c>
      <c r="I952" s="112">
        <v>4400000</v>
      </c>
      <c r="J952" s="99" t="s">
        <v>2780</v>
      </c>
      <c r="K952" s="99" t="s">
        <v>127</v>
      </c>
    </row>
    <row r="953" spans="2:11" x14ac:dyDescent="0.3">
      <c r="B953" s="99" t="s">
        <v>292</v>
      </c>
      <c r="C953" s="100">
        <v>45834</v>
      </c>
      <c r="D953" s="99" t="s">
        <v>44</v>
      </c>
      <c r="E953" s="99" t="s">
        <v>45</v>
      </c>
      <c r="F953" s="99" t="s">
        <v>16</v>
      </c>
      <c r="G953" s="99">
        <v>18</v>
      </c>
      <c r="H953" s="112">
        <v>250000</v>
      </c>
      <c r="I953" s="112">
        <v>4500000</v>
      </c>
      <c r="J953" s="99" t="s">
        <v>2420</v>
      </c>
      <c r="K953" s="99" t="s">
        <v>127</v>
      </c>
    </row>
    <row r="954" spans="2:11" x14ac:dyDescent="0.3">
      <c r="B954" s="99" t="s">
        <v>313</v>
      </c>
      <c r="C954" s="100">
        <v>45834</v>
      </c>
      <c r="D954" s="99" t="s">
        <v>22</v>
      </c>
      <c r="E954" s="99" t="s">
        <v>23</v>
      </c>
      <c r="F954" s="99" t="s">
        <v>12</v>
      </c>
      <c r="G954" s="99">
        <v>10</v>
      </c>
      <c r="H954" s="112">
        <v>25000</v>
      </c>
      <c r="I954" s="112">
        <v>250000</v>
      </c>
      <c r="J954" s="99" t="s">
        <v>100</v>
      </c>
      <c r="K954" s="99" t="s">
        <v>47</v>
      </c>
    </row>
    <row r="955" spans="2:11" x14ac:dyDescent="0.3">
      <c r="B955" s="99" t="s">
        <v>314</v>
      </c>
      <c r="C955" s="100">
        <v>45834</v>
      </c>
      <c r="D955" s="99" t="s">
        <v>44</v>
      </c>
      <c r="E955" s="99" t="s">
        <v>45</v>
      </c>
      <c r="F955" s="99" t="s">
        <v>16</v>
      </c>
      <c r="G955" s="99">
        <v>24</v>
      </c>
      <c r="H955" s="112">
        <v>250000</v>
      </c>
      <c r="I955" s="112">
        <v>6000000</v>
      </c>
      <c r="J955" s="99" t="s">
        <v>2665</v>
      </c>
      <c r="K955" s="99" t="s">
        <v>127</v>
      </c>
    </row>
    <row r="956" spans="2:11" x14ac:dyDescent="0.3">
      <c r="B956" s="99" t="s">
        <v>315</v>
      </c>
      <c r="C956" s="100">
        <v>45834</v>
      </c>
      <c r="D956" s="99" t="s">
        <v>14</v>
      </c>
      <c r="E956" s="99" t="s">
        <v>15</v>
      </c>
      <c r="F956" s="99" t="s">
        <v>16</v>
      </c>
      <c r="G956" s="99">
        <v>15</v>
      </c>
      <c r="H956" s="112">
        <v>350000</v>
      </c>
      <c r="I956" s="112">
        <v>5250000</v>
      </c>
      <c r="J956" s="99" t="s">
        <v>2719</v>
      </c>
      <c r="K956" s="99" t="s">
        <v>69</v>
      </c>
    </row>
    <row r="957" spans="2:11" x14ac:dyDescent="0.3">
      <c r="B957" s="99" t="s">
        <v>329</v>
      </c>
      <c r="C957" s="100">
        <v>45835</v>
      </c>
      <c r="D957" s="99" t="s">
        <v>40</v>
      </c>
      <c r="E957" s="99" t="s">
        <v>41</v>
      </c>
      <c r="F957" s="99" t="s">
        <v>16</v>
      </c>
      <c r="G957" s="99">
        <v>490</v>
      </c>
      <c r="H957" s="112">
        <v>950000</v>
      </c>
      <c r="I957" s="112">
        <v>465500000</v>
      </c>
      <c r="J957" s="99" t="s">
        <v>2488</v>
      </c>
      <c r="K957" s="99" t="s">
        <v>8</v>
      </c>
    </row>
    <row r="958" spans="2:11" x14ac:dyDescent="0.3">
      <c r="B958" s="99" t="s">
        <v>330</v>
      </c>
      <c r="C958" s="100">
        <v>45835</v>
      </c>
      <c r="D958" s="99" t="s">
        <v>31</v>
      </c>
      <c r="E958" s="99" t="s">
        <v>32</v>
      </c>
      <c r="F958" s="99" t="s">
        <v>20</v>
      </c>
      <c r="G958" s="99">
        <v>48</v>
      </c>
      <c r="H958" s="112">
        <v>180000</v>
      </c>
      <c r="I958" s="112">
        <v>8640000</v>
      </c>
      <c r="J958" s="99" t="s">
        <v>2795</v>
      </c>
      <c r="K958" s="99" t="s">
        <v>8</v>
      </c>
    </row>
    <row r="959" spans="2:11" x14ac:dyDescent="0.3">
      <c r="B959" s="99" t="s">
        <v>331</v>
      </c>
      <c r="C959" s="100">
        <v>45835</v>
      </c>
      <c r="D959" s="99" t="s">
        <v>18</v>
      </c>
      <c r="E959" s="99" t="s">
        <v>19</v>
      </c>
      <c r="F959" s="99" t="s">
        <v>20</v>
      </c>
      <c r="G959" s="99">
        <v>250</v>
      </c>
      <c r="H959" s="112">
        <v>500000</v>
      </c>
      <c r="I959" s="112">
        <v>125000000</v>
      </c>
      <c r="J959" s="99" t="s">
        <v>2695</v>
      </c>
      <c r="K959" s="99" t="s">
        <v>8</v>
      </c>
    </row>
    <row r="960" spans="2:11" x14ac:dyDescent="0.3">
      <c r="B960" s="99" t="s">
        <v>332</v>
      </c>
      <c r="C960" s="100">
        <v>45835</v>
      </c>
      <c r="D960" s="99" t="s">
        <v>18</v>
      </c>
      <c r="E960" s="99" t="s">
        <v>19</v>
      </c>
      <c r="F960" s="99" t="s">
        <v>20</v>
      </c>
      <c r="G960" s="99">
        <v>27</v>
      </c>
      <c r="H960" s="112">
        <v>500000</v>
      </c>
      <c r="I960" s="112">
        <v>13500000</v>
      </c>
      <c r="J960" s="99" t="s">
        <v>2148</v>
      </c>
      <c r="K960" s="99" t="s">
        <v>127</v>
      </c>
    </row>
    <row r="961" spans="2:11" x14ac:dyDescent="0.3">
      <c r="B961" s="99" t="s">
        <v>346</v>
      </c>
      <c r="C961" s="100">
        <v>45835</v>
      </c>
      <c r="D961" s="99" t="s">
        <v>40</v>
      </c>
      <c r="E961" s="99" t="s">
        <v>41</v>
      </c>
      <c r="F961" s="99" t="s">
        <v>16</v>
      </c>
      <c r="G961" s="99">
        <v>42</v>
      </c>
      <c r="H961" s="112">
        <v>950000</v>
      </c>
      <c r="I961" s="112">
        <v>39900000</v>
      </c>
      <c r="J961" s="99" t="s">
        <v>2780</v>
      </c>
      <c r="K961" s="99" t="s">
        <v>127</v>
      </c>
    </row>
    <row r="962" spans="2:11" x14ac:dyDescent="0.3">
      <c r="B962" s="99" t="s">
        <v>347</v>
      </c>
      <c r="C962" s="100">
        <v>45835</v>
      </c>
      <c r="D962" s="99" t="s">
        <v>40</v>
      </c>
      <c r="E962" s="99" t="s">
        <v>41</v>
      </c>
      <c r="F962" s="99" t="s">
        <v>16</v>
      </c>
      <c r="G962" s="99">
        <v>44</v>
      </c>
      <c r="H962" s="112">
        <v>950000</v>
      </c>
      <c r="I962" s="112">
        <v>41800000</v>
      </c>
      <c r="J962" s="99" t="s">
        <v>2144</v>
      </c>
      <c r="K962" s="99" t="s">
        <v>69</v>
      </c>
    </row>
    <row r="963" spans="2:11" x14ac:dyDescent="0.3">
      <c r="B963" s="99" t="s">
        <v>348</v>
      </c>
      <c r="C963" s="100">
        <v>45835</v>
      </c>
      <c r="D963" s="99" t="s">
        <v>28</v>
      </c>
      <c r="E963" s="99" t="s">
        <v>29</v>
      </c>
      <c r="F963" s="99" t="s">
        <v>20</v>
      </c>
      <c r="G963" s="99">
        <v>21</v>
      </c>
      <c r="H963" s="112">
        <v>450000</v>
      </c>
      <c r="I963" s="112">
        <v>9450000</v>
      </c>
      <c r="J963" s="99" t="s">
        <v>2250</v>
      </c>
      <c r="K963" s="99" t="s">
        <v>69</v>
      </c>
    </row>
    <row r="964" spans="2:11" x14ac:dyDescent="0.3">
      <c r="B964" s="99" t="s">
        <v>367</v>
      </c>
      <c r="C964" s="100">
        <v>45835</v>
      </c>
      <c r="D964" s="99" t="s">
        <v>42</v>
      </c>
      <c r="E964" s="99" t="s">
        <v>43</v>
      </c>
      <c r="F964" s="99" t="s">
        <v>16</v>
      </c>
      <c r="G964" s="99">
        <v>33</v>
      </c>
      <c r="H964" s="112">
        <v>1200000</v>
      </c>
      <c r="I964" s="112">
        <v>39600000</v>
      </c>
      <c r="J964" s="99" t="s">
        <v>2834</v>
      </c>
      <c r="K964" s="99" t="s">
        <v>127</v>
      </c>
    </row>
    <row r="965" spans="2:11" x14ac:dyDescent="0.3">
      <c r="B965" s="99" t="s">
        <v>368</v>
      </c>
      <c r="C965" s="100">
        <v>45835</v>
      </c>
      <c r="D965" s="99" t="s">
        <v>28</v>
      </c>
      <c r="E965" s="99" t="s">
        <v>29</v>
      </c>
      <c r="F965" s="99" t="s">
        <v>20</v>
      </c>
      <c r="G965" s="99">
        <v>26</v>
      </c>
      <c r="H965" s="112">
        <v>450000</v>
      </c>
      <c r="I965" s="112">
        <v>11700000</v>
      </c>
      <c r="J965" s="99" t="s">
        <v>2204</v>
      </c>
      <c r="K965" s="99" t="s">
        <v>69</v>
      </c>
    </row>
    <row r="966" spans="2:11" x14ac:dyDescent="0.3">
      <c r="B966" s="99" t="s">
        <v>369</v>
      </c>
      <c r="C966" s="100">
        <v>45838</v>
      </c>
      <c r="D966" s="99" t="s">
        <v>14</v>
      </c>
      <c r="E966" s="99" t="s">
        <v>15</v>
      </c>
      <c r="F966" s="99" t="s">
        <v>16</v>
      </c>
      <c r="G966" s="99">
        <v>14</v>
      </c>
      <c r="H966" s="112">
        <v>350000</v>
      </c>
      <c r="I966" s="112">
        <v>4900000</v>
      </c>
      <c r="J966" s="99" t="s">
        <v>2454</v>
      </c>
      <c r="K966" s="99" t="s">
        <v>8</v>
      </c>
    </row>
    <row r="967" spans="2:11" x14ac:dyDescent="0.3">
      <c r="B967" s="99" t="s">
        <v>370</v>
      </c>
      <c r="C967" s="100">
        <v>45838</v>
      </c>
      <c r="D967" s="99" t="s">
        <v>38</v>
      </c>
      <c r="E967" s="99" t="s">
        <v>39</v>
      </c>
      <c r="F967" s="99" t="s">
        <v>16</v>
      </c>
      <c r="G967" s="99">
        <v>26</v>
      </c>
      <c r="H967" s="112">
        <v>200000</v>
      </c>
      <c r="I967" s="112">
        <v>5200000</v>
      </c>
      <c r="J967" s="99" t="s">
        <v>2817</v>
      </c>
      <c r="K967" s="99" t="s">
        <v>127</v>
      </c>
    </row>
    <row r="968" spans="2:11" x14ac:dyDescent="0.3">
      <c r="B968" s="99" t="s">
        <v>371</v>
      </c>
      <c r="C968" s="100">
        <v>45838</v>
      </c>
      <c r="D968" s="99" t="s">
        <v>22</v>
      </c>
      <c r="E968" s="99" t="s">
        <v>23</v>
      </c>
      <c r="F968" s="99" t="s">
        <v>12</v>
      </c>
      <c r="G968" s="99">
        <v>9</v>
      </c>
      <c r="H968" s="112">
        <v>25000</v>
      </c>
      <c r="I968" s="112">
        <v>225000</v>
      </c>
      <c r="J968" s="99" t="s">
        <v>2787</v>
      </c>
      <c r="K968" s="99" t="s">
        <v>60</v>
      </c>
    </row>
    <row r="969" spans="2:11" x14ac:dyDescent="0.3">
      <c r="B969" s="99" t="s">
        <v>372</v>
      </c>
      <c r="C969" s="100">
        <v>45838</v>
      </c>
      <c r="D969" s="99" t="s">
        <v>31</v>
      </c>
      <c r="E969" s="99" t="s">
        <v>32</v>
      </c>
      <c r="F969" s="99" t="s">
        <v>20</v>
      </c>
      <c r="G969" s="99">
        <v>19</v>
      </c>
      <c r="H969" s="112">
        <v>180000</v>
      </c>
      <c r="I969" s="112">
        <v>3420000</v>
      </c>
      <c r="J969" s="99" t="s">
        <v>2347</v>
      </c>
      <c r="K969" s="99" t="s">
        <v>69</v>
      </c>
    </row>
    <row r="970" spans="2:11" x14ac:dyDescent="0.3">
      <c r="B970" s="99" t="s">
        <v>389</v>
      </c>
      <c r="C970" s="100">
        <v>45838</v>
      </c>
      <c r="D970" s="99" t="s">
        <v>44</v>
      </c>
      <c r="E970" s="99" t="s">
        <v>45</v>
      </c>
      <c r="F970" s="99" t="s">
        <v>16</v>
      </c>
      <c r="G970" s="99">
        <v>24</v>
      </c>
      <c r="H970" s="112">
        <v>250000</v>
      </c>
      <c r="I970" s="112">
        <v>6000000</v>
      </c>
      <c r="J970" s="99" t="s">
        <v>2205</v>
      </c>
      <c r="K970" s="99" t="s">
        <v>60</v>
      </c>
    </row>
    <row r="971" spans="2:11" x14ac:dyDescent="0.3">
      <c r="B971" s="99" t="s">
        <v>390</v>
      </c>
      <c r="C971" s="100">
        <v>45838</v>
      </c>
      <c r="D971" s="99" t="s">
        <v>22</v>
      </c>
      <c r="E971" s="99" t="s">
        <v>23</v>
      </c>
      <c r="F971" s="99" t="s">
        <v>12</v>
      </c>
      <c r="G971" s="99">
        <v>26</v>
      </c>
      <c r="H971" s="112">
        <v>25000</v>
      </c>
      <c r="I971" s="112">
        <v>650000</v>
      </c>
      <c r="J971" s="99" t="s">
        <v>2251</v>
      </c>
      <c r="K971" s="99" t="s">
        <v>127</v>
      </c>
    </row>
    <row r="972" spans="2:11" x14ac:dyDescent="0.3">
      <c r="B972" s="99" t="s">
        <v>406</v>
      </c>
      <c r="C972" s="100">
        <v>45838</v>
      </c>
      <c r="D972" s="99" t="s">
        <v>31</v>
      </c>
      <c r="E972" s="99" t="s">
        <v>32</v>
      </c>
      <c r="F972" s="99" t="s">
        <v>20</v>
      </c>
      <c r="G972" s="99">
        <v>41</v>
      </c>
      <c r="H972" s="112">
        <v>180000</v>
      </c>
      <c r="I972" s="112">
        <v>7380000</v>
      </c>
      <c r="J972" s="99" t="s">
        <v>2495</v>
      </c>
      <c r="K972" s="99" t="s">
        <v>60</v>
      </c>
    </row>
    <row r="973" spans="2:11" x14ac:dyDescent="0.3">
      <c r="B973" s="99" t="s">
        <v>407</v>
      </c>
      <c r="C973" s="100">
        <v>45840</v>
      </c>
      <c r="D973" s="99" t="s">
        <v>40</v>
      </c>
      <c r="E973" s="99" t="s">
        <v>41</v>
      </c>
      <c r="F973" s="99" t="s">
        <v>16</v>
      </c>
      <c r="G973" s="99">
        <v>21</v>
      </c>
      <c r="H973" s="112">
        <v>950000</v>
      </c>
      <c r="I973" s="112">
        <v>19950000</v>
      </c>
      <c r="J973" s="99" t="s">
        <v>2252</v>
      </c>
      <c r="K973" s="99" t="s">
        <v>47</v>
      </c>
    </row>
    <row r="974" spans="2:11" x14ac:dyDescent="0.3">
      <c r="B974" s="99" t="s">
        <v>408</v>
      </c>
      <c r="C974" s="100">
        <v>45840</v>
      </c>
      <c r="D974" s="99" t="s">
        <v>31</v>
      </c>
      <c r="E974" s="99" t="s">
        <v>32</v>
      </c>
      <c r="F974" s="99" t="s">
        <v>20</v>
      </c>
      <c r="G974" s="99">
        <v>13</v>
      </c>
      <c r="H974" s="112">
        <v>180000</v>
      </c>
      <c r="I974" s="112">
        <v>2340000</v>
      </c>
      <c r="J974" s="99" t="s">
        <v>1939</v>
      </c>
      <c r="K974" s="99" t="s">
        <v>8</v>
      </c>
    </row>
    <row r="975" spans="2:11" x14ac:dyDescent="0.3">
      <c r="B975" s="99" t="s">
        <v>427</v>
      </c>
      <c r="C975" s="100">
        <v>45840</v>
      </c>
      <c r="D975" s="99" t="s">
        <v>18</v>
      </c>
      <c r="E975" s="99" t="s">
        <v>19</v>
      </c>
      <c r="F975" s="99" t="s">
        <v>20</v>
      </c>
      <c r="G975" s="99">
        <v>30</v>
      </c>
      <c r="H975" s="112">
        <v>500000</v>
      </c>
      <c r="I975" s="112">
        <v>15000000</v>
      </c>
      <c r="J975" s="99" t="s">
        <v>2191</v>
      </c>
      <c r="K975" s="99" t="s">
        <v>69</v>
      </c>
    </row>
    <row r="976" spans="2:11" x14ac:dyDescent="0.3">
      <c r="B976" s="99" t="s">
        <v>428</v>
      </c>
      <c r="C976" s="100">
        <v>45840</v>
      </c>
      <c r="D976" s="99" t="s">
        <v>14</v>
      </c>
      <c r="E976" s="99" t="s">
        <v>15</v>
      </c>
      <c r="F976" s="99" t="s">
        <v>16</v>
      </c>
      <c r="G976" s="99">
        <v>14</v>
      </c>
      <c r="H976" s="112">
        <v>350000</v>
      </c>
      <c r="I976" s="112">
        <v>4900000</v>
      </c>
      <c r="J976" s="99" t="s">
        <v>2359</v>
      </c>
      <c r="K976" s="99" t="s">
        <v>127</v>
      </c>
    </row>
    <row r="977" spans="2:11" x14ac:dyDescent="0.3">
      <c r="B977" s="99" t="s">
        <v>437</v>
      </c>
      <c r="C977" s="100">
        <v>45840</v>
      </c>
      <c r="D977" s="99" t="s">
        <v>44</v>
      </c>
      <c r="E977" s="99" t="s">
        <v>45</v>
      </c>
      <c r="F977" s="99" t="s">
        <v>16</v>
      </c>
      <c r="G977" s="99">
        <v>34</v>
      </c>
      <c r="H977" s="112">
        <v>250000</v>
      </c>
      <c r="I977" s="112">
        <v>8500000</v>
      </c>
      <c r="J977" s="99" t="s">
        <v>1242</v>
      </c>
      <c r="K977" s="99" t="s">
        <v>60</v>
      </c>
    </row>
    <row r="978" spans="2:11" x14ac:dyDescent="0.3">
      <c r="B978" s="99" t="s">
        <v>438</v>
      </c>
      <c r="C978" s="100">
        <v>45840</v>
      </c>
      <c r="D978" s="99" t="s">
        <v>44</v>
      </c>
      <c r="E978" s="99" t="s">
        <v>45</v>
      </c>
      <c r="F978" s="99" t="s">
        <v>16</v>
      </c>
      <c r="G978" s="99">
        <v>41</v>
      </c>
      <c r="H978" s="112">
        <v>250000</v>
      </c>
      <c r="I978" s="112">
        <v>10250000</v>
      </c>
      <c r="J978" s="99" t="s">
        <v>2552</v>
      </c>
      <c r="K978" s="99" t="s">
        <v>8</v>
      </c>
    </row>
    <row r="979" spans="2:11" x14ac:dyDescent="0.3">
      <c r="B979" s="99" t="s">
        <v>450</v>
      </c>
      <c r="C979" s="100">
        <v>45840</v>
      </c>
      <c r="D979" s="99" t="s">
        <v>40</v>
      </c>
      <c r="E979" s="99" t="s">
        <v>41</v>
      </c>
      <c r="F979" s="99" t="s">
        <v>16</v>
      </c>
      <c r="G979" s="99">
        <v>45</v>
      </c>
      <c r="H979" s="112">
        <v>950000</v>
      </c>
      <c r="I979" s="112">
        <v>42750000</v>
      </c>
      <c r="J979" s="99" t="s">
        <v>2224</v>
      </c>
      <c r="K979" s="99" t="s">
        <v>127</v>
      </c>
    </row>
    <row r="980" spans="2:11" x14ac:dyDescent="0.3">
      <c r="B980" s="99" t="s">
        <v>451</v>
      </c>
      <c r="C980" s="100">
        <v>45840</v>
      </c>
      <c r="D980" s="99" t="s">
        <v>31</v>
      </c>
      <c r="E980" s="99" t="s">
        <v>32</v>
      </c>
      <c r="F980" s="99" t="s">
        <v>20</v>
      </c>
      <c r="G980" s="99">
        <v>26</v>
      </c>
      <c r="H980" s="112">
        <v>180000</v>
      </c>
      <c r="I980" s="112">
        <v>4680000</v>
      </c>
      <c r="J980" s="99" t="s">
        <v>2773</v>
      </c>
      <c r="K980" s="99" t="s">
        <v>8</v>
      </c>
    </row>
    <row r="981" spans="2:11" x14ac:dyDescent="0.3">
      <c r="B981" s="99" t="s">
        <v>472</v>
      </c>
      <c r="C981" s="100">
        <v>45840</v>
      </c>
      <c r="D981" s="99" t="s">
        <v>22</v>
      </c>
      <c r="E981" s="99" t="s">
        <v>23</v>
      </c>
      <c r="F981" s="99" t="s">
        <v>12</v>
      </c>
      <c r="G981" s="99">
        <v>37</v>
      </c>
      <c r="H981" s="112">
        <v>25000</v>
      </c>
      <c r="I981" s="112">
        <v>925000</v>
      </c>
      <c r="J981" s="99" t="s">
        <v>2843</v>
      </c>
      <c r="K981" s="99" t="s">
        <v>8</v>
      </c>
    </row>
    <row r="982" spans="2:11" x14ac:dyDescent="0.3">
      <c r="B982" s="99" t="s">
        <v>473</v>
      </c>
      <c r="C982" s="100">
        <v>45840</v>
      </c>
      <c r="D982" s="99" t="s">
        <v>22</v>
      </c>
      <c r="E982" s="99" t="s">
        <v>23</v>
      </c>
      <c r="F982" s="99" t="s">
        <v>12</v>
      </c>
      <c r="G982" s="99">
        <v>14</v>
      </c>
      <c r="H982" s="112">
        <v>25000</v>
      </c>
      <c r="I982" s="112">
        <v>350000</v>
      </c>
      <c r="J982" s="99" t="s">
        <v>2345</v>
      </c>
      <c r="K982" s="99" t="s">
        <v>8</v>
      </c>
    </row>
    <row r="983" spans="2:11" x14ac:dyDescent="0.3">
      <c r="B983" s="99" t="s">
        <v>474</v>
      </c>
      <c r="C983" s="100">
        <v>45840</v>
      </c>
      <c r="D983" s="99" t="s">
        <v>10</v>
      </c>
      <c r="E983" s="99" t="s">
        <v>11</v>
      </c>
      <c r="F983" s="99" t="s">
        <v>12</v>
      </c>
      <c r="G983" s="99">
        <v>40</v>
      </c>
      <c r="H983" s="112">
        <v>120000</v>
      </c>
      <c r="I983" s="112">
        <v>4800000</v>
      </c>
      <c r="J983" s="99" t="s">
        <v>2641</v>
      </c>
      <c r="K983" s="99" t="s">
        <v>47</v>
      </c>
    </row>
    <row r="984" spans="2:11" x14ac:dyDescent="0.3">
      <c r="B984" s="99" t="s">
        <v>475</v>
      </c>
      <c r="C984" s="100">
        <v>45840</v>
      </c>
      <c r="D984" s="99" t="s">
        <v>28</v>
      </c>
      <c r="E984" s="99" t="s">
        <v>29</v>
      </c>
      <c r="F984" s="99" t="s">
        <v>20</v>
      </c>
      <c r="G984" s="99">
        <v>160</v>
      </c>
      <c r="H984" s="112">
        <v>450000</v>
      </c>
      <c r="I984" s="112">
        <v>72000000</v>
      </c>
      <c r="J984" s="99" t="s">
        <v>1789</v>
      </c>
      <c r="K984" s="99" t="s">
        <v>8</v>
      </c>
    </row>
    <row r="985" spans="2:11" x14ac:dyDescent="0.3">
      <c r="B985" s="99" t="s">
        <v>495</v>
      </c>
      <c r="C985" s="100">
        <v>45840</v>
      </c>
      <c r="D985" s="99" t="s">
        <v>40</v>
      </c>
      <c r="E985" s="99" t="s">
        <v>41</v>
      </c>
      <c r="F985" s="99" t="s">
        <v>16</v>
      </c>
      <c r="G985" s="99">
        <v>15</v>
      </c>
      <c r="H985" s="112">
        <v>950000</v>
      </c>
      <c r="I985" s="112">
        <v>14250000</v>
      </c>
      <c r="J985" s="99" t="s">
        <v>2252</v>
      </c>
      <c r="K985" s="99" t="s">
        <v>47</v>
      </c>
    </row>
    <row r="986" spans="2:11" x14ac:dyDescent="0.3">
      <c r="B986" s="99" t="s">
        <v>496</v>
      </c>
      <c r="C986" s="100">
        <v>45842</v>
      </c>
      <c r="D986" s="99" t="s">
        <v>14</v>
      </c>
      <c r="E986" s="99" t="s">
        <v>15</v>
      </c>
      <c r="F986" s="99" t="s">
        <v>16</v>
      </c>
      <c r="G986" s="99">
        <v>47</v>
      </c>
      <c r="H986" s="112">
        <v>350000</v>
      </c>
      <c r="I986" s="112">
        <v>16450000</v>
      </c>
      <c r="J986" s="99" t="s">
        <v>2259</v>
      </c>
      <c r="K986" s="99" t="s">
        <v>127</v>
      </c>
    </row>
    <row r="987" spans="2:11" x14ac:dyDescent="0.3">
      <c r="B987" s="99" t="s">
        <v>516</v>
      </c>
      <c r="C987" s="100">
        <v>45842</v>
      </c>
      <c r="D987" s="99" t="s">
        <v>40</v>
      </c>
      <c r="E987" s="99" t="s">
        <v>41</v>
      </c>
      <c r="F987" s="99" t="s">
        <v>16</v>
      </c>
      <c r="G987" s="99">
        <v>31</v>
      </c>
      <c r="H987" s="112">
        <v>950000</v>
      </c>
      <c r="I987" s="112">
        <v>29450000</v>
      </c>
      <c r="J987" s="99" t="s">
        <v>2827</v>
      </c>
      <c r="K987" s="99" t="s">
        <v>60</v>
      </c>
    </row>
    <row r="988" spans="2:11" x14ac:dyDescent="0.3">
      <c r="B988" s="99" t="s">
        <v>517</v>
      </c>
      <c r="C988" s="100">
        <v>45842</v>
      </c>
      <c r="D988" s="99" t="s">
        <v>42</v>
      </c>
      <c r="E988" s="99" t="s">
        <v>43</v>
      </c>
      <c r="F988" s="99" t="s">
        <v>16</v>
      </c>
      <c r="G988" s="99">
        <v>35</v>
      </c>
      <c r="H988" s="112">
        <v>1200000</v>
      </c>
      <c r="I988" s="112">
        <v>42000000</v>
      </c>
      <c r="J988" s="99" t="s">
        <v>2426</v>
      </c>
      <c r="K988" s="99" t="s">
        <v>69</v>
      </c>
    </row>
    <row r="989" spans="2:11" x14ac:dyDescent="0.3">
      <c r="B989" s="99" t="s">
        <v>518</v>
      </c>
      <c r="C989" s="100">
        <v>45842</v>
      </c>
      <c r="D989" s="99" t="s">
        <v>42</v>
      </c>
      <c r="E989" s="99" t="s">
        <v>43</v>
      </c>
      <c r="F989" s="99" t="s">
        <v>16</v>
      </c>
      <c r="G989" s="99">
        <v>38</v>
      </c>
      <c r="H989" s="112">
        <v>1200000</v>
      </c>
      <c r="I989" s="112">
        <v>45600000</v>
      </c>
      <c r="J989" s="99" t="s">
        <v>2340</v>
      </c>
      <c r="K989" s="99" t="s">
        <v>127</v>
      </c>
    </row>
    <row r="990" spans="2:11" x14ac:dyDescent="0.3">
      <c r="B990" s="99" t="s">
        <v>519</v>
      </c>
      <c r="C990" s="100">
        <v>45842</v>
      </c>
      <c r="D990" s="99" t="s">
        <v>40</v>
      </c>
      <c r="E990" s="99" t="s">
        <v>41</v>
      </c>
      <c r="F990" s="99" t="s">
        <v>16</v>
      </c>
      <c r="G990" s="99">
        <v>36</v>
      </c>
      <c r="H990" s="112">
        <v>950000</v>
      </c>
      <c r="I990" s="112">
        <v>34200000</v>
      </c>
      <c r="J990" s="99" t="s">
        <v>2497</v>
      </c>
      <c r="K990" s="99" t="s">
        <v>127</v>
      </c>
    </row>
    <row r="991" spans="2:11" x14ac:dyDescent="0.3">
      <c r="B991" s="99" t="s">
        <v>544</v>
      </c>
      <c r="C991" s="100">
        <v>45842</v>
      </c>
      <c r="D991" s="99" t="s">
        <v>42</v>
      </c>
      <c r="E991" s="99" t="s">
        <v>43</v>
      </c>
      <c r="F991" s="99" t="s">
        <v>16</v>
      </c>
      <c r="G991" s="99">
        <v>360</v>
      </c>
      <c r="H991" s="112">
        <v>1200000</v>
      </c>
      <c r="I991" s="112">
        <v>432000000</v>
      </c>
      <c r="J991" s="99" t="s">
        <v>2695</v>
      </c>
      <c r="K991" s="99" t="s">
        <v>8</v>
      </c>
    </row>
    <row r="992" spans="2:11" x14ac:dyDescent="0.3">
      <c r="B992" s="99" t="s">
        <v>567</v>
      </c>
      <c r="C992" s="100">
        <v>45842</v>
      </c>
      <c r="D992" s="99" t="s">
        <v>42</v>
      </c>
      <c r="E992" s="99" t="s">
        <v>43</v>
      </c>
      <c r="F992" s="99" t="s">
        <v>16</v>
      </c>
      <c r="G992" s="99">
        <v>60</v>
      </c>
      <c r="H992" s="112">
        <v>1200000</v>
      </c>
      <c r="I992" s="112">
        <v>72000000</v>
      </c>
      <c r="J992" s="99" t="s">
        <v>2149</v>
      </c>
      <c r="K992" s="99" t="s">
        <v>127</v>
      </c>
    </row>
    <row r="993" spans="2:11" x14ac:dyDescent="0.3">
      <c r="B993" s="99" t="s">
        <v>568</v>
      </c>
      <c r="C993" s="100">
        <v>45842</v>
      </c>
      <c r="D993" s="99" t="s">
        <v>38</v>
      </c>
      <c r="E993" s="99" t="s">
        <v>39</v>
      </c>
      <c r="F993" s="99" t="s">
        <v>16</v>
      </c>
      <c r="G993" s="99">
        <v>40</v>
      </c>
      <c r="H993" s="112">
        <v>200000</v>
      </c>
      <c r="I993" s="112">
        <v>8000000</v>
      </c>
      <c r="J993" s="99" t="s">
        <v>2712</v>
      </c>
      <c r="K993" s="99" t="s">
        <v>8</v>
      </c>
    </row>
    <row r="994" spans="2:11" x14ac:dyDescent="0.3">
      <c r="B994" s="99" t="s">
        <v>582</v>
      </c>
      <c r="C994" s="100">
        <v>45842</v>
      </c>
      <c r="D994" s="99" t="s">
        <v>18</v>
      </c>
      <c r="E994" s="99" t="s">
        <v>19</v>
      </c>
      <c r="F994" s="99" t="s">
        <v>20</v>
      </c>
      <c r="G994" s="99">
        <v>48</v>
      </c>
      <c r="H994" s="112">
        <v>500000</v>
      </c>
      <c r="I994" s="112">
        <v>24000000</v>
      </c>
      <c r="J994" s="99" t="s">
        <v>2732</v>
      </c>
      <c r="K994" s="99" t="s">
        <v>60</v>
      </c>
    </row>
    <row r="995" spans="2:11" x14ac:dyDescent="0.3">
      <c r="B995" s="99" t="s">
        <v>583</v>
      </c>
      <c r="C995" s="100">
        <v>45842</v>
      </c>
      <c r="D995" s="99" t="s">
        <v>22</v>
      </c>
      <c r="E995" s="99" t="s">
        <v>23</v>
      </c>
      <c r="F995" s="99" t="s">
        <v>12</v>
      </c>
      <c r="G995" s="99">
        <v>50</v>
      </c>
      <c r="H995" s="112">
        <v>25000</v>
      </c>
      <c r="I995" s="112">
        <v>1250000</v>
      </c>
      <c r="J995" s="99" t="s">
        <v>2197</v>
      </c>
      <c r="K995" s="99" t="s">
        <v>8</v>
      </c>
    </row>
    <row r="996" spans="2:11" x14ac:dyDescent="0.3">
      <c r="B996" s="99" t="s">
        <v>584</v>
      </c>
      <c r="C996" s="100">
        <v>45842</v>
      </c>
      <c r="D996" s="99" t="s">
        <v>44</v>
      </c>
      <c r="E996" s="99" t="s">
        <v>45</v>
      </c>
      <c r="F996" s="99" t="s">
        <v>16</v>
      </c>
      <c r="G996" s="99">
        <v>34</v>
      </c>
      <c r="H996" s="112">
        <v>250000</v>
      </c>
      <c r="I996" s="112">
        <v>8500000</v>
      </c>
      <c r="J996" s="99" t="s">
        <v>2597</v>
      </c>
      <c r="K996" s="99" t="s">
        <v>8</v>
      </c>
    </row>
    <row r="997" spans="2:11" x14ac:dyDescent="0.3">
      <c r="B997" s="99" t="s">
        <v>602</v>
      </c>
      <c r="C997" s="100">
        <v>45842</v>
      </c>
      <c r="D997" s="99" t="s">
        <v>10</v>
      </c>
      <c r="E997" s="99" t="s">
        <v>11</v>
      </c>
      <c r="F997" s="99" t="s">
        <v>12</v>
      </c>
      <c r="G997" s="99">
        <v>16</v>
      </c>
      <c r="H997" s="112">
        <v>120000</v>
      </c>
      <c r="I997" s="112">
        <v>1920000</v>
      </c>
      <c r="J997" s="99" t="s">
        <v>2731</v>
      </c>
      <c r="K997" s="99" t="s">
        <v>47</v>
      </c>
    </row>
    <row r="998" spans="2:11" x14ac:dyDescent="0.3">
      <c r="B998" s="99" t="s">
        <v>603</v>
      </c>
      <c r="C998" s="100">
        <v>45842</v>
      </c>
      <c r="D998" s="99" t="s">
        <v>22</v>
      </c>
      <c r="E998" s="99" t="s">
        <v>23</v>
      </c>
      <c r="F998" s="99" t="s">
        <v>12</v>
      </c>
      <c r="G998" s="99">
        <v>43</v>
      </c>
      <c r="H998" s="112">
        <v>25000</v>
      </c>
      <c r="I998" s="112">
        <v>1075000</v>
      </c>
      <c r="J998" s="99" t="s">
        <v>2645</v>
      </c>
      <c r="K998" s="99" t="s">
        <v>127</v>
      </c>
    </row>
    <row r="999" spans="2:11" x14ac:dyDescent="0.3">
      <c r="B999" s="99" t="s">
        <v>604</v>
      </c>
      <c r="C999" s="100">
        <v>45842</v>
      </c>
      <c r="D999" s="99" t="s">
        <v>44</v>
      </c>
      <c r="E999" s="99" t="s">
        <v>45</v>
      </c>
      <c r="F999" s="99" t="s">
        <v>16</v>
      </c>
      <c r="G999" s="99">
        <v>31</v>
      </c>
      <c r="H999" s="112">
        <v>250000</v>
      </c>
      <c r="I999" s="112">
        <v>7750000</v>
      </c>
      <c r="J999" s="99" t="s">
        <v>2827</v>
      </c>
      <c r="K999" s="99" t="s">
        <v>60</v>
      </c>
    </row>
    <row r="1000" spans="2:11" x14ac:dyDescent="0.3">
      <c r="B1000" s="99" t="s">
        <v>628</v>
      </c>
      <c r="C1000" s="100">
        <v>45842</v>
      </c>
      <c r="D1000" s="99" t="s">
        <v>38</v>
      </c>
      <c r="E1000" s="99" t="s">
        <v>39</v>
      </c>
      <c r="F1000" s="99" t="s">
        <v>16</v>
      </c>
      <c r="G1000" s="99">
        <v>480</v>
      </c>
      <c r="H1000" s="112">
        <v>200000</v>
      </c>
      <c r="I1000" s="112">
        <v>96000000</v>
      </c>
      <c r="J1000" s="99" t="s">
        <v>2686</v>
      </c>
      <c r="K1000" s="99" t="s">
        <v>8</v>
      </c>
    </row>
    <row r="1001" spans="2:11" x14ac:dyDescent="0.3">
      <c r="B1001" s="99" t="s">
        <v>629</v>
      </c>
      <c r="C1001" s="100">
        <v>45842</v>
      </c>
      <c r="D1001" s="99" t="s">
        <v>31</v>
      </c>
      <c r="E1001" s="99" t="s">
        <v>32</v>
      </c>
      <c r="F1001" s="99" t="s">
        <v>20</v>
      </c>
      <c r="G1001" s="99">
        <v>23</v>
      </c>
      <c r="H1001" s="112">
        <v>180000</v>
      </c>
      <c r="I1001" s="112">
        <v>4140000</v>
      </c>
      <c r="J1001" s="99" t="s">
        <v>2281</v>
      </c>
      <c r="K1001" s="99" t="s">
        <v>47</v>
      </c>
    </row>
    <row r="1002" spans="2:11" x14ac:dyDescent="0.3">
      <c r="B1002" s="99" t="s">
        <v>682</v>
      </c>
      <c r="C1002" s="100">
        <v>45847</v>
      </c>
      <c r="D1002" s="99" t="s">
        <v>44</v>
      </c>
      <c r="E1002" s="99" t="s">
        <v>45</v>
      </c>
      <c r="F1002" s="99" t="s">
        <v>16</v>
      </c>
      <c r="G1002" s="99">
        <v>33</v>
      </c>
      <c r="H1002" s="112">
        <v>250000</v>
      </c>
      <c r="I1002" s="112">
        <v>8250000</v>
      </c>
      <c r="J1002" s="99" t="s">
        <v>2839</v>
      </c>
      <c r="K1002" s="99" t="s">
        <v>47</v>
      </c>
    </row>
    <row r="1003" spans="2:11" x14ac:dyDescent="0.3">
      <c r="B1003" s="99" t="s">
        <v>683</v>
      </c>
      <c r="C1003" s="100">
        <v>45847</v>
      </c>
      <c r="D1003" s="99" t="s">
        <v>40</v>
      </c>
      <c r="E1003" s="99" t="s">
        <v>41</v>
      </c>
      <c r="F1003" s="99" t="s">
        <v>16</v>
      </c>
      <c r="G1003" s="99">
        <v>400</v>
      </c>
      <c r="H1003" s="112">
        <v>950000</v>
      </c>
      <c r="I1003" s="112">
        <v>380000000</v>
      </c>
      <c r="J1003" s="99" t="s">
        <v>2753</v>
      </c>
      <c r="K1003" s="99" t="s">
        <v>47</v>
      </c>
    </row>
    <row r="1004" spans="2:11" x14ac:dyDescent="0.3">
      <c r="B1004" s="99" t="s">
        <v>704</v>
      </c>
      <c r="C1004" s="100">
        <v>45847</v>
      </c>
      <c r="D1004" s="99" t="s">
        <v>14</v>
      </c>
      <c r="E1004" s="99" t="s">
        <v>15</v>
      </c>
      <c r="F1004" s="99" t="s">
        <v>16</v>
      </c>
      <c r="G1004" s="99">
        <v>40</v>
      </c>
      <c r="H1004" s="112">
        <v>350000</v>
      </c>
      <c r="I1004" s="112">
        <v>14000000</v>
      </c>
      <c r="J1004" s="99" t="s">
        <v>2131</v>
      </c>
      <c r="K1004" s="99" t="s">
        <v>60</v>
      </c>
    </row>
    <row r="1005" spans="2:11" x14ac:dyDescent="0.3">
      <c r="B1005" s="99" t="s">
        <v>721</v>
      </c>
      <c r="C1005" s="100">
        <v>45847</v>
      </c>
      <c r="D1005" s="99" t="s">
        <v>44</v>
      </c>
      <c r="E1005" s="99" t="s">
        <v>45</v>
      </c>
      <c r="F1005" s="99" t="s">
        <v>16</v>
      </c>
      <c r="G1005" s="99">
        <v>39</v>
      </c>
      <c r="H1005" s="112">
        <v>250000</v>
      </c>
      <c r="I1005" s="112">
        <v>9750000</v>
      </c>
      <c r="J1005" s="99" t="s">
        <v>2300</v>
      </c>
      <c r="K1005" s="99" t="s">
        <v>60</v>
      </c>
    </row>
    <row r="1006" spans="2:11" x14ac:dyDescent="0.3">
      <c r="B1006" s="99" t="s">
        <v>735</v>
      </c>
      <c r="C1006" s="100">
        <v>45847</v>
      </c>
      <c r="D1006" s="99" t="s">
        <v>14</v>
      </c>
      <c r="E1006" s="99" t="s">
        <v>15</v>
      </c>
      <c r="F1006" s="99" t="s">
        <v>16</v>
      </c>
      <c r="G1006" s="99">
        <v>29</v>
      </c>
      <c r="H1006" s="112">
        <v>350000</v>
      </c>
      <c r="I1006" s="112">
        <v>10150000</v>
      </c>
      <c r="J1006" s="99" t="s">
        <v>2453</v>
      </c>
      <c r="K1006" s="99" t="s">
        <v>8</v>
      </c>
    </row>
    <row r="1007" spans="2:11" x14ac:dyDescent="0.3">
      <c r="B1007" s="99" t="s">
        <v>736</v>
      </c>
      <c r="C1007" s="100">
        <v>45847</v>
      </c>
      <c r="D1007" s="99" t="s">
        <v>40</v>
      </c>
      <c r="E1007" s="99" t="s">
        <v>41</v>
      </c>
      <c r="F1007" s="99" t="s">
        <v>16</v>
      </c>
      <c r="G1007" s="99">
        <v>250</v>
      </c>
      <c r="H1007" s="112">
        <v>950000</v>
      </c>
      <c r="I1007" s="112">
        <v>237500000</v>
      </c>
      <c r="J1007" s="99" t="s">
        <v>2618</v>
      </c>
      <c r="K1007" s="99" t="s">
        <v>8</v>
      </c>
    </row>
    <row r="1008" spans="2:11" x14ac:dyDescent="0.3">
      <c r="B1008" s="99" t="s">
        <v>737</v>
      </c>
      <c r="C1008" s="100">
        <v>45847</v>
      </c>
      <c r="D1008" s="99" t="s">
        <v>31</v>
      </c>
      <c r="E1008" s="99" t="s">
        <v>32</v>
      </c>
      <c r="F1008" s="99" t="s">
        <v>20</v>
      </c>
      <c r="G1008" s="99">
        <v>18</v>
      </c>
      <c r="H1008" s="112">
        <v>180000</v>
      </c>
      <c r="I1008" s="112">
        <v>3240000</v>
      </c>
      <c r="J1008" s="99" t="s">
        <v>2720</v>
      </c>
      <c r="K1008" s="99" t="s">
        <v>47</v>
      </c>
    </row>
    <row r="1009" spans="2:11" x14ac:dyDescent="0.3">
      <c r="B1009" s="99" t="s">
        <v>738</v>
      </c>
      <c r="C1009" s="100">
        <v>45847</v>
      </c>
      <c r="D1009" s="99" t="s">
        <v>40</v>
      </c>
      <c r="E1009" s="99" t="s">
        <v>41</v>
      </c>
      <c r="F1009" s="99" t="s">
        <v>16</v>
      </c>
      <c r="G1009" s="99">
        <v>50</v>
      </c>
      <c r="H1009" s="112">
        <v>950000</v>
      </c>
      <c r="I1009" s="112">
        <v>47500000</v>
      </c>
      <c r="J1009" s="99" t="s">
        <v>2828</v>
      </c>
      <c r="K1009" s="99" t="s">
        <v>127</v>
      </c>
    </row>
    <row r="1010" spans="2:11" x14ac:dyDescent="0.3">
      <c r="B1010" s="99" t="s">
        <v>755</v>
      </c>
      <c r="C1010" s="100">
        <v>45847</v>
      </c>
      <c r="D1010" s="99" t="s">
        <v>14</v>
      </c>
      <c r="E1010" s="99" t="s">
        <v>15</v>
      </c>
      <c r="F1010" s="99" t="s">
        <v>16</v>
      </c>
      <c r="G1010" s="99">
        <v>48</v>
      </c>
      <c r="H1010" s="112">
        <v>350000</v>
      </c>
      <c r="I1010" s="112">
        <v>16800000</v>
      </c>
      <c r="J1010" s="99" t="s">
        <v>2782</v>
      </c>
      <c r="K1010" s="99" t="s">
        <v>69</v>
      </c>
    </row>
    <row r="1011" spans="2:11" x14ac:dyDescent="0.3">
      <c r="B1011" s="99" t="s">
        <v>756</v>
      </c>
      <c r="C1011" s="100">
        <v>45847</v>
      </c>
      <c r="D1011" s="99" t="s">
        <v>28</v>
      </c>
      <c r="E1011" s="99" t="s">
        <v>29</v>
      </c>
      <c r="F1011" s="99" t="s">
        <v>20</v>
      </c>
      <c r="G1011" s="99">
        <v>190</v>
      </c>
      <c r="H1011" s="112">
        <v>450000</v>
      </c>
      <c r="I1011" s="112">
        <v>85500000</v>
      </c>
      <c r="J1011" s="99" t="s">
        <v>2362</v>
      </c>
      <c r="K1011" s="99" t="s">
        <v>8</v>
      </c>
    </row>
    <row r="1012" spans="2:11" x14ac:dyDescent="0.3">
      <c r="B1012" s="99" t="s">
        <v>757</v>
      </c>
      <c r="C1012" s="100">
        <v>45847</v>
      </c>
      <c r="D1012" s="99" t="s">
        <v>18</v>
      </c>
      <c r="E1012" s="99" t="s">
        <v>19</v>
      </c>
      <c r="F1012" s="99" t="s">
        <v>20</v>
      </c>
      <c r="G1012" s="99">
        <v>110</v>
      </c>
      <c r="H1012" s="112">
        <v>500000</v>
      </c>
      <c r="I1012" s="112">
        <v>55000000</v>
      </c>
      <c r="J1012" s="99" t="s">
        <v>2577</v>
      </c>
      <c r="K1012" s="99" t="s">
        <v>47</v>
      </c>
    </row>
    <row r="1013" spans="2:11" x14ac:dyDescent="0.3">
      <c r="B1013" s="99" t="s">
        <v>758</v>
      </c>
      <c r="C1013" s="100">
        <v>45848</v>
      </c>
      <c r="D1013" s="99" t="s">
        <v>31</v>
      </c>
      <c r="E1013" s="99" t="s">
        <v>32</v>
      </c>
      <c r="F1013" s="99" t="s">
        <v>20</v>
      </c>
      <c r="G1013" s="99">
        <v>43</v>
      </c>
      <c r="H1013" s="112">
        <v>180000</v>
      </c>
      <c r="I1013" s="112">
        <v>7740000</v>
      </c>
      <c r="J1013" s="99" t="s">
        <v>2703</v>
      </c>
      <c r="K1013" s="99" t="s">
        <v>127</v>
      </c>
    </row>
    <row r="1014" spans="2:11" x14ac:dyDescent="0.3">
      <c r="B1014" s="99" t="s">
        <v>759</v>
      </c>
      <c r="C1014" s="100">
        <v>45848</v>
      </c>
      <c r="D1014" s="99" t="s">
        <v>14</v>
      </c>
      <c r="E1014" s="99" t="s">
        <v>15</v>
      </c>
      <c r="F1014" s="99" t="s">
        <v>16</v>
      </c>
      <c r="G1014" s="99">
        <v>17</v>
      </c>
      <c r="H1014" s="112">
        <v>350000</v>
      </c>
      <c r="I1014" s="112">
        <v>5950000</v>
      </c>
      <c r="J1014" s="99" t="s">
        <v>2390</v>
      </c>
      <c r="K1014" s="99" t="s">
        <v>69</v>
      </c>
    </row>
    <row r="1015" spans="2:11" x14ac:dyDescent="0.3">
      <c r="B1015" s="99" t="s">
        <v>779</v>
      </c>
      <c r="C1015" s="100">
        <v>45848</v>
      </c>
      <c r="D1015" s="99" t="s">
        <v>42</v>
      </c>
      <c r="E1015" s="99" t="s">
        <v>43</v>
      </c>
      <c r="F1015" s="99" t="s">
        <v>16</v>
      </c>
      <c r="G1015" s="99">
        <v>34</v>
      </c>
      <c r="H1015" s="112">
        <v>1200000</v>
      </c>
      <c r="I1015" s="112">
        <v>40800000</v>
      </c>
      <c r="J1015" s="99" t="s">
        <v>2548</v>
      </c>
      <c r="K1015" s="99" t="s">
        <v>47</v>
      </c>
    </row>
    <row r="1016" spans="2:11" x14ac:dyDescent="0.3">
      <c r="B1016" s="99" t="s">
        <v>780</v>
      </c>
      <c r="C1016" s="100">
        <v>45848</v>
      </c>
      <c r="D1016" s="99" t="s">
        <v>44</v>
      </c>
      <c r="E1016" s="99" t="s">
        <v>45</v>
      </c>
      <c r="F1016" s="99" t="s">
        <v>16</v>
      </c>
      <c r="G1016" s="99">
        <v>9</v>
      </c>
      <c r="H1016" s="112">
        <v>250000</v>
      </c>
      <c r="I1016" s="112">
        <v>2250000</v>
      </c>
      <c r="J1016" s="99" t="s">
        <v>2690</v>
      </c>
      <c r="K1016" s="99" t="s">
        <v>60</v>
      </c>
    </row>
    <row r="1017" spans="2:11" x14ac:dyDescent="0.3">
      <c r="B1017" s="99" t="s">
        <v>781</v>
      </c>
      <c r="C1017" s="100">
        <v>45848</v>
      </c>
      <c r="D1017" s="99" t="s">
        <v>22</v>
      </c>
      <c r="E1017" s="99" t="s">
        <v>23</v>
      </c>
      <c r="F1017" s="99" t="s">
        <v>12</v>
      </c>
      <c r="G1017" s="99">
        <v>23</v>
      </c>
      <c r="H1017" s="112">
        <v>25000</v>
      </c>
      <c r="I1017" s="112">
        <v>575000</v>
      </c>
      <c r="J1017" s="99" t="s">
        <v>2353</v>
      </c>
      <c r="K1017" s="99" t="s">
        <v>69</v>
      </c>
    </row>
    <row r="1018" spans="2:11" x14ac:dyDescent="0.3">
      <c r="B1018" s="99" t="s">
        <v>801</v>
      </c>
      <c r="C1018" s="100">
        <v>45848</v>
      </c>
      <c r="D1018" s="99" t="s">
        <v>40</v>
      </c>
      <c r="E1018" s="99" t="s">
        <v>41</v>
      </c>
      <c r="F1018" s="99" t="s">
        <v>16</v>
      </c>
      <c r="G1018" s="99">
        <v>17</v>
      </c>
      <c r="H1018" s="112">
        <v>950000</v>
      </c>
      <c r="I1018" s="112">
        <v>16150000</v>
      </c>
      <c r="J1018" s="99" t="s">
        <v>78</v>
      </c>
      <c r="K1018" s="99" t="s">
        <v>127</v>
      </c>
    </row>
    <row r="1019" spans="2:11" x14ac:dyDescent="0.3">
      <c r="B1019" s="99" t="s">
        <v>802</v>
      </c>
      <c r="C1019" s="100">
        <v>45848</v>
      </c>
      <c r="D1019" s="99" t="s">
        <v>38</v>
      </c>
      <c r="E1019" s="99" t="s">
        <v>39</v>
      </c>
      <c r="F1019" s="99" t="s">
        <v>16</v>
      </c>
      <c r="G1019" s="99">
        <v>7</v>
      </c>
      <c r="H1019" s="112">
        <v>200000</v>
      </c>
      <c r="I1019" s="112">
        <v>1400000</v>
      </c>
      <c r="J1019" s="99" t="s">
        <v>2687</v>
      </c>
      <c r="K1019" s="99" t="s">
        <v>47</v>
      </c>
    </row>
    <row r="1020" spans="2:11" x14ac:dyDescent="0.3">
      <c r="B1020" s="99" t="s">
        <v>803</v>
      </c>
      <c r="C1020" s="100">
        <v>45848</v>
      </c>
      <c r="D1020" s="99" t="s">
        <v>28</v>
      </c>
      <c r="E1020" s="99" t="s">
        <v>29</v>
      </c>
      <c r="F1020" s="99" t="s">
        <v>20</v>
      </c>
      <c r="G1020" s="99">
        <v>26</v>
      </c>
      <c r="H1020" s="112">
        <v>450000</v>
      </c>
      <c r="I1020" s="112">
        <v>11700000</v>
      </c>
      <c r="J1020" s="99" t="s">
        <v>2315</v>
      </c>
      <c r="K1020" s="99" t="s">
        <v>127</v>
      </c>
    </row>
    <row r="1021" spans="2:11" x14ac:dyDescent="0.3">
      <c r="B1021" s="99" t="s">
        <v>804</v>
      </c>
      <c r="C1021" s="100">
        <v>45848</v>
      </c>
      <c r="D1021" s="99" t="s">
        <v>40</v>
      </c>
      <c r="E1021" s="99" t="s">
        <v>41</v>
      </c>
      <c r="F1021" s="99" t="s">
        <v>16</v>
      </c>
      <c r="G1021" s="99">
        <v>36</v>
      </c>
      <c r="H1021" s="112">
        <v>950000</v>
      </c>
      <c r="I1021" s="112">
        <v>34200000</v>
      </c>
      <c r="J1021" s="99" t="s">
        <v>2333</v>
      </c>
      <c r="K1021" s="99" t="s">
        <v>60</v>
      </c>
    </row>
    <row r="1022" spans="2:11" x14ac:dyDescent="0.3">
      <c r="B1022" s="99" t="s">
        <v>813</v>
      </c>
      <c r="C1022" s="100">
        <v>45848</v>
      </c>
      <c r="D1022" s="99" t="s">
        <v>28</v>
      </c>
      <c r="E1022" s="99" t="s">
        <v>29</v>
      </c>
      <c r="F1022" s="99" t="s">
        <v>20</v>
      </c>
      <c r="G1022" s="99">
        <v>40</v>
      </c>
      <c r="H1022" s="112">
        <v>450000</v>
      </c>
      <c r="I1022" s="112">
        <v>18000000</v>
      </c>
      <c r="J1022" s="99" t="s">
        <v>2267</v>
      </c>
      <c r="K1022" s="99" t="s">
        <v>8</v>
      </c>
    </row>
    <row r="1023" spans="2:11" x14ac:dyDescent="0.3">
      <c r="B1023" s="99" t="s">
        <v>832</v>
      </c>
      <c r="C1023" s="100">
        <v>45848</v>
      </c>
      <c r="D1023" s="99" t="s">
        <v>44</v>
      </c>
      <c r="E1023" s="99" t="s">
        <v>45</v>
      </c>
      <c r="F1023" s="99" t="s">
        <v>16</v>
      </c>
      <c r="G1023" s="99">
        <v>27</v>
      </c>
      <c r="H1023" s="112">
        <v>250000</v>
      </c>
      <c r="I1023" s="112">
        <v>6750000</v>
      </c>
      <c r="J1023" s="99" t="s">
        <v>2400</v>
      </c>
      <c r="K1023" s="99" t="s">
        <v>127</v>
      </c>
    </row>
    <row r="1024" spans="2:11" x14ac:dyDescent="0.3">
      <c r="B1024" s="99" t="s">
        <v>833</v>
      </c>
      <c r="C1024" s="100">
        <v>45848</v>
      </c>
      <c r="D1024" s="99" t="s">
        <v>10</v>
      </c>
      <c r="E1024" s="99" t="s">
        <v>11</v>
      </c>
      <c r="F1024" s="99" t="s">
        <v>12</v>
      </c>
      <c r="G1024" s="99">
        <v>60</v>
      </c>
      <c r="H1024" s="112">
        <v>120000</v>
      </c>
      <c r="I1024" s="112">
        <v>7200000</v>
      </c>
      <c r="J1024" s="99" t="s">
        <v>2668</v>
      </c>
      <c r="K1024" s="99" t="s">
        <v>127</v>
      </c>
    </row>
    <row r="1025" spans="2:11" x14ac:dyDescent="0.3">
      <c r="B1025" s="99" t="s">
        <v>834</v>
      </c>
      <c r="C1025" s="100">
        <v>45848</v>
      </c>
      <c r="D1025" s="99" t="s">
        <v>22</v>
      </c>
      <c r="E1025" s="99" t="s">
        <v>23</v>
      </c>
      <c r="F1025" s="99" t="s">
        <v>12</v>
      </c>
      <c r="G1025" s="99">
        <v>29</v>
      </c>
      <c r="H1025" s="112">
        <v>25000</v>
      </c>
      <c r="I1025" s="112">
        <v>725000</v>
      </c>
      <c r="J1025" s="99" t="s">
        <v>2345</v>
      </c>
      <c r="K1025" s="99" t="s">
        <v>8</v>
      </c>
    </row>
    <row r="1026" spans="2:11" x14ac:dyDescent="0.3">
      <c r="B1026" s="99" t="s">
        <v>843</v>
      </c>
      <c r="C1026" s="100">
        <v>45848</v>
      </c>
      <c r="D1026" s="99" t="s">
        <v>22</v>
      </c>
      <c r="E1026" s="99" t="s">
        <v>23</v>
      </c>
      <c r="F1026" s="99" t="s">
        <v>12</v>
      </c>
      <c r="G1026" s="99">
        <v>46</v>
      </c>
      <c r="H1026" s="112">
        <v>25000</v>
      </c>
      <c r="I1026" s="112">
        <v>1150000</v>
      </c>
      <c r="J1026" s="99" t="s">
        <v>2557</v>
      </c>
      <c r="K1026" s="99" t="s">
        <v>127</v>
      </c>
    </row>
    <row r="1027" spans="2:11" x14ac:dyDescent="0.3">
      <c r="B1027" s="99" t="s">
        <v>857</v>
      </c>
      <c r="C1027" s="100">
        <v>45848</v>
      </c>
      <c r="D1027" s="99" t="s">
        <v>14</v>
      </c>
      <c r="E1027" s="99" t="s">
        <v>15</v>
      </c>
      <c r="F1027" s="99" t="s">
        <v>16</v>
      </c>
      <c r="G1027" s="99">
        <v>10</v>
      </c>
      <c r="H1027" s="112">
        <v>350000</v>
      </c>
      <c r="I1027" s="112">
        <v>3500000</v>
      </c>
      <c r="J1027" s="99" t="s">
        <v>2565</v>
      </c>
      <c r="K1027" s="99" t="s">
        <v>8</v>
      </c>
    </row>
    <row r="1028" spans="2:11" x14ac:dyDescent="0.3">
      <c r="B1028" s="99" t="s">
        <v>871</v>
      </c>
      <c r="C1028" s="100">
        <v>45848</v>
      </c>
      <c r="D1028" s="99" t="s">
        <v>22</v>
      </c>
      <c r="E1028" s="99" t="s">
        <v>23</v>
      </c>
      <c r="F1028" s="99" t="s">
        <v>12</v>
      </c>
      <c r="G1028" s="99">
        <v>23</v>
      </c>
      <c r="H1028" s="112">
        <v>25000</v>
      </c>
      <c r="I1028" s="112">
        <v>575000</v>
      </c>
      <c r="J1028" s="99" t="s">
        <v>2662</v>
      </c>
      <c r="K1028" s="99" t="s">
        <v>127</v>
      </c>
    </row>
    <row r="1029" spans="2:11" x14ac:dyDescent="0.3">
      <c r="B1029" s="99" t="s">
        <v>872</v>
      </c>
      <c r="C1029" s="100">
        <v>45848</v>
      </c>
      <c r="D1029" s="99" t="s">
        <v>44</v>
      </c>
      <c r="E1029" s="99" t="s">
        <v>45</v>
      </c>
      <c r="F1029" s="99" t="s">
        <v>16</v>
      </c>
      <c r="G1029" s="99">
        <v>29</v>
      </c>
      <c r="H1029" s="112">
        <v>250000</v>
      </c>
      <c r="I1029" s="112">
        <v>7250000</v>
      </c>
      <c r="J1029" s="99" t="s">
        <v>2834</v>
      </c>
      <c r="K1029" s="99" t="s">
        <v>127</v>
      </c>
    </row>
    <row r="1030" spans="2:11" x14ac:dyDescent="0.3">
      <c r="B1030" s="99" t="s">
        <v>888</v>
      </c>
      <c r="C1030" s="100">
        <v>45848</v>
      </c>
      <c r="D1030" s="99" t="s">
        <v>22</v>
      </c>
      <c r="E1030" s="99" t="s">
        <v>23</v>
      </c>
      <c r="F1030" s="99" t="s">
        <v>12</v>
      </c>
      <c r="G1030" s="99">
        <v>43</v>
      </c>
      <c r="H1030" s="112">
        <v>25000</v>
      </c>
      <c r="I1030" s="112">
        <v>1075000</v>
      </c>
      <c r="J1030" s="99" t="s">
        <v>2195</v>
      </c>
      <c r="K1030" s="99" t="s">
        <v>60</v>
      </c>
    </row>
    <row r="1031" spans="2:11" x14ac:dyDescent="0.3">
      <c r="B1031" s="99" t="s">
        <v>889</v>
      </c>
      <c r="C1031" s="100">
        <v>45849</v>
      </c>
      <c r="D1031" s="99" t="s">
        <v>18</v>
      </c>
      <c r="E1031" s="99" t="s">
        <v>19</v>
      </c>
      <c r="F1031" s="99" t="s">
        <v>20</v>
      </c>
      <c r="G1031" s="99">
        <v>43</v>
      </c>
      <c r="H1031" s="112">
        <v>500000</v>
      </c>
      <c r="I1031" s="112">
        <v>21500000</v>
      </c>
      <c r="J1031" s="99" t="s">
        <v>2529</v>
      </c>
      <c r="K1031" s="99" t="s">
        <v>69</v>
      </c>
    </row>
    <row r="1032" spans="2:11" x14ac:dyDescent="0.3">
      <c r="B1032" s="99" t="s">
        <v>890</v>
      </c>
      <c r="C1032" s="100">
        <v>45849</v>
      </c>
      <c r="D1032" s="99" t="s">
        <v>22</v>
      </c>
      <c r="E1032" s="99" t="s">
        <v>23</v>
      </c>
      <c r="F1032" s="99" t="s">
        <v>12</v>
      </c>
      <c r="G1032" s="99">
        <v>48</v>
      </c>
      <c r="H1032" s="112">
        <v>25000</v>
      </c>
      <c r="I1032" s="112">
        <v>1200000</v>
      </c>
      <c r="J1032" s="99" t="s">
        <v>2388</v>
      </c>
      <c r="K1032" s="99" t="s">
        <v>69</v>
      </c>
    </row>
    <row r="1033" spans="2:11" x14ac:dyDescent="0.3">
      <c r="B1033" s="99" t="s">
        <v>906</v>
      </c>
      <c r="C1033" s="100">
        <v>45849</v>
      </c>
      <c r="D1033" s="99" t="s">
        <v>28</v>
      </c>
      <c r="E1033" s="99" t="s">
        <v>29</v>
      </c>
      <c r="F1033" s="99" t="s">
        <v>20</v>
      </c>
      <c r="G1033" s="99">
        <v>460</v>
      </c>
      <c r="H1033" s="112">
        <v>450000</v>
      </c>
      <c r="I1033" s="112">
        <v>207000000</v>
      </c>
      <c r="J1033" s="99" t="s">
        <v>2184</v>
      </c>
      <c r="K1033" s="99" t="s">
        <v>127</v>
      </c>
    </row>
    <row r="1034" spans="2:11" x14ac:dyDescent="0.3">
      <c r="B1034" s="99" t="s">
        <v>907</v>
      </c>
      <c r="C1034" s="100">
        <v>45849</v>
      </c>
      <c r="D1034" s="99" t="s">
        <v>28</v>
      </c>
      <c r="E1034" s="99" t="s">
        <v>29</v>
      </c>
      <c r="F1034" s="99" t="s">
        <v>20</v>
      </c>
      <c r="G1034" s="99">
        <v>49</v>
      </c>
      <c r="H1034" s="112">
        <v>450000</v>
      </c>
      <c r="I1034" s="112">
        <v>22050000</v>
      </c>
      <c r="J1034" s="99" t="s">
        <v>2392</v>
      </c>
      <c r="K1034" s="99" t="s">
        <v>8</v>
      </c>
    </row>
    <row r="1035" spans="2:11" x14ac:dyDescent="0.3">
      <c r="B1035" s="99" t="s">
        <v>908</v>
      </c>
      <c r="C1035" s="100">
        <v>45849</v>
      </c>
      <c r="D1035" s="99" t="s">
        <v>42</v>
      </c>
      <c r="E1035" s="99" t="s">
        <v>43</v>
      </c>
      <c r="F1035" s="99" t="s">
        <v>16</v>
      </c>
      <c r="G1035" s="99">
        <v>6</v>
      </c>
      <c r="H1035" s="112">
        <v>1200000</v>
      </c>
      <c r="I1035" s="112">
        <v>7200000</v>
      </c>
      <c r="J1035" s="99" t="s">
        <v>2248</v>
      </c>
      <c r="K1035" s="99" t="s">
        <v>60</v>
      </c>
    </row>
    <row r="1036" spans="2:11" x14ac:dyDescent="0.3">
      <c r="B1036" s="99" t="s">
        <v>909</v>
      </c>
      <c r="C1036" s="100">
        <v>45849</v>
      </c>
      <c r="D1036" s="99" t="s">
        <v>18</v>
      </c>
      <c r="E1036" s="99" t="s">
        <v>19</v>
      </c>
      <c r="F1036" s="99" t="s">
        <v>20</v>
      </c>
      <c r="G1036" s="99">
        <v>15</v>
      </c>
      <c r="H1036" s="112">
        <v>500000</v>
      </c>
      <c r="I1036" s="112">
        <v>7500000</v>
      </c>
      <c r="J1036" s="99" t="s">
        <v>2560</v>
      </c>
      <c r="K1036" s="99" t="s">
        <v>47</v>
      </c>
    </row>
    <row r="1037" spans="2:11" x14ac:dyDescent="0.3">
      <c r="B1037" s="99" t="s">
        <v>910</v>
      </c>
      <c r="C1037" s="100">
        <v>45849</v>
      </c>
      <c r="D1037" s="99" t="s">
        <v>31</v>
      </c>
      <c r="E1037" s="99" t="s">
        <v>32</v>
      </c>
      <c r="F1037" s="99" t="s">
        <v>20</v>
      </c>
      <c r="G1037" s="99">
        <v>40</v>
      </c>
      <c r="H1037" s="112">
        <v>180000</v>
      </c>
      <c r="I1037" s="112">
        <v>7200000</v>
      </c>
      <c r="J1037" s="99" t="s">
        <v>2757</v>
      </c>
      <c r="K1037" s="99" t="s">
        <v>127</v>
      </c>
    </row>
    <row r="1038" spans="2:11" x14ac:dyDescent="0.3">
      <c r="B1038" s="99" t="s">
        <v>911</v>
      </c>
      <c r="C1038" s="100">
        <v>45849</v>
      </c>
      <c r="D1038" s="99" t="s">
        <v>40</v>
      </c>
      <c r="E1038" s="99" t="s">
        <v>41</v>
      </c>
      <c r="F1038" s="99" t="s">
        <v>16</v>
      </c>
      <c r="G1038" s="99">
        <v>8</v>
      </c>
      <c r="H1038" s="112">
        <v>950000</v>
      </c>
      <c r="I1038" s="112">
        <v>7600000</v>
      </c>
      <c r="J1038" s="99" t="s">
        <v>2154</v>
      </c>
      <c r="K1038" s="99" t="s">
        <v>127</v>
      </c>
    </row>
    <row r="1039" spans="2:11" x14ac:dyDescent="0.3">
      <c r="B1039" s="99" t="s">
        <v>942</v>
      </c>
      <c r="C1039" s="100">
        <v>45849</v>
      </c>
      <c r="D1039" s="99" t="s">
        <v>40</v>
      </c>
      <c r="E1039" s="99" t="s">
        <v>41</v>
      </c>
      <c r="F1039" s="99" t="s">
        <v>16</v>
      </c>
      <c r="G1039" s="99">
        <v>34</v>
      </c>
      <c r="H1039" s="112">
        <v>950000</v>
      </c>
      <c r="I1039" s="112">
        <v>32300000</v>
      </c>
      <c r="J1039" s="99" t="s">
        <v>2150</v>
      </c>
      <c r="K1039" s="99" t="s">
        <v>127</v>
      </c>
    </row>
    <row r="1040" spans="2:11" x14ac:dyDescent="0.3">
      <c r="B1040" s="99" t="s">
        <v>943</v>
      </c>
      <c r="C1040" s="100">
        <v>45849</v>
      </c>
      <c r="D1040" s="99" t="s">
        <v>18</v>
      </c>
      <c r="E1040" s="99" t="s">
        <v>19</v>
      </c>
      <c r="F1040" s="99" t="s">
        <v>20</v>
      </c>
      <c r="G1040" s="99">
        <v>23</v>
      </c>
      <c r="H1040" s="112">
        <v>500000</v>
      </c>
      <c r="I1040" s="112">
        <v>11500000</v>
      </c>
      <c r="J1040" s="99" t="s">
        <v>2706</v>
      </c>
      <c r="K1040" s="99" t="s">
        <v>60</v>
      </c>
    </row>
    <row r="1041" spans="2:11" x14ac:dyDescent="0.3">
      <c r="B1041" s="99" t="s">
        <v>944</v>
      </c>
      <c r="C1041" s="100">
        <v>45849</v>
      </c>
      <c r="D1041" s="99" t="s">
        <v>22</v>
      </c>
      <c r="E1041" s="99" t="s">
        <v>23</v>
      </c>
      <c r="F1041" s="99" t="s">
        <v>12</v>
      </c>
      <c r="G1041" s="99">
        <v>18</v>
      </c>
      <c r="H1041" s="112">
        <v>25000</v>
      </c>
      <c r="I1041" s="112">
        <v>450000</v>
      </c>
      <c r="J1041" s="99" t="s">
        <v>2667</v>
      </c>
      <c r="K1041" s="99" t="s">
        <v>8</v>
      </c>
    </row>
    <row r="1042" spans="2:11" x14ac:dyDescent="0.3">
      <c r="B1042" s="99" t="s">
        <v>945</v>
      </c>
      <c r="C1042" s="100">
        <v>45849</v>
      </c>
      <c r="D1042" s="99" t="s">
        <v>42</v>
      </c>
      <c r="E1042" s="99" t="s">
        <v>43</v>
      </c>
      <c r="F1042" s="99" t="s">
        <v>16</v>
      </c>
      <c r="G1042" s="99">
        <v>35</v>
      </c>
      <c r="H1042" s="112">
        <v>1200000</v>
      </c>
      <c r="I1042" s="112">
        <v>42000000</v>
      </c>
      <c r="J1042" s="99" t="s">
        <v>2131</v>
      </c>
      <c r="K1042" s="99" t="s">
        <v>60</v>
      </c>
    </row>
    <row r="1043" spans="2:11" x14ac:dyDescent="0.3">
      <c r="B1043" s="99" t="s">
        <v>946</v>
      </c>
      <c r="C1043" s="100">
        <v>45849</v>
      </c>
      <c r="D1043" s="99" t="s">
        <v>22</v>
      </c>
      <c r="E1043" s="99" t="s">
        <v>23</v>
      </c>
      <c r="F1043" s="99" t="s">
        <v>12</v>
      </c>
      <c r="G1043" s="99">
        <v>17</v>
      </c>
      <c r="H1043" s="112">
        <v>25000</v>
      </c>
      <c r="I1043" s="112">
        <v>425000</v>
      </c>
      <c r="J1043" s="99" t="s">
        <v>2758</v>
      </c>
      <c r="K1043" s="99" t="s">
        <v>60</v>
      </c>
    </row>
    <row r="1044" spans="2:11" x14ac:dyDescent="0.3">
      <c r="B1044" s="99" t="s">
        <v>947</v>
      </c>
      <c r="C1044" s="100">
        <v>45849</v>
      </c>
      <c r="D1044" s="99" t="s">
        <v>22</v>
      </c>
      <c r="E1044" s="99" t="s">
        <v>23</v>
      </c>
      <c r="F1044" s="99" t="s">
        <v>12</v>
      </c>
      <c r="G1044" s="99">
        <v>15</v>
      </c>
      <c r="H1044" s="112">
        <v>25000</v>
      </c>
      <c r="I1044" s="112">
        <v>375000</v>
      </c>
      <c r="J1044" s="99" t="s">
        <v>2328</v>
      </c>
      <c r="K1044" s="99" t="s">
        <v>8</v>
      </c>
    </row>
    <row r="1045" spans="2:11" x14ac:dyDescent="0.3">
      <c r="B1045" s="99" t="s">
        <v>986</v>
      </c>
      <c r="C1045" s="100">
        <v>45852</v>
      </c>
      <c r="D1045" s="99" t="s">
        <v>10</v>
      </c>
      <c r="E1045" s="99" t="s">
        <v>11</v>
      </c>
      <c r="F1045" s="99" t="s">
        <v>12</v>
      </c>
      <c r="G1045" s="99">
        <v>28</v>
      </c>
      <c r="H1045" s="112">
        <v>120000</v>
      </c>
      <c r="I1045" s="112">
        <v>3360000</v>
      </c>
      <c r="J1045" s="99" t="s">
        <v>2514</v>
      </c>
      <c r="K1045" s="99" t="s">
        <v>127</v>
      </c>
    </row>
    <row r="1046" spans="2:11" x14ac:dyDescent="0.3">
      <c r="B1046" s="99" t="s">
        <v>987</v>
      </c>
      <c r="C1046" s="100">
        <v>45852</v>
      </c>
      <c r="D1046" s="99" t="s">
        <v>14</v>
      </c>
      <c r="E1046" s="99" t="s">
        <v>15</v>
      </c>
      <c r="F1046" s="99" t="s">
        <v>16</v>
      </c>
      <c r="G1046" s="99">
        <v>42</v>
      </c>
      <c r="H1046" s="112">
        <v>350000</v>
      </c>
      <c r="I1046" s="112">
        <v>14700000</v>
      </c>
      <c r="J1046" s="99" t="s">
        <v>2698</v>
      </c>
      <c r="K1046" s="99" t="s">
        <v>8</v>
      </c>
    </row>
    <row r="1047" spans="2:11" x14ac:dyDescent="0.3">
      <c r="B1047" s="99" t="s">
        <v>988</v>
      </c>
      <c r="C1047" s="100">
        <v>45852</v>
      </c>
      <c r="D1047" s="99" t="s">
        <v>10</v>
      </c>
      <c r="E1047" s="99" t="s">
        <v>11</v>
      </c>
      <c r="F1047" s="99" t="s">
        <v>12</v>
      </c>
      <c r="G1047" s="99">
        <v>23</v>
      </c>
      <c r="H1047" s="112">
        <v>120000</v>
      </c>
      <c r="I1047" s="112">
        <v>2760000</v>
      </c>
      <c r="J1047" s="99" t="s">
        <v>2657</v>
      </c>
      <c r="K1047" s="99" t="s">
        <v>47</v>
      </c>
    </row>
    <row r="1048" spans="2:11" x14ac:dyDescent="0.3">
      <c r="B1048" s="99" t="s">
        <v>1025</v>
      </c>
      <c r="C1048" s="100">
        <v>45852</v>
      </c>
      <c r="D1048" s="99" t="s">
        <v>31</v>
      </c>
      <c r="E1048" s="99" t="s">
        <v>32</v>
      </c>
      <c r="F1048" s="99" t="s">
        <v>20</v>
      </c>
      <c r="G1048" s="99">
        <v>34</v>
      </c>
      <c r="H1048" s="112">
        <v>180000</v>
      </c>
      <c r="I1048" s="112">
        <v>6120000</v>
      </c>
      <c r="J1048" s="99" t="s">
        <v>2616</v>
      </c>
      <c r="K1048" s="99" t="s">
        <v>60</v>
      </c>
    </row>
    <row r="1049" spans="2:11" x14ac:dyDescent="0.3">
      <c r="B1049" s="99" t="s">
        <v>1026</v>
      </c>
      <c r="C1049" s="100">
        <v>45852</v>
      </c>
      <c r="D1049" s="99" t="s">
        <v>42</v>
      </c>
      <c r="E1049" s="99" t="s">
        <v>43</v>
      </c>
      <c r="F1049" s="99" t="s">
        <v>16</v>
      </c>
      <c r="G1049" s="99">
        <v>7</v>
      </c>
      <c r="H1049" s="112">
        <v>1200000</v>
      </c>
      <c r="I1049" s="112">
        <v>8400000</v>
      </c>
      <c r="J1049" s="99" t="s">
        <v>2468</v>
      </c>
      <c r="K1049" s="99" t="s">
        <v>60</v>
      </c>
    </row>
    <row r="1050" spans="2:11" x14ac:dyDescent="0.3">
      <c r="B1050" s="99" t="s">
        <v>1027</v>
      </c>
      <c r="C1050" s="100">
        <v>45852</v>
      </c>
      <c r="D1050" s="99" t="s">
        <v>38</v>
      </c>
      <c r="E1050" s="99" t="s">
        <v>39</v>
      </c>
      <c r="F1050" s="99" t="s">
        <v>16</v>
      </c>
      <c r="G1050" s="99">
        <v>35</v>
      </c>
      <c r="H1050" s="112">
        <v>200000</v>
      </c>
      <c r="I1050" s="112">
        <v>7000000</v>
      </c>
      <c r="J1050" s="99" t="s">
        <v>2128</v>
      </c>
      <c r="K1050" s="99" t="s">
        <v>69</v>
      </c>
    </row>
    <row r="1051" spans="2:11" x14ac:dyDescent="0.3">
      <c r="B1051" s="99" t="s">
        <v>1058</v>
      </c>
      <c r="C1051" s="100">
        <v>45852</v>
      </c>
      <c r="D1051" s="99" t="s">
        <v>44</v>
      </c>
      <c r="E1051" s="99" t="s">
        <v>45</v>
      </c>
      <c r="F1051" s="99" t="s">
        <v>16</v>
      </c>
      <c r="G1051" s="99">
        <v>5</v>
      </c>
      <c r="H1051" s="112">
        <v>250000</v>
      </c>
      <c r="I1051" s="112">
        <v>1250000</v>
      </c>
      <c r="J1051" s="99" t="s">
        <v>2349</v>
      </c>
      <c r="K1051" s="99" t="s">
        <v>127</v>
      </c>
    </row>
    <row r="1052" spans="2:11" x14ac:dyDescent="0.3">
      <c r="B1052" s="99" t="s">
        <v>1059</v>
      </c>
      <c r="C1052" s="100">
        <v>45852</v>
      </c>
      <c r="D1052" s="99" t="s">
        <v>31</v>
      </c>
      <c r="E1052" s="99" t="s">
        <v>32</v>
      </c>
      <c r="F1052" s="99" t="s">
        <v>20</v>
      </c>
      <c r="G1052" s="99">
        <v>270</v>
      </c>
      <c r="H1052" s="112">
        <v>180000</v>
      </c>
      <c r="I1052" s="112">
        <v>48600000</v>
      </c>
      <c r="J1052" s="99" t="s">
        <v>2753</v>
      </c>
      <c r="K1052" s="99" t="s">
        <v>47</v>
      </c>
    </row>
    <row r="1053" spans="2:11" x14ac:dyDescent="0.3">
      <c r="B1053" s="99" t="s">
        <v>1060</v>
      </c>
      <c r="C1053" s="100">
        <v>45852</v>
      </c>
      <c r="D1053" s="99" t="s">
        <v>10</v>
      </c>
      <c r="E1053" s="99" t="s">
        <v>11</v>
      </c>
      <c r="F1053" s="99" t="s">
        <v>12</v>
      </c>
      <c r="G1053" s="99">
        <v>33</v>
      </c>
      <c r="H1053" s="112">
        <v>120000</v>
      </c>
      <c r="I1053" s="112">
        <v>3960000</v>
      </c>
      <c r="J1053" s="99" t="s">
        <v>2685</v>
      </c>
      <c r="K1053" s="99" t="s">
        <v>69</v>
      </c>
    </row>
    <row r="1054" spans="2:11" x14ac:dyDescent="0.3">
      <c r="B1054" s="99" t="s">
        <v>1061</v>
      </c>
      <c r="C1054" s="100">
        <v>45854</v>
      </c>
      <c r="D1054" s="99" t="s">
        <v>18</v>
      </c>
      <c r="E1054" s="99" t="s">
        <v>19</v>
      </c>
      <c r="F1054" s="99" t="s">
        <v>20</v>
      </c>
      <c r="G1054" s="99">
        <v>37</v>
      </c>
      <c r="H1054" s="112">
        <v>500000</v>
      </c>
      <c r="I1054" s="112">
        <v>18500000</v>
      </c>
      <c r="J1054" s="99" t="s">
        <v>204</v>
      </c>
      <c r="K1054" s="99" t="s">
        <v>60</v>
      </c>
    </row>
    <row r="1055" spans="2:11" x14ac:dyDescent="0.3">
      <c r="B1055" s="99" t="s">
        <v>1096</v>
      </c>
      <c r="C1055" s="100">
        <v>45854</v>
      </c>
      <c r="D1055" s="99" t="s">
        <v>38</v>
      </c>
      <c r="E1055" s="99" t="s">
        <v>39</v>
      </c>
      <c r="F1055" s="99" t="s">
        <v>16</v>
      </c>
      <c r="G1055" s="99">
        <v>31</v>
      </c>
      <c r="H1055" s="112">
        <v>200000</v>
      </c>
      <c r="I1055" s="112">
        <v>6200000</v>
      </c>
      <c r="J1055" s="99" t="s">
        <v>642</v>
      </c>
      <c r="K1055" s="99" t="s">
        <v>8</v>
      </c>
    </row>
    <row r="1056" spans="2:11" x14ac:dyDescent="0.3">
      <c r="B1056" s="99" t="s">
        <v>1097</v>
      </c>
      <c r="C1056" s="100">
        <v>45854</v>
      </c>
      <c r="D1056" s="99" t="s">
        <v>14</v>
      </c>
      <c r="E1056" s="99" t="s">
        <v>15</v>
      </c>
      <c r="F1056" s="99" t="s">
        <v>16</v>
      </c>
      <c r="G1056" s="99">
        <v>23</v>
      </c>
      <c r="H1056" s="112">
        <v>350000</v>
      </c>
      <c r="I1056" s="112">
        <v>8050000</v>
      </c>
      <c r="J1056" s="99" t="s">
        <v>2559</v>
      </c>
      <c r="K1056" s="99" t="s">
        <v>47</v>
      </c>
    </row>
    <row r="1057" spans="2:11" x14ac:dyDescent="0.3">
      <c r="B1057" s="99" t="s">
        <v>1098</v>
      </c>
      <c r="C1057" s="100">
        <v>45854</v>
      </c>
      <c r="D1057" s="99" t="s">
        <v>42</v>
      </c>
      <c r="E1057" s="99" t="s">
        <v>43</v>
      </c>
      <c r="F1057" s="99" t="s">
        <v>16</v>
      </c>
      <c r="G1057" s="99">
        <v>370</v>
      </c>
      <c r="H1057" s="112">
        <v>1200000</v>
      </c>
      <c r="I1057" s="112">
        <v>444000000</v>
      </c>
      <c r="J1057" s="99" t="s">
        <v>853</v>
      </c>
      <c r="K1057" s="99" t="s">
        <v>47</v>
      </c>
    </row>
    <row r="1058" spans="2:11" x14ac:dyDescent="0.3">
      <c r="B1058" s="99" t="s">
        <v>1136</v>
      </c>
      <c r="C1058" s="100">
        <v>45854</v>
      </c>
      <c r="D1058" s="99" t="s">
        <v>22</v>
      </c>
      <c r="E1058" s="99" t="s">
        <v>23</v>
      </c>
      <c r="F1058" s="99" t="s">
        <v>12</v>
      </c>
      <c r="G1058" s="99">
        <v>24</v>
      </c>
      <c r="H1058" s="112">
        <v>25000</v>
      </c>
      <c r="I1058" s="112">
        <v>600000</v>
      </c>
      <c r="J1058" s="99" t="s">
        <v>2206</v>
      </c>
      <c r="K1058" s="99" t="s">
        <v>8</v>
      </c>
    </row>
    <row r="1059" spans="2:11" x14ac:dyDescent="0.3">
      <c r="B1059" s="99" t="s">
        <v>1137</v>
      </c>
      <c r="C1059" s="100">
        <v>45854</v>
      </c>
      <c r="D1059" s="99" t="s">
        <v>40</v>
      </c>
      <c r="E1059" s="99" t="s">
        <v>41</v>
      </c>
      <c r="F1059" s="99" t="s">
        <v>16</v>
      </c>
      <c r="G1059" s="99">
        <v>100</v>
      </c>
      <c r="H1059" s="112">
        <v>950000</v>
      </c>
      <c r="I1059" s="112">
        <v>95000000</v>
      </c>
      <c r="J1059" s="99" t="s">
        <v>2567</v>
      </c>
      <c r="K1059" s="99" t="s">
        <v>8</v>
      </c>
    </row>
    <row r="1060" spans="2:11" x14ac:dyDescent="0.3">
      <c r="B1060" s="99" t="s">
        <v>1138</v>
      </c>
      <c r="C1060" s="100">
        <v>45854</v>
      </c>
      <c r="D1060" s="99" t="s">
        <v>38</v>
      </c>
      <c r="E1060" s="99" t="s">
        <v>39</v>
      </c>
      <c r="F1060" s="99" t="s">
        <v>16</v>
      </c>
      <c r="G1060" s="99">
        <v>49</v>
      </c>
      <c r="H1060" s="112">
        <v>200000</v>
      </c>
      <c r="I1060" s="112">
        <v>9800000</v>
      </c>
      <c r="J1060" s="99" t="s">
        <v>2789</v>
      </c>
      <c r="K1060" s="99" t="s">
        <v>127</v>
      </c>
    </row>
    <row r="1061" spans="2:11" x14ac:dyDescent="0.3">
      <c r="B1061" s="99" t="s">
        <v>1139</v>
      </c>
      <c r="C1061" s="100">
        <v>45854</v>
      </c>
      <c r="D1061" s="99" t="s">
        <v>42</v>
      </c>
      <c r="E1061" s="99" t="s">
        <v>43</v>
      </c>
      <c r="F1061" s="99" t="s">
        <v>16</v>
      </c>
      <c r="G1061" s="99">
        <v>36</v>
      </c>
      <c r="H1061" s="112">
        <v>1200000</v>
      </c>
      <c r="I1061" s="112">
        <v>43200000</v>
      </c>
      <c r="J1061" s="99" t="s">
        <v>2661</v>
      </c>
      <c r="K1061" s="99" t="s">
        <v>60</v>
      </c>
    </row>
    <row r="1062" spans="2:11" x14ac:dyDescent="0.3">
      <c r="B1062" s="99" t="s">
        <v>1140</v>
      </c>
      <c r="C1062" s="100">
        <v>45854</v>
      </c>
      <c r="D1062" s="99" t="s">
        <v>44</v>
      </c>
      <c r="E1062" s="99" t="s">
        <v>45</v>
      </c>
      <c r="F1062" s="99" t="s">
        <v>16</v>
      </c>
      <c r="G1062" s="99">
        <v>29</v>
      </c>
      <c r="H1062" s="112">
        <v>250000</v>
      </c>
      <c r="I1062" s="112">
        <v>7250000</v>
      </c>
      <c r="J1062" s="99" t="s">
        <v>2148</v>
      </c>
      <c r="K1062" s="99" t="s">
        <v>127</v>
      </c>
    </row>
    <row r="1063" spans="2:11" x14ac:dyDescent="0.3">
      <c r="B1063" s="99" t="s">
        <v>1141</v>
      </c>
      <c r="C1063" s="100">
        <v>45854</v>
      </c>
      <c r="D1063" s="99" t="s">
        <v>42</v>
      </c>
      <c r="E1063" s="99" t="s">
        <v>43</v>
      </c>
      <c r="F1063" s="99" t="s">
        <v>16</v>
      </c>
      <c r="G1063" s="99">
        <v>36</v>
      </c>
      <c r="H1063" s="112">
        <v>1200000</v>
      </c>
      <c r="I1063" s="112">
        <v>43200000</v>
      </c>
      <c r="J1063" s="99" t="s">
        <v>2342</v>
      </c>
      <c r="K1063" s="99" t="s">
        <v>127</v>
      </c>
    </row>
    <row r="1064" spans="2:11" x14ac:dyDescent="0.3">
      <c r="B1064" s="99" t="s">
        <v>1142</v>
      </c>
      <c r="C1064" s="100">
        <v>45854</v>
      </c>
      <c r="D1064" s="99" t="s">
        <v>28</v>
      </c>
      <c r="E1064" s="99" t="s">
        <v>29</v>
      </c>
      <c r="F1064" s="99" t="s">
        <v>20</v>
      </c>
      <c r="G1064" s="99">
        <v>38</v>
      </c>
      <c r="H1064" s="112">
        <v>450000</v>
      </c>
      <c r="I1064" s="112">
        <v>17100000</v>
      </c>
      <c r="J1064" s="99" t="s">
        <v>1280</v>
      </c>
      <c r="K1064" s="99" t="s">
        <v>69</v>
      </c>
    </row>
    <row r="1065" spans="2:11" x14ac:dyDescent="0.3">
      <c r="B1065" s="99" t="s">
        <v>1143</v>
      </c>
      <c r="C1065" s="100">
        <v>45854</v>
      </c>
      <c r="D1065" s="99" t="s">
        <v>18</v>
      </c>
      <c r="E1065" s="99" t="s">
        <v>19</v>
      </c>
      <c r="F1065" s="99" t="s">
        <v>20</v>
      </c>
      <c r="G1065" s="99">
        <v>31</v>
      </c>
      <c r="H1065" s="112">
        <v>500000</v>
      </c>
      <c r="I1065" s="112">
        <v>15500000</v>
      </c>
      <c r="J1065" s="99" t="s">
        <v>2310</v>
      </c>
      <c r="K1065" s="99" t="s">
        <v>8</v>
      </c>
    </row>
    <row r="1066" spans="2:11" x14ac:dyDescent="0.3">
      <c r="B1066" s="99" t="s">
        <v>1144</v>
      </c>
      <c r="C1066" s="100">
        <v>45854</v>
      </c>
      <c r="D1066" s="99" t="s">
        <v>14</v>
      </c>
      <c r="E1066" s="99" t="s">
        <v>15</v>
      </c>
      <c r="F1066" s="99" t="s">
        <v>16</v>
      </c>
      <c r="G1066" s="99">
        <v>25</v>
      </c>
      <c r="H1066" s="112">
        <v>350000</v>
      </c>
      <c r="I1066" s="112">
        <v>8750000</v>
      </c>
      <c r="J1066" s="99" t="s">
        <v>2122</v>
      </c>
      <c r="K1066" s="99" t="s">
        <v>47</v>
      </c>
    </row>
    <row r="1067" spans="2:11" x14ac:dyDescent="0.3">
      <c r="B1067" s="99" t="s">
        <v>1172</v>
      </c>
      <c r="C1067" s="100">
        <v>45854</v>
      </c>
      <c r="D1067" s="99" t="s">
        <v>18</v>
      </c>
      <c r="E1067" s="99" t="s">
        <v>19</v>
      </c>
      <c r="F1067" s="99" t="s">
        <v>20</v>
      </c>
      <c r="G1067" s="99">
        <v>27</v>
      </c>
      <c r="H1067" s="112">
        <v>500000</v>
      </c>
      <c r="I1067" s="112">
        <v>13500000</v>
      </c>
      <c r="J1067" s="99" t="s">
        <v>2580</v>
      </c>
      <c r="K1067" s="99" t="s">
        <v>60</v>
      </c>
    </row>
    <row r="1068" spans="2:11" x14ac:dyDescent="0.3">
      <c r="B1068" s="99" t="s">
        <v>1173</v>
      </c>
      <c r="C1068" s="100">
        <v>45855</v>
      </c>
      <c r="D1068" s="99" t="s">
        <v>14</v>
      </c>
      <c r="E1068" s="99" t="s">
        <v>15</v>
      </c>
      <c r="F1068" s="99" t="s">
        <v>16</v>
      </c>
      <c r="G1068" s="99">
        <v>80</v>
      </c>
      <c r="H1068" s="112">
        <v>350000</v>
      </c>
      <c r="I1068" s="112">
        <v>28000000</v>
      </c>
      <c r="J1068" s="99" t="s">
        <v>2266</v>
      </c>
      <c r="K1068" s="99" t="s">
        <v>8</v>
      </c>
    </row>
    <row r="1069" spans="2:11" x14ac:dyDescent="0.3">
      <c r="B1069" s="99" t="s">
        <v>1174</v>
      </c>
      <c r="C1069" s="100">
        <v>45855</v>
      </c>
      <c r="D1069" s="99" t="s">
        <v>38</v>
      </c>
      <c r="E1069" s="99" t="s">
        <v>39</v>
      </c>
      <c r="F1069" s="99" t="s">
        <v>16</v>
      </c>
      <c r="G1069" s="99">
        <v>32</v>
      </c>
      <c r="H1069" s="112">
        <v>200000</v>
      </c>
      <c r="I1069" s="112">
        <v>6400000</v>
      </c>
      <c r="J1069" s="99" t="s">
        <v>2448</v>
      </c>
      <c r="K1069" s="99" t="s">
        <v>60</v>
      </c>
    </row>
    <row r="1070" spans="2:11" x14ac:dyDescent="0.3">
      <c r="B1070" s="99" t="s">
        <v>1175</v>
      </c>
      <c r="C1070" s="100">
        <v>45855</v>
      </c>
      <c r="D1070" s="99" t="s">
        <v>22</v>
      </c>
      <c r="E1070" s="99" t="s">
        <v>23</v>
      </c>
      <c r="F1070" s="99" t="s">
        <v>12</v>
      </c>
      <c r="G1070" s="99">
        <v>440</v>
      </c>
      <c r="H1070" s="112">
        <v>25000</v>
      </c>
      <c r="I1070" s="112">
        <v>11000000</v>
      </c>
      <c r="J1070" s="99" t="s">
        <v>2847</v>
      </c>
      <c r="K1070" s="99" t="s">
        <v>127</v>
      </c>
    </row>
    <row r="1071" spans="2:11" x14ac:dyDescent="0.3">
      <c r="B1071" s="99" t="s">
        <v>1219</v>
      </c>
      <c r="C1071" s="100">
        <v>45855</v>
      </c>
      <c r="D1071" s="99" t="s">
        <v>40</v>
      </c>
      <c r="E1071" s="99" t="s">
        <v>41</v>
      </c>
      <c r="F1071" s="99" t="s">
        <v>16</v>
      </c>
      <c r="G1071" s="99">
        <v>33</v>
      </c>
      <c r="H1071" s="112">
        <v>950000</v>
      </c>
      <c r="I1071" s="112">
        <v>31350000</v>
      </c>
      <c r="J1071" s="99" t="s">
        <v>2447</v>
      </c>
      <c r="K1071" s="99" t="s">
        <v>8</v>
      </c>
    </row>
    <row r="1072" spans="2:11" x14ac:dyDescent="0.3">
      <c r="B1072" s="99" t="s">
        <v>1220</v>
      </c>
      <c r="C1072" s="100">
        <v>45855</v>
      </c>
      <c r="D1072" s="99" t="s">
        <v>40</v>
      </c>
      <c r="E1072" s="99" t="s">
        <v>41</v>
      </c>
      <c r="F1072" s="99" t="s">
        <v>16</v>
      </c>
      <c r="G1072" s="99">
        <v>34</v>
      </c>
      <c r="H1072" s="112">
        <v>950000</v>
      </c>
      <c r="I1072" s="112">
        <v>32300000</v>
      </c>
      <c r="J1072" s="99" t="s">
        <v>2657</v>
      </c>
      <c r="K1072" s="99" t="s">
        <v>47</v>
      </c>
    </row>
    <row r="1073" spans="2:11" x14ac:dyDescent="0.3">
      <c r="B1073" s="99" t="s">
        <v>1221</v>
      </c>
      <c r="C1073" s="100">
        <v>45855</v>
      </c>
      <c r="D1073" s="99" t="s">
        <v>31</v>
      </c>
      <c r="E1073" s="99" t="s">
        <v>32</v>
      </c>
      <c r="F1073" s="99" t="s">
        <v>20</v>
      </c>
      <c r="G1073" s="99">
        <v>16</v>
      </c>
      <c r="H1073" s="112">
        <v>180000</v>
      </c>
      <c r="I1073" s="112">
        <v>2880000</v>
      </c>
      <c r="J1073" s="99" t="s">
        <v>2505</v>
      </c>
      <c r="K1073" s="99" t="s">
        <v>69</v>
      </c>
    </row>
    <row r="1074" spans="2:11" x14ac:dyDescent="0.3">
      <c r="B1074" s="99" t="s">
        <v>1222</v>
      </c>
      <c r="C1074" s="100">
        <v>45855</v>
      </c>
      <c r="D1074" s="99" t="s">
        <v>31</v>
      </c>
      <c r="E1074" s="99" t="s">
        <v>32</v>
      </c>
      <c r="F1074" s="99" t="s">
        <v>20</v>
      </c>
      <c r="G1074" s="99">
        <v>17</v>
      </c>
      <c r="H1074" s="112">
        <v>180000</v>
      </c>
      <c r="I1074" s="112">
        <v>3060000</v>
      </c>
      <c r="J1074" s="99" t="s">
        <v>2371</v>
      </c>
      <c r="K1074" s="99" t="s">
        <v>8</v>
      </c>
    </row>
    <row r="1075" spans="2:11" x14ac:dyDescent="0.3">
      <c r="B1075" s="99" t="s">
        <v>1223</v>
      </c>
      <c r="C1075" s="100">
        <v>45855</v>
      </c>
      <c r="D1075" s="99" t="s">
        <v>44</v>
      </c>
      <c r="E1075" s="99" t="s">
        <v>45</v>
      </c>
      <c r="F1075" s="99" t="s">
        <v>16</v>
      </c>
      <c r="G1075" s="99">
        <v>18</v>
      </c>
      <c r="H1075" s="112">
        <v>250000</v>
      </c>
      <c r="I1075" s="112">
        <v>4500000</v>
      </c>
      <c r="J1075" s="99" t="s">
        <v>2848</v>
      </c>
      <c r="K1075" s="99" t="s">
        <v>60</v>
      </c>
    </row>
    <row r="1076" spans="2:11" x14ac:dyDescent="0.3">
      <c r="B1076" s="99" t="s">
        <v>1224</v>
      </c>
      <c r="C1076" s="100">
        <v>45855</v>
      </c>
      <c r="D1076" s="99" t="s">
        <v>38</v>
      </c>
      <c r="E1076" s="99" t="s">
        <v>39</v>
      </c>
      <c r="F1076" s="99" t="s">
        <v>16</v>
      </c>
      <c r="G1076" s="99">
        <v>7</v>
      </c>
      <c r="H1076" s="112">
        <v>200000</v>
      </c>
      <c r="I1076" s="112">
        <v>1400000</v>
      </c>
      <c r="J1076" s="99" t="s">
        <v>2204</v>
      </c>
      <c r="K1076" s="99" t="s">
        <v>69</v>
      </c>
    </row>
    <row r="1077" spans="2:11" x14ac:dyDescent="0.3">
      <c r="B1077" s="99" t="s">
        <v>1255</v>
      </c>
      <c r="C1077" s="100">
        <v>45855</v>
      </c>
      <c r="D1077" s="99" t="s">
        <v>44</v>
      </c>
      <c r="E1077" s="99" t="s">
        <v>45</v>
      </c>
      <c r="F1077" s="99" t="s">
        <v>16</v>
      </c>
      <c r="G1077" s="99">
        <v>35</v>
      </c>
      <c r="H1077" s="112">
        <v>250000</v>
      </c>
      <c r="I1077" s="112">
        <v>8750000</v>
      </c>
      <c r="J1077" s="99" t="s">
        <v>2823</v>
      </c>
      <c r="K1077" s="99" t="s">
        <v>69</v>
      </c>
    </row>
    <row r="1078" spans="2:11" x14ac:dyDescent="0.3">
      <c r="B1078" s="99" t="s">
        <v>1256</v>
      </c>
      <c r="C1078" s="100">
        <v>45861</v>
      </c>
      <c r="D1078" s="99" t="s">
        <v>38</v>
      </c>
      <c r="E1078" s="99" t="s">
        <v>39</v>
      </c>
      <c r="F1078" s="99" t="s">
        <v>16</v>
      </c>
      <c r="G1078" s="99">
        <v>7</v>
      </c>
      <c r="H1078" s="112">
        <v>200000</v>
      </c>
      <c r="I1078" s="112">
        <v>1400000</v>
      </c>
      <c r="J1078" s="99" t="s">
        <v>2121</v>
      </c>
      <c r="K1078" s="99" t="s">
        <v>60</v>
      </c>
    </row>
    <row r="1079" spans="2:11" x14ac:dyDescent="0.3">
      <c r="B1079" s="99" t="s">
        <v>1257</v>
      </c>
      <c r="C1079" s="100">
        <v>45861</v>
      </c>
      <c r="D1079" s="99" t="s">
        <v>44</v>
      </c>
      <c r="E1079" s="99" t="s">
        <v>45</v>
      </c>
      <c r="F1079" s="99" t="s">
        <v>16</v>
      </c>
      <c r="G1079" s="99">
        <v>20</v>
      </c>
      <c r="H1079" s="112">
        <v>250000</v>
      </c>
      <c r="I1079" s="112">
        <v>5000000</v>
      </c>
      <c r="J1079" s="99" t="s">
        <v>2733</v>
      </c>
      <c r="K1079" s="99" t="s">
        <v>127</v>
      </c>
    </row>
    <row r="1080" spans="2:11" x14ac:dyDescent="0.3">
      <c r="B1080" s="99" t="s">
        <v>1302</v>
      </c>
      <c r="C1080" s="100">
        <v>45861</v>
      </c>
      <c r="D1080" s="99" t="s">
        <v>14</v>
      </c>
      <c r="E1080" s="99" t="s">
        <v>15</v>
      </c>
      <c r="F1080" s="99" t="s">
        <v>16</v>
      </c>
      <c r="G1080" s="99">
        <v>12</v>
      </c>
      <c r="H1080" s="112">
        <v>350000</v>
      </c>
      <c r="I1080" s="112">
        <v>4200000</v>
      </c>
      <c r="J1080" s="99" t="s">
        <v>2506</v>
      </c>
      <c r="K1080" s="99" t="s">
        <v>60</v>
      </c>
    </row>
    <row r="1081" spans="2:11" x14ac:dyDescent="0.3">
      <c r="B1081" s="99" t="s">
        <v>1303</v>
      </c>
      <c r="C1081" s="100">
        <v>45861</v>
      </c>
      <c r="D1081" s="99" t="s">
        <v>18</v>
      </c>
      <c r="E1081" s="99" t="s">
        <v>19</v>
      </c>
      <c r="F1081" s="99" t="s">
        <v>20</v>
      </c>
      <c r="G1081" s="99">
        <v>8</v>
      </c>
      <c r="H1081" s="112">
        <v>500000</v>
      </c>
      <c r="I1081" s="112">
        <v>4000000</v>
      </c>
      <c r="J1081" s="99" t="s">
        <v>2325</v>
      </c>
      <c r="K1081" s="99" t="s">
        <v>8</v>
      </c>
    </row>
    <row r="1082" spans="2:11" x14ac:dyDescent="0.3">
      <c r="B1082" s="99" t="s">
        <v>1304</v>
      </c>
      <c r="C1082" s="100">
        <v>45861</v>
      </c>
      <c r="D1082" s="99" t="s">
        <v>44</v>
      </c>
      <c r="E1082" s="99" t="s">
        <v>45</v>
      </c>
      <c r="F1082" s="99" t="s">
        <v>16</v>
      </c>
      <c r="G1082" s="99">
        <v>26</v>
      </c>
      <c r="H1082" s="112">
        <v>250000</v>
      </c>
      <c r="I1082" s="112">
        <v>6500000</v>
      </c>
      <c r="J1082" s="99" t="s">
        <v>2387</v>
      </c>
      <c r="K1082" s="99" t="s">
        <v>8</v>
      </c>
    </row>
    <row r="1083" spans="2:11" x14ac:dyDescent="0.3">
      <c r="B1083" s="99" t="s">
        <v>1305</v>
      </c>
      <c r="C1083" s="100">
        <v>45861</v>
      </c>
      <c r="D1083" s="99" t="s">
        <v>14</v>
      </c>
      <c r="E1083" s="99" t="s">
        <v>15</v>
      </c>
      <c r="F1083" s="99" t="s">
        <v>16</v>
      </c>
      <c r="G1083" s="99">
        <v>22</v>
      </c>
      <c r="H1083" s="112">
        <v>350000</v>
      </c>
      <c r="I1083" s="112">
        <v>7700000</v>
      </c>
      <c r="J1083" s="99" t="s">
        <v>2843</v>
      </c>
      <c r="K1083" s="99" t="s">
        <v>8</v>
      </c>
    </row>
    <row r="1084" spans="2:11" x14ac:dyDescent="0.3">
      <c r="B1084" s="99" t="s">
        <v>1306</v>
      </c>
      <c r="C1084" s="100">
        <v>45861</v>
      </c>
      <c r="D1084" s="99" t="s">
        <v>22</v>
      </c>
      <c r="E1084" s="99" t="s">
        <v>23</v>
      </c>
      <c r="F1084" s="99" t="s">
        <v>12</v>
      </c>
      <c r="G1084" s="99">
        <v>25</v>
      </c>
      <c r="H1084" s="112">
        <v>25000</v>
      </c>
      <c r="I1084" s="112">
        <v>625000</v>
      </c>
      <c r="J1084" s="99" t="s">
        <v>461</v>
      </c>
      <c r="K1084" s="99" t="s">
        <v>127</v>
      </c>
    </row>
    <row r="1085" spans="2:11" x14ac:dyDescent="0.3">
      <c r="B1085" s="99" t="s">
        <v>1307</v>
      </c>
      <c r="C1085" s="100">
        <v>45861</v>
      </c>
      <c r="D1085" s="99" t="s">
        <v>44</v>
      </c>
      <c r="E1085" s="99" t="s">
        <v>45</v>
      </c>
      <c r="F1085" s="99" t="s">
        <v>16</v>
      </c>
      <c r="G1085" s="99">
        <v>5</v>
      </c>
      <c r="H1085" s="112">
        <v>250000</v>
      </c>
      <c r="I1085" s="112">
        <v>1250000</v>
      </c>
      <c r="J1085" s="99" t="s">
        <v>2486</v>
      </c>
      <c r="K1085" s="99" t="s">
        <v>127</v>
      </c>
    </row>
    <row r="1086" spans="2:11" x14ac:dyDescent="0.3">
      <c r="B1086" s="99" t="s">
        <v>1341</v>
      </c>
      <c r="C1086" s="100">
        <v>45861</v>
      </c>
      <c r="D1086" s="99" t="s">
        <v>22</v>
      </c>
      <c r="E1086" s="99" t="s">
        <v>23</v>
      </c>
      <c r="F1086" s="99" t="s">
        <v>12</v>
      </c>
      <c r="G1086" s="99">
        <v>10</v>
      </c>
      <c r="H1086" s="112">
        <v>25000</v>
      </c>
      <c r="I1086" s="112">
        <v>250000</v>
      </c>
      <c r="J1086" s="99" t="s">
        <v>2845</v>
      </c>
      <c r="K1086" s="99" t="s">
        <v>8</v>
      </c>
    </row>
    <row r="1087" spans="2:11" x14ac:dyDescent="0.3">
      <c r="B1087" s="99" t="s">
        <v>1342</v>
      </c>
      <c r="C1087" s="100">
        <v>45861</v>
      </c>
      <c r="D1087" s="99" t="s">
        <v>18</v>
      </c>
      <c r="E1087" s="99" t="s">
        <v>19</v>
      </c>
      <c r="F1087" s="99" t="s">
        <v>20</v>
      </c>
      <c r="G1087" s="99">
        <v>22</v>
      </c>
      <c r="H1087" s="112">
        <v>500000</v>
      </c>
      <c r="I1087" s="112">
        <v>11000000</v>
      </c>
      <c r="J1087" s="99" t="s">
        <v>2762</v>
      </c>
      <c r="K1087" s="99" t="s">
        <v>127</v>
      </c>
    </row>
    <row r="1088" spans="2:11" x14ac:dyDescent="0.3">
      <c r="B1088" s="99" t="s">
        <v>1343</v>
      </c>
      <c r="C1088" s="100">
        <v>45861</v>
      </c>
      <c r="D1088" s="99" t="s">
        <v>28</v>
      </c>
      <c r="E1088" s="99" t="s">
        <v>29</v>
      </c>
      <c r="F1088" s="99" t="s">
        <v>20</v>
      </c>
      <c r="G1088" s="99">
        <v>440</v>
      </c>
      <c r="H1088" s="112">
        <v>450000</v>
      </c>
      <c r="I1088" s="112">
        <v>198000000</v>
      </c>
      <c r="J1088" s="99" t="s">
        <v>2837</v>
      </c>
      <c r="K1088" s="99" t="s">
        <v>47</v>
      </c>
    </row>
    <row r="1089" spans="2:11" x14ac:dyDescent="0.3">
      <c r="B1089" s="99" t="s">
        <v>1344</v>
      </c>
      <c r="C1089" s="100">
        <v>45862</v>
      </c>
      <c r="D1089" s="99" t="s">
        <v>38</v>
      </c>
      <c r="E1089" s="99" t="s">
        <v>39</v>
      </c>
      <c r="F1089" s="99" t="s">
        <v>16</v>
      </c>
      <c r="G1089" s="99">
        <v>42</v>
      </c>
      <c r="H1089" s="112">
        <v>200000</v>
      </c>
      <c r="I1089" s="112">
        <v>8400000</v>
      </c>
      <c r="J1089" s="99" t="s">
        <v>2246</v>
      </c>
      <c r="K1089" s="99" t="s">
        <v>127</v>
      </c>
    </row>
    <row r="1090" spans="2:11" x14ac:dyDescent="0.3">
      <c r="B1090" s="99" t="s">
        <v>1345</v>
      </c>
      <c r="C1090" s="100">
        <v>45862</v>
      </c>
      <c r="D1090" s="99" t="s">
        <v>14</v>
      </c>
      <c r="E1090" s="99" t="s">
        <v>15</v>
      </c>
      <c r="F1090" s="99" t="s">
        <v>16</v>
      </c>
      <c r="G1090" s="99">
        <v>49</v>
      </c>
      <c r="H1090" s="112">
        <v>350000</v>
      </c>
      <c r="I1090" s="112">
        <v>17150000</v>
      </c>
      <c r="J1090" s="99" t="s">
        <v>2258</v>
      </c>
      <c r="K1090" s="99" t="s">
        <v>127</v>
      </c>
    </row>
    <row r="1091" spans="2:11" x14ac:dyDescent="0.3">
      <c r="B1091" s="99" t="s">
        <v>1346</v>
      </c>
      <c r="C1091" s="100">
        <v>45862</v>
      </c>
      <c r="D1091" s="99" t="s">
        <v>31</v>
      </c>
      <c r="E1091" s="99" t="s">
        <v>32</v>
      </c>
      <c r="F1091" s="99" t="s">
        <v>20</v>
      </c>
      <c r="G1091" s="99">
        <v>43</v>
      </c>
      <c r="H1091" s="112">
        <v>180000</v>
      </c>
      <c r="I1091" s="112">
        <v>7740000</v>
      </c>
      <c r="J1091" s="99" t="s">
        <v>2264</v>
      </c>
      <c r="K1091" s="99" t="s">
        <v>69</v>
      </c>
    </row>
    <row r="1092" spans="2:11" x14ac:dyDescent="0.3">
      <c r="B1092" s="99" t="s">
        <v>1347</v>
      </c>
      <c r="C1092" s="100">
        <v>45862</v>
      </c>
      <c r="D1092" s="99" t="s">
        <v>22</v>
      </c>
      <c r="E1092" s="99" t="s">
        <v>23</v>
      </c>
      <c r="F1092" s="99" t="s">
        <v>12</v>
      </c>
      <c r="G1092" s="99">
        <v>32</v>
      </c>
      <c r="H1092" s="112">
        <v>25000</v>
      </c>
      <c r="I1092" s="112">
        <v>800000</v>
      </c>
      <c r="J1092" s="99" t="s">
        <v>2517</v>
      </c>
      <c r="K1092" s="99" t="s">
        <v>60</v>
      </c>
    </row>
    <row r="1093" spans="2:11" x14ac:dyDescent="0.3">
      <c r="B1093" s="99" t="s">
        <v>1379</v>
      </c>
      <c r="C1093" s="100">
        <v>45862</v>
      </c>
      <c r="D1093" s="99" t="s">
        <v>40</v>
      </c>
      <c r="E1093" s="99" t="s">
        <v>41</v>
      </c>
      <c r="F1093" s="99" t="s">
        <v>16</v>
      </c>
      <c r="G1093" s="99">
        <v>27</v>
      </c>
      <c r="H1093" s="112">
        <v>950000</v>
      </c>
      <c r="I1093" s="112">
        <v>25650000</v>
      </c>
      <c r="J1093" s="99" t="s">
        <v>2655</v>
      </c>
      <c r="K1093" s="99" t="s">
        <v>8</v>
      </c>
    </row>
    <row r="1094" spans="2:11" x14ac:dyDescent="0.3">
      <c r="B1094" s="99" t="s">
        <v>1380</v>
      </c>
      <c r="C1094" s="100">
        <v>45862</v>
      </c>
      <c r="D1094" s="99" t="s">
        <v>44</v>
      </c>
      <c r="E1094" s="99" t="s">
        <v>45</v>
      </c>
      <c r="F1094" s="99" t="s">
        <v>16</v>
      </c>
      <c r="G1094" s="99">
        <v>13</v>
      </c>
      <c r="H1094" s="112">
        <v>250000</v>
      </c>
      <c r="I1094" s="112">
        <v>3250000</v>
      </c>
      <c r="J1094" s="99" t="s">
        <v>2738</v>
      </c>
      <c r="K1094" s="99" t="s">
        <v>8</v>
      </c>
    </row>
    <row r="1095" spans="2:11" x14ac:dyDescent="0.3">
      <c r="B1095" s="99" t="s">
        <v>1381</v>
      </c>
      <c r="C1095" s="100">
        <v>45862</v>
      </c>
      <c r="D1095" s="99" t="s">
        <v>40</v>
      </c>
      <c r="E1095" s="99" t="s">
        <v>41</v>
      </c>
      <c r="F1095" s="99" t="s">
        <v>16</v>
      </c>
      <c r="G1095" s="99">
        <v>230</v>
      </c>
      <c r="H1095" s="112">
        <v>950000</v>
      </c>
      <c r="I1095" s="112">
        <v>218500000</v>
      </c>
      <c r="J1095" s="99" t="s">
        <v>2695</v>
      </c>
      <c r="K1095" s="99" t="s">
        <v>8</v>
      </c>
    </row>
    <row r="1096" spans="2:11" x14ac:dyDescent="0.3">
      <c r="B1096" s="99" t="s">
        <v>1382</v>
      </c>
      <c r="C1096" s="100">
        <v>45862</v>
      </c>
      <c r="D1096" s="99" t="s">
        <v>14</v>
      </c>
      <c r="E1096" s="99" t="s">
        <v>15</v>
      </c>
      <c r="F1096" s="99" t="s">
        <v>16</v>
      </c>
      <c r="G1096" s="99">
        <v>230</v>
      </c>
      <c r="H1096" s="112">
        <v>350000</v>
      </c>
      <c r="I1096" s="112">
        <v>80500000</v>
      </c>
      <c r="J1096" s="99" t="s">
        <v>2245</v>
      </c>
      <c r="K1096" s="99" t="s">
        <v>127</v>
      </c>
    </row>
    <row r="1097" spans="2:11" x14ac:dyDescent="0.3">
      <c r="B1097" s="99" t="s">
        <v>1383</v>
      </c>
      <c r="C1097" s="100">
        <v>45863</v>
      </c>
      <c r="D1097" s="99" t="s">
        <v>28</v>
      </c>
      <c r="E1097" s="99" t="s">
        <v>29</v>
      </c>
      <c r="F1097" s="99" t="s">
        <v>20</v>
      </c>
      <c r="G1097" s="99">
        <v>46</v>
      </c>
      <c r="H1097" s="112">
        <v>450000</v>
      </c>
      <c r="I1097" s="112">
        <v>20700000</v>
      </c>
      <c r="J1097" s="99" t="s">
        <v>2731</v>
      </c>
      <c r="K1097" s="99" t="s">
        <v>47</v>
      </c>
    </row>
    <row r="1098" spans="2:11" x14ac:dyDescent="0.3">
      <c r="B1098" s="99" t="s">
        <v>1384</v>
      </c>
      <c r="C1098" s="100">
        <v>45863</v>
      </c>
      <c r="D1098" s="99" t="s">
        <v>44</v>
      </c>
      <c r="E1098" s="99" t="s">
        <v>45</v>
      </c>
      <c r="F1098" s="99" t="s">
        <v>16</v>
      </c>
      <c r="G1098" s="99">
        <v>38</v>
      </c>
      <c r="H1098" s="112">
        <v>250000</v>
      </c>
      <c r="I1098" s="112">
        <v>9500000</v>
      </c>
      <c r="J1098" s="99" t="s">
        <v>2778</v>
      </c>
      <c r="K1098" s="99" t="s">
        <v>60</v>
      </c>
    </row>
    <row r="1099" spans="2:11" x14ac:dyDescent="0.3">
      <c r="B1099" s="99" t="s">
        <v>1419</v>
      </c>
      <c r="C1099" s="100">
        <v>45863</v>
      </c>
      <c r="D1099" s="99" t="s">
        <v>40</v>
      </c>
      <c r="E1099" s="99" t="s">
        <v>41</v>
      </c>
      <c r="F1099" s="99" t="s">
        <v>16</v>
      </c>
      <c r="G1099" s="99">
        <v>11</v>
      </c>
      <c r="H1099" s="112">
        <v>950000</v>
      </c>
      <c r="I1099" s="112">
        <v>10450000</v>
      </c>
      <c r="J1099" s="99" t="s">
        <v>485</v>
      </c>
      <c r="K1099" s="99" t="s">
        <v>127</v>
      </c>
    </row>
    <row r="1100" spans="2:11" x14ac:dyDescent="0.3">
      <c r="B1100" s="99" t="s">
        <v>1420</v>
      </c>
      <c r="C1100" s="100">
        <v>45863</v>
      </c>
      <c r="D1100" s="99" t="s">
        <v>28</v>
      </c>
      <c r="E1100" s="99" t="s">
        <v>29</v>
      </c>
      <c r="F1100" s="99" t="s">
        <v>20</v>
      </c>
      <c r="G1100" s="99">
        <v>14</v>
      </c>
      <c r="H1100" s="112">
        <v>450000</v>
      </c>
      <c r="I1100" s="112">
        <v>6300000</v>
      </c>
      <c r="J1100" s="99" t="s">
        <v>1951</v>
      </c>
      <c r="K1100" s="99" t="s">
        <v>60</v>
      </c>
    </row>
    <row r="1101" spans="2:11" x14ac:dyDescent="0.3">
      <c r="B1101" s="99" t="s">
        <v>1421</v>
      </c>
      <c r="C1101" s="100">
        <v>45863</v>
      </c>
      <c r="D1101" s="99" t="s">
        <v>22</v>
      </c>
      <c r="E1101" s="99" t="s">
        <v>23</v>
      </c>
      <c r="F1101" s="99" t="s">
        <v>12</v>
      </c>
      <c r="G1101" s="99">
        <v>43</v>
      </c>
      <c r="H1101" s="112">
        <v>25000</v>
      </c>
      <c r="I1101" s="112">
        <v>1075000</v>
      </c>
      <c r="J1101" s="99" t="s">
        <v>2816</v>
      </c>
      <c r="K1101" s="99" t="s">
        <v>69</v>
      </c>
    </row>
    <row r="1102" spans="2:11" x14ac:dyDescent="0.3">
      <c r="B1102" s="99" t="s">
        <v>1448</v>
      </c>
      <c r="C1102" s="100">
        <v>45863</v>
      </c>
      <c r="D1102" s="99" t="s">
        <v>28</v>
      </c>
      <c r="E1102" s="99" t="s">
        <v>29</v>
      </c>
      <c r="F1102" s="99" t="s">
        <v>20</v>
      </c>
      <c r="G1102" s="99">
        <v>32</v>
      </c>
      <c r="H1102" s="112">
        <v>450000</v>
      </c>
      <c r="I1102" s="112">
        <v>14400000</v>
      </c>
      <c r="J1102" s="99" t="s">
        <v>2815</v>
      </c>
      <c r="K1102" s="99" t="s">
        <v>127</v>
      </c>
    </row>
    <row r="1103" spans="2:11" x14ac:dyDescent="0.3">
      <c r="B1103" s="99" t="s">
        <v>1449</v>
      </c>
      <c r="C1103" s="100">
        <v>45863</v>
      </c>
      <c r="D1103" s="99" t="s">
        <v>42</v>
      </c>
      <c r="E1103" s="99" t="s">
        <v>43</v>
      </c>
      <c r="F1103" s="99" t="s">
        <v>16</v>
      </c>
      <c r="G1103" s="99">
        <v>47</v>
      </c>
      <c r="H1103" s="112">
        <v>1200000</v>
      </c>
      <c r="I1103" s="112">
        <v>56400000</v>
      </c>
      <c r="J1103" s="99" t="s">
        <v>2417</v>
      </c>
      <c r="K1103" s="99" t="s">
        <v>60</v>
      </c>
    </row>
    <row r="1104" spans="2:11" x14ac:dyDescent="0.3">
      <c r="B1104" s="99" t="s">
        <v>1450</v>
      </c>
      <c r="C1104" s="100">
        <v>45863</v>
      </c>
      <c r="D1104" s="99" t="s">
        <v>44</v>
      </c>
      <c r="E1104" s="99" t="s">
        <v>45</v>
      </c>
      <c r="F1104" s="99" t="s">
        <v>16</v>
      </c>
      <c r="G1104" s="99">
        <v>15</v>
      </c>
      <c r="H1104" s="112">
        <v>250000</v>
      </c>
      <c r="I1104" s="112">
        <v>3750000</v>
      </c>
      <c r="J1104" s="99" t="s">
        <v>2302</v>
      </c>
      <c r="K1104" s="99" t="s">
        <v>8</v>
      </c>
    </row>
    <row r="1105" spans="2:11" x14ac:dyDescent="0.3">
      <c r="B1105" s="99" t="s">
        <v>1451</v>
      </c>
      <c r="C1105" s="100">
        <v>45863</v>
      </c>
      <c r="D1105" s="99" t="s">
        <v>14</v>
      </c>
      <c r="E1105" s="99" t="s">
        <v>15</v>
      </c>
      <c r="F1105" s="99" t="s">
        <v>16</v>
      </c>
      <c r="G1105" s="99">
        <v>14</v>
      </c>
      <c r="H1105" s="112">
        <v>350000</v>
      </c>
      <c r="I1105" s="112">
        <v>4900000</v>
      </c>
      <c r="J1105" s="99" t="s">
        <v>2820</v>
      </c>
      <c r="K1105" s="99" t="s">
        <v>127</v>
      </c>
    </row>
    <row r="1106" spans="2:11" x14ac:dyDescent="0.3">
      <c r="B1106" s="99" t="s">
        <v>1452</v>
      </c>
      <c r="C1106" s="100">
        <v>45863</v>
      </c>
      <c r="D1106" s="99" t="s">
        <v>18</v>
      </c>
      <c r="E1106" s="99" t="s">
        <v>19</v>
      </c>
      <c r="F1106" s="99" t="s">
        <v>20</v>
      </c>
      <c r="G1106" s="99">
        <v>14</v>
      </c>
      <c r="H1106" s="112">
        <v>500000</v>
      </c>
      <c r="I1106" s="112">
        <v>7000000</v>
      </c>
      <c r="J1106" s="99" t="s">
        <v>2808</v>
      </c>
      <c r="K1106" s="99" t="s">
        <v>8</v>
      </c>
    </row>
    <row r="1107" spans="2:11" x14ac:dyDescent="0.3">
      <c r="B1107" s="99" t="s">
        <v>1453</v>
      </c>
      <c r="C1107" s="100">
        <v>45863</v>
      </c>
      <c r="D1107" s="99" t="s">
        <v>31</v>
      </c>
      <c r="E1107" s="99" t="s">
        <v>32</v>
      </c>
      <c r="F1107" s="99" t="s">
        <v>20</v>
      </c>
      <c r="G1107" s="99">
        <v>32</v>
      </c>
      <c r="H1107" s="112">
        <v>180000</v>
      </c>
      <c r="I1107" s="112">
        <v>5760000</v>
      </c>
      <c r="J1107" s="99" t="s">
        <v>1280</v>
      </c>
      <c r="K1107" s="99" t="s">
        <v>69</v>
      </c>
    </row>
    <row r="1108" spans="2:11" x14ac:dyDescent="0.3">
      <c r="B1108" s="99" t="s">
        <v>1454</v>
      </c>
      <c r="C1108" s="100">
        <v>45863</v>
      </c>
      <c r="D1108" s="99" t="s">
        <v>14</v>
      </c>
      <c r="E1108" s="99" t="s">
        <v>15</v>
      </c>
      <c r="F1108" s="99" t="s">
        <v>16</v>
      </c>
      <c r="G1108" s="99">
        <v>36</v>
      </c>
      <c r="H1108" s="112">
        <v>350000</v>
      </c>
      <c r="I1108" s="112">
        <v>12600000</v>
      </c>
      <c r="J1108" s="99" t="s">
        <v>2142</v>
      </c>
      <c r="K1108" s="99" t="s">
        <v>8</v>
      </c>
    </row>
    <row r="1109" spans="2:11" x14ac:dyDescent="0.3">
      <c r="B1109" s="99" t="s">
        <v>1455</v>
      </c>
      <c r="C1109" s="100">
        <v>45863</v>
      </c>
      <c r="D1109" s="99" t="s">
        <v>18</v>
      </c>
      <c r="E1109" s="99" t="s">
        <v>19</v>
      </c>
      <c r="F1109" s="99" t="s">
        <v>20</v>
      </c>
      <c r="G1109" s="99">
        <v>41</v>
      </c>
      <c r="H1109" s="112">
        <v>500000</v>
      </c>
      <c r="I1109" s="112">
        <v>20500000</v>
      </c>
      <c r="J1109" s="99" t="s">
        <v>2437</v>
      </c>
      <c r="K1109" s="99" t="s">
        <v>69</v>
      </c>
    </row>
    <row r="1110" spans="2:11" x14ac:dyDescent="0.3">
      <c r="B1110" s="99" t="s">
        <v>1491</v>
      </c>
      <c r="C1110" s="100">
        <v>45863</v>
      </c>
      <c r="D1110" s="99" t="s">
        <v>22</v>
      </c>
      <c r="E1110" s="99" t="s">
        <v>23</v>
      </c>
      <c r="F1110" s="99" t="s">
        <v>12</v>
      </c>
      <c r="G1110" s="99">
        <v>19</v>
      </c>
      <c r="H1110" s="112">
        <v>25000</v>
      </c>
      <c r="I1110" s="112">
        <v>475000</v>
      </c>
      <c r="J1110" s="99" t="s">
        <v>2680</v>
      </c>
      <c r="K1110" s="99" t="s">
        <v>47</v>
      </c>
    </row>
    <row r="1111" spans="2:11" x14ac:dyDescent="0.3">
      <c r="B1111" s="99" t="s">
        <v>1492</v>
      </c>
      <c r="C1111" s="100">
        <v>45863</v>
      </c>
      <c r="D1111" s="99" t="s">
        <v>10</v>
      </c>
      <c r="E1111" s="99" t="s">
        <v>11</v>
      </c>
      <c r="F1111" s="99" t="s">
        <v>12</v>
      </c>
      <c r="G1111" s="99">
        <v>36</v>
      </c>
      <c r="H1111" s="112">
        <v>120000</v>
      </c>
      <c r="I1111" s="112">
        <v>4320000</v>
      </c>
      <c r="J1111" s="99" t="s">
        <v>2118</v>
      </c>
      <c r="K1111" s="99" t="s">
        <v>69</v>
      </c>
    </row>
    <row r="1112" spans="2:11" x14ac:dyDescent="0.3">
      <c r="B1112" s="99" t="s">
        <v>1493</v>
      </c>
      <c r="C1112" s="100">
        <v>45863</v>
      </c>
      <c r="D1112" s="99" t="s">
        <v>44</v>
      </c>
      <c r="E1112" s="99" t="s">
        <v>45</v>
      </c>
      <c r="F1112" s="99" t="s">
        <v>16</v>
      </c>
      <c r="G1112" s="99">
        <v>43</v>
      </c>
      <c r="H1112" s="112">
        <v>250000</v>
      </c>
      <c r="I1112" s="112">
        <v>10750000</v>
      </c>
      <c r="J1112" s="99" t="s">
        <v>1242</v>
      </c>
      <c r="K1112" s="99" t="s">
        <v>60</v>
      </c>
    </row>
    <row r="1113" spans="2:11" x14ac:dyDescent="0.3">
      <c r="B1113" s="99" t="s">
        <v>1494</v>
      </c>
      <c r="C1113" s="100">
        <v>45863</v>
      </c>
      <c r="D1113" s="99" t="s">
        <v>40</v>
      </c>
      <c r="E1113" s="99" t="s">
        <v>41</v>
      </c>
      <c r="F1113" s="99" t="s">
        <v>16</v>
      </c>
      <c r="G1113" s="99">
        <v>25</v>
      </c>
      <c r="H1113" s="112">
        <v>950000</v>
      </c>
      <c r="I1113" s="112">
        <v>23750000</v>
      </c>
      <c r="J1113" s="99" t="s">
        <v>2312</v>
      </c>
      <c r="K1113" s="99" t="s">
        <v>127</v>
      </c>
    </row>
    <row r="1114" spans="2:11" x14ac:dyDescent="0.3">
      <c r="B1114" s="99" t="s">
        <v>1495</v>
      </c>
      <c r="C1114" s="100">
        <v>45863</v>
      </c>
      <c r="D1114" s="99" t="s">
        <v>22</v>
      </c>
      <c r="E1114" s="99" t="s">
        <v>23</v>
      </c>
      <c r="F1114" s="99" t="s">
        <v>12</v>
      </c>
      <c r="G1114" s="99">
        <v>11</v>
      </c>
      <c r="H1114" s="112">
        <v>25000</v>
      </c>
      <c r="I1114" s="112">
        <v>275000</v>
      </c>
      <c r="J1114" s="99" t="s">
        <v>2391</v>
      </c>
      <c r="K1114" s="99" t="s">
        <v>127</v>
      </c>
    </row>
    <row r="1115" spans="2:11" x14ac:dyDescent="0.3">
      <c r="B1115" s="99" t="s">
        <v>1496</v>
      </c>
      <c r="C1115" s="100">
        <v>45863</v>
      </c>
      <c r="D1115" s="99" t="s">
        <v>14</v>
      </c>
      <c r="E1115" s="99" t="s">
        <v>15</v>
      </c>
      <c r="F1115" s="99" t="s">
        <v>16</v>
      </c>
      <c r="G1115" s="99">
        <v>45</v>
      </c>
      <c r="H1115" s="112">
        <v>350000</v>
      </c>
      <c r="I1115" s="112">
        <v>15750000</v>
      </c>
      <c r="J1115" s="99" t="s">
        <v>2685</v>
      </c>
      <c r="K1115" s="99" t="s">
        <v>69</v>
      </c>
    </row>
    <row r="1116" spans="2:11" x14ac:dyDescent="0.3">
      <c r="B1116" s="99" t="s">
        <v>1542</v>
      </c>
      <c r="C1116" s="100">
        <v>45866</v>
      </c>
      <c r="D1116" s="99" t="s">
        <v>10</v>
      </c>
      <c r="E1116" s="99" t="s">
        <v>11</v>
      </c>
      <c r="F1116" s="99" t="s">
        <v>12</v>
      </c>
      <c r="G1116" s="99">
        <v>19</v>
      </c>
      <c r="H1116" s="112">
        <v>120000</v>
      </c>
      <c r="I1116" s="112">
        <v>2280000</v>
      </c>
      <c r="J1116" s="99" t="s">
        <v>2450</v>
      </c>
      <c r="K1116" s="99" t="s">
        <v>8</v>
      </c>
    </row>
    <row r="1117" spans="2:11" x14ac:dyDescent="0.3">
      <c r="B1117" s="99" t="s">
        <v>1543</v>
      </c>
      <c r="C1117" s="100">
        <v>45866</v>
      </c>
      <c r="D1117" s="99" t="s">
        <v>14</v>
      </c>
      <c r="E1117" s="99" t="s">
        <v>15</v>
      </c>
      <c r="F1117" s="99" t="s">
        <v>16</v>
      </c>
      <c r="G1117" s="99">
        <v>6</v>
      </c>
      <c r="H1117" s="112">
        <v>350000</v>
      </c>
      <c r="I1117" s="112">
        <v>2100000</v>
      </c>
      <c r="J1117" s="99" t="s">
        <v>2304</v>
      </c>
      <c r="K1117" s="99" t="s">
        <v>8</v>
      </c>
    </row>
    <row r="1118" spans="2:11" x14ac:dyDescent="0.3">
      <c r="B1118" s="99" t="s">
        <v>1544</v>
      </c>
      <c r="C1118" s="100">
        <v>45866</v>
      </c>
      <c r="D1118" s="99" t="s">
        <v>40</v>
      </c>
      <c r="E1118" s="99" t="s">
        <v>41</v>
      </c>
      <c r="F1118" s="99" t="s">
        <v>16</v>
      </c>
      <c r="G1118" s="99">
        <v>38</v>
      </c>
      <c r="H1118" s="112">
        <v>950000</v>
      </c>
      <c r="I1118" s="112">
        <v>36100000</v>
      </c>
      <c r="J1118" s="99" t="s">
        <v>2701</v>
      </c>
      <c r="K1118" s="99" t="s">
        <v>60</v>
      </c>
    </row>
    <row r="1119" spans="2:11" x14ac:dyDescent="0.3">
      <c r="B1119" s="99" t="s">
        <v>1545</v>
      </c>
      <c r="C1119" s="100">
        <v>45866</v>
      </c>
      <c r="D1119" s="99" t="s">
        <v>22</v>
      </c>
      <c r="E1119" s="99" t="s">
        <v>23</v>
      </c>
      <c r="F1119" s="99" t="s">
        <v>12</v>
      </c>
      <c r="G1119" s="99">
        <v>49</v>
      </c>
      <c r="H1119" s="112">
        <v>25000</v>
      </c>
      <c r="I1119" s="112">
        <v>1225000</v>
      </c>
      <c r="J1119" s="99" t="s">
        <v>2665</v>
      </c>
      <c r="K1119" s="99" t="s">
        <v>127</v>
      </c>
    </row>
    <row r="1120" spans="2:11" x14ac:dyDescent="0.3">
      <c r="B1120" s="99" t="s">
        <v>1546</v>
      </c>
      <c r="C1120" s="100">
        <v>45866</v>
      </c>
      <c r="D1120" s="99" t="s">
        <v>22</v>
      </c>
      <c r="E1120" s="99" t="s">
        <v>23</v>
      </c>
      <c r="F1120" s="99" t="s">
        <v>12</v>
      </c>
      <c r="G1120" s="99">
        <v>29</v>
      </c>
      <c r="H1120" s="112">
        <v>25000</v>
      </c>
      <c r="I1120" s="112">
        <v>725000</v>
      </c>
      <c r="J1120" s="99" t="s">
        <v>2250</v>
      </c>
      <c r="K1120" s="99" t="s">
        <v>69</v>
      </c>
    </row>
    <row r="1121" spans="2:11" x14ac:dyDescent="0.3">
      <c r="B1121" s="99" t="s">
        <v>1547</v>
      </c>
      <c r="C1121" s="100">
        <v>45866</v>
      </c>
      <c r="D1121" s="99" t="s">
        <v>28</v>
      </c>
      <c r="E1121" s="99" t="s">
        <v>29</v>
      </c>
      <c r="F1121" s="99" t="s">
        <v>20</v>
      </c>
      <c r="G1121" s="99">
        <v>45</v>
      </c>
      <c r="H1121" s="112">
        <v>450000</v>
      </c>
      <c r="I1121" s="112">
        <v>20250000</v>
      </c>
      <c r="J1121" s="99" t="s">
        <v>2781</v>
      </c>
      <c r="K1121" s="99" t="s">
        <v>127</v>
      </c>
    </row>
    <row r="1122" spans="2:11" x14ac:dyDescent="0.3">
      <c r="B1122" s="99" t="s">
        <v>1569</v>
      </c>
      <c r="C1122" s="100">
        <v>45866</v>
      </c>
      <c r="D1122" s="99" t="s">
        <v>40</v>
      </c>
      <c r="E1122" s="99" t="s">
        <v>41</v>
      </c>
      <c r="F1122" s="99" t="s">
        <v>16</v>
      </c>
      <c r="G1122" s="99">
        <v>130</v>
      </c>
      <c r="H1122" s="112">
        <v>950000</v>
      </c>
      <c r="I1122" s="112">
        <v>123500000</v>
      </c>
      <c r="J1122" s="99" t="s">
        <v>2739</v>
      </c>
      <c r="K1122" s="99" t="s">
        <v>8</v>
      </c>
    </row>
    <row r="1123" spans="2:11" x14ac:dyDescent="0.3">
      <c r="B1123" s="99" t="s">
        <v>1570</v>
      </c>
      <c r="C1123" s="100">
        <v>45868</v>
      </c>
      <c r="D1123" s="99" t="s">
        <v>38</v>
      </c>
      <c r="E1123" s="99" t="s">
        <v>39</v>
      </c>
      <c r="F1123" s="99" t="s">
        <v>16</v>
      </c>
      <c r="G1123" s="99">
        <v>100</v>
      </c>
      <c r="H1123" s="112">
        <v>200000</v>
      </c>
      <c r="I1123" s="112">
        <v>20000000</v>
      </c>
      <c r="J1123" s="99" t="s">
        <v>2686</v>
      </c>
      <c r="K1123" s="99" t="s">
        <v>8</v>
      </c>
    </row>
    <row r="1124" spans="2:11" x14ac:dyDescent="0.3">
      <c r="B1124" s="99" t="s">
        <v>1571</v>
      </c>
      <c r="C1124" s="100">
        <v>45868</v>
      </c>
      <c r="D1124" s="99" t="s">
        <v>14</v>
      </c>
      <c r="E1124" s="99" t="s">
        <v>15</v>
      </c>
      <c r="F1124" s="99" t="s">
        <v>16</v>
      </c>
      <c r="G1124" s="99">
        <v>30</v>
      </c>
      <c r="H1124" s="112">
        <v>350000</v>
      </c>
      <c r="I1124" s="112">
        <v>10500000</v>
      </c>
      <c r="J1124" s="99" t="s">
        <v>2788</v>
      </c>
      <c r="K1124" s="99" t="s">
        <v>69</v>
      </c>
    </row>
    <row r="1125" spans="2:11" x14ac:dyDescent="0.3">
      <c r="B1125" s="99" t="s">
        <v>1572</v>
      </c>
      <c r="C1125" s="100">
        <v>45868</v>
      </c>
      <c r="D1125" s="99" t="s">
        <v>28</v>
      </c>
      <c r="E1125" s="99" t="s">
        <v>29</v>
      </c>
      <c r="F1125" s="99" t="s">
        <v>20</v>
      </c>
      <c r="G1125" s="99">
        <v>18</v>
      </c>
      <c r="H1125" s="112">
        <v>450000</v>
      </c>
      <c r="I1125" s="112">
        <v>8100000</v>
      </c>
      <c r="J1125" s="99" t="s">
        <v>2229</v>
      </c>
      <c r="K1125" s="99" t="s">
        <v>60</v>
      </c>
    </row>
    <row r="1126" spans="2:11" x14ac:dyDescent="0.3">
      <c r="B1126" s="99" t="s">
        <v>1573</v>
      </c>
      <c r="C1126" s="100">
        <v>45868</v>
      </c>
      <c r="D1126" s="99" t="s">
        <v>40</v>
      </c>
      <c r="E1126" s="99" t="s">
        <v>41</v>
      </c>
      <c r="F1126" s="99" t="s">
        <v>16</v>
      </c>
      <c r="G1126" s="99">
        <v>26</v>
      </c>
      <c r="H1126" s="112">
        <v>950000</v>
      </c>
      <c r="I1126" s="112">
        <v>24700000</v>
      </c>
      <c r="J1126" s="99" t="s">
        <v>2599</v>
      </c>
      <c r="K1126" s="99" t="s">
        <v>127</v>
      </c>
    </row>
    <row r="1127" spans="2:11" x14ac:dyDescent="0.3">
      <c r="B1127" s="99" t="s">
        <v>1574</v>
      </c>
      <c r="C1127" s="100">
        <v>45874</v>
      </c>
      <c r="D1127" s="99" t="s">
        <v>28</v>
      </c>
      <c r="E1127" s="99" t="s">
        <v>29</v>
      </c>
      <c r="F1127" s="99" t="s">
        <v>20</v>
      </c>
      <c r="G1127" s="99">
        <v>26</v>
      </c>
      <c r="H1127" s="112">
        <v>450000</v>
      </c>
      <c r="I1127" s="112">
        <v>11700000</v>
      </c>
      <c r="J1127" s="99" t="s">
        <v>2673</v>
      </c>
      <c r="K1127" s="99" t="s">
        <v>8</v>
      </c>
    </row>
    <row r="1128" spans="2:11" x14ac:dyDescent="0.3">
      <c r="B1128" s="99" t="s">
        <v>1596</v>
      </c>
      <c r="C1128" s="100">
        <v>45874</v>
      </c>
      <c r="D1128" s="99" t="s">
        <v>42</v>
      </c>
      <c r="E1128" s="99" t="s">
        <v>43</v>
      </c>
      <c r="F1128" s="99" t="s">
        <v>16</v>
      </c>
      <c r="G1128" s="99">
        <v>430</v>
      </c>
      <c r="H1128" s="112">
        <v>1200000</v>
      </c>
      <c r="I1128" s="112">
        <v>516000000</v>
      </c>
      <c r="J1128" s="99" t="s">
        <v>2235</v>
      </c>
      <c r="K1128" s="99" t="s">
        <v>127</v>
      </c>
    </row>
    <row r="1129" spans="2:11" x14ac:dyDescent="0.3">
      <c r="B1129" s="99" t="s">
        <v>1597</v>
      </c>
      <c r="C1129" s="100">
        <v>45874</v>
      </c>
      <c r="D1129" s="99" t="s">
        <v>42</v>
      </c>
      <c r="E1129" s="99" t="s">
        <v>43</v>
      </c>
      <c r="F1129" s="99" t="s">
        <v>16</v>
      </c>
      <c r="G1129" s="99">
        <v>500</v>
      </c>
      <c r="H1129" s="112">
        <v>1200000</v>
      </c>
      <c r="I1129" s="112">
        <v>600000000</v>
      </c>
      <c r="J1129" s="99" t="s">
        <v>1640</v>
      </c>
      <c r="K1129" s="99" t="s">
        <v>47</v>
      </c>
    </row>
    <row r="1130" spans="2:11" x14ac:dyDescent="0.3">
      <c r="B1130" s="99" t="s">
        <v>1598</v>
      </c>
      <c r="C1130" s="100">
        <v>45874</v>
      </c>
      <c r="D1130" s="99" t="s">
        <v>38</v>
      </c>
      <c r="E1130" s="99" t="s">
        <v>39</v>
      </c>
      <c r="F1130" s="99" t="s">
        <v>16</v>
      </c>
      <c r="G1130" s="99">
        <v>39</v>
      </c>
      <c r="H1130" s="112">
        <v>200000</v>
      </c>
      <c r="I1130" s="112">
        <v>7800000</v>
      </c>
      <c r="J1130" s="99" t="s">
        <v>2796</v>
      </c>
      <c r="K1130" s="99" t="s">
        <v>127</v>
      </c>
    </row>
    <row r="1131" spans="2:11" x14ac:dyDescent="0.3">
      <c r="B1131" s="99" t="s">
        <v>1622</v>
      </c>
      <c r="C1131" s="100">
        <v>45874</v>
      </c>
      <c r="D1131" s="99" t="s">
        <v>10</v>
      </c>
      <c r="E1131" s="99" t="s">
        <v>11</v>
      </c>
      <c r="F1131" s="99" t="s">
        <v>12</v>
      </c>
      <c r="G1131" s="99">
        <v>29</v>
      </c>
      <c r="H1131" s="112">
        <v>120000</v>
      </c>
      <c r="I1131" s="112">
        <v>3480000</v>
      </c>
      <c r="J1131" s="99" t="s">
        <v>2787</v>
      </c>
      <c r="K1131" s="99" t="s">
        <v>60</v>
      </c>
    </row>
    <row r="1132" spans="2:11" x14ac:dyDescent="0.3">
      <c r="B1132" s="99" t="s">
        <v>1623</v>
      </c>
      <c r="C1132" s="100">
        <v>45874</v>
      </c>
      <c r="D1132" s="99" t="s">
        <v>31</v>
      </c>
      <c r="E1132" s="99" t="s">
        <v>32</v>
      </c>
      <c r="F1132" s="99" t="s">
        <v>20</v>
      </c>
      <c r="G1132" s="99">
        <v>28</v>
      </c>
      <c r="H1132" s="112">
        <v>180000</v>
      </c>
      <c r="I1132" s="112">
        <v>5040000</v>
      </c>
      <c r="J1132" s="99" t="s">
        <v>2589</v>
      </c>
      <c r="K1132" s="99" t="s">
        <v>127</v>
      </c>
    </row>
    <row r="1133" spans="2:11" x14ac:dyDescent="0.3">
      <c r="B1133" s="99" t="s">
        <v>1624</v>
      </c>
      <c r="C1133" s="100">
        <v>45874</v>
      </c>
      <c r="D1133" s="99" t="s">
        <v>10</v>
      </c>
      <c r="E1133" s="99" t="s">
        <v>11</v>
      </c>
      <c r="F1133" s="99" t="s">
        <v>12</v>
      </c>
      <c r="G1133" s="99">
        <v>22</v>
      </c>
      <c r="H1133" s="112">
        <v>120000</v>
      </c>
      <c r="I1133" s="112">
        <v>2640000</v>
      </c>
      <c r="J1133" s="99" t="s">
        <v>2449</v>
      </c>
      <c r="K1133" s="99" t="s">
        <v>60</v>
      </c>
    </row>
    <row r="1134" spans="2:11" x14ac:dyDescent="0.3">
      <c r="B1134" s="99" t="s">
        <v>1625</v>
      </c>
      <c r="C1134" s="100">
        <v>45874</v>
      </c>
      <c r="D1134" s="99" t="s">
        <v>18</v>
      </c>
      <c r="E1134" s="99" t="s">
        <v>19</v>
      </c>
      <c r="F1134" s="99" t="s">
        <v>20</v>
      </c>
      <c r="G1134" s="99">
        <v>9</v>
      </c>
      <c r="H1134" s="112">
        <v>500000</v>
      </c>
      <c r="I1134" s="112">
        <v>4500000</v>
      </c>
      <c r="J1134" s="99" t="s">
        <v>2342</v>
      </c>
      <c r="K1134" s="99" t="s">
        <v>127</v>
      </c>
    </row>
    <row r="1135" spans="2:11" x14ac:dyDescent="0.3">
      <c r="B1135" s="99" t="s">
        <v>1660</v>
      </c>
      <c r="C1135" s="100">
        <v>45874</v>
      </c>
      <c r="D1135" s="99" t="s">
        <v>10</v>
      </c>
      <c r="E1135" s="99" t="s">
        <v>11</v>
      </c>
      <c r="F1135" s="99" t="s">
        <v>12</v>
      </c>
      <c r="G1135" s="99">
        <v>22</v>
      </c>
      <c r="H1135" s="112">
        <v>120000</v>
      </c>
      <c r="I1135" s="112">
        <v>2640000</v>
      </c>
      <c r="J1135" s="99" t="s">
        <v>2553</v>
      </c>
      <c r="K1135" s="99" t="s">
        <v>127</v>
      </c>
    </row>
    <row r="1136" spans="2:11" x14ac:dyDescent="0.3">
      <c r="B1136" s="99" t="s">
        <v>1661</v>
      </c>
      <c r="C1136" s="100">
        <v>45874</v>
      </c>
      <c r="D1136" s="99" t="s">
        <v>14</v>
      </c>
      <c r="E1136" s="99" t="s">
        <v>15</v>
      </c>
      <c r="F1136" s="99" t="s">
        <v>16</v>
      </c>
      <c r="G1136" s="99">
        <v>25</v>
      </c>
      <c r="H1136" s="112">
        <v>350000</v>
      </c>
      <c r="I1136" s="112">
        <v>8750000</v>
      </c>
      <c r="J1136" s="99" t="s">
        <v>2755</v>
      </c>
      <c r="K1136" s="99" t="s">
        <v>8</v>
      </c>
    </row>
    <row r="1137" spans="2:11" x14ac:dyDescent="0.3">
      <c r="B1137" s="99" t="s">
        <v>1662</v>
      </c>
      <c r="C1137" s="100">
        <v>45874</v>
      </c>
      <c r="D1137" s="99" t="s">
        <v>44</v>
      </c>
      <c r="E1137" s="99" t="s">
        <v>45</v>
      </c>
      <c r="F1137" s="99" t="s">
        <v>16</v>
      </c>
      <c r="G1137" s="99">
        <v>50</v>
      </c>
      <c r="H1137" s="112">
        <v>250000</v>
      </c>
      <c r="I1137" s="112">
        <v>12500000</v>
      </c>
      <c r="J1137" s="99" t="s">
        <v>1195</v>
      </c>
      <c r="K1137" s="99" t="s">
        <v>69</v>
      </c>
    </row>
    <row r="1138" spans="2:11" x14ac:dyDescent="0.3">
      <c r="B1138" s="99" t="s">
        <v>1663</v>
      </c>
      <c r="C1138" s="100">
        <v>45874</v>
      </c>
      <c r="D1138" s="99" t="s">
        <v>38</v>
      </c>
      <c r="E1138" s="99" t="s">
        <v>39</v>
      </c>
      <c r="F1138" s="99" t="s">
        <v>16</v>
      </c>
      <c r="G1138" s="99">
        <v>21</v>
      </c>
      <c r="H1138" s="112">
        <v>200000</v>
      </c>
      <c r="I1138" s="112">
        <v>4200000</v>
      </c>
      <c r="J1138" s="99" t="s">
        <v>1926</v>
      </c>
      <c r="K1138" s="99" t="s">
        <v>8</v>
      </c>
    </row>
    <row r="1139" spans="2:11" x14ac:dyDescent="0.3">
      <c r="B1139" s="99" t="s">
        <v>1664</v>
      </c>
      <c r="C1139" s="100">
        <v>45874</v>
      </c>
      <c r="D1139" s="99" t="s">
        <v>18</v>
      </c>
      <c r="E1139" s="99" t="s">
        <v>19</v>
      </c>
      <c r="F1139" s="99" t="s">
        <v>20</v>
      </c>
      <c r="G1139" s="99">
        <v>18</v>
      </c>
      <c r="H1139" s="112">
        <v>500000</v>
      </c>
      <c r="I1139" s="112">
        <v>9000000</v>
      </c>
      <c r="J1139" s="99" t="s">
        <v>2351</v>
      </c>
      <c r="K1139" s="99" t="s">
        <v>47</v>
      </c>
    </row>
    <row r="1140" spans="2:11" x14ac:dyDescent="0.3">
      <c r="B1140" s="99" t="s">
        <v>1665</v>
      </c>
      <c r="C1140" s="100">
        <v>45874</v>
      </c>
      <c r="D1140" s="99" t="s">
        <v>44</v>
      </c>
      <c r="E1140" s="99" t="s">
        <v>45</v>
      </c>
      <c r="F1140" s="99" t="s">
        <v>16</v>
      </c>
      <c r="G1140" s="99">
        <v>25</v>
      </c>
      <c r="H1140" s="112">
        <v>250000</v>
      </c>
      <c r="I1140" s="112">
        <v>6250000</v>
      </c>
      <c r="J1140" s="99" t="s">
        <v>2439</v>
      </c>
      <c r="K1140" s="99" t="s">
        <v>127</v>
      </c>
    </row>
    <row r="1141" spans="2:11" x14ac:dyDescent="0.3">
      <c r="B1141" s="99" t="s">
        <v>1666</v>
      </c>
      <c r="C1141" s="100">
        <v>45874</v>
      </c>
      <c r="D1141" s="99" t="s">
        <v>42</v>
      </c>
      <c r="E1141" s="99" t="s">
        <v>43</v>
      </c>
      <c r="F1141" s="99" t="s">
        <v>16</v>
      </c>
      <c r="G1141" s="99">
        <v>11</v>
      </c>
      <c r="H1141" s="112">
        <v>1200000</v>
      </c>
      <c r="I1141" s="112">
        <v>13200000</v>
      </c>
      <c r="J1141" s="99" t="s">
        <v>2436</v>
      </c>
      <c r="K1141" s="99" t="s">
        <v>47</v>
      </c>
    </row>
    <row r="1142" spans="2:11" x14ac:dyDescent="0.3">
      <c r="B1142" s="99" t="s">
        <v>1667</v>
      </c>
      <c r="C1142" s="100">
        <v>45875</v>
      </c>
      <c r="D1142" s="99" t="s">
        <v>14</v>
      </c>
      <c r="E1142" s="99" t="s">
        <v>15</v>
      </c>
      <c r="F1142" s="99" t="s">
        <v>16</v>
      </c>
      <c r="G1142" s="99">
        <v>8</v>
      </c>
      <c r="H1142" s="112">
        <v>350000</v>
      </c>
      <c r="I1142" s="112">
        <v>2800000</v>
      </c>
      <c r="J1142" s="99" t="s">
        <v>2788</v>
      </c>
      <c r="K1142" s="99" t="s">
        <v>69</v>
      </c>
    </row>
    <row r="1143" spans="2:11" x14ac:dyDescent="0.3">
      <c r="B1143" s="99" t="s">
        <v>1668</v>
      </c>
      <c r="C1143" s="100">
        <v>45875</v>
      </c>
      <c r="D1143" s="99" t="s">
        <v>44</v>
      </c>
      <c r="E1143" s="99" t="s">
        <v>45</v>
      </c>
      <c r="F1143" s="99" t="s">
        <v>16</v>
      </c>
      <c r="G1143" s="99">
        <v>28</v>
      </c>
      <c r="H1143" s="112">
        <v>250000</v>
      </c>
      <c r="I1143" s="112">
        <v>7000000</v>
      </c>
      <c r="J1143" s="99" t="s">
        <v>2804</v>
      </c>
      <c r="K1143" s="99" t="s">
        <v>8</v>
      </c>
    </row>
    <row r="1144" spans="2:11" x14ac:dyDescent="0.3">
      <c r="B1144" s="99" t="s">
        <v>1696</v>
      </c>
      <c r="C1144" s="100">
        <v>45875</v>
      </c>
      <c r="D1144" s="99" t="s">
        <v>18</v>
      </c>
      <c r="E1144" s="99" t="s">
        <v>19</v>
      </c>
      <c r="F1144" s="99" t="s">
        <v>20</v>
      </c>
      <c r="G1144" s="99">
        <v>28</v>
      </c>
      <c r="H1144" s="112">
        <v>500000</v>
      </c>
      <c r="I1144" s="112">
        <v>14000000</v>
      </c>
      <c r="J1144" s="99" t="s">
        <v>2560</v>
      </c>
      <c r="K1144" s="99" t="s">
        <v>47</v>
      </c>
    </row>
    <row r="1145" spans="2:11" x14ac:dyDescent="0.3">
      <c r="B1145" s="99" t="s">
        <v>1697</v>
      </c>
      <c r="C1145" s="100">
        <v>45875</v>
      </c>
      <c r="D1145" s="99" t="s">
        <v>38</v>
      </c>
      <c r="E1145" s="99" t="s">
        <v>39</v>
      </c>
      <c r="F1145" s="99" t="s">
        <v>16</v>
      </c>
      <c r="G1145" s="99">
        <v>5</v>
      </c>
      <c r="H1145" s="112">
        <v>200000</v>
      </c>
      <c r="I1145" s="112">
        <v>1000000</v>
      </c>
      <c r="J1145" s="99" t="s">
        <v>2357</v>
      </c>
      <c r="K1145" s="99" t="s">
        <v>127</v>
      </c>
    </row>
    <row r="1146" spans="2:11" x14ac:dyDescent="0.3">
      <c r="B1146" s="99" t="s">
        <v>1698</v>
      </c>
      <c r="C1146" s="100">
        <v>45875</v>
      </c>
      <c r="D1146" s="99" t="s">
        <v>28</v>
      </c>
      <c r="E1146" s="99" t="s">
        <v>29</v>
      </c>
      <c r="F1146" s="99" t="s">
        <v>20</v>
      </c>
      <c r="G1146" s="99">
        <v>22</v>
      </c>
      <c r="H1146" s="112">
        <v>450000</v>
      </c>
      <c r="I1146" s="112">
        <v>9900000</v>
      </c>
      <c r="J1146" s="99" t="s">
        <v>2806</v>
      </c>
      <c r="K1146" s="99" t="s">
        <v>69</v>
      </c>
    </row>
    <row r="1147" spans="2:11" x14ac:dyDescent="0.3">
      <c r="B1147" s="99" t="s">
        <v>1699</v>
      </c>
      <c r="C1147" s="100">
        <v>45875</v>
      </c>
      <c r="D1147" s="99" t="s">
        <v>22</v>
      </c>
      <c r="E1147" s="99" t="s">
        <v>23</v>
      </c>
      <c r="F1147" s="99" t="s">
        <v>12</v>
      </c>
      <c r="G1147" s="99">
        <v>14</v>
      </c>
      <c r="H1147" s="112">
        <v>25000</v>
      </c>
      <c r="I1147" s="112">
        <v>350000</v>
      </c>
      <c r="J1147" s="99" t="s">
        <v>2270</v>
      </c>
      <c r="K1147" s="99" t="s">
        <v>60</v>
      </c>
    </row>
    <row r="1148" spans="2:11" x14ac:dyDescent="0.3">
      <c r="B1148" s="99" t="s">
        <v>1700</v>
      </c>
      <c r="C1148" s="100">
        <v>45875</v>
      </c>
      <c r="D1148" s="99" t="s">
        <v>22</v>
      </c>
      <c r="E1148" s="99" t="s">
        <v>23</v>
      </c>
      <c r="F1148" s="99" t="s">
        <v>12</v>
      </c>
      <c r="G1148" s="99">
        <v>20</v>
      </c>
      <c r="H1148" s="112">
        <v>25000</v>
      </c>
      <c r="I1148" s="112">
        <v>500000</v>
      </c>
      <c r="J1148" s="99" t="s">
        <v>2221</v>
      </c>
      <c r="K1148" s="99" t="s">
        <v>60</v>
      </c>
    </row>
    <row r="1149" spans="2:11" x14ac:dyDescent="0.3">
      <c r="B1149" s="99" t="s">
        <v>1701</v>
      </c>
      <c r="C1149" s="100">
        <v>45875</v>
      </c>
      <c r="D1149" s="99" t="s">
        <v>10</v>
      </c>
      <c r="E1149" s="99" t="s">
        <v>11</v>
      </c>
      <c r="F1149" s="99" t="s">
        <v>12</v>
      </c>
      <c r="G1149" s="99">
        <v>16</v>
      </c>
      <c r="H1149" s="112">
        <v>120000</v>
      </c>
      <c r="I1149" s="112">
        <v>1920000</v>
      </c>
      <c r="J1149" s="99" t="s">
        <v>2841</v>
      </c>
      <c r="K1149" s="99" t="s">
        <v>8</v>
      </c>
    </row>
    <row r="1150" spans="2:11" x14ac:dyDescent="0.3">
      <c r="B1150" s="99" t="s">
        <v>1702</v>
      </c>
      <c r="C1150" s="100">
        <v>45875</v>
      </c>
      <c r="D1150" s="99" t="s">
        <v>28</v>
      </c>
      <c r="E1150" s="99" t="s">
        <v>29</v>
      </c>
      <c r="F1150" s="99" t="s">
        <v>20</v>
      </c>
      <c r="G1150" s="99">
        <v>30</v>
      </c>
      <c r="H1150" s="112">
        <v>450000</v>
      </c>
      <c r="I1150" s="112">
        <v>13500000</v>
      </c>
      <c r="J1150" s="99" t="s">
        <v>2569</v>
      </c>
      <c r="K1150" s="99" t="s">
        <v>127</v>
      </c>
    </row>
    <row r="1151" spans="2:11" x14ac:dyDescent="0.3">
      <c r="B1151" s="99" t="s">
        <v>1735</v>
      </c>
      <c r="C1151" s="100">
        <v>45875</v>
      </c>
      <c r="D1151" s="99" t="s">
        <v>44</v>
      </c>
      <c r="E1151" s="99" t="s">
        <v>45</v>
      </c>
      <c r="F1151" s="99" t="s">
        <v>16</v>
      </c>
      <c r="G1151" s="99">
        <v>36</v>
      </c>
      <c r="H1151" s="112">
        <v>250000</v>
      </c>
      <c r="I1151" s="112">
        <v>9000000</v>
      </c>
      <c r="J1151" s="99" t="s">
        <v>2534</v>
      </c>
      <c r="K1151" s="99" t="s">
        <v>60</v>
      </c>
    </row>
    <row r="1152" spans="2:11" x14ac:dyDescent="0.3">
      <c r="B1152" s="99" t="s">
        <v>1736</v>
      </c>
      <c r="C1152" s="100">
        <v>45875</v>
      </c>
      <c r="D1152" s="99" t="s">
        <v>40</v>
      </c>
      <c r="E1152" s="99" t="s">
        <v>41</v>
      </c>
      <c r="F1152" s="99" t="s">
        <v>16</v>
      </c>
      <c r="G1152" s="99">
        <v>13</v>
      </c>
      <c r="H1152" s="112">
        <v>950000</v>
      </c>
      <c r="I1152" s="112">
        <v>12350000</v>
      </c>
      <c r="J1152" s="99" t="s">
        <v>2592</v>
      </c>
      <c r="K1152" s="99" t="s">
        <v>8</v>
      </c>
    </row>
    <row r="1153" spans="2:11" x14ac:dyDescent="0.3">
      <c r="B1153" s="99" t="s">
        <v>1737</v>
      </c>
      <c r="C1153" s="100">
        <v>45875</v>
      </c>
      <c r="D1153" s="99" t="s">
        <v>42</v>
      </c>
      <c r="E1153" s="99" t="s">
        <v>43</v>
      </c>
      <c r="F1153" s="99" t="s">
        <v>16</v>
      </c>
      <c r="G1153" s="99">
        <v>4</v>
      </c>
      <c r="H1153" s="112">
        <v>1200000</v>
      </c>
      <c r="I1153" s="112">
        <v>4800000</v>
      </c>
      <c r="J1153" s="99" t="s">
        <v>2276</v>
      </c>
      <c r="K1153" s="99" t="s">
        <v>8</v>
      </c>
    </row>
    <row r="1154" spans="2:11" x14ac:dyDescent="0.3">
      <c r="B1154" s="99" t="s">
        <v>1738</v>
      </c>
      <c r="C1154" s="100">
        <v>45875</v>
      </c>
      <c r="D1154" s="99" t="s">
        <v>10</v>
      </c>
      <c r="E1154" s="99" t="s">
        <v>11</v>
      </c>
      <c r="F1154" s="99" t="s">
        <v>12</v>
      </c>
      <c r="G1154" s="99">
        <v>25</v>
      </c>
      <c r="H1154" s="112">
        <v>120000</v>
      </c>
      <c r="I1154" s="112">
        <v>3000000</v>
      </c>
      <c r="J1154" s="99" t="s">
        <v>2148</v>
      </c>
      <c r="K1154" s="99" t="s">
        <v>127</v>
      </c>
    </row>
    <row r="1155" spans="2:11" x14ac:dyDescent="0.3">
      <c r="B1155" s="99" t="s">
        <v>1771</v>
      </c>
      <c r="C1155" s="100">
        <v>45875</v>
      </c>
      <c r="D1155" s="99" t="s">
        <v>31</v>
      </c>
      <c r="E1155" s="99" t="s">
        <v>32</v>
      </c>
      <c r="F1155" s="99" t="s">
        <v>20</v>
      </c>
      <c r="G1155" s="99">
        <v>50</v>
      </c>
      <c r="H1155" s="112">
        <v>180000</v>
      </c>
      <c r="I1155" s="112">
        <v>9000000</v>
      </c>
      <c r="J1155" s="99" t="s">
        <v>2345</v>
      </c>
      <c r="K1155" s="99" t="s">
        <v>8</v>
      </c>
    </row>
    <row r="1156" spans="2:11" x14ac:dyDescent="0.3">
      <c r="B1156" s="99" t="s">
        <v>1772</v>
      </c>
      <c r="C1156" s="100">
        <v>45876</v>
      </c>
      <c r="D1156" s="99" t="s">
        <v>18</v>
      </c>
      <c r="E1156" s="99" t="s">
        <v>19</v>
      </c>
      <c r="F1156" s="99" t="s">
        <v>20</v>
      </c>
      <c r="G1156" s="99">
        <v>11</v>
      </c>
      <c r="H1156" s="112">
        <v>500000</v>
      </c>
      <c r="I1156" s="112">
        <v>5500000</v>
      </c>
      <c r="J1156" s="99" t="s">
        <v>2660</v>
      </c>
      <c r="K1156" s="99" t="s">
        <v>69</v>
      </c>
    </row>
    <row r="1157" spans="2:11" x14ac:dyDescent="0.3">
      <c r="B1157" s="99" t="s">
        <v>1773</v>
      </c>
      <c r="C1157" s="100">
        <v>45876</v>
      </c>
      <c r="D1157" s="99" t="s">
        <v>38</v>
      </c>
      <c r="E1157" s="99" t="s">
        <v>39</v>
      </c>
      <c r="F1157" s="99" t="s">
        <v>16</v>
      </c>
      <c r="G1157" s="99">
        <v>15</v>
      </c>
      <c r="H1157" s="112">
        <v>200000</v>
      </c>
      <c r="I1157" s="112">
        <v>3000000</v>
      </c>
      <c r="J1157" s="99" t="s">
        <v>442</v>
      </c>
      <c r="K1157" s="99" t="s">
        <v>69</v>
      </c>
    </row>
    <row r="1158" spans="2:11" x14ac:dyDescent="0.3">
      <c r="B1158" s="99" t="s">
        <v>1774</v>
      </c>
      <c r="C1158" s="100">
        <v>45876</v>
      </c>
      <c r="D1158" s="99" t="s">
        <v>22</v>
      </c>
      <c r="E1158" s="99" t="s">
        <v>23</v>
      </c>
      <c r="F1158" s="99" t="s">
        <v>12</v>
      </c>
      <c r="G1158" s="99">
        <v>46</v>
      </c>
      <c r="H1158" s="112">
        <v>25000</v>
      </c>
      <c r="I1158" s="112">
        <v>1150000</v>
      </c>
      <c r="J1158" s="99" t="s">
        <v>2706</v>
      </c>
      <c r="K1158" s="99" t="s">
        <v>60</v>
      </c>
    </row>
    <row r="1159" spans="2:11" x14ac:dyDescent="0.3">
      <c r="B1159" s="99" t="s">
        <v>1775</v>
      </c>
      <c r="C1159" s="100">
        <v>45876</v>
      </c>
      <c r="D1159" s="99" t="s">
        <v>40</v>
      </c>
      <c r="E1159" s="99" t="s">
        <v>41</v>
      </c>
      <c r="F1159" s="99" t="s">
        <v>16</v>
      </c>
      <c r="G1159" s="99">
        <v>330</v>
      </c>
      <c r="H1159" s="112">
        <v>950000</v>
      </c>
      <c r="I1159" s="112">
        <v>313500000</v>
      </c>
      <c r="J1159" s="99" t="s">
        <v>2847</v>
      </c>
      <c r="K1159" s="99" t="s">
        <v>127</v>
      </c>
    </row>
    <row r="1160" spans="2:11" x14ac:dyDescent="0.3">
      <c r="B1160" s="99" t="s">
        <v>1776</v>
      </c>
      <c r="C1160" s="100">
        <v>45876</v>
      </c>
      <c r="D1160" s="99" t="s">
        <v>38</v>
      </c>
      <c r="E1160" s="99" t="s">
        <v>39</v>
      </c>
      <c r="F1160" s="99" t="s">
        <v>16</v>
      </c>
      <c r="G1160" s="99">
        <v>28</v>
      </c>
      <c r="H1160" s="112">
        <v>200000</v>
      </c>
      <c r="I1160" s="112">
        <v>5600000</v>
      </c>
      <c r="J1160" s="99" t="s">
        <v>2497</v>
      </c>
      <c r="K1160" s="99" t="s">
        <v>127</v>
      </c>
    </row>
    <row r="1161" spans="2:11" x14ac:dyDescent="0.3">
      <c r="B1161" s="99" t="s">
        <v>1777</v>
      </c>
      <c r="C1161" s="100">
        <v>45876</v>
      </c>
      <c r="D1161" s="99" t="s">
        <v>10</v>
      </c>
      <c r="E1161" s="99" t="s">
        <v>11</v>
      </c>
      <c r="F1161" s="99" t="s">
        <v>12</v>
      </c>
      <c r="G1161" s="99">
        <v>18</v>
      </c>
      <c r="H1161" s="112">
        <v>120000</v>
      </c>
      <c r="I1161" s="112">
        <v>2160000</v>
      </c>
      <c r="J1161" s="99" t="s">
        <v>642</v>
      </c>
      <c r="K1161" s="99" t="s">
        <v>8</v>
      </c>
    </row>
    <row r="1162" spans="2:11" x14ac:dyDescent="0.3">
      <c r="B1162" s="99" t="s">
        <v>1804</v>
      </c>
      <c r="C1162" s="100">
        <v>45881</v>
      </c>
      <c r="D1162" s="99" t="s">
        <v>31</v>
      </c>
      <c r="E1162" s="99" t="s">
        <v>32</v>
      </c>
      <c r="F1162" s="99" t="s">
        <v>20</v>
      </c>
      <c r="G1162" s="99">
        <v>6</v>
      </c>
      <c r="H1162" s="112">
        <v>180000</v>
      </c>
      <c r="I1162" s="112">
        <v>1080000</v>
      </c>
      <c r="J1162" s="99" t="s">
        <v>2139</v>
      </c>
      <c r="K1162" s="99" t="s">
        <v>8</v>
      </c>
    </row>
    <row r="1163" spans="2:11" x14ac:dyDescent="0.3">
      <c r="B1163" s="99" t="s">
        <v>1805</v>
      </c>
      <c r="C1163" s="100">
        <v>45881</v>
      </c>
      <c r="D1163" s="99" t="s">
        <v>28</v>
      </c>
      <c r="E1163" s="99" t="s">
        <v>29</v>
      </c>
      <c r="F1163" s="99" t="s">
        <v>20</v>
      </c>
      <c r="G1163" s="99">
        <v>500</v>
      </c>
      <c r="H1163" s="112">
        <v>450000</v>
      </c>
      <c r="I1163" s="112">
        <v>225000000</v>
      </c>
      <c r="J1163" s="99" t="s">
        <v>1640</v>
      </c>
      <c r="K1163" s="99" t="s">
        <v>47</v>
      </c>
    </row>
    <row r="1164" spans="2:11" x14ac:dyDescent="0.3">
      <c r="B1164" s="99" t="s">
        <v>1806</v>
      </c>
      <c r="C1164" s="100">
        <v>45881</v>
      </c>
      <c r="D1164" s="99" t="s">
        <v>14</v>
      </c>
      <c r="E1164" s="99" t="s">
        <v>15</v>
      </c>
      <c r="F1164" s="99" t="s">
        <v>16</v>
      </c>
      <c r="G1164" s="99">
        <v>30</v>
      </c>
      <c r="H1164" s="112">
        <v>350000</v>
      </c>
      <c r="I1164" s="112">
        <v>10500000</v>
      </c>
      <c r="J1164" s="99" t="s">
        <v>2456</v>
      </c>
      <c r="K1164" s="99" t="s">
        <v>69</v>
      </c>
    </row>
    <row r="1165" spans="2:11" x14ac:dyDescent="0.3">
      <c r="B1165" s="99" t="s">
        <v>1807</v>
      </c>
      <c r="C1165" s="100">
        <v>45881</v>
      </c>
      <c r="D1165" s="99" t="s">
        <v>42</v>
      </c>
      <c r="E1165" s="99" t="s">
        <v>43</v>
      </c>
      <c r="F1165" s="99" t="s">
        <v>16</v>
      </c>
      <c r="G1165" s="99">
        <v>500</v>
      </c>
      <c r="H1165" s="112">
        <v>1200000</v>
      </c>
      <c r="I1165" s="112">
        <v>600000000</v>
      </c>
      <c r="J1165" s="99" t="s">
        <v>2162</v>
      </c>
      <c r="K1165" s="99" t="s">
        <v>8</v>
      </c>
    </row>
    <row r="1166" spans="2:11" x14ac:dyDescent="0.3">
      <c r="B1166" s="99" t="s">
        <v>1808</v>
      </c>
      <c r="C1166" s="100">
        <v>45881</v>
      </c>
      <c r="D1166" s="99" t="s">
        <v>42</v>
      </c>
      <c r="E1166" s="99" t="s">
        <v>43</v>
      </c>
      <c r="F1166" s="99" t="s">
        <v>16</v>
      </c>
      <c r="G1166" s="99">
        <v>41</v>
      </c>
      <c r="H1166" s="112">
        <v>1200000</v>
      </c>
      <c r="I1166" s="112">
        <v>49200000</v>
      </c>
      <c r="J1166" s="99" t="s">
        <v>2314</v>
      </c>
      <c r="K1166" s="99" t="s">
        <v>8</v>
      </c>
    </row>
    <row r="1167" spans="2:11" x14ac:dyDescent="0.3">
      <c r="B1167" s="99" t="s">
        <v>1809</v>
      </c>
      <c r="C1167" s="100">
        <v>45881</v>
      </c>
      <c r="D1167" s="99" t="s">
        <v>10</v>
      </c>
      <c r="E1167" s="99" t="s">
        <v>11</v>
      </c>
      <c r="F1167" s="99" t="s">
        <v>12</v>
      </c>
      <c r="G1167" s="99">
        <v>46</v>
      </c>
      <c r="H1167" s="112">
        <v>120000</v>
      </c>
      <c r="I1167" s="112">
        <v>5520000</v>
      </c>
      <c r="J1167" s="99" t="s">
        <v>2816</v>
      </c>
      <c r="K1167" s="99" t="s">
        <v>69</v>
      </c>
    </row>
    <row r="1168" spans="2:11" x14ac:dyDescent="0.3">
      <c r="B1168" s="99" t="s">
        <v>1838</v>
      </c>
      <c r="C1168" s="100">
        <v>45881</v>
      </c>
      <c r="D1168" s="99" t="s">
        <v>18</v>
      </c>
      <c r="E1168" s="99" t="s">
        <v>19</v>
      </c>
      <c r="F1168" s="99" t="s">
        <v>20</v>
      </c>
      <c r="G1168" s="99">
        <v>220</v>
      </c>
      <c r="H1168" s="112">
        <v>500000</v>
      </c>
      <c r="I1168" s="112">
        <v>110000000</v>
      </c>
      <c r="J1168" s="99" t="s">
        <v>2149</v>
      </c>
      <c r="K1168" s="99" t="s">
        <v>127</v>
      </c>
    </row>
    <row r="1169" spans="2:11" x14ac:dyDescent="0.3">
      <c r="B1169" s="99" t="s">
        <v>1839</v>
      </c>
      <c r="C1169" s="100">
        <v>45881</v>
      </c>
      <c r="D1169" s="99" t="s">
        <v>28</v>
      </c>
      <c r="E1169" s="99" t="s">
        <v>29</v>
      </c>
      <c r="F1169" s="99" t="s">
        <v>20</v>
      </c>
      <c r="G1169" s="99">
        <v>470</v>
      </c>
      <c r="H1169" s="112">
        <v>450000</v>
      </c>
      <c r="I1169" s="112">
        <v>211500000</v>
      </c>
      <c r="J1169" s="99" t="s">
        <v>2236</v>
      </c>
      <c r="K1169" s="99" t="s">
        <v>8</v>
      </c>
    </row>
    <row r="1170" spans="2:11" x14ac:dyDescent="0.3">
      <c r="B1170" s="99" t="s">
        <v>1840</v>
      </c>
      <c r="C1170" s="100">
        <v>45881</v>
      </c>
      <c r="D1170" s="99" t="s">
        <v>44</v>
      </c>
      <c r="E1170" s="99" t="s">
        <v>45</v>
      </c>
      <c r="F1170" s="99" t="s">
        <v>16</v>
      </c>
      <c r="G1170" s="99">
        <v>11</v>
      </c>
      <c r="H1170" s="112">
        <v>250000</v>
      </c>
      <c r="I1170" s="112">
        <v>2750000</v>
      </c>
      <c r="J1170" s="99" t="s">
        <v>2285</v>
      </c>
      <c r="K1170" s="99" t="s">
        <v>69</v>
      </c>
    </row>
    <row r="1171" spans="2:11" x14ac:dyDescent="0.3">
      <c r="B1171" s="99" t="s">
        <v>1841</v>
      </c>
      <c r="C1171" s="100">
        <v>45881</v>
      </c>
      <c r="D1171" s="99" t="s">
        <v>28</v>
      </c>
      <c r="E1171" s="99" t="s">
        <v>29</v>
      </c>
      <c r="F1171" s="99" t="s">
        <v>20</v>
      </c>
      <c r="G1171" s="99">
        <v>190</v>
      </c>
      <c r="H1171" s="112">
        <v>450000</v>
      </c>
      <c r="I1171" s="112">
        <v>85500000</v>
      </c>
      <c r="J1171" s="99" t="s">
        <v>853</v>
      </c>
      <c r="K1171" s="99" t="s">
        <v>47</v>
      </c>
    </row>
    <row r="1172" spans="2:11" x14ac:dyDescent="0.3">
      <c r="B1172" s="99" t="s">
        <v>1842</v>
      </c>
      <c r="C1172" s="100">
        <v>45881</v>
      </c>
      <c r="D1172" s="99" t="s">
        <v>18</v>
      </c>
      <c r="E1172" s="99" t="s">
        <v>19</v>
      </c>
      <c r="F1172" s="99" t="s">
        <v>20</v>
      </c>
      <c r="G1172" s="99">
        <v>34</v>
      </c>
      <c r="H1172" s="112">
        <v>500000</v>
      </c>
      <c r="I1172" s="112">
        <v>17000000</v>
      </c>
      <c r="J1172" s="99" t="s">
        <v>2833</v>
      </c>
      <c r="K1172" s="99" t="s">
        <v>60</v>
      </c>
    </row>
    <row r="1173" spans="2:11" x14ac:dyDescent="0.3">
      <c r="B1173" s="99" t="s">
        <v>1843</v>
      </c>
      <c r="C1173" s="100">
        <v>45882</v>
      </c>
      <c r="D1173" s="99" t="s">
        <v>44</v>
      </c>
      <c r="E1173" s="99" t="s">
        <v>45</v>
      </c>
      <c r="F1173" s="99" t="s">
        <v>16</v>
      </c>
      <c r="G1173" s="99">
        <v>320</v>
      </c>
      <c r="H1173" s="112">
        <v>250000</v>
      </c>
      <c r="I1173" s="112">
        <v>80000000</v>
      </c>
      <c r="J1173" s="99" t="s">
        <v>2567</v>
      </c>
      <c r="K1173" s="99" t="s">
        <v>8</v>
      </c>
    </row>
    <row r="1174" spans="2:11" x14ac:dyDescent="0.3">
      <c r="B1174" s="99" t="s">
        <v>1844</v>
      </c>
      <c r="C1174" s="100">
        <v>45882</v>
      </c>
      <c r="D1174" s="99" t="s">
        <v>38</v>
      </c>
      <c r="E1174" s="99" t="s">
        <v>39</v>
      </c>
      <c r="F1174" s="99" t="s">
        <v>16</v>
      </c>
      <c r="G1174" s="99">
        <v>25</v>
      </c>
      <c r="H1174" s="112">
        <v>200000</v>
      </c>
      <c r="I1174" s="112">
        <v>5000000</v>
      </c>
      <c r="J1174" s="99" t="s">
        <v>2646</v>
      </c>
      <c r="K1174" s="99" t="s">
        <v>60</v>
      </c>
    </row>
    <row r="1175" spans="2:11" x14ac:dyDescent="0.3">
      <c r="B1175" s="99" t="s">
        <v>1845</v>
      </c>
      <c r="C1175" s="100">
        <v>45882</v>
      </c>
      <c r="D1175" s="99" t="s">
        <v>38</v>
      </c>
      <c r="E1175" s="99" t="s">
        <v>39</v>
      </c>
      <c r="F1175" s="99" t="s">
        <v>16</v>
      </c>
      <c r="G1175" s="99">
        <v>35</v>
      </c>
      <c r="H1175" s="112">
        <v>200000</v>
      </c>
      <c r="I1175" s="112">
        <v>7000000</v>
      </c>
      <c r="J1175" s="99" t="s">
        <v>2536</v>
      </c>
      <c r="K1175" s="99" t="s">
        <v>127</v>
      </c>
    </row>
    <row r="1176" spans="2:11" x14ac:dyDescent="0.3">
      <c r="B1176" s="99" t="s">
        <v>1871</v>
      </c>
      <c r="C1176" s="100">
        <v>45882</v>
      </c>
      <c r="D1176" s="99" t="s">
        <v>28</v>
      </c>
      <c r="E1176" s="99" t="s">
        <v>29</v>
      </c>
      <c r="F1176" s="99" t="s">
        <v>20</v>
      </c>
      <c r="G1176" s="99">
        <v>370</v>
      </c>
      <c r="H1176" s="112">
        <v>450000</v>
      </c>
      <c r="I1176" s="112">
        <v>166500000</v>
      </c>
      <c r="J1176" s="99" t="s">
        <v>2837</v>
      </c>
      <c r="K1176" s="99" t="s">
        <v>47</v>
      </c>
    </row>
    <row r="1177" spans="2:11" x14ac:dyDescent="0.3">
      <c r="B1177" s="99" t="s">
        <v>1872</v>
      </c>
      <c r="C1177" s="100">
        <v>45882</v>
      </c>
      <c r="D1177" s="99" t="s">
        <v>44</v>
      </c>
      <c r="E1177" s="99" t="s">
        <v>45</v>
      </c>
      <c r="F1177" s="99" t="s">
        <v>16</v>
      </c>
      <c r="G1177" s="99">
        <v>44</v>
      </c>
      <c r="H1177" s="112">
        <v>250000</v>
      </c>
      <c r="I1177" s="112">
        <v>11000000</v>
      </c>
      <c r="J1177" s="99" t="s">
        <v>2721</v>
      </c>
      <c r="K1177" s="99" t="s">
        <v>8</v>
      </c>
    </row>
    <row r="1178" spans="2:11" x14ac:dyDescent="0.3">
      <c r="B1178" s="99" t="s">
        <v>1873</v>
      </c>
      <c r="C1178" s="100">
        <v>45882</v>
      </c>
      <c r="D1178" s="99" t="s">
        <v>14</v>
      </c>
      <c r="E1178" s="99" t="s">
        <v>15</v>
      </c>
      <c r="F1178" s="99" t="s">
        <v>16</v>
      </c>
      <c r="G1178" s="99">
        <v>13</v>
      </c>
      <c r="H1178" s="112">
        <v>350000</v>
      </c>
      <c r="I1178" s="112">
        <v>4550000</v>
      </c>
      <c r="J1178" s="99" t="s">
        <v>2731</v>
      </c>
      <c r="K1178" s="99" t="s">
        <v>47</v>
      </c>
    </row>
    <row r="1179" spans="2:11" x14ac:dyDescent="0.3">
      <c r="B1179" s="99" t="s">
        <v>1893</v>
      </c>
      <c r="C1179" s="100">
        <v>45882</v>
      </c>
      <c r="D1179" s="99" t="s">
        <v>28</v>
      </c>
      <c r="E1179" s="99" t="s">
        <v>29</v>
      </c>
      <c r="F1179" s="99" t="s">
        <v>20</v>
      </c>
      <c r="G1179" s="99">
        <v>45</v>
      </c>
      <c r="H1179" s="112">
        <v>450000</v>
      </c>
      <c r="I1179" s="112">
        <v>20250000</v>
      </c>
      <c r="J1179" s="99" t="s">
        <v>2750</v>
      </c>
      <c r="K1179" s="99" t="s">
        <v>127</v>
      </c>
    </row>
    <row r="1180" spans="2:11" x14ac:dyDescent="0.3">
      <c r="B1180" s="99" t="s">
        <v>1894</v>
      </c>
      <c r="C1180" s="100">
        <v>45882</v>
      </c>
      <c r="D1180" s="99" t="s">
        <v>10</v>
      </c>
      <c r="E1180" s="99" t="s">
        <v>11</v>
      </c>
      <c r="F1180" s="99" t="s">
        <v>12</v>
      </c>
      <c r="G1180" s="99">
        <v>7</v>
      </c>
      <c r="H1180" s="112">
        <v>120000</v>
      </c>
      <c r="I1180" s="112">
        <v>840000</v>
      </c>
      <c r="J1180" s="99" t="s">
        <v>2386</v>
      </c>
      <c r="K1180" s="99" t="s">
        <v>127</v>
      </c>
    </row>
    <row r="1181" spans="2:11" x14ac:dyDescent="0.3">
      <c r="B1181" s="99" t="s">
        <v>1895</v>
      </c>
      <c r="C1181" s="100">
        <v>45882</v>
      </c>
      <c r="D1181" s="99" t="s">
        <v>42</v>
      </c>
      <c r="E1181" s="99" t="s">
        <v>43</v>
      </c>
      <c r="F1181" s="99" t="s">
        <v>16</v>
      </c>
      <c r="G1181" s="99">
        <v>410</v>
      </c>
      <c r="H1181" s="112">
        <v>1200000</v>
      </c>
      <c r="I1181" s="112">
        <v>492000000</v>
      </c>
      <c r="J1181" s="99" t="s">
        <v>2830</v>
      </c>
      <c r="K1181" s="99" t="s">
        <v>69</v>
      </c>
    </row>
    <row r="1182" spans="2:11" x14ac:dyDescent="0.3">
      <c r="B1182" s="99" t="s">
        <v>1906</v>
      </c>
      <c r="C1182" s="100">
        <v>45882</v>
      </c>
      <c r="D1182" s="99" t="s">
        <v>42</v>
      </c>
      <c r="E1182" s="99" t="s">
        <v>43</v>
      </c>
      <c r="F1182" s="99" t="s">
        <v>16</v>
      </c>
      <c r="G1182" s="99">
        <v>26</v>
      </c>
      <c r="H1182" s="112">
        <v>1200000</v>
      </c>
      <c r="I1182" s="112">
        <v>31200000</v>
      </c>
      <c r="J1182" s="99" t="s">
        <v>2302</v>
      </c>
      <c r="K1182" s="99" t="s">
        <v>8</v>
      </c>
    </row>
    <row r="1183" spans="2:11" x14ac:dyDescent="0.3">
      <c r="B1183" s="99" t="s">
        <v>1907</v>
      </c>
      <c r="C1183" s="100">
        <v>45882</v>
      </c>
      <c r="D1183" s="99" t="s">
        <v>31</v>
      </c>
      <c r="E1183" s="99" t="s">
        <v>32</v>
      </c>
      <c r="F1183" s="99" t="s">
        <v>20</v>
      </c>
      <c r="G1183" s="99">
        <v>27</v>
      </c>
      <c r="H1183" s="112">
        <v>180000</v>
      </c>
      <c r="I1183" s="112">
        <v>4860000</v>
      </c>
      <c r="J1183" s="99" t="s">
        <v>2191</v>
      </c>
      <c r="K1183" s="99" t="s">
        <v>69</v>
      </c>
    </row>
    <row r="1184" spans="2:11" x14ac:dyDescent="0.3">
      <c r="B1184" s="99" t="s">
        <v>1908</v>
      </c>
      <c r="C1184" s="100">
        <v>45882</v>
      </c>
      <c r="D1184" s="99" t="s">
        <v>10</v>
      </c>
      <c r="E1184" s="99" t="s">
        <v>11</v>
      </c>
      <c r="F1184" s="99" t="s">
        <v>12</v>
      </c>
      <c r="G1184" s="99">
        <v>30</v>
      </c>
      <c r="H1184" s="112">
        <v>120000</v>
      </c>
      <c r="I1184" s="112">
        <v>3600000</v>
      </c>
      <c r="J1184" s="99" t="s">
        <v>2772</v>
      </c>
      <c r="K1184" s="99" t="s">
        <v>47</v>
      </c>
    </row>
    <row r="1185" spans="2:11" x14ac:dyDescent="0.3">
      <c r="B1185" s="99" t="s">
        <v>1909</v>
      </c>
      <c r="C1185" s="100">
        <v>45883</v>
      </c>
      <c r="D1185" s="99" t="s">
        <v>31</v>
      </c>
      <c r="E1185" s="99" t="s">
        <v>32</v>
      </c>
      <c r="F1185" s="99" t="s">
        <v>20</v>
      </c>
      <c r="G1185" s="99">
        <v>38</v>
      </c>
      <c r="H1185" s="112">
        <v>180000</v>
      </c>
      <c r="I1185" s="112">
        <v>6840000</v>
      </c>
      <c r="J1185" s="99" t="s">
        <v>1855</v>
      </c>
      <c r="K1185" s="99" t="s">
        <v>69</v>
      </c>
    </row>
    <row r="1186" spans="2:11" x14ac:dyDescent="0.3">
      <c r="B1186" s="99" t="s">
        <v>1919</v>
      </c>
      <c r="C1186" s="100">
        <v>45883</v>
      </c>
      <c r="D1186" s="99" t="s">
        <v>10</v>
      </c>
      <c r="E1186" s="99" t="s">
        <v>11</v>
      </c>
      <c r="F1186" s="99" t="s">
        <v>12</v>
      </c>
      <c r="G1186" s="99">
        <v>45</v>
      </c>
      <c r="H1186" s="112">
        <v>120000</v>
      </c>
      <c r="I1186" s="112">
        <v>5400000</v>
      </c>
      <c r="J1186" s="99" t="s">
        <v>2183</v>
      </c>
      <c r="K1186" s="99" t="s">
        <v>8</v>
      </c>
    </row>
    <row r="1187" spans="2:11" x14ac:dyDescent="0.3">
      <c r="B1187" s="99" t="s">
        <v>1935</v>
      </c>
      <c r="C1187" s="100">
        <v>45883</v>
      </c>
      <c r="D1187" s="99" t="s">
        <v>31</v>
      </c>
      <c r="E1187" s="99" t="s">
        <v>32</v>
      </c>
      <c r="F1187" s="99" t="s">
        <v>20</v>
      </c>
      <c r="G1187" s="99">
        <v>40</v>
      </c>
      <c r="H1187" s="112">
        <v>180000</v>
      </c>
      <c r="I1187" s="112">
        <v>7200000</v>
      </c>
      <c r="J1187" s="99" t="s">
        <v>2394</v>
      </c>
      <c r="K1187" s="99" t="s">
        <v>127</v>
      </c>
    </row>
    <row r="1188" spans="2:11" x14ac:dyDescent="0.3">
      <c r="B1188" s="99" t="s">
        <v>1955</v>
      </c>
      <c r="C1188" s="100">
        <v>45883</v>
      </c>
      <c r="D1188" s="99" t="s">
        <v>44</v>
      </c>
      <c r="E1188" s="99" t="s">
        <v>45</v>
      </c>
      <c r="F1188" s="99" t="s">
        <v>16</v>
      </c>
      <c r="G1188" s="99">
        <v>26</v>
      </c>
      <c r="H1188" s="112">
        <v>250000</v>
      </c>
      <c r="I1188" s="112">
        <v>6500000</v>
      </c>
      <c r="J1188" s="99" t="s">
        <v>2437</v>
      </c>
      <c r="K1188" s="99" t="s">
        <v>69</v>
      </c>
    </row>
    <row r="1189" spans="2:11" x14ac:dyDescent="0.3">
      <c r="B1189" s="99" t="s">
        <v>1956</v>
      </c>
      <c r="C1189" s="100">
        <v>45883</v>
      </c>
      <c r="D1189" s="99" t="s">
        <v>18</v>
      </c>
      <c r="E1189" s="99" t="s">
        <v>19</v>
      </c>
      <c r="F1189" s="99" t="s">
        <v>20</v>
      </c>
      <c r="G1189" s="99">
        <v>15</v>
      </c>
      <c r="H1189" s="112">
        <v>500000</v>
      </c>
      <c r="I1189" s="112">
        <v>7500000</v>
      </c>
      <c r="J1189" s="99" t="s">
        <v>2800</v>
      </c>
      <c r="K1189" s="99" t="s">
        <v>69</v>
      </c>
    </row>
    <row r="1190" spans="2:11" x14ac:dyDescent="0.3">
      <c r="B1190" s="99" t="s">
        <v>1957</v>
      </c>
      <c r="C1190" s="100">
        <v>45883</v>
      </c>
      <c r="D1190" s="99" t="s">
        <v>14</v>
      </c>
      <c r="E1190" s="99" t="s">
        <v>15</v>
      </c>
      <c r="F1190" s="99" t="s">
        <v>16</v>
      </c>
      <c r="G1190" s="99">
        <v>48</v>
      </c>
      <c r="H1190" s="112">
        <v>350000</v>
      </c>
      <c r="I1190" s="112">
        <v>16800000</v>
      </c>
      <c r="J1190" s="99" t="s">
        <v>2151</v>
      </c>
      <c r="K1190" s="99" t="s">
        <v>69</v>
      </c>
    </row>
    <row r="1191" spans="2:11" x14ac:dyDescent="0.3">
      <c r="B1191" s="99" t="s">
        <v>1975</v>
      </c>
      <c r="C1191" s="100">
        <v>45883</v>
      </c>
      <c r="D1191" s="99" t="s">
        <v>31</v>
      </c>
      <c r="E1191" s="99" t="s">
        <v>32</v>
      </c>
      <c r="F1191" s="99" t="s">
        <v>20</v>
      </c>
      <c r="G1191" s="99">
        <v>43</v>
      </c>
      <c r="H1191" s="112">
        <v>180000</v>
      </c>
      <c r="I1191" s="112">
        <v>7740000</v>
      </c>
      <c r="J1191" s="99" t="s">
        <v>2799</v>
      </c>
      <c r="K1191" s="99" t="s">
        <v>8</v>
      </c>
    </row>
    <row r="1192" spans="2:11" x14ac:dyDescent="0.3">
      <c r="B1192" s="99" t="s">
        <v>1994</v>
      </c>
      <c r="C1192" s="100">
        <v>45884</v>
      </c>
      <c r="D1192" s="99" t="s">
        <v>14</v>
      </c>
      <c r="E1192" s="99" t="s">
        <v>15</v>
      </c>
      <c r="F1192" s="99" t="s">
        <v>16</v>
      </c>
      <c r="G1192" s="99">
        <v>24</v>
      </c>
      <c r="H1192" s="112">
        <v>350000</v>
      </c>
      <c r="I1192" s="112">
        <v>8400000</v>
      </c>
      <c r="J1192" s="99" t="s">
        <v>2486</v>
      </c>
      <c r="K1192" s="99" t="s">
        <v>127</v>
      </c>
    </row>
    <row r="1193" spans="2:11" x14ac:dyDescent="0.3">
      <c r="B1193" s="99" t="s">
        <v>1995</v>
      </c>
      <c r="C1193" s="100">
        <v>45884</v>
      </c>
      <c r="D1193" s="99" t="s">
        <v>38</v>
      </c>
      <c r="E1193" s="99" t="s">
        <v>39</v>
      </c>
      <c r="F1193" s="99" t="s">
        <v>16</v>
      </c>
      <c r="G1193" s="99">
        <v>9</v>
      </c>
      <c r="H1193" s="112">
        <v>200000</v>
      </c>
      <c r="I1193" s="112">
        <v>1800000</v>
      </c>
      <c r="J1193" s="99" t="s">
        <v>2325</v>
      </c>
      <c r="K1193" s="99" t="s">
        <v>8</v>
      </c>
    </row>
    <row r="1194" spans="2:11" x14ac:dyDescent="0.3">
      <c r="B1194" s="99" t="s">
        <v>1996</v>
      </c>
      <c r="C1194" s="100">
        <v>45884</v>
      </c>
      <c r="D1194" s="99" t="s">
        <v>44</v>
      </c>
      <c r="E1194" s="99" t="s">
        <v>45</v>
      </c>
      <c r="F1194" s="99" t="s">
        <v>16</v>
      </c>
      <c r="G1194" s="99">
        <v>48</v>
      </c>
      <c r="H1194" s="112">
        <v>250000</v>
      </c>
      <c r="I1194" s="112">
        <v>12000000</v>
      </c>
      <c r="J1194" s="99" t="s">
        <v>2195</v>
      </c>
      <c r="K1194" s="99" t="s">
        <v>60</v>
      </c>
    </row>
    <row r="1195" spans="2:11" x14ac:dyDescent="0.3">
      <c r="B1195" s="99" t="s">
        <v>1997</v>
      </c>
      <c r="C1195" s="100">
        <v>45884</v>
      </c>
      <c r="D1195" s="99" t="s">
        <v>40</v>
      </c>
      <c r="E1195" s="99" t="s">
        <v>41</v>
      </c>
      <c r="F1195" s="99" t="s">
        <v>16</v>
      </c>
      <c r="G1195" s="99">
        <v>42</v>
      </c>
      <c r="H1195" s="112">
        <v>950000</v>
      </c>
      <c r="I1195" s="112">
        <v>39900000</v>
      </c>
      <c r="J1195" s="99" t="s">
        <v>2642</v>
      </c>
      <c r="K1195" s="99" t="s">
        <v>8</v>
      </c>
    </row>
    <row r="1196" spans="2:11" x14ac:dyDescent="0.3">
      <c r="B1196" s="99" t="s">
        <v>2024</v>
      </c>
      <c r="C1196" s="100">
        <v>45884</v>
      </c>
      <c r="D1196" s="99" t="s">
        <v>42</v>
      </c>
      <c r="E1196" s="99" t="s">
        <v>43</v>
      </c>
      <c r="F1196" s="99" t="s">
        <v>16</v>
      </c>
      <c r="G1196" s="99">
        <v>41</v>
      </c>
      <c r="H1196" s="112">
        <v>1200000</v>
      </c>
      <c r="I1196" s="112">
        <v>49200000</v>
      </c>
      <c r="J1196" s="99" t="s">
        <v>573</v>
      </c>
      <c r="K1196" s="99" t="s">
        <v>47</v>
      </c>
    </row>
    <row r="1197" spans="2:11" x14ac:dyDescent="0.3">
      <c r="B1197" s="99" t="s">
        <v>2025</v>
      </c>
      <c r="C1197" s="100">
        <v>45884</v>
      </c>
      <c r="D1197" s="99" t="s">
        <v>44</v>
      </c>
      <c r="E1197" s="99" t="s">
        <v>45</v>
      </c>
      <c r="F1197" s="99" t="s">
        <v>16</v>
      </c>
      <c r="G1197" s="99">
        <v>4</v>
      </c>
      <c r="H1197" s="112">
        <v>250000</v>
      </c>
      <c r="I1197" s="112">
        <v>1000000</v>
      </c>
      <c r="J1197" s="99" t="s">
        <v>2276</v>
      </c>
      <c r="K1197" s="99" t="s">
        <v>8</v>
      </c>
    </row>
    <row r="1198" spans="2:11" x14ac:dyDescent="0.3">
      <c r="B1198" s="99" t="s">
        <v>2032</v>
      </c>
      <c r="C1198" s="100">
        <v>45884</v>
      </c>
      <c r="D1198" s="99" t="s">
        <v>18</v>
      </c>
      <c r="E1198" s="99" t="s">
        <v>19</v>
      </c>
      <c r="F1198" s="99" t="s">
        <v>20</v>
      </c>
      <c r="G1198" s="99">
        <v>280</v>
      </c>
      <c r="H1198" s="112">
        <v>500000</v>
      </c>
      <c r="I1198" s="112">
        <v>140000000</v>
      </c>
      <c r="J1198" s="99" t="s">
        <v>2245</v>
      </c>
      <c r="K1198" s="99" t="s">
        <v>127</v>
      </c>
    </row>
    <row r="1199" spans="2:11" x14ac:dyDescent="0.3">
      <c r="B1199" s="99" t="s">
        <v>2033</v>
      </c>
      <c r="C1199" s="100">
        <v>45884</v>
      </c>
      <c r="D1199" s="99" t="s">
        <v>40</v>
      </c>
      <c r="E1199" s="99" t="s">
        <v>41</v>
      </c>
      <c r="F1199" s="99" t="s">
        <v>16</v>
      </c>
      <c r="G1199" s="99">
        <v>39</v>
      </c>
      <c r="H1199" s="112">
        <v>950000</v>
      </c>
      <c r="I1199" s="112">
        <v>37050000</v>
      </c>
      <c r="J1199" s="99" t="s">
        <v>2558</v>
      </c>
      <c r="K1199" s="99" t="s">
        <v>8</v>
      </c>
    </row>
    <row r="1200" spans="2:11" x14ac:dyDescent="0.3">
      <c r="B1200" s="99" t="s">
        <v>2034</v>
      </c>
      <c r="C1200" s="100">
        <v>45884</v>
      </c>
      <c r="D1200" s="99" t="s">
        <v>18</v>
      </c>
      <c r="E1200" s="99" t="s">
        <v>19</v>
      </c>
      <c r="F1200" s="99" t="s">
        <v>20</v>
      </c>
      <c r="G1200" s="99">
        <v>45</v>
      </c>
      <c r="H1200" s="112">
        <v>500000</v>
      </c>
      <c r="I1200" s="112">
        <v>22500000</v>
      </c>
      <c r="J1200" s="99" t="s">
        <v>2183</v>
      </c>
      <c r="K1200" s="99" t="s">
        <v>8</v>
      </c>
    </row>
    <row r="1201" spans="2:11" x14ac:dyDescent="0.3">
      <c r="B1201" s="99" t="s">
        <v>2035</v>
      </c>
      <c r="C1201" s="100">
        <v>45884</v>
      </c>
      <c r="D1201" s="99" t="s">
        <v>14</v>
      </c>
      <c r="E1201" s="99" t="s">
        <v>15</v>
      </c>
      <c r="F1201" s="99" t="s">
        <v>16</v>
      </c>
      <c r="G1201" s="99">
        <v>17</v>
      </c>
      <c r="H1201" s="112">
        <v>350000</v>
      </c>
      <c r="I1201" s="112">
        <v>5950000</v>
      </c>
      <c r="J1201" s="99" t="s">
        <v>2123</v>
      </c>
      <c r="K1201" s="99" t="s">
        <v>60</v>
      </c>
    </row>
    <row r="1202" spans="2:11" x14ac:dyDescent="0.3">
      <c r="B1202" s="99" t="s">
        <v>2046</v>
      </c>
      <c r="C1202" s="100">
        <v>45884</v>
      </c>
      <c r="D1202" s="99" t="s">
        <v>40</v>
      </c>
      <c r="E1202" s="99" t="s">
        <v>41</v>
      </c>
      <c r="F1202" s="99" t="s">
        <v>16</v>
      </c>
      <c r="G1202" s="99">
        <v>39</v>
      </c>
      <c r="H1202" s="112">
        <v>950000</v>
      </c>
      <c r="I1202" s="112">
        <v>37050000</v>
      </c>
      <c r="J1202" s="99" t="s">
        <v>2255</v>
      </c>
      <c r="K1202" s="99" t="s">
        <v>69</v>
      </c>
    </row>
    <row r="1203" spans="2:11" x14ac:dyDescent="0.3">
      <c r="B1203" s="99" t="s">
        <v>2047</v>
      </c>
      <c r="C1203" s="100">
        <v>45884</v>
      </c>
      <c r="D1203" s="99" t="s">
        <v>22</v>
      </c>
      <c r="E1203" s="99" t="s">
        <v>23</v>
      </c>
      <c r="F1203" s="99" t="s">
        <v>12</v>
      </c>
      <c r="G1203" s="99">
        <v>37</v>
      </c>
      <c r="H1203" s="112">
        <v>25000</v>
      </c>
      <c r="I1203" s="112">
        <v>925000</v>
      </c>
      <c r="J1203" s="99" t="s">
        <v>2690</v>
      </c>
      <c r="K1203" s="99" t="s">
        <v>60</v>
      </c>
    </row>
    <row r="1204" spans="2:11" x14ac:dyDescent="0.3">
      <c r="B1204" s="99" t="s">
        <v>2058</v>
      </c>
      <c r="C1204" s="100">
        <v>45888</v>
      </c>
      <c r="D1204" s="99" t="s">
        <v>42</v>
      </c>
      <c r="E1204" s="99" t="s">
        <v>43</v>
      </c>
      <c r="F1204" s="99" t="s">
        <v>16</v>
      </c>
      <c r="G1204" s="99">
        <v>430</v>
      </c>
      <c r="H1204" s="112">
        <v>1200000</v>
      </c>
      <c r="I1204" s="112">
        <v>516000000</v>
      </c>
      <c r="J1204" s="99" t="s">
        <v>2299</v>
      </c>
      <c r="K1204" s="99" t="s">
        <v>127</v>
      </c>
    </row>
    <row r="1205" spans="2:11" x14ac:dyDescent="0.3">
      <c r="B1205" s="99" t="s">
        <v>2059</v>
      </c>
      <c r="C1205" s="100">
        <v>45888</v>
      </c>
      <c r="D1205" s="99" t="s">
        <v>14</v>
      </c>
      <c r="E1205" s="99" t="s">
        <v>15</v>
      </c>
      <c r="F1205" s="99" t="s">
        <v>16</v>
      </c>
      <c r="G1205" s="99">
        <v>19</v>
      </c>
      <c r="H1205" s="112">
        <v>350000</v>
      </c>
      <c r="I1205" s="112">
        <v>6650000</v>
      </c>
      <c r="J1205" s="99" t="s">
        <v>2519</v>
      </c>
      <c r="K1205" s="99" t="s">
        <v>127</v>
      </c>
    </row>
    <row r="1206" spans="2:11" x14ac:dyDescent="0.3">
      <c r="B1206" s="99" t="s">
        <v>2070</v>
      </c>
      <c r="C1206" s="100">
        <v>45888</v>
      </c>
      <c r="D1206" s="99" t="s">
        <v>44</v>
      </c>
      <c r="E1206" s="99" t="s">
        <v>45</v>
      </c>
      <c r="F1206" s="99" t="s">
        <v>16</v>
      </c>
      <c r="G1206" s="99">
        <v>36</v>
      </c>
      <c r="H1206" s="112">
        <v>250000</v>
      </c>
      <c r="I1206" s="112">
        <v>9000000</v>
      </c>
      <c r="J1206" s="99" t="s">
        <v>2541</v>
      </c>
      <c r="K1206" s="99" t="s">
        <v>8</v>
      </c>
    </row>
    <row r="1207" spans="2:11" x14ac:dyDescent="0.3">
      <c r="B1207" s="99" t="s">
        <v>2092</v>
      </c>
      <c r="C1207" s="100">
        <v>45888</v>
      </c>
      <c r="D1207" s="99" t="s">
        <v>31</v>
      </c>
      <c r="E1207" s="99" t="s">
        <v>32</v>
      </c>
      <c r="F1207" s="99" t="s">
        <v>20</v>
      </c>
      <c r="G1207" s="99">
        <v>36</v>
      </c>
      <c r="H1207" s="112">
        <v>180000</v>
      </c>
      <c r="I1207" s="112">
        <v>6480000</v>
      </c>
      <c r="J1207" s="99" t="s">
        <v>2521</v>
      </c>
      <c r="K1207" s="99" t="s">
        <v>8</v>
      </c>
    </row>
    <row r="1208" spans="2:11" x14ac:dyDescent="0.3">
      <c r="B1208" s="99" t="s">
        <v>2109</v>
      </c>
      <c r="C1208" s="100">
        <v>45888</v>
      </c>
      <c r="D1208" s="99" t="s">
        <v>28</v>
      </c>
      <c r="E1208" s="99" t="s">
        <v>29</v>
      </c>
      <c r="F1208" s="99" t="s">
        <v>20</v>
      </c>
      <c r="G1208" s="99">
        <v>38</v>
      </c>
      <c r="H1208" s="112">
        <v>450000</v>
      </c>
      <c r="I1208" s="112">
        <v>17100000</v>
      </c>
      <c r="J1208" s="99" t="s">
        <v>2304</v>
      </c>
      <c r="K1208" s="99" t="s">
        <v>8</v>
      </c>
    </row>
    <row r="1209" spans="2:11" x14ac:dyDescent="0.3">
      <c r="B1209" s="99" t="s">
        <v>2110</v>
      </c>
      <c r="C1209" s="100">
        <v>45888</v>
      </c>
      <c r="D1209" s="99" t="s">
        <v>18</v>
      </c>
      <c r="E1209" s="99" t="s">
        <v>19</v>
      </c>
      <c r="F1209" s="99" t="s">
        <v>20</v>
      </c>
      <c r="G1209" s="99">
        <v>21</v>
      </c>
      <c r="H1209" s="112">
        <v>500000</v>
      </c>
      <c r="I1209" s="112">
        <v>10500000</v>
      </c>
      <c r="J1209" s="99" t="s">
        <v>2569</v>
      </c>
      <c r="K1209" s="99" t="s">
        <v>127</v>
      </c>
    </row>
    <row r="1210" spans="2:11" x14ac:dyDescent="0.3">
      <c r="B1210" s="99" t="s">
        <v>2111</v>
      </c>
      <c r="C1210" s="100">
        <v>45888</v>
      </c>
      <c r="D1210" s="99" t="s">
        <v>40</v>
      </c>
      <c r="E1210" s="99" t="s">
        <v>41</v>
      </c>
      <c r="F1210" s="99" t="s">
        <v>16</v>
      </c>
      <c r="G1210" s="99">
        <v>18</v>
      </c>
      <c r="H1210" s="112">
        <v>950000</v>
      </c>
      <c r="I1210" s="112">
        <v>17100000</v>
      </c>
      <c r="J1210" s="99" t="s">
        <v>2744</v>
      </c>
      <c r="K1210" s="99" t="s">
        <v>127</v>
      </c>
    </row>
    <row r="1211" spans="2:11" x14ac:dyDescent="0.3">
      <c r="B1211" s="99" t="s">
        <v>30</v>
      </c>
      <c r="C1211" s="100">
        <v>45888</v>
      </c>
      <c r="D1211" s="99" t="s">
        <v>22</v>
      </c>
      <c r="E1211" s="99" t="s">
        <v>23</v>
      </c>
      <c r="F1211" s="99" t="s">
        <v>12</v>
      </c>
      <c r="G1211" s="99">
        <v>32</v>
      </c>
      <c r="H1211" s="112">
        <v>25000</v>
      </c>
      <c r="I1211" s="112">
        <v>800000</v>
      </c>
      <c r="J1211" s="99" t="s">
        <v>2465</v>
      </c>
      <c r="K1211" s="99" t="s">
        <v>127</v>
      </c>
    </row>
    <row r="1212" spans="2:11" x14ac:dyDescent="0.3">
      <c r="B1212" s="99" t="s">
        <v>53</v>
      </c>
      <c r="C1212" s="100">
        <v>45888</v>
      </c>
      <c r="D1212" s="99" t="s">
        <v>10</v>
      </c>
      <c r="E1212" s="99" t="s">
        <v>11</v>
      </c>
      <c r="F1212" s="99" t="s">
        <v>12</v>
      </c>
      <c r="G1212" s="99">
        <v>20</v>
      </c>
      <c r="H1212" s="112">
        <v>120000</v>
      </c>
      <c r="I1212" s="112">
        <v>2400000</v>
      </c>
      <c r="J1212" s="99" t="s">
        <v>2301</v>
      </c>
      <c r="K1212" s="99" t="s">
        <v>8</v>
      </c>
    </row>
    <row r="1213" spans="2:11" x14ac:dyDescent="0.3">
      <c r="B1213" s="99" t="s">
        <v>54</v>
      </c>
      <c r="C1213" s="100">
        <v>45888</v>
      </c>
      <c r="D1213" s="99" t="s">
        <v>28</v>
      </c>
      <c r="E1213" s="99" t="s">
        <v>29</v>
      </c>
      <c r="F1213" s="99" t="s">
        <v>20</v>
      </c>
      <c r="G1213" s="99">
        <v>5</v>
      </c>
      <c r="H1213" s="112">
        <v>450000</v>
      </c>
      <c r="I1213" s="112">
        <v>2250000</v>
      </c>
      <c r="J1213" s="99" t="s">
        <v>2403</v>
      </c>
      <c r="K1213" s="99" t="s">
        <v>8</v>
      </c>
    </row>
    <row r="1214" spans="2:11" x14ac:dyDescent="0.3">
      <c r="B1214" s="99" t="s">
        <v>74</v>
      </c>
      <c r="C1214" s="100">
        <v>45889</v>
      </c>
      <c r="D1214" s="99" t="s">
        <v>28</v>
      </c>
      <c r="E1214" s="99" t="s">
        <v>29</v>
      </c>
      <c r="F1214" s="99" t="s">
        <v>20</v>
      </c>
      <c r="G1214" s="99">
        <v>34</v>
      </c>
      <c r="H1214" s="112">
        <v>450000</v>
      </c>
      <c r="I1214" s="112">
        <v>15300000</v>
      </c>
      <c r="J1214" s="99" t="s">
        <v>2465</v>
      </c>
      <c r="K1214" s="99" t="s">
        <v>127</v>
      </c>
    </row>
    <row r="1215" spans="2:11" x14ac:dyDescent="0.3">
      <c r="B1215" s="99" t="s">
        <v>85</v>
      </c>
      <c r="C1215" s="100">
        <v>45889</v>
      </c>
      <c r="D1215" s="99" t="s">
        <v>42</v>
      </c>
      <c r="E1215" s="99" t="s">
        <v>43</v>
      </c>
      <c r="F1215" s="99" t="s">
        <v>16</v>
      </c>
      <c r="G1215" s="99">
        <v>14</v>
      </c>
      <c r="H1215" s="112">
        <v>1200000</v>
      </c>
      <c r="I1215" s="112">
        <v>16800000</v>
      </c>
      <c r="J1215" s="99" t="s">
        <v>2559</v>
      </c>
      <c r="K1215" s="99" t="s">
        <v>47</v>
      </c>
    </row>
    <row r="1216" spans="2:11" x14ac:dyDescent="0.3">
      <c r="B1216" s="99" t="s">
        <v>123</v>
      </c>
      <c r="C1216" s="100">
        <v>45889</v>
      </c>
      <c r="D1216" s="99" t="s">
        <v>18</v>
      </c>
      <c r="E1216" s="99" t="s">
        <v>19</v>
      </c>
      <c r="F1216" s="99" t="s">
        <v>20</v>
      </c>
      <c r="G1216" s="99">
        <v>42</v>
      </c>
      <c r="H1216" s="112">
        <v>500000</v>
      </c>
      <c r="I1216" s="112">
        <v>21000000</v>
      </c>
      <c r="J1216" s="99" t="s">
        <v>2203</v>
      </c>
      <c r="K1216" s="99" t="s">
        <v>47</v>
      </c>
    </row>
    <row r="1217" spans="2:11" x14ac:dyDescent="0.3">
      <c r="B1217" s="99" t="s">
        <v>124</v>
      </c>
      <c r="C1217" s="100">
        <v>45889</v>
      </c>
      <c r="D1217" s="99" t="s">
        <v>31</v>
      </c>
      <c r="E1217" s="99" t="s">
        <v>32</v>
      </c>
      <c r="F1217" s="99" t="s">
        <v>20</v>
      </c>
      <c r="G1217" s="99">
        <v>14</v>
      </c>
      <c r="H1217" s="112">
        <v>180000</v>
      </c>
      <c r="I1217" s="112">
        <v>2520000</v>
      </c>
      <c r="J1217" s="99" t="s">
        <v>2244</v>
      </c>
      <c r="K1217" s="99" t="s">
        <v>60</v>
      </c>
    </row>
    <row r="1218" spans="2:11" x14ac:dyDescent="0.3">
      <c r="B1218" s="99" t="s">
        <v>134</v>
      </c>
      <c r="C1218" s="100">
        <v>45889</v>
      </c>
      <c r="D1218" s="99" t="s">
        <v>42</v>
      </c>
      <c r="E1218" s="99" t="s">
        <v>43</v>
      </c>
      <c r="F1218" s="99" t="s">
        <v>16</v>
      </c>
      <c r="G1218" s="99">
        <v>39</v>
      </c>
      <c r="H1218" s="112">
        <v>1200000</v>
      </c>
      <c r="I1218" s="112">
        <v>46800000</v>
      </c>
      <c r="J1218" s="99" t="s">
        <v>1320</v>
      </c>
      <c r="K1218" s="99" t="s">
        <v>47</v>
      </c>
    </row>
    <row r="1219" spans="2:11" x14ac:dyDescent="0.3">
      <c r="B1219" s="99" t="s">
        <v>135</v>
      </c>
      <c r="C1219" s="100">
        <v>45889</v>
      </c>
      <c r="D1219" s="99" t="s">
        <v>18</v>
      </c>
      <c r="E1219" s="99" t="s">
        <v>19</v>
      </c>
      <c r="F1219" s="99" t="s">
        <v>20</v>
      </c>
      <c r="G1219" s="99">
        <v>12</v>
      </c>
      <c r="H1219" s="112">
        <v>500000</v>
      </c>
      <c r="I1219" s="112">
        <v>6000000</v>
      </c>
      <c r="J1219" s="99" t="s">
        <v>2416</v>
      </c>
      <c r="K1219" s="99" t="s">
        <v>69</v>
      </c>
    </row>
    <row r="1220" spans="2:11" x14ac:dyDescent="0.3">
      <c r="B1220" s="99" t="s">
        <v>139</v>
      </c>
      <c r="C1220" s="100">
        <v>45890</v>
      </c>
      <c r="D1220" s="99" t="s">
        <v>44</v>
      </c>
      <c r="E1220" s="99" t="s">
        <v>45</v>
      </c>
      <c r="F1220" s="99" t="s">
        <v>16</v>
      </c>
      <c r="G1220" s="99">
        <v>36</v>
      </c>
      <c r="H1220" s="112">
        <v>250000</v>
      </c>
      <c r="I1220" s="112">
        <v>9000000</v>
      </c>
      <c r="J1220" s="99" t="s">
        <v>2418</v>
      </c>
      <c r="K1220" s="99" t="s">
        <v>69</v>
      </c>
    </row>
    <row r="1221" spans="2:11" x14ac:dyDescent="0.3">
      <c r="B1221" s="99" t="s">
        <v>140</v>
      </c>
      <c r="C1221" s="100">
        <v>45890</v>
      </c>
      <c r="D1221" s="99" t="s">
        <v>14</v>
      </c>
      <c r="E1221" s="99" t="s">
        <v>15</v>
      </c>
      <c r="F1221" s="99" t="s">
        <v>16</v>
      </c>
      <c r="G1221" s="99">
        <v>14</v>
      </c>
      <c r="H1221" s="112">
        <v>350000</v>
      </c>
      <c r="I1221" s="112">
        <v>4900000</v>
      </c>
      <c r="J1221" s="99" t="s">
        <v>2250</v>
      </c>
      <c r="K1221" s="99" t="s">
        <v>69</v>
      </c>
    </row>
    <row r="1222" spans="2:11" x14ac:dyDescent="0.3">
      <c r="B1222" s="99" t="s">
        <v>160</v>
      </c>
      <c r="C1222" s="100">
        <v>45890</v>
      </c>
      <c r="D1222" s="99" t="s">
        <v>14</v>
      </c>
      <c r="E1222" s="99" t="s">
        <v>15</v>
      </c>
      <c r="F1222" s="99" t="s">
        <v>16</v>
      </c>
      <c r="G1222" s="99">
        <v>25</v>
      </c>
      <c r="H1222" s="112">
        <v>350000</v>
      </c>
      <c r="I1222" s="112">
        <v>8750000</v>
      </c>
      <c r="J1222" s="99" t="s">
        <v>2448</v>
      </c>
      <c r="K1222" s="99" t="s">
        <v>60</v>
      </c>
    </row>
    <row r="1223" spans="2:11" x14ac:dyDescent="0.3">
      <c r="B1223" s="99" t="s">
        <v>173</v>
      </c>
      <c r="C1223" s="100">
        <v>45890</v>
      </c>
      <c r="D1223" s="99" t="s">
        <v>14</v>
      </c>
      <c r="E1223" s="99" t="s">
        <v>15</v>
      </c>
      <c r="F1223" s="99" t="s">
        <v>16</v>
      </c>
      <c r="G1223" s="99">
        <v>29</v>
      </c>
      <c r="H1223" s="112">
        <v>350000</v>
      </c>
      <c r="I1223" s="112">
        <v>10150000</v>
      </c>
      <c r="J1223" s="99" t="s">
        <v>2159</v>
      </c>
      <c r="K1223" s="99" t="s">
        <v>127</v>
      </c>
    </row>
    <row r="1224" spans="2:11" x14ac:dyDescent="0.3">
      <c r="B1224" s="99" t="s">
        <v>174</v>
      </c>
      <c r="C1224" s="100">
        <v>45890</v>
      </c>
      <c r="D1224" s="99" t="s">
        <v>10</v>
      </c>
      <c r="E1224" s="99" t="s">
        <v>11</v>
      </c>
      <c r="F1224" s="99" t="s">
        <v>12</v>
      </c>
      <c r="G1224" s="99">
        <v>20</v>
      </c>
      <c r="H1224" s="112">
        <v>120000</v>
      </c>
      <c r="I1224" s="112">
        <v>2400000</v>
      </c>
      <c r="J1224" s="99" t="s">
        <v>2138</v>
      </c>
      <c r="K1224" s="99" t="s">
        <v>127</v>
      </c>
    </row>
    <row r="1225" spans="2:11" x14ac:dyDescent="0.3">
      <c r="B1225" s="99" t="s">
        <v>175</v>
      </c>
      <c r="C1225" s="100">
        <v>45890</v>
      </c>
      <c r="D1225" s="99" t="s">
        <v>38</v>
      </c>
      <c r="E1225" s="99" t="s">
        <v>39</v>
      </c>
      <c r="F1225" s="99" t="s">
        <v>16</v>
      </c>
      <c r="G1225" s="99">
        <v>19</v>
      </c>
      <c r="H1225" s="112">
        <v>200000</v>
      </c>
      <c r="I1225" s="112">
        <v>3800000</v>
      </c>
      <c r="J1225" s="99" t="s">
        <v>2307</v>
      </c>
      <c r="K1225" s="99" t="s">
        <v>127</v>
      </c>
    </row>
    <row r="1226" spans="2:11" x14ac:dyDescent="0.3">
      <c r="B1226" s="99" t="s">
        <v>176</v>
      </c>
      <c r="C1226" s="100">
        <v>45890</v>
      </c>
      <c r="D1226" s="99" t="s">
        <v>42</v>
      </c>
      <c r="E1226" s="99" t="s">
        <v>43</v>
      </c>
      <c r="F1226" s="99" t="s">
        <v>16</v>
      </c>
      <c r="G1226" s="99">
        <v>35</v>
      </c>
      <c r="H1226" s="112">
        <v>1200000</v>
      </c>
      <c r="I1226" s="112">
        <v>42000000</v>
      </c>
      <c r="J1226" s="99" t="s">
        <v>2316</v>
      </c>
      <c r="K1226" s="99" t="s">
        <v>60</v>
      </c>
    </row>
    <row r="1227" spans="2:11" x14ac:dyDescent="0.3">
      <c r="B1227" s="99" t="s">
        <v>177</v>
      </c>
      <c r="C1227" s="100">
        <v>45890</v>
      </c>
      <c r="D1227" s="99" t="s">
        <v>22</v>
      </c>
      <c r="E1227" s="99" t="s">
        <v>23</v>
      </c>
      <c r="F1227" s="99" t="s">
        <v>12</v>
      </c>
      <c r="G1227" s="99">
        <v>340</v>
      </c>
      <c r="H1227" s="112">
        <v>25000</v>
      </c>
      <c r="I1227" s="112">
        <v>8500000</v>
      </c>
      <c r="J1227" s="99" t="s">
        <v>2299</v>
      </c>
      <c r="K1227" s="99" t="s">
        <v>127</v>
      </c>
    </row>
    <row r="1228" spans="2:11" x14ac:dyDescent="0.3">
      <c r="B1228" s="99" t="s">
        <v>199</v>
      </c>
      <c r="C1228" s="100">
        <v>45890</v>
      </c>
      <c r="D1228" s="99" t="s">
        <v>31</v>
      </c>
      <c r="E1228" s="99" t="s">
        <v>32</v>
      </c>
      <c r="F1228" s="99" t="s">
        <v>20</v>
      </c>
      <c r="G1228" s="99">
        <v>48</v>
      </c>
      <c r="H1228" s="112">
        <v>180000</v>
      </c>
      <c r="I1228" s="112">
        <v>8640000</v>
      </c>
      <c r="J1228" s="99" t="s">
        <v>2297</v>
      </c>
      <c r="K1228" s="99" t="s">
        <v>69</v>
      </c>
    </row>
    <row r="1229" spans="2:11" x14ac:dyDescent="0.3">
      <c r="B1229" s="99" t="s">
        <v>209</v>
      </c>
      <c r="C1229" s="100">
        <v>45894</v>
      </c>
      <c r="D1229" s="99" t="s">
        <v>18</v>
      </c>
      <c r="E1229" s="99" t="s">
        <v>19</v>
      </c>
      <c r="F1229" s="99" t="s">
        <v>20</v>
      </c>
      <c r="G1229" s="99">
        <v>26</v>
      </c>
      <c r="H1229" s="112">
        <v>500000</v>
      </c>
      <c r="I1229" s="112">
        <v>13000000</v>
      </c>
      <c r="J1229" s="99" t="s">
        <v>2622</v>
      </c>
      <c r="K1229" s="99" t="s">
        <v>60</v>
      </c>
    </row>
    <row r="1230" spans="2:11" x14ac:dyDescent="0.3">
      <c r="B1230" s="99" t="s">
        <v>210</v>
      </c>
      <c r="C1230" s="100">
        <v>45894</v>
      </c>
      <c r="D1230" s="99" t="s">
        <v>28</v>
      </c>
      <c r="E1230" s="99" t="s">
        <v>29</v>
      </c>
      <c r="F1230" s="99" t="s">
        <v>20</v>
      </c>
      <c r="G1230" s="99">
        <v>11</v>
      </c>
      <c r="H1230" s="112">
        <v>450000</v>
      </c>
      <c r="I1230" s="112">
        <v>4950000</v>
      </c>
      <c r="J1230" s="99" t="s">
        <v>2460</v>
      </c>
      <c r="K1230" s="99" t="s">
        <v>8</v>
      </c>
    </row>
    <row r="1231" spans="2:11" x14ac:dyDescent="0.3">
      <c r="B1231" s="99" t="s">
        <v>211</v>
      </c>
      <c r="C1231" s="100">
        <v>45894</v>
      </c>
      <c r="D1231" s="99" t="s">
        <v>10</v>
      </c>
      <c r="E1231" s="99" t="s">
        <v>11</v>
      </c>
      <c r="F1231" s="99" t="s">
        <v>12</v>
      </c>
      <c r="G1231" s="99">
        <v>20</v>
      </c>
      <c r="H1231" s="112">
        <v>120000</v>
      </c>
      <c r="I1231" s="112">
        <v>2400000</v>
      </c>
      <c r="J1231" s="99" t="s">
        <v>2133</v>
      </c>
      <c r="K1231" s="99" t="s">
        <v>60</v>
      </c>
    </row>
    <row r="1232" spans="2:11" x14ac:dyDescent="0.3">
      <c r="B1232" s="99" t="s">
        <v>224</v>
      </c>
      <c r="C1232" s="100">
        <v>45894</v>
      </c>
      <c r="D1232" s="99" t="s">
        <v>18</v>
      </c>
      <c r="E1232" s="99" t="s">
        <v>19</v>
      </c>
      <c r="F1232" s="99" t="s">
        <v>20</v>
      </c>
      <c r="G1232" s="99">
        <v>9</v>
      </c>
      <c r="H1232" s="112">
        <v>500000</v>
      </c>
      <c r="I1232" s="112">
        <v>4500000</v>
      </c>
      <c r="J1232" s="99" t="s">
        <v>2250</v>
      </c>
      <c r="K1232" s="99" t="s">
        <v>69</v>
      </c>
    </row>
    <row r="1233" spans="2:11" x14ac:dyDescent="0.3">
      <c r="B1233" s="99" t="s">
        <v>225</v>
      </c>
      <c r="C1233" s="100">
        <v>45894</v>
      </c>
      <c r="D1233" s="99" t="s">
        <v>40</v>
      </c>
      <c r="E1233" s="99" t="s">
        <v>41</v>
      </c>
      <c r="F1233" s="99" t="s">
        <v>16</v>
      </c>
      <c r="G1233" s="99">
        <v>6</v>
      </c>
      <c r="H1233" s="112">
        <v>950000</v>
      </c>
      <c r="I1233" s="112">
        <v>5700000</v>
      </c>
      <c r="J1233" s="99" t="s">
        <v>2298</v>
      </c>
      <c r="K1233" s="99" t="s">
        <v>60</v>
      </c>
    </row>
    <row r="1234" spans="2:11" x14ac:dyDescent="0.3">
      <c r="B1234" s="99" t="s">
        <v>226</v>
      </c>
      <c r="C1234" s="100">
        <v>45894</v>
      </c>
      <c r="D1234" s="99" t="s">
        <v>18</v>
      </c>
      <c r="E1234" s="99" t="s">
        <v>19</v>
      </c>
      <c r="F1234" s="99" t="s">
        <v>20</v>
      </c>
      <c r="G1234" s="99">
        <v>11</v>
      </c>
      <c r="H1234" s="112">
        <v>500000</v>
      </c>
      <c r="I1234" s="112">
        <v>5500000</v>
      </c>
      <c r="J1234" s="99" t="s">
        <v>2194</v>
      </c>
      <c r="K1234" s="99" t="s">
        <v>8</v>
      </c>
    </row>
    <row r="1235" spans="2:11" x14ac:dyDescent="0.3">
      <c r="B1235" s="99" t="s">
        <v>233</v>
      </c>
      <c r="C1235" s="100">
        <v>45894</v>
      </c>
      <c r="D1235" s="99" t="s">
        <v>18</v>
      </c>
      <c r="E1235" s="99" t="s">
        <v>19</v>
      </c>
      <c r="F1235" s="99" t="s">
        <v>20</v>
      </c>
      <c r="G1235" s="99">
        <v>490</v>
      </c>
      <c r="H1235" s="112">
        <v>500000</v>
      </c>
      <c r="I1235" s="112">
        <v>245000000</v>
      </c>
      <c r="J1235" s="99" t="s">
        <v>2618</v>
      </c>
      <c r="K1235" s="99" t="s">
        <v>8</v>
      </c>
    </row>
    <row r="1236" spans="2:11" x14ac:dyDescent="0.3">
      <c r="B1236" s="99" t="s">
        <v>234</v>
      </c>
      <c r="C1236" s="100">
        <v>45894</v>
      </c>
      <c r="D1236" s="99" t="s">
        <v>22</v>
      </c>
      <c r="E1236" s="99" t="s">
        <v>23</v>
      </c>
      <c r="F1236" s="99" t="s">
        <v>12</v>
      </c>
      <c r="G1236" s="99">
        <v>48</v>
      </c>
      <c r="H1236" s="112">
        <v>25000</v>
      </c>
      <c r="I1236" s="112">
        <v>1200000</v>
      </c>
      <c r="J1236" s="99" t="s">
        <v>2598</v>
      </c>
      <c r="K1236" s="99" t="s">
        <v>127</v>
      </c>
    </row>
    <row r="1237" spans="2:11" x14ac:dyDescent="0.3">
      <c r="B1237" s="99" t="s">
        <v>249</v>
      </c>
      <c r="C1237" s="100">
        <v>45894</v>
      </c>
      <c r="D1237" s="99" t="s">
        <v>14</v>
      </c>
      <c r="E1237" s="99" t="s">
        <v>15</v>
      </c>
      <c r="F1237" s="99" t="s">
        <v>16</v>
      </c>
      <c r="G1237" s="99">
        <v>350</v>
      </c>
      <c r="H1237" s="112">
        <v>350000</v>
      </c>
      <c r="I1237" s="112">
        <v>122500000</v>
      </c>
      <c r="J1237" s="99" t="s">
        <v>2162</v>
      </c>
      <c r="K1237" s="99" t="s">
        <v>8</v>
      </c>
    </row>
    <row r="1238" spans="2:11" x14ac:dyDescent="0.3">
      <c r="B1238" s="99" t="s">
        <v>250</v>
      </c>
      <c r="C1238" s="100">
        <v>45894</v>
      </c>
      <c r="D1238" s="99" t="s">
        <v>10</v>
      </c>
      <c r="E1238" s="99" t="s">
        <v>11</v>
      </c>
      <c r="F1238" s="99" t="s">
        <v>12</v>
      </c>
      <c r="G1238" s="99">
        <v>27</v>
      </c>
      <c r="H1238" s="112">
        <v>120000</v>
      </c>
      <c r="I1238" s="112">
        <v>3240000</v>
      </c>
      <c r="J1238" s="99" t="s">
        <v>2415</v>
      </c>
      <c r="K1238" s="99" t="s">
        <v>8</v>
      </c>
    </row>
    <row r="1239" spans="2:11" x14ac:dyDescent="0.3">
      <c r="B1239" s="99" t="s">
        <v>269</v>
      </c>
      <c r="C1239" s="100">
        <v>45894</v>
      </c>
      <c r="D1239" s="99" t="s">
        <v>28</v>
      </c>
      <c r="E1239" s="99" t="s">
        <v>29</v>
      </c>
      <c r="F1239" s="99" t="s">
        <v>20</v>
      </c>
      <c r="G1239" s="99">
        <v>12</v>
      </c>
      <c r="H1239" s="112">
        <v>450000</v>
      </c>
      <c r="I1239" s="112">
        <v>5400000</v>
      </c>
      <c r="J1239" s="99" t="s">
        <v>2570</v>
      </c>
      <c r="K1239" s="99" t="s">
        <v>8</v>
      </c>
    </row>
    <row r="1240" spans="2:11" x14ac:dyDescent="0.3">
      <c r="B1240" s="99" t="s">
        <v>281</v>
      </c>
      <c r="C1240" s="100">
        <v>45894</v>
      </c>
      <c r="D1240" s="99" t="s">
        <v>31</v>
      </c>
      <c r="E1240" s="99" t="s">
        <v>32</v>
      </c>
      <c r="F1240" s="99" t="s">
        <v>20</v>
      </c>
      <c r="G1240" s="99">
        <v>27</v>
      </c>
      <c r="H1240" s="112">
        <v>180000</v>
      </c>
      <c r="I1240" s="112">
        <v>4860000</v>
      </c>
      <c r="J1240" s="99" t="s">
        <v>2130</v>
      </c>
      <c r="K1240" s="99" t="s">
        <v>69</v>
      </c>
    </row>
    <row r="1241" spans="2:11" x14ac:dyDescent="0.3">
      <c r="B1241" s="99" t="s">
        <v>282</v>
      </c>
      <c r="C1241" s="100">
        <v>45894</v>
      </c>
      <c r="D1241" s="99" t="s">
        <v>44</v>
      </c>
      <c r="E1241" s="99" t="s">
        <v>45</v>
      </c>
      <c r="F1241" s="99" t="s">
        <v>16</v>
      </c>
      <c r="G1241" s="99">
        <v>49</v>
      </c>
      <c r="H1241" s="112">
        <v>250000</v>
      </c>
      <c r="I1241" s="112">
        <v>12250000</v>
      </c>
      <c r="J1241" s="99" t="s">
        <v>2206</v>
      </c>
      <c r="K1241" s="99" t="s">
        <v>8</v>
      </c>
    </row>
    <row r="1242" spans="2:11" x14ac:dyDescent="0.3">
      <c r="B1242" s="99" t="s">
        <v>293</v>
      </c>
      <c r="C1242" s="100">
        <v>45895</v>
      </c>
      <c r="D1242" s="99" t="s">
        <v>28</v>
      </c>
      <c r="E1242" s="99" t="s">
        <v>29</v>
      </c>
      <c r="F1242" s="99" t="s">
        <v>20</v>
      </c>
      <c r="G1242" s="99">
        <v>70</v>
      </c>
      <c r="H1242" s="112">
        <v>450000</v>
      </c>
      <c r="I1242" s="112">
        <v>31500000</v>
      </c>
      <c r="J1242" s="99" t="s">
        <v>2432</v>
      </c>
      <c r="K1242" s="99" t="s">
        <v>8</v>
      </c>
    </row>
    <row r="1243" spans="2:11" x14ac:dyDescent="0.3">
      <c r="B1243" s="99" t="s">
        <v>303</v>
      </c>
      <c r="C1243" s="100">
        <v>45895</v>
      </c>
      <c r="D1243" s="99" t="s">
        <v>28</v>
      </c>
      <c r="E1243" s="99" t="s">
        <v>29</v>
      </c>
      <c r="F1243" s="99" t="s">
        <v>20</v>
      </c>
      <c r="G1243" s="99">
        <v>50</v>
      </c>
      <c r="H1243" s="112">
        <v>450000</v>
      </c>
      <c r="I1243" s="112">
        <v>22500000</v>
      </c>
      <c r="J1243" s="99" t="s">
        <v>1164</v>
      </c>
      <c r="K1243" s="99" t="s">
        <v>60</v>
      </c>
    </row>
    <row r="1244" spans="2:11" x14ac:dyDescent="0.3">
      <c r="B1244" s="99" t="s">
        <v>316</v>
      </c>
      <c r="C1244" s="100">
        <v>45895</v>
      </c>
      <c r="D1244" s="99" t="s">
        <v>42</v>
      </c>
      <c r="E1244" s="99" t="s">
        <v>43</v>
      </c>
      <c r="F1244" s="99" t="s">
        <v>16</v>
      </c>
      <c r="G1244" s="99">
        <v>270</v>
      </c>
      <c r="H1244" s="112">
        <v>1200000</v>
      </c>
      <c r="I1244" s="112">
        <v>324000000</v>
      </c>
      <c r="J1244" s="99" t="s">
        <v>2753</v>
      </c>
      <c r="K1244" s="99" t="s">
        <v>47</v>
      </c>
    </row>
    <row r="1245" spans="2:11" x14ac:dyDescent="0.3">
      <c r="B1245" s="99" t="s">
        <v>317</v>
      </c>
      <c r="C1245" s="100">
        <v>45895</v>
      </c>
      <c r="D1245" s="99" t="s">
        <v>42</v>
      </c>
      <c r="E1245" s="99" t="s">
        <v>43</v>
      </c>
      <c r="F1245" s="99" t="s">
        <v>16</v>
      </c>
      <c r="G1245" s="99">
        <v>360</v>
      </c>
      <c r="H1245" s="112">
        <v>1200000</v>
      </c>
      <c r="I1245" s="112">
        <v>432000000</v>
      </c>
      <c r="J1245" s="99" t="s">
        <v>2429</v>
      </c>
      <c r="K1245" s="99" t="s">
        <v>127</v>
      </c>
    </row>
    <row r="1246" spans="2:11" x14ac:dyDescent="0.3">
      <c r="B1246" s="99" t="s">
        <v>318</v>
      </c>
      <c r="C1246" s="100">
        <v>45895</v>
      </c>
      <c r="D1246" s="99" t="s">
        <v>40</v>
      </c>
      <c r="E1246" s="99" t="s">
        <v>41</v>
      </c>
      <c r="F1246" s="99" t="s">
        <v>16</v>
      </c>
      <c r="G1246" s="99">
        <v>140</v>
      </c>
      <c r="H1246" s="112">
        <v>950000</v>
      </c>
      <c r="I1246" s="112">
        <v>133000000</v>
      </c>
      <c r="J1246" s="99" t="s">
        <v>2563</v>
      </c>
      <c r="K1246" s="99" t="s">
        <v>47</v>
      </c>
    </row>
    <row r="1247" spans="2:11" x14ac:dyDescent="0.3">
      <c r="B1247" s="99" t="s">
        <v>319</v>
      </c>
      <c r="C1247" s="100">
        <v>45895</v>
      </c>
      <c r="D1247" s="99" t="s">
        <v>31</v>
      </c>
      <c r="E1247" s="99" t="s">
        <v>32</v>
      </c>
      <c r="F1247" s="99" t="s">
        <v>20</v>
      </c>
      <c r="G1247" s="99">
        <v>44</v>
      </c>
      <c r="H1247" s="112">
        <v>180000</v>
      </c>
      <c r="I1247" s="112">
        <v>7920000</v>
      </c>
      <c r="J1247" s="99" t="s">
        <v>2446</v>
      </c>
      <c r="K1247" s="99" t="s">
        <v>69</v>
      </c>
    </row>
    <row r="1248" spans="2:11" x14ac:dyDescent="0.3">
      <c r="B1248" s="99" t="s">
        <v>333</v>
      </c>
      <c r="C1248" s="100">
        <v>45895</v>
      </c>
      <c r="D1248" s="99" t="s">
        <v>28</v>
      </c>
      <c r="E1248" s="99" t="s">
        <v>29</v>
      </c>
      <c r="F1248" s="99" t="s">
        <v>20</v>
      </c>
      <c r="G1248" s="99">
        <v>14</v>
      </c>
      <c r="H1248" s="112">
        <v>450000</v>
      </c>
      <c r="I1248" s="112">
        <v>6300000</v>
      </c>
      <c r="J1248" s="99" t="s">
        <v>2459</v>
      </c>
      <c r="K1248" s="99" t="s">
        <v>69</v>
      </c>
    </row>
    <row r="1249" spans="2:11" x14ac:dyDescent="0.3">
      <c r="B1249" s="99" t="s">
        <v>349</v>
      </c>
      <c r="C1249" s="100">
        <v>45895</v>
      </c>
      <c r="D1249" s="99" t="s">
        <v>28</v>
      </c>
      <c r="E1249" s="99" t="s">
        <v>29</v>
      </c>
      <c r="F1249" s="99" t="s">
        <v>20</v>
      </c>
      <c r="G1249" s="99">
        <v>39</v>
      </c>
      <c r="H1249" s="112">
        <v>450000</v>
      </c>
      <c r="I1249" s="112">
        <v>17550000</v>
      </c>
      <c r="J1249" s="99" t="s">
        <v>2785</v>
      </c>
      <c r="K1249" s="99" t="s">
        <v>69</v>
      </c>
    </row>
    <row r="1250" spans="2:11" x14ac:dyDescent="0.3">
      <c r="B1250" s="99" t="s">
        <v>350</v>
      </c>
      <c r="C1250" s="100">
        <v>45895</v>
      </c>
      <c r="D1250" s="99" t="s">
        <v>18</v>
      </c>
      <c r="E1250" s="99" t="s">
        <v>19</v>
      </c>
      <c r="F1250" s="99" t="s">
        <v>20</v>
      </c>
      <c r="G1250" s="99">
        <v>15</v>
      </c>
      <c r="H1250" s="112">
        <v>500000</v>
      </c>
      <c r="I1250" s="112">
        <v>7500000</v>
      </c>
      <c r="J1250" s="99" t="s">
        <v>2410</v>
      </c>
      <c r="K1250" s="99" t="s">
        <v>8</v>
      </c>
    </row>
    <row r="1251" spans="2:11" x14ac:dyDescent="0.3">
      <c r="B1251" s="99" t="s">
        <v>373</v>
      </c>
      <c r="C1251" s="100">
        <v>45895</v>
      </c>
      <c r="D1251" s="99" t="s">
        <v>14</v>
      </c>
      <c r="E1251" s="99" t="s">
        <v>15</v>
      </c>
      <c r="F1251" s="99" t="s">
        <v>16</v>
      </c>
      <c r="G1251" s="99">
        <v>24</v>
      </c>
      <c r="H1251" s="112">
        <v>350000</v>
      </c>
      <c r="I1251" s="112">
        <v>8400000</v>
      </c>
      <c r="J1251" s="99" t="s">
        <v>2353</v>
      </c>
      <c r="K1251" s="99" t="s">
        <v>69</v>
      </c>
    </row>
    <row r="1252" spans="2:11" x14ac:dyDescent="0.3">
      <c r="B1252" s="99" t="s">
        <v>374</v>
      </c>
      <c r="C1252" s="100">
        <v>45895</v>
      </c>
      <c r="D1252" s="99" t="s">
        <v>42</v>
      </c>
      <c r="E1252" s="99" t="s">
        <v>43</v>
      </c>
      <c r="F1252" s="99" t="s">
        <v>16</v>
      </c>
      <c r="G1252" s="99">
        <v>410</v>
      </c>
      <c r="H1252" s="112">
        <v>1200000</v>
      </c>
      <c r="I1252" s="112">
        <v>492000000</v>
      </c>
      <c r="J1252" s="99" t="s">
        <v>2266</v>
      </c>
      <c r="K1252" s="99" t="s">
        <v>8</v>
      </c>
    </row>
    <row r="1253" spans="2:11" x14ac:dyDescent="0.3">
      <c r="B1253" s="99" t="s">
        <v>391</v>
      </c>
      <c r="C1253" s="100">
        <v>45895</v>
      </c>
      <c r="D1253" s="99" t="s">
        <v>38</v>
      </c>
      <c r="E1253" s="99" t="s">
        <v>39</v>
      </c>
      <c r="F1253" s="99" t="s">
        <v>16</v>
      </c>
      <c r="G1253" s="99">
        <v>13</v>
      </c>
      <c r="H1253" s="112">
        <v>200000</v>
      </c>
      <c r="I1253" s="112">
        <v>2600000</v>
      </c>
      <c r="J1253" s="99" t="s">
        <v>2402</v>
      </c>
      <c r="K1253" s="99" t="s">
        <v>69</v>
      </c>
    </row>
    <row r="1254" spans="2:11" x14ac:dyDescent="0.3">
      <c r="B1254" s="99" t="s">
        <v>392</v>
      </c>
      <c r="C1254" s="100">
        <v>45896</v>
      </c>
      <c r="D1254" s="99" t="s">
        <v>42</v>
      </c>
      <c r="E1254" s="99" t="s">
        <v>43</v>
      </c>
      <c r="F1254" s="99" t="s">
        <v>16</v>
      </c>
      <c r="G1254" s="99">
        <v>34</v>
      </c>
      <c r="H1254" s="112">
        <v>1200000</v>
      </c>
      <c r="I1254" s="112">
        <v>40800000</v>
      </c>
      <c r="J1254" s="99" t="s">
        <v>2292</v>
      </c>
      <c r="K1254" s="99" t="s">
        <v>127</v>
      </c>
    </row>
    <row r="1255" spans="2:11" x14ac:dyDescent="0.3">
      <c r="B1255" s="99" t="s">
        <v>409</v>
      </c>
      <c r="C1255" s="100">
        <v>45896</v>
      </c>
      <c r="D1255" s="99" t="s">
        <v>10</v>
      </c>
      <c r="E1255" s="99" t="s">
        <v>11</v>
      </c>
      <c r="F1255" s="99" t="s">
        <v>12</v>
      </c>
      <c r="G1255" s="99">
        <v>18</v>
      </c>
      <c r="H1255" s="112">
        <v>120000</v>
      </c>
      <c r="I1255" s="112">
        <v>2160000</v>
      </c>
      <c r="J1255" s="99" t="s">
        <v>2312</v>
      </c>
      <c r="K1255" s="99" t="s">
        <v>127</v>
      </c>
    </row>
    <row r="1256" spans="2:11" x14ac:dyDescent="0.3">
      <c r="B1256" s="99" t="s">
        <v>410</v>
      </c>
      <c r="C1256" s="100">
        <v>45896</v>
      </c>
      <c r="D1256" s="99" t="s">
        <v>44</v>
      </c>
      <c r="E1256" s="99" t="s">
        <v>45</v>
      </c>
      <c r="F1256" s="99" t="s">
        <v>16</v>
      </c>
      <c r="G1256" s="99">
        <v>45</v>
      </c>
      <c r="H1256" s="112">
        <v>250000</v>
      </c>
      <c r="I1256" s="112">
        <v>11250000</v>
      </c>
      <c r="J1256" s="99" t="s">
        <v>2728</v>
      </c>
      <c r="K1256" s="99" t="s">
        <v>47</v>
      </c>
    </row>
    <row r="1257" spans="2:11" x14ac:dyDescent="0.3">
      <c r="B1257" s="99" t="s">
        <v>411</v>
      </c>
      <c r="C1257" s="100">
        <v>45896</v>
      </c>
      <c r="D1257" s="99" t="s">
        <v>10</v>
      </c>
      <c r="E1257" s="99" t="s">
        <v>11</v>
      </c>
      <c r="F1257" s="99" t="s">
        <v>12</v>
      </c>
      <c r="G1257" s="99">
        <v>7</v>
      </c>
      <c r="H1257" s="112">
        <v>120000</v>
      </c>
      <c r="I1257" s="112">
        <v>840000</v>
      </c>
      <c r="J1257" s="99" t="s">
        <v>2309</v>
      </c>
      <c r="K1257" s="99" t="s">
        <v>8</v>
      </c>
    </row>
    <row r="1258" spans="2:11" x14ac:dyDescent="0.3">
      <c r="B1258" s="99" t="s">
        <v>429</v>
      </c>
      <c r="C1258" s="100">
        <v>45896</v>
      </c>
      <c r="D1258" s="99" t="s">
        <v>10</v>
      </c>
      <c r="E1258" s="99" t="s">
        <v>11</v>
      </c>
      <c r="F1258" s="99" t="s">
        <v>12</v>
      </c>
      <c r="G1258" s="99">
        <v>35</v>
      </c>
      <c r="H1258" s="112">
        <v>120000</v>
      </c>
      <c r="I1258" s="112">
        <v>4200000</v>
      </c>
      <c r="J1258" s="99" t="s">
        <v>2278</v>
      </c>
      <c r="K1258" s="99" t="s">
        <v>60</v>
      </c>
    </row>
    <row r="1259" spans="2:11" x14ac:dyDescent="0.3">
      <c r="B1259" s="99" t="s">
        <v>439</v>
      </c>
      <c r="C1259" s="100">
        <v>45896</v>
      </c>
      <c r="D1259" s="99" t="s">
        <v>38</v>
      </c>
      <c r="E1259" s="99" t="s">
        <v>39</v>
      </c>
      <c r="F1259" s="99" t="s">
        <v>16</v>
      </c>
      <c r="G1259" s="99">
        <v>48</v>
      </c>
      <c r="H1259" s="112">
        <v>200000</v>
      </c>
      <c r="I1259" s="112">
        <v>9600000</v>
      </c>
      <c r="J1259" s="99" t="s">
        <v>2480</v>
      </c>
      <c r="K1259" s="99" t="s">
        <v>127</v>
      </c>
    </row>
    <row r="1260" spans="2:11" x14ac:dyDescent="0.3">
      <c r="B1260" s="99" t="s">
        <v>452</v>
      </c>
      <c r="C1260" s="100">
        <v>45896</v>
      </c>
      <c r="D1260" s="99" t="s">
        <v>31</v>
      </c>
      <c r="E1260" s="99" t="s">
        <v>32</v>
      </c>
      <c r="F1260" s="99" t="s">
        <v>20</v>
      </c>
      <c r="G1260" s="99">
        <v>38</v>
      </c>
      <c r="H1260" s="112">
        <v>180000</v>
      </c>
      <c r="I1260" s="112">
        <v>6840000</v>
      </c>
      <c r="J1260" s="99" t="s">
        <v>2118</v>
      </c>
      <c r="K1260" s="99" t="s">
        <v>69</v>
      </c>
    </row>
    <row r="1261" spans="2:11" x14ac:dyDescent="0.3">
      <c r="B1261" s="99" t="s">
        <v>453</v>
      </c>
      <c r="C1261" s="100">
        <v>45896</v>
      </c>
      <c r="D1261" s="99" t="s">
        <v>10</v>
      </c>
      <c r="E1261" s="99" t="s">
        <v>11</v>
      </c>
      <c r="F1261" s="99" t="s">
        <v>12</v>
      </c>
      <c r="G1261" s="99">
        <v>34</v>
      </c>
      <c r="H1261" s="112">
        <v>120000</v>
      </c>
      <c r="I1261" s="112">
        <v>4080000</v>
      </c>
      <c r="J1261" s="99" t="s">
        <v>2392</v>
      </c>
      <c r="K1261" s="99" t="s">
        <v>8</v>
      </c>
    </row>
    <row r="1262" spans="2:11" x14ac:dyDescent="0.3">
      <c r="B1262" s="99" t="s">
        <v>454</v>
      </c>
      <c r="C1262" s="100">
        <v>45896</v>
      </c>
      <c r="D1262" s="99" t="s">
        <v>18</v>
      </c>
      <c r="E1262" s="99" t="s">
        <v>19</v>
      </c>
      <c r="F1262" s="99" t="s">
        <v>20</v>
      </c>
      <c r="G1262" s="99">
        <v>21</v>
      </c>
      <c r="H1262" s="112">
        <v>500000</v>
      </c>
      <c r="I1262" s="112">
        <v>10500000</v>
      </c>
      <c r="J1262" s="99" t="s">
        <v>2407</v>
      </c>
      <c r="K1262" s="99" t="s">
        <v>69</v>
      </c>
    </row>
    <row r="1263" spans="2:11" x14ac:dyDescent="0.3">
      <c r="B1263" s="99" t="s">
        <v>455</v>
      </c>
      <c r="C1263" s="100">
        <v>45896</v>
      </c>
      <c r="D1263" s="99" t="s">
        <v>44</v>
      </c>
      <c r="E1263" s="99" t="s">
        <v>45</v>
      </c>
      <c r="F1263" s="99" t="s">
        <v>16</v>
      </c>
      <c r="G1263" s="99">
        <v>11</v>
      </c>
      <c r="H1263" s="112">
        <v>250000</v>
      </c>
      <c r="I1263" s="112">
        <v>2750000</v>
      </c>
      <c r="J1263" s="99" t="s">
        <v>152</v>
      </c>
      <c r="K1263" s="99" t="s">
        <v>127</v>
      </c>
    </row>
    <row r="1264" spans="2:11" x14ac:dyDescent="0.3">
      <c r="B1264" s="99" t="s">
        <v>476</v>
      </c>
      <c r="C1264" s="100">
        <v>45896</v>
      </c>
      <c r="D1264" s="99" t="s">
        <v>18</v>
      </c>
      <c r="E1264" s="99" t="s">
        <v>19</v>
      </c>
      <c r="F1264" s="99" t="s">
        <v>20</v>
      </c>
      <c r="G1264" s="99">
        <v>31</v>
      </c>
      <c r="H1264" s="112">
        <v>500000</v>
      </c>
      <c r="I1264" s="112">
        <v>15500000</v>
      </c>
      <c r="J1264" s="99" t="s">
        <v>2247</v>
      </c>
      <c r="K1264" s="99" t="s">
        <v>8</v>
      </c>
    </row>
    <row r="1265" spans="2:11" x14ac:dyDescent="0.3">
      <c r="B1265" s="99" t="s">
        <v>477</v>
      </c>
      <c r="C1265" s="100">
        <v>45896</v>
      </c>
      <c r="D1265" s="99" t="s">
        <v>14</v>
      </c>
      <c r="E1265" s="99" t="s">
        <v>15</v>
      </c>
      <c r="F1265" s="99" t="s">
        <v>16</v>
      </c>
      <c r="G1265" s="99">
        <v>80</v>
      </c>
      <c r="H1265" s="112">
        <v>350000</v>
      </c>
      <c r="I1265" s="112">
        <v>28000000</v>
      </c>
      <c r="J1265" s="99" t="s">
        <v>2824</v>
      </c>
      <c r="K1265" s="99" t="s">
        <v>127</v>
      </c>
    </row>
    <row r="1266" spans="2:11" x14ac:dyDescent="0.3">
      <c r="B1266" s="99" t="s">
        <v>497</v>
      </c>
      <c r="C1266" s="100">
        <v>45896</v>
      </c>
      <c r="D1266" s="99" t="s">
        <v>42</v>
      </c>
      <c r="E1266" s="99" t="s">
        <v>43</v>
      </c>
      <c r="F1266" s="99" t="s">
        <v>16</v>
      </c>
      <c r="G1266" s="99">
        <v>33</v>
      </c>
      <c r="H1266" s="112">
        <v>1200000</v>
      </c>
      <c r="I1266" s="112">
        <v>39600000</v>
      </c>
      <c r="J1266" s="99" t="s">
        <v>2530</v>
      </c>
      <c r="K1266" s="99" t="s">
        <v>127</v>
      </c>
    </row>
    <row r="1267" spans="2:11" x14ac:dyDescent="0.3">
      <c r="B1267" s="99" t="s">
        <v>498</v>
      </c>
      <c r="C1267" s="100">
        <v>45896</v>
      </c>
      <c r="D1267" s="99" t="s">
        <v>38</v>
      </c>
      <c r="E1267" s="99" t="s">
        <v>39</v>
      </c>
      <c r="F1267" s="99" t="s">
        <v>16</v>
      </c>
      <c r="G1267" s="99">
        <v>31</v>
      </c>
      <c r="H1267" s="112">
        <v>200000</v>
      </c>
      <c r="I1267" s="112">
        <v>6200000</v>
      </c>
      <c r="J1267" s="99" t="s">
        <v>442</v>
      </c>
      <c r="K1267" s="99" t="s">
        <v>69</v>
      </c>
    </row>
    <row r="1268" spans="2:11" x14ac:dyDescent="0.3">
      <c r="B1268" s="99" t="s">
        <v>499</v>
      </c>
      <c r="C1268" s="100">
        <v>45898</v>
      </c>
      <c r="D1268" s="99" t="s">
        <v>18</v>
      </c>
      <c r="E1268" s="99" t="s">
        <v>19</v>
      </c>
      <c r="F1268" s="99" t="s">
        <v>20</v>
      </c>
      <c r="G1268" s="99">
        <v>25</v>
      </c>
      <c r="H1268" s="112">
        <v>500000</v>
      </c>
      <c r="I1268" s="112">
        <v>12500000</v>
      </c>
      <c r="J1268" s="99" t="s">
        <v>2143</v>
      </c>
      <c r="K1268" s="99" t="s">
        <v>8</v>
      </c>
    </row>
    <row r="1269" spans="2:11" x14ac:dyDescent="0.3">
      <c r="B1269" s="99" t="s">
        <v>500</v>
      </c>
      <c r="C1269" s="100">
        <v>45898</v>
      </c>
      <c r="D1269" s="99" t="s">
        <v>10</v>
      </c>
      <c r="E1269" s="99" t="s">
        <v>11</v>
      </c>
      <c r="F1269" s="99" t="s">
        <v>12</v>
      </c>
      <c r="G1269" s="99">
        <v>44</v>
      </c>
      <c r="H1269" s="112">
        <v>120000</v>
      </c>
      <c r="I1269" s="112">
        <v>5280000</v>
      </c>
      <c r="J1269" s="99" t="s">
        <v>2253</v>
      </c>
      <c r="K1269" s="99" t="s">
        <v>8</v>
      </c>
    </row>
    <row r="1270" spans="2:11" x14ac:dyDescent="0.3">
      <c r="B1270" s="99" t="s">
        <v>501</v>
      </c>
      <c r="C1270" s="100">
        <v>45898</v>
      </c>
      <c r="D1270" s="99" t="s">
        <v>22</v>
      </c>
      <c r="E1270" s="99" t="s">
        <v>23</v>
      </c>
      <c r="F1270" s="99" t="s">
        <v>12</v>
      </c>
      <c r="G1270" s="99">
        <v>32</v>
      </c>
      <c r="H1270" s="112">
        <v>25000</v>
      </c>
      <c r="I1270" s="112">
        <v>800000</v>
      </c>
      <c r="J1270" s="99" t="s">
        <v>2153</v>
      </c>
      <c r="K1270" s="99" t="s">
        <v>127</v>
      </c>
    </row>
    <row r="1271" spans="2:11" x14ac:dyDescent="0.3">
      <c r="B1271" s="99" t="s">
        <v>502</v>
      </c>
      <c r="C1271" s="100">
        <v>45898</v>
      </c>
      <c r="D1271" s="99" t="s">
        <v>18</v>
      </c>
      <c r="E1271" s="99" t="s">
        <v>19</v>
      </c>
      <c r="F1271" s="99" t="s">
        <v>20</v>
      </c>
      <c r="G1271" s="99">
        <v>8</v>
      </c>
      <c r="H1271" s="112">
        <v>500000</v>
      </c>
      <c r="I1271" s="112">
        <v>4000000</v>
      </c>
      <c r="J1271" s="99" t="s">
        <v>2536</v>
      </c>
      <c r="K1271" s="99" t="s">
        <v>127</v>
      </c>
    </row>
    <row r="1272" spans="2:11" x14ac:dyDescent="0.3">
      <c r="B1272" s="99" t="s">
        <v>520</v>
      </c>
      <c r="C1272" s="100">
        <v>45904</v>
      </c>
      <c r="D1272" s="99" t="s">
        <v>38</v>
      </c>
      <c r="E1272" s="99" t="s">
        <v>39</v>
      </c>
      <c r="F1272" s="99" t="s">
        <v>16</v>
      </c>
      <c r="G1272" s="99">
        <v>13</v>
      </c>
      <c r="H1272" s="112">
        <v>200000</v>
      </c>
      <c r="I1272" s="112">
        <v>2600000</v>
      </c>
      <c r="J1272" s="99" t="s">
        <v>2699</v>
      </c>
      <c r="K1272" s="99" t="s">
        <v>69</v>
      </c>
    </row>
    <row r="1273" spans="2:11" x14ac:dyDescent="0.3">
      <c r="B1273" s="99" t="s">
        <v>521</v>
      </c>
      <c r="C1273" s="100">
        <v>45904</v>
      </c>
      <c r="D1273" s="99" t="s">
        <v>40</v>
      </c>
      <c r="E1273" s="99" t="s">
        <v>41</v>
      </c>
      <c r="F1273" s="99" t="s">
        <v>16</v>
      </c>
      <c r="G1273" s="99">
        <v>80</v>
      </c>
      <c r="H1273" s="112">
        <v>950000</v>
      </c>
      <c r="I1273" s="112">
        <v>76000000</v>
      </c>
      <c r="J1273" s="99" t="s">
        <v>2824</v>
      </c>
      <c r="K1273" s="99" t="s">
        <v>127</v>
      </c>
    </row>
    <row r="1274" spans="2:11" x14ac:dyDescent="0.3">
      <c r="B1274" s="99" t="s">
        <v>545</v>
      </c>
      <c r="C1274" s="100">
        <v>45904</v>
      </c>
      <c r="D1274" s="99" t="s">
        <v>28</v>
      </c>
      <c r="E1274" s="99" t="s">
        <v>29</v>
      </c>
      <c r="F1274" s="99" t="s">
        <v>20</v>
      </c>
      <c r="G1274" s="99">
        <v>8</v>
      </c>
      <c r="H1274" s="112">
        <v>450000</v>
      </c>
      <c r="I1274" s="112">
        <v>3600000</v>
      </c>
      <c r="J1274" s="99" t="s">
        <v>2569</v>
      </c>
      <c r="K1274" s="99" t="s">
        <v>127</v>
      </c>
    </row>
    <row r="1275" spans="2:11" x14ac:dyDescent="0.3">
      <c r="B1275" s="99" t="s">
        <v>546</v>
      </c>
      <c r="C1275" s="100">
        <v>45904</v>
      </c>
      <c r="D1275" s="99" t="s">
        <v>18</v>
      </c>
      <c r="E1275" s="99" t="s">
        <v>19</v>
      </c>
      <c r="F1275" s="99" t="s">
        <v>20</v>
      </c>
      <c r="G1275" s="99">
        <v>42</v>
      </c>
      <c r="H1275" s="112">
        <v>500000</v>
      </c>
      <c r="I1275" s="112">
        <v>21000000</v>
      </c>
      <c r="J1275" s="99" t="s">
        <v>2397</v>
      </c>
      <c r="K1275" s="99" t="s">
        <v>47</v>
      </c>
    </row>
    <row r="1276" spans="2:11" x14ac:dyDescent="0.3">
      <c r="B1276" s="99" t="s">
        <v>547</v>
      </c>
      <c r="C1276" s="100">
        <v>45904</v>
      </c>
      <c r="D1276" s="99" t="s">
        <v>44</v>
      </c>
      <c r="E1276" s="99" t="s">
        <v>45</v>
      </c>
      <c r="F1276" s="99" t="s">
        <v>16</v>
      </c>
      <c r="G1276" s="99">
        <v>15</v>
      </c>
      <c r="H1276" s="112">
        <v>250000</v>
      </c>
      <c r="I1276" s="112">
        <v>3750000</v>
      </c>
      <c r="J1276" s="99" t="s">
        <v>2257</v>
      </c>
      <c r="K1276" s="99" t="s">
        <v>127</v>
      </c>
    </row>
    <row r="1277" spans="2:11" x14ac:dyDescent="0.3">
      <c r="B1277" s="99" t="s">
        <v>548</v>
      </c>
      <c r="C1277" s="100">
        <v>45904</v>
      </c>
      <c r="D1277" s="99" t="s">
        <v>28</v>
      </c>
      <c r="E1277" s="99" t="s">
        <v>29</v>
      </c>
      <c r="F1277" s="99" t="s">
        <v>20</v>
      </c>
      <c r="G1277" s="99">
        <v>37</v>
      </c>
      <c r="H1277" s="112">
        <v>450000</v>
      </c>
      <c r="I1277" s="112">
        <v>16650000</v>
      </c>
      <c r="J1277" s="99" t="s">
        <v>2815</v>
      </c>
      <c r="K1277" s="99" t="s">
        <v>127</v>
      </c>
    </row>
    <row r="1278" spans="2:11" x14ac:dyDescent="0.3">
      <c r="B1278" s="99" t="s">
        <v>569</v>
      </c>
      <c r="C1278" s="100">
        <v>45904</v>
      </c>
      <c r="D1278" s="99" t="s">
        <v>28</v>
      </c>
      <c r="E1278" s="99" t="s">
        <v>29</v>
      </c>
      <c r="F1278" s="99" t="s">
        <v>20</v>
      </c>
      <c r="G1278" s="99">
        <v>5</v>
      </c>
      <c r="H1278" s="112">
        <v>450000</v>
      </c>
      <c r="I1278" s="112">
        <v>2250000</v>
      </c>
      <c r="J1278" s="99" t="s">
        <v>216</v>
      </c>
      <c r="K1278" s="99" t="s">
        <v>69</v>
      </c>
    </row>
    <row r="1279" spans="2:11" x14ac:dyDescent="0.3">
      <c r="B1279" s="99" t="s">
        <v>585</v>
      </c>
      <c r="C1279" s="100">
        <v>45904</v>
      </c>
      <c r="D1279" s="99" t="s">
        <v>22</v>
      </c>
      <c r="E1279" s="99" t="s">
        <v>23</v>
      </c>
      <c r="F1279" s="99" t="s">
        <v>12</v>
      </c>
      <c r="G1279" s="99">
        <v>44</v>
      </c>
      <c r="H1279" s="112">
        <v>25000</v>
      </c>
      <c r="I1279" s="112">
        <v>1100000</v>
      </c>
      <c r="J1279" s="99" t="s">
        <v>2536</v>
      </c>
      <c r="K1279" s="99" t="s">
        <v>127</v>
      </c>
    </row>
    <row r="1280" spans="2:11" x14ac:dyDescent="0.3">
      <c r="B1280" s="99" t="s">
        <v>586</v>
      </c>
      <c r="C1280" s="100">
        <v>45904</v>
      </c>
      <c r="D1280" s="99" t="s">
        <v>10</v>
      </c>
      <c r="E1280" s="99" t="s">
        <v>11</v>
      </c>
      <c r="F1280" s="99" t="s">
        <v>12</v>
      </c>
      <c r="G1280" s="99">
        <v>18</v>
      </c>
      <c r="H1280" s="112">
        <v>120000</v>
      </c>
      <c r="I1280" s="112">
        <v>2160000</v>
      </c>
      <c r="J1280" s="99" t="s">
        <v>2447</v>
      </c>
      <c r="K1280" s="99" t="s">
        <v>8</v>
      </c>
    </row>
    <row r="1281" spans="2:11" x14ac:dyDescent="0.3">
      <c r="B1281" s="99" t="s">
        <v>605</v>
      </c>
      <c r="C1281" s="100">
        <v>45904</v>
      </c>
      <c r="D1281" s="99" t="s">
        <v>22</v>
      </c>
      <c r="E1281" s="99" t="s">
        <v>23</v>
      </c>
      <c r="F1281" s="99" t="s">
        <v>12</v>
      </c>
      <c r="G1281" s="99">
        <v>39</v>
      </c>
      <c r="H1281" s="112">
        <v>25000</v>
      </c>
      <c r="I1281" s="112">
        <v>975000</v>
      </c>
      <c r="J1281" s="99" t="s">
        <v>2475</v>
      </c>
      <c r="K1281" s="99" t="s">
        <v>47</v>
      </c>
    </row>
    <row r="1282" spans="2:11" x14ac:dyDescent="0.3">
      <c r="B1282" s="99" t="s">
        <v>606</v>
      </c>
      <c r="C1282" s="100">
        <v>45905</v>
      </c>
      <c r="D1282" s="99" t="s">
        <v>44</v>
      </c>
      <c r="E1282" s="99" t="s">
        <v>45</v>
      </c>
      <c r="F1282" s="99" t="s">
        <v>16</v>
      </c>
      <c r="G1282" s="99">
        <v>33</v>
      </c>
      <c r="H1282" s="112">
        <v>250000</v>
      </c>
      <c r="I1282" s="112">
        <v>8250000</v>
      </c>
      <c r="J1282" s="99" t="s">
        <v>2557</v>
      </c>
      <c r="K1282" s="99" t="s">
        <v>127</v>
      </c>
    </row>
    <row r="1283" spans="2:11" x14ac:dyDescent="0.3">
      <c r="B1283" s="99" t="s">
        <v>630</v>
      </c>
      <c r="C1283" s="100">
        <v>45905</v>
      </c>
      <c r="D1283" s="99" t="s">
        <v>18</v>
      </c>
      <c r="E1283" s="99" t="s">
        <v>19</v>
      </c>
      <c r="F1283" s="99" t="s">
        <v>20</v>
      </c>
      <c r="G1283" s="99">
        <v>46</v>
      </c>
      <c r="H1283" s="112">
        <v>500000</v>
      </c>
      <c r="I1283" s="112">
        <v>23000000</v>
      </c>
      <c r="J1283" s="99" t="s">
        <v>2754</v>
      </c>
      <c r="K1283" s="99" t="s">
        <v>127</v>
      </c>
    </row>
    <row r="1284" spans="2:11" x14ac:dyDescent="0.3">
      <c r="B1284" s="99" t="s">
        <v>654</v>
      </c>
      <c r="C1284" s="100">
        <v>45905</v>
      </c>
      <c r="D1284" s="99" t="s">
        <v>31</v>
      </c>
      <c r="E1284" s="99" t="s">
        <v>32</v>
      </c>
      <c r="F1284" s="99" t="s">
        <v>20</v>
      </c>
      <c r="G1284" s="99">
        <v>39</v>
      </c>
      <c r="H1284" s="112">
        <v>180000</v>
      </c>
      <c r="I1284" s="112">
        <v>7020000</v>
      </c>
      <c r="J1284" s="99" t="s">
        <v>2845</v>
      </c>
      <c r="K1284" s="99" t="s">
        <v>8</v>
      </c>
    </row>
    <row r="1285" spans="2:11" x14ac:dyDescent="0.3">
      <c r="B1285" s="99" t="s">
        <v>655</v>
      </c>
      <c r="C1285" s="100">
        <v>45905</v>
      </c>
      <c r="D1285" s="99" t="s">
        <v>14</v>
      </c>
      <c r="E1285" s="99" t="s">
        <v>15</v>
      </c>
      <c r="F1285" s="99" t="s">
        <v>16</v>
      </c>
      <c r="G1285" s="99">
        <v>100</v>
      </c>
      <c r="H1285" s="112">
        <v>350000</v>
      </c>
      <c r="I1285" s="112">
        <v>35000000</v>
      </c>
      <c r="J1285" s="99" t="s">
        <v>2847</v>
      </c>
      <c r="K1285" s="99" t="s">
        <v>127</v>
      </c>
    </row>
    <row r="1286" spans="2:11" x14ac:dyDescent="0.3">
      <c r="B1286" s="99" t="s">
        <v>656</v>
      </c>
      <c r="C1286" s="100">
        <v>45905</v>
      </c>
      <c r="D1286" s="99" t="s">
        <v>10</v>
      </c>
      <c r="E1286" s="99" t="s">
        <v>11</v>
      </c>
      <c r="F1286" s="99" t="s">
        <v>12</v>
      </c>
      <c r="G1286" s="99">
        <v>16</v>
      </c>
      <c r="H1286" s="112">
        <v>120000</v>
      </c>
      <c r="I1286" s="112">
        <v>1920000</v>
      </c>
      <c r="J1286" s="99" t="s">
        <v>2765</v>
      </c>
      <c r="K1286" s="99" t="s">
        <v>127</v>
      </c>
    </row>
    <row r="1287" spans="2:11" x14ac:dyDescent="0.3">
      <c r="B1287" s="99" t="s">
        <v>657</v>
      </c>
      <c r="C1287" s="100">
        <v>45905</v>
      </c>
      <c r="D1287" s="99" t="s">
        <v>14</v>
      </c>
      <c r="E1287" s="99" t="s">
        <v>15</v>
      </c>
      <c r="F1287" s="99" t="s">
        <v>16</v>
      </c>
      <c r="G1287" s="99">
        <v>36</v>
      </c>
      <c r="H1287" s="112">
        <v>350000</v>
      </c>
      <c r="I1287" s="112">
        <v>12600000</v>
      </c>
      <c r="J1287" s="99" t="s">
        <v>2294</v>
      </c>
      <c r="K1287" s="99" t="s">
        <v>60</v>
      </c>
    </row>
    <row r="1288" spans="2:11" x14ac:dyDescent="0.3">
      <c r="B1288" s="99" t="s">
        <v>658</v>
      </c>
      <c r="C1288" s="100">
        <v>45905</v>
      </c>
      <c r="D1288" s="99" t="s">
        <v>42</v>
      </c>
      <c r="E1288" s="99" t="s">
        <v>43</v>
      </c>
      <c r="F1288" s="99" t="s">
        <v>16</v>
      </c>
      <c r="G1288" s="99">
        <v>15</v>
      </c>
      <c r="H1288" s="112">
        <v>1200000</v>
      </c>
      <c r="I1288" s="112">
        <v>18000000</v>
      </c>
      <c r="J1288" s="99" t="s">
        <v>924</v>
      </c>
      <c r="K1288" s="99" t="s">
        <v>47</v>
      </c>
    </row>
    <row r="1289" spans="2:11" x14ac:dyDescent="0.3">
      <c r="B1289" s="99" t="s">
        <v>659</v>
      </c>
      <c r="C1289" s="100">
        <v>45905</v>
      </c>
      <c r="D1289" s="99" t="s">
        <v>42</v>
      </c>
      <c r="E1289" s="99" t="s">
        <v>43</v>
      </c>
      <c r="F1289" s="99" t="s">
        <v>16</v>
      </c>
      <c r="G1289" s="99">
        <v>4</v>
      </c>
      <c r="H1289" s="112">
        <v>1200000</v>
      </c>
      <c r="I1289" s="112">
        <v>4800000</v>
      </c>
      <c r="J1289" s="99" t="s">
        <v>2276</v>
      </c>
      <c r="K1289" s="99" t="s">
        <v>8</v>
      </c>
    </row>
    <row r="1290" spans="2:11" x14ac:dyDescent="0.3">
      <c r="B1290" s="99" t="s">
        <v>684</v>
      </c>
      <c r="C1290" s="100">
        <v>45905</v>
      </c>
      <c r="D1290" s="99" t="s">
        <v>10</v>
      </c>
      <c r="E1290" s="99" t="s">
        <v>11</v>
      </c>
      <c r="F1290" s="99" t="s">
        <v>12</v>
      </c>
      <c r="G1290" s="99">
        <v>300</v>
      </c>
      <c r="H1290" s="112">
        <v>120000</v>
      </c>
      <c r="I1290" s="112">
        <v>36000000</v>
      </c>
      <c r="J1290" s="99" t="s">
        <v>2149</v>
      </c>
      <c r="K1290" s="99" t="s">
        <v>127</v>
      </c>
    </row>
    <row r="1291" spans="2:11" x14ac:dyDescent="0.3">
      <c r="B1291" s="99" t="s">
        <v>685</v>
      </c>
      <c r="C1291" s="100">
        <v>45905</v>
      </c>
      <c r="D1291" s="99" t="s">
        <v>18</v>
      </c>
      <c r="E1291" s="99" t="s">
        <v>19</v>
      </c>
      <c r="F1291" s="99" t="s">
        <v>20</v>
      </c>
      <c r="G1291" s="99">
        <v>310</v>
      </c>
      <c r="H1291" s="112">
        <v>500000</v>
      </c>
      <c r="I1291" s="112">
        <v>155000000</v>
      </c>
      <c r="J1291" s="99" t="s">
        <v>2567</v>
      </c>
      <c r="K1291" s="99" t="s">
        <v>8</v>
      </c>
    </row>
    <row r="1292" spans="2:11" x14ac:dyDescent="0.3">
      <c r="B1292" s="99" t="s">
        <v>686</v>
      </c>
      <c r="C1292" s="100">
        <v>45905</v>
      </c>
      <c r="D1292" s="99" t="s">
        <v>14</v>
      </c>
      <c r="E1292" s="99" t="s">
        <v>15</v>
      </c>
      <c r="F1292" s="99" t="s">
        <v>16</v>
      </c>
      <c r="G1292" s="99">
        <v>15</v>
      </c>
      <c r="H1292" s="112">
        <v>350000</v>
      </c>
      <c r="I1292" s="112">
        <v>5250000</v>
      </c>
      <c r="J1292" s="99" t="s">
        <v>2559</v>
      </c>
      <c r="K1292" s="99" t="s">
        <v>47</v>
      </c>
    </row>
    <row r="1293" spans="2:11" x14ac:dyDescent="0.3">
      <c r="B1293" s="99" t="s">
        <v>722</v>
      </c>
      <c r="C1293" s="100">
        <v>45905</v>
      </c>
      <c r="D1293" s="99" t="s">
        <v>42</v>
      </c>
      <c r="E1293" s="99" t="s">
        <v>43</v>
      </c>
      <c r="F1293" s="99" t="s">
        <v>16</v>
      </c>
      <c r="G1293" s="99">
        <v>480</v>
      </c>
      <c r="H1293" s="112">
        <v>1200000</v>
      </c>
      <c r="I1293" s="112">
        <v>576000000</v>
      </c>
      <c r="J1293" s="99" t="s">
        <v>2837</v>
      </c>
      <c r="K1293" s="99" t="s">
        <v>47</v>
      </c>
    </row>
    <row r="1294" spans="2:11" x14ac:dyDescent="0.3">
      <c r="B1294" s="99" t="s">
        <v>723</v>
      </c>
      <c r="C1294" s="100">
        <v>45905</v>
      </c>
      <c r="D1294" s="99" t="s">
        <v>22</v>
      </c>
      <c r="E1294" s="99" t="s">
        <v>23</v>
      </c>
      <c r="F1294" s="99" t="s">
        <v>12</v>
      </c>
      <c r="G1294" s="99">
        <v>43</v>
      </c>
      <c r="H1294" s="112">
        <v>25000</v>
      </c>
      <c r="I1294" s="112">
        <v>1075000</v>
      </c>
      <c r="J1294" s="99" t="s">
        <v>2475</v>
      </c>
      <c r="K1294" s="99" t="s">
        <v>47</v>
      </c>
    </row>
    <row r="1295" spans="2:11" x14ac:dyDescent="0.3">
      <c r="B1295" s="99" t="s">
        <v>739</v>
      </c>
      <c r="C1295" s="100">
        <v>45908</v>
      </c>
      <c r="D1295" s="99" t="s">
        <v>14</v>
      </c>
      <c r="E1295" s="99" t="s">
        <v>15</v>
      </c>
      <c r="F1295" s="99" t="s">
        <v>16</v>
      </c>
      <c r="G1295" s="99">
        <v>29</v>
      </c>
      <c r="H1295" s="112">
        <v>350000</v>
      </c>
      <c r="I1295" s="112">
        <v>10150000</v>
      </c>
      <c r="J1295" s="99" t="s">
        <v>2763</v>
      </c>
      <c r="K1295" s="99" t="s">
        <v>127</v>
      </c>
    </row>
    <row r="1296" spans="2:11" x14ac:dyDescent="0.3">
      <c r="B1296" s="99" t="s">
        <v>740</v>
      </c>
      <c r="C1296" s="100">
        <v>45908</v>
      </c>
      <c r="D1296" s="99" t="s">
        <v>14</v>
      </c>
      <c r="E1296" s="99" t="s">
        <v>15</v>
      </c>
      <c r="F1296" s="99" t="s">
        <v>16</v>
      </c>
      <c r="G1296" s="99">
        <v>480</v>
      </c>
      <c r="H1296" s="112">
        <v>350000</v>
      </c>
      <c r="I1296" s="112">
        <v>168000000</v>
      </c>
      <c r="J1296" s="99" t="s">
        <v>2160</v>
      </c>
      <c r="K1296" s="99" t="s">
        <v>60</v>
      </c>
    </row>
    <row r="1297" spans="2:11" x14ac:dyDescent="0.3">
      <c r="B1297" s="99" t="s">
        <v>741</v>
      </c>
      <c r="C1297" s="100">
        <v>45908</v>
      </c>
      <c r="D1297" s="99" t="s">
        <v>38</v>
      </c>
      <c r="E1297" s="99" t="s">
        <v>39</v>
      </c>
      <c r="F1297" s="99" t="s">
        <v>16</v>
      </c>
      <c r="G1297" s="99">
        <v>32</v>
      </c>
      <c r="H1297" s="112">
        <v>200000</v>
      </c>
      <c r="I1297" s="112">
        <v>6400000</v>
      </c>
      <c r="J1297" s="99" t="s">
        <v>2736</v>
      </c>
      <c r="K1297" s="99" t="s">
        <v>69</v>
      </c>
    </row>
    <row r="1298" spans="2:11" x14ac:dyDescent="0.3">
      <c r="B1298" s="99" t="s">
        <v>760</v>
      </c>
      <c r="C1298" s="100">
        <v>45908</v>
      </c>
      <c r="D1298" s="99" t="s">
        <v>42</v>
      </c>
      <c r="E1298" s="99" t="s">
        <v>43</v>
      </c>
      <c r="F1298" s="99" t="s">
        <v>16</v>
      </c>
      <c r="G1298" s="99">
        <v>7</v>
      </c>
      <c r="H1298" s="112">
        <v>1200000</v>
      </c>
      <c r="I1298" s="112">
        <v>8400000</v>
      </c>
      <c r="J1298" s="99" t="s">
        <v>2712</v>
      </c>
      <c r="K1298" s="99" t="s">
        <v>8</v>
      </c>
    </row>
    <row r="1299" spans="2:11" x14ac:dyDescent="0.3">
      <c r="B1299" s="99" t="s">
        <v>761</v>
      </c>
      <c r="C1299" s="100">
        <v>45908</v>
      </c>
      <c r="D1299" s="99" t="s">
        <v>22</v>
      </c>
      <c r="E1299" s="99" t="s">
        <v>23</v>
      </c>
      <c r="F1299" s="99" t="s">
        <v>12</v>
      </c>
      <c r="G1299" s="99">
        <v>48</v>
      </c>
      <c r="H1299" s="112">
        <v>25000</v>
      </c>
      <c r="I1299" s="112">
        <v>1200000</v>
      </c>
      <c r="J1299" s="99" t="s">
        <v>878</v>
      </c>
      <c r="K1299" s="99" t="s">
        <v>8</v>
      </c>
    </row>
    <row r="1300" spans="2:11" x14ac:dyDescent="0.3">
      <c r="B1300" s="99" t="s">
        <v>762</v>
      </c>
      <c r="C1300" s="100">
        <v>45909</v>
      </c>
      <c r="D1300" s="99" t="s">
        <v>18</v>
      </c>
      <c r="E1300" s="99" t="s">
        <v>19</v>
      </c>
      <c r="F1300" s="99" t="s">
        <v>20</v>
      </c>
      <c r="G1300" s="99">
        <v>32</v>
      </c>
      <c r="H1300" s="112">
        <v>500000</v>
      </c>
      <c r="I1300" s="112">
        <v>16000000</v>
      </c>
      <c r="J1300" s="99" t="s">
        <v>2650</v>
      </c>
      <c r="K1300" s="99" t="s">
        <v>127</v>
      </c>
    </row>
    <row r="1301" spans="2:11" x14ac:dyDescent="0.3">
      <c r="B1301" s="99" t="s">
        <v>782</v>
      </c>
      <c r="C1301" s="100">
        <v>45909</v>
      </c>
      <c r="D1301" s="99" t="s">
        <v>31</v>
      </c>
      <c r="E1301" s="99" t="s">
        <v>32</v>
      </c>
      <c r="F1301" s="99" t="s">
        <v>20</v>
      </c>
      <c r="G1301" s="99">
        <v>14</v>
      </c>
      <c r="H1301" s="112">
        <v>180000</v>
      </c>
      <c r="I1301" s="112">
        <v>2520000</v>
      </c>
      <c r="J1301" s="99" t="s">
        <v>68</v>
      </c>
      <c r="K1301" s="99" t="s">
        <v>8</v>
      </c>
    </row>
    <row r="1302" spans="2:11" x14ac:dyDescent="0.3">
      <c r="B1302" s="99" t="s">
        <v>783</v>
      </c>
      <c r="C1302" s="100">
        <v>45909</v>
      </c>
      <c r="D1302" s="99" t="s">
        <v>18</v>
      </c>
      <c r="E1302" s="99" t="s">
        <v>19</v>
      </c>
      <c r="F1302" s="99" t="s">
        <v>20</v>
      </c>
      <c r="G1302" s="99">
        <v>38</v>
      </c>
      <c r="H1302" s="112">
        <v>500000</v>
      </c>
      <c r="I1302" s="112">
        <v>19000000</v>
      </c>
      <c r="J1302" s="99" t="s">
        <v>461</v>
      </c>
      <c r="K1302" s="99" t="s">
        <v>127</v>
      </c>
    </row>
    <row r="1303" spans="2:11" x14ac:dyDescent="0.3">
      <c r="B1303" s="99" t="s">
        <v>784</v>
      </c>
      <c r="C1303" s="100">
        <v>45909</v>
      </c>
      <c r="D1303" s="99" t="s">
        <v>40</v>
      </c>
      <c r="E1303" s="99" t="s">
        <v>41</v>
      </c>
      <c r="F1303" s="99" t="s">
        <v>16</v>
      </c>
      <c r="G1303" s="99">
        <v>28</v>
      </c>
      <c r="H1303" s="112">
        <v>950000</v>
      </c>
      <c r="I1303" s="112">
        <v>26600000</v>
      </c>
      <c r="J1303" s="99" t="s">
        <v>2495</v>
      </c>
      <c r="K1303" s="99" t="s">
        <v>60</v>
      </c>
    </row>
    <row r="1304" spans="2:11" x14ac:dyDescent="0.3">
      <c r="B1304" s="99" t="s">
        <v>785</v>
      </c>
      <c r="C1304" s="100">
        <v>45909</v>
      </c>
      <c r="D1304" s="99" t="s">
        <v>18</v>
      </c>
      <c r="E1304" s="99" t="s">
        <v>19</v>
      </c>
      <c r="F1304" s="99" t="s">
        <v>20</v>
      </c>
      <c r="G1304" s="99">
        <v>14</v>
      </c>
      <c r="H1304" s="112">
        <v>500000</v>
      </c>
      <c r="I1304" s="112">
        <v>7000000</v>
      </c>
      <c r="J1304" s="99" t="s">
        <v>2349</v>
      </c>
      <c r="K1304" s="99" t="s">
        <v>127</v>
      </c>
    </row>
    <row r="1305" spans="2:11" x14ac:dyDescent="0.3">
      <c r="B1305" s="99" t="s">
        <v>814</v>
      </c>
      <c r="C1305" s="100">
        <v>45909</v>
      </c>
      <c r="D1305" s="99" t="s">
        <v>14</v>
      </c>
      <c r="E1305" s="99" t="s">
        <v>15</v>
      </c>
      <c r="F1305" s="99" t="s">
        <v>16</v>
      </c>
      <c r="G1305" s="99">
        <v>46</v>
      </c>
      <c r="H1305" s="112">
        <v>350000</v>
      </c>
      <c r="I1305" s="112">
        <v>16100000</v>
      </c>
      <c r="J1305" s="99" t="s">
        <v>2821</v>
      </c>
      <c r="K1305" s="99" t="s">
        <v>8</v>
      </c>
    </row>
    <row r="1306" spans="2:11" x14ac:dyDescent="0.3">
      <c r="B1306" s="99" t="s">
        <v>815</v>
      </c>
      <c r="C1306" s="100">
        <v>45909</v>
      </c>
      <c r="D1306" s="99" t="s">
        <v>22</v>
      </c>
      <c r="E1306" s="99" t="s">
        <v>23</v>
      </c>
      <c r="F1306" s="99" t="s">
        <v>12</v>
      </c>
      <c r="G1306" s="99">
        <v>460</v>
      </c>
      <c r="H1306" s="112">
        <v>25000</v>
      </c>
      <c r="I1306" s="112">
        <v>11500000</v>
      </c>
      <c r="J1306" s="99" t="s">
        <v>2618</v>
      </c>
      <c r="K1306" s="99" t="s">
        <v>8</v>
      </c>
    </row>
    <row r="1307" spans="2:11" x14ac:dyDescent="0.3">
      <c r="B1307" s="99" t="s">
        <v>844</v>
      </c>
      <c r="C1307" s="100">
        <v>45909</v>
      </c>
      <c r="D1307" s="99" t="s">
        <v>18</v>
      </c>
      <c r="E1307" s="99" t="s">
        <v>19</v>
      </c>
      <c r="F1307" s="99" t="s">
        <v>20</v>
      </c>
      <c r="G1307" s="99">
        <v>300</v>
      </c>
      <c r="H1307" s="112">
        <v>500000</v>
      </c>
      <c r="I1307" s="112">
        <v>150000000</v>
      </c>
      <c r="J1307" s="99" t="s">
        <v>2235</v>
      </c>
      <c r="K1307" s="99" t="s">
        <v>127</v>
      </c>
    </row>
    <row r="1308" spans="2:11" x14ac:dyDescent="0.3">
      <c r="B1308" s="99" t="s">
        <v>845</v>
      </c>
      <c r="C1308" s="100">
        <v>45910</v>
      </c>
      <c r="D1308" s="99" t="s">
        <v>31</v>
      </c>
      <c r="E1308" s="99" t="s">
        <v>32</v>
      </c>
      <c r="F1308" s="99" t="s">
        <v>20</v>
      </c>
      <c r="G1308" s="99">
        <v>40</v>
      </c>
      <c r="H1308" s="112">
        <v>180000</v>
      </c>
      <c r="I1308" s="112">
        <v>7200000</v>
      </c>
      <c r="J1308" s="99" t="s">
        <v>2348</v>
      </c>
      <c r="K1308" s="99" t="s">
        <v>47</v>
      </c>
    </row>
    <row r="1309" spans="2:11" x14ac:dyDescent="0.3">
      <c r="B1309" s="99" t="s">
        <v>846</v>
      </c>
      <c r="C1309" s="100">
        <v>45910</v>
      </c>
      <c r="D1309" s="99" t="s">
        <v>18</v>
      </c>
      <c r="E1309" s="99" t="s">
        <v>19</v>
      </c>
      <c r="F1309" s="99" t="s">
        <v>20</v>
      </c>
      <c r="G1309" s="99">
        <v>23</v>
      </c>
      <c r="H1309" s="112">
        <v>500000</v>
      </c>
      <c r="I1309" s="112">
        <v>11500000</v>
      </c>
      <c r="J1309" s="99" t="s">
        <v>2295</v>
      </c>
      <c r="K1309" s="99" t="s">
        <v>127</v>
      </c>
    </row>
    <row r="1310" spans="2:11" x14ac:dyDescent="0.3">
      <c r="B1310" s="99" t="s">
        <v>847</v>
      </c>
      <c r="C1310" s="100">
        <v>45910</v>
      </c>
      <c r="D1310" s="99" t="s">
        <v>42</v>
      </c>
      <c r="E1310" s="99" t="s">
        <v>43</v>
      </c>
      <c r="F1310" s="99" t="s">
        <v>16</v>
      </c>
      <c r="G1310" s="99">
        <v>39</v>
      </c>
      <c r="H1310" s="112">
        <v>1200000</v>
      </c>
      <c r="I1310" s="112">
        <v>46800000</v>
      </c>
      <c r="J1310" s="99" t="s">
        <v>2241</v>
      </c>
      <c r="K1310" s="99" t="s">
        <v>127</v>
      </c>
    </row>
    <row r="1311" spans="2:11" x14ac:dyDescent="0.3">
      <c r="B1311" s="99" t="s">
        <v>848</v>
      </c>
      <c r="C1311" s="100">
        <v>45910</v>
      </c>
      <c r="D1311" s="99" t="s">
        <v>38</v>
      </c>
      <c r="E1311" s="99" t="s">
        <v>39</v>
      </c>
      <c r="F1311" s="99" t="s">
        <v>16</v>
      </c>
      <c r="G1311" s="99">
        <v>31</v>
      </c>
      <c r="H1311" s="112">
        <v>200000</v>
      </c>
      <c r="I1311" s="112">
        <v>6200000</v>
      </c>
      <c r="J1311" s="99" t="s">
        <v>2391</v>
      </c>
      <c r="K1311" s="99" t="s">
        <v>127</v>
      </c>
    </row>
    <row r="1312" spans="2:11" x14ac:dyDescent="0.3">
      <c r="B1312" s="99" t="s">
        <v>858</v>
      </c>
      <c r="C1312" s="100">
        <v>45910</v>
      </c>
      <c r="D1312" s="99" t="s">
        <v>18</v>
      </c>
      <c r="E1312" s="99" t="s">
        <v>19</v>
      </c>
      <c r="F1312" s="99" t="s">
        <v>20</v>
      </c>
      <c r="G1312" s="99">
        <v>36</v>
      </c>
      <c r="H1312" s="112">
        <v>500000</v>
      </c>
      <c r="I1312" s="112">
        <v>18000000</v>
      </c>
      <c r="J1312" s="99" t="s">
        <v>2384</v>
      </c>
      <c r="K1312" s="99" t="s">
        <v>69</v>
      </c>
    </row>
    <row r="1313" spans="2:11" x14ac:dyDescent="0.3">
      <c r="B1313" s="99" t="s">
        <v>859</v>
      </c>
      <c r="C1313" s="100">
        <v>45910</v>
      </c>
      <c r="D1313" s="99" t="s">
        <v>42</v>
      </c>
      <c r="E1313" s="99" t="s">
        <v>43</v>
      </c>
      <c r="F1313" s="99" t="s">
        <v>16</v>
      </c>
      <c r="G1313" s="99">
        <v>14</v>
      </c>
      <c r="H1313" s="112">
        <v>1200000</v>
      </c>
      <c r="I1313" s="112">
        <v>16800000</v>
      </c>
      <c r="J1313" s="99" t="s">
        <v>2431</v>
      </c>
      <c r="K1313" s="99" t="s">
        <v>127</v>
      </c>
    </row>
    <row r="1314" spans="2:11" x14ac:dyDescent="0.3">
      <c r="B1314" s="99" t="s">
        <v>891</v>
      </c>
      <c r="C1314" s="100">
        <v>45910</v>
      </c>
      <c r="D1314" s="99" t="s">
        <v>38</v>
      </c>
      <c r="E1314" s="99" t="s">
        <v>39</v>
      </c>
      <c r="F1314" s="99" t="s">
        <v>16</v>
      </c>
      <c r="G1314" s="99">
        <v>41</v>
      </c>
      <c r="H1314" s="112">
        <v>200000</v>
      </c>
      <c r="I1314" s="112">
        <v>8200000</v>
      </c>
      <c r="J1314" s="99" t="s">
        <v>2325</v>
      </c>
      <c r="K1314" s="99" t="s">
        <v>8</v>
      </c>
    </row>
    <row r="1315" spans="2:11" x14ac:dyDescent="0.3">
      <c r="B1315" s="99" t="s">
        <v>892</v>
      </c>
      <c r="C1315" s="100">
        <v>45910</v>
      </c>
      <c r="D1315" s="99" t="s">
        <v>28</v>
      </c>
      <c r="E1315" s="99" t="s">
        <v>29</v>
      </c>
      <c r="F1315" s="99" t="s">
        <v>20</v>
      </c>
      <c r="G1315" s="99">
        <v>20</v>
      </c>
      <c r="H1315" s="112">
        <v>450000</v>
      </c>
      <c r="I1315" s="112">
        <v>9000000</v>
      </c>
      <c r="J1315" s="99" t="s">
        <v>2654</v>
      </c>
      <c r="K1315" s="99" t="s">
        <v>60</v>
      </c>
    </row>
    <row r="1316" spans="2:11" x14ac:dyDescent="0.3">
      <c r="B1316" s="99" t="s">
        <v>912</v>
      </c>
      <c r="C1316" s="100">
        <v>45910</v>
      </c>
      <c r="D1316" s="99" t="s">
        <v>31</v>
      </c>
      <c r="E1316" s="99" t="s">
        <v>32</v>
      </c>
      <c r="F1316" s="99" t="s">
        <v>20</v>
      </c>
      <c r="G1316" s="99">
        <v>40</v>
      </c>
      <c r="H1316" s="112">
        <v>180000</v>
      </c>
      <c r="I1316" s="112">
        <v>7200000</v>
      </c>
      <c r="J1316" s="99" t="s">
        <v>2267</v>
      </c>
      <c r="K1316" s="99" t="s">
        <v>8</v>
      </c>
    </row>
    <row r="1317" spans="2:11" x14ac:dyDescent="0.3">
      <c r="B1317" s="99" t="s">
        <v>913</v>
      </c>
      <c r="C1317" s="100">
        <v>45910</v>
      </c>
      <c r="D1317" s="99" t="s">
        <v>14</v>
      </c>
      <c r="E1317" s="99" t="s">
        <v>15</v>
      </c>
      <c r="F1317" s="99" t="s">
        <v>16</v>
      </c>
      <c r="G1317" s="99">
        <v>220</v>
      </c>
      <c r="H1317" s="112">
        <v>350000</v>
      </c>
      <c r="I1317" s="112">
        <v>77000000</v>
      </c>
      <c r="J1317" s="99" t="s">
        <v>2432</v>
      </c>
      <c r="K1317" s="99" t="s">
        <v>8</v>
      </c>
    </row>
    <row r="1318" spans="2:11" x14ac:dyDescent="0.3">
      <c r="B1318" s="99" t="s">
        <v>914</v>
      </c>
      <c r="C1318" s="100">
        <v>45910</v>
      </c>
      <c r="D1318" s="99" t="s">
        <v>28</v>
      </c>
      <c r="E1318" s="99" t="s">
        <v>29</v>
      </c>
      <c r="F1318" s="99" t="s">
        <v>20</v>
      </c>
      <c r="G1318" s="99">
        <v>10</v>
      </c>
      <c r="H1318" s="112">
        <v>450000</v>
      </c>
      <c r="I1318" s="112">
        <v>4500000</v>
      </c>
      <c r="J1318" s="99" t="s">
        <v>2293</v>
      </c>
      <c r="K1318" s="99" t="s">
        <v>47</v>
      </c>
    </row>
    <row r="1319" spans="2:11" x14ac:dyDescent="0.3">
      <c r="B1319" s="99" t="s">
        <v>915</v>
      </c>
      <c r="C1319" s="100">
        <v>45910</v>
      </c>
      <c r="D1319" s="99" t="s">
        <v>18</v>
      </c>
      <c r="E1319" s="99" t="s">
        <v>19</v>
      </c>
      <c r="F1319" s="99" t="s">
        <v>20</v>
      </c>
      <c r="G1319" s="99">
        <v>50</v>
      </c>
      <c r="H1319" s="112">
        <v>500000</v>
      </c>
      <c r="I1319" s="112">
        <v>25000000</v>
      </c>
      <c r="J1319" s="99" t="s">
        <v>2718</v>
      </c>
      <c r="K1319" s="99" t="s">
        <v>60</v>
      </c>
    </row>
    <row r="1320" spans="2:11" x14ac:dyDescent="0.3">
      <c r="B1320" s="99" t="s">
        <v>916</v>
      </c>
      <c r="C1320" s="100">
        <v>45910</v>
      </c>
      <c r="D1320" s="99" t="s">
        <v>44</v>
      </c>
      <c r="E1320" s="99" t="s">
        <v>45</v>
      </c>
      <c r="F1320" s="99" t="s">
        <v>16</v>
      </c>
      <c r="G1320" s="99">
        <v>7</v>
      </c>
      <c r="H1320" s="112">
        <v>250000</v>
      </c>
      <c r="I1320" s="112">
        <v>1750000</v>
      </c>
      <c r="J1320" s="99" t="s">
        <v>2537</v>
      </c>
      <c r="K1320" s="99" t="s">
        <v>127</v>
      </c>
    </row>
    <row r="1321" spans="2:11" x14ac:dyDescent="0.3">
      <c r="B1321" s="99" t="s">
        <v>917</v>
      </c>
      <c r="C1321" s="100">
        <v>45910</v>
      </c>
      <c r="D1321" s="99" t="s">
        <v>44</v>
      </c>
      <c r="E1321" s="99" t="s">
        <v>45</v>
      </c>
      <c r="F1321" s="99" t="s">
        <v>16</v>
      </c>
      <c r="G1321" s="99">
        <v>27</v>
      </c>
      <c r="H1321" s="112">
        <v>250000</v>
      </c>
      <c r="I1321" s="112">
        <v>6750000</v>
      </c>
      <c r="J1321" s="99" t="s">
        <v>2242</v>
      </c>
      <c r="K1321" s="99" t="s">
        <v>127</v>
      </c>
    </row>
    <row r="1322" spans="2:11" x14ac:dyDescent="0.3">
      <c r="B1322" s="99" t="s">
        <v>918</v>
      </c>
      <c r="C1322" s="100">
        <v>45910</v>
      </c>
      <c r="D1322" s="99" t="s">
        <v>38</v>
      </c>
      <c r="E1322" s="99" t="s">
        <v>39</v>
      </c>
      <c r="F1322" s="99" t="s">
        <v>16</v>
      </c>
      <c r="G1322" s="99">
        <v>36</v>
      </c>
      <c r="H1322" s="112">
        <v>200000</v>
      </c>
      <c r="I1322" s="112">
        <v>7200000</v>
      </c>
      <c r="J1322" s="99" t="s">
        <v>2490</v>
      </c>
      <c r="K1322" s="99" t="s">
        <v>8</v>
      </c>
    </row>
    <row r="1323" spans="2:11" x14ac:dyDescent="0.3">
      <c r="B1323" s="99" t="s">
        <v>919</v>
      </c>
      <c r="C1323" s="100">
        <v>45911</v>
      </c>
      <c r="D1323" s="99" t="s">
        <v>31</v>
      </c>
      <c r="E1323" s="99" t="s">
        <v>32</v>
      </c>
      <c r="F1323" s="99" t="s">
        <v>20</v>
      </c>
      <c r="G1323" s="99">
        <v>34</v>
      </c>
      <c r="H1323" s="112">
        <v>180000</v>
      </c>
      <c r="I1323" s="112">
        <v>6120000</v>
      </c>
      <c r="J1323" s="99" t="s">
        <v>2301</v>
      </c>
      <c r="K1323" s="99" t="s">
        <v>8</v>
      </c>
    </row>
    <row r="1324" spans="2:11" x14ac:dyDescent="0.3">
      <c r="B1324" s="99" t="s">
        <v>948</v>
      </c>
      <c r="C1324" s="100">
        <v>45911</v>
      </c>
      <c r="D1324" s="99" t="s">
        <v>22</v>
      </c>
      <c r="E1324" s="99" t="s">
        <v>23</v>
      </c>
      <c r="F1324" s="99" t="s">
        <v>12</v>
      </c>
      <c r="G1324" s="99">
        <v>34</v>
      </c>
      <c r="H1324" s="112">
        <v>25000</v>
      </c>
      <c r="I1324" s="112">
        <v>850000</v>
      </c>
      <c r="J1324" s="99" t="s">
        <v>2807</v>
      </c>
      <c r="K1324" s="99" t="s">
        <v>60</v>
      </c>
    </row>
    <row r="1325" spans="2:11" x14ac:dyDescent="0.3">
      <c r="B1325" s="99" t="s">
        <v>949</v>
      </c>
      <c r="C1325" s="100">
        <v>45911</v>
      </c>
      <c r="D1325" s="99" t="s">
        <v>28</v>
      </c>
      <c r="E1325" s="99" t="s">
        <v>29</v>
      </c>
      <c r="F1325" s="99" t="s">
        <v>20</v>
      </c>
      <c r="G1325" s="99">
        <v>38</v>
      </c>
      <c r="H1325" s="112">
        <v>450000</v>
      </c>
      <c r="I1325" s="112">
        <v>17100000</v>
      </c>
      <c r="J1325" s="99" t="s">
        <v>2763</v>
      </c>
      <c r="K1325" s="99" t="s">
        <v>127</v>
      </c>
    </row>
    <row r="1326" spans="2:11" x14ac:dyDescent="0.3">
      <c r="B1326" s="99" t="s">
        <v>950</v>
      </c>
      <c r="C1326" s="100">
        <v>45911</v>
      </c>
      <c r="D1326" s="99" t="s">
        <v>22</v>
      </c>
      <c r="E1326" s="99" t="s">
        <v>23</v>
      </c>
      <c r="F1326" s="99" t="s">
        <v>12</v>
      </c>
      <c r="G1326" s="99">
        <v>36</v>
      </c>
      <c r="H1326" s="112">
        <v>25000</v>
      </c>
      <c r="I1326" s="112">
        <v>900000</v>
      </c>
      <c r="J1326" s="99" t="s">
        <v>2188</v>
      </c>
      <c r="K1326" s="99" t="s">
        <v>8</v>
      </c>
    </row>
    <row r="1327" spans="2:11" x14ac:dyDescent="0.3">
      <c r="B1327" s="99" t="s">
        <v>951</v>
      </c>
      <c r="C1327" s="100">
        <v>45911</v>
      </c>
      <c r="D1327" s="99" t="s">
        <v>14</v>
      </c>
      <c r="E1327" s="99" t="s">
        <v>15</v>
      </c>
      <c r="F1327" s="99" t="s">
        <v>16</v>
      </c>
      <c r="G1327" s="99">
        <v>35</v>
      </c>
      <c r="H1327" s="112">
        <v>350000</v>
      </c>
      <c r="I1327" s="112">
        <v>12250000</v>
      </c>
      <c r="J1327" s="99" t="s">
        <v>2585</v>
      </c>
      <c r="K1327" s="99" t="s">
        <v>8</v>
      </c>
    </row>
    <row r="1328" spans="2:11" x14ac:dyDescent="0.3">
      <c r="B1328" s="99" t="s">
        <v>989</v>
      </c>
      <c r="C1328" s="100">
        <v>45911</v>
      </c>
      <c r="D1328" s="99" t="s">
        <v>28</v>
      </c>
      <c r="E1328" s="99" t="s">
        <v>29</v>
      </c>
      <c r="F1328" s="99" t="s">
        <v>20</v>
      </c>
      <c r="G1328" s="99">
        <v>39</v>
      </c>
      <c r="H1328" s="112">
        <v>450000</v>
      </c>
      <c r="I1328" s="112">
        <v>17550000</v>
      </c>
      <c r="J1328" s="99" t="s">
        <v>2453</v>
      </c>
      <c r="K1328" s="99" t="s">
        <v>8</v>
      </c>
    </row>
    <row r="1329" spans="2:11" x14ac:dyDescent="0.3">
      <c r="B1329" s="99" t="s">
        <v>990</v>
      </c>
      <c r="C1329" s="100">
        <v>45911</v>
      </c>
      <c r="D1329" s="99" t="s">
        <v>14</v>
      </c>
      <c r="E1329" s="99" t="s">
        <v>15</v>
      </c>
      <c r="F1329" s="99" t="s">
        <v>16</v>
      </c>
      <c r="G1329" s="99">
        <v>39</v>
      </c>
      <c r="H1329" s="112">
        <v>350000</v>
      </c>
      <c r="I1329" s="112">
        <v>13650000</v>
      </c>
      <c r="J1329" s="99" t="s">
        <v>2503</v>
      </c>
      <c r="K1329" s="99" t="s">
        <v>8</v>
      </c>
    </row>
    <row r="1330" spans="2:11" x14ac:dyDescent="0.3">
      <c r="B1330" s="99" t="s">
        <v>991</v>
      </c>
      <c r="C1330" s="100">
        <v>45911</v>
      </c>
      <c r="D1330" s="99" t="s">
        <v>28</v>
      </c>
      <c r="E1330" s="99" t="s">
        <v>29</v>
      </c>
      <c r="F1330" s="99" t="s">
        <v>20</v>
      </c>
      <c r="G1330" s="99">
        <v>35</v>
      </c>
      <c r="H1330" s="112">
        <v>450000</v>
      </c>
      <c r="I1330" s="112">
        <v>15750000</v>
      </c>
      <c r="J1330" s="99" t="s">
        <v>2534</v>
      </c>
      <c r="K1330" s="99" t="s">
        <v>60</v>
      </c>
    </row>
    <row r="1331" spans="2:11" x14ac:dyDescent="0.3">
      <c r="B1331" s="99" t="s">
        <v>992</v>
      </c>
      <c r="C1331" s="100">
        <v>45911</v>
      </c>
      <c r="D1331" s="99" t="s">
        <v>14</v>
      </c>
      <c r="E1331" s="99" t="s">
        <v>15</v>
      </c>
      <c r="F1331" s="99" t="s">
        <v>16</v>
      </c>
      <c r="G1331" s="99">
        <v>21</v>
      </c>
      <c r="H1331" s="112">
        <v>350000</v>
      </c>
      <c r="I1331" s="112">
        <v>7350000</v>
      </c>
      <c r="J1331" s="99" t="s">
        <v>2168</v>
      </c>
      <c r="K1331" s="99" t="s">
        <v>127</v>
      </c>
    </row>
    <row r="1332" spans="2:11" x14ac:dyDescent="0.3">
      <c r="B1332" s="99" t="s">
        <v>993</v>
      </c>
      <c r="C1332" s="100">
        <v>45911</v>
      </c>
      <c r="D1332" s="99" t="s">
        <v>38</v>
      </c>
      <c r="E1332" s="99" t="s">
        <v>39</v>
      </c>
      <c r="F1332" s="99" t="s">
        <v>16</v>
      </c>
      <c r="G1332" s="99">
        <v>130</v>
      </c>
      <c r="H1332" s="112">
        <v>200000</v>
      </c>
      <c r="I1332" s="112">
        <v>26000000</v>
      </c>
      <c r="J1332" s="99" t="s">
        <v>2624</v>
      </c>
      <c r="K1332" s="99" t="s">
        <v>60</v>
      </c>
    </row>
    <row r="1333" spans="2:11" x14ac:dyDescent="0.3">
      <c r="B1333" s="99" t="s">
        <v>1028</v>
      </c>
      <c r="C1333" s="100">
        <v>45911</v>
      </c>
      <c r="D1333" s="99" t="s">
        <v>10</v>
      </c>
      <c r="E1333" s="99" t="s">
        <v>11</v>
      </c>
      <c r="F1333" s="99" t="s">
        <v>12</v>
      </c>
      <c r="G1333" s="99">
        <v>44</v>
      </c>
      <c r="H1333" s="112">
        <v>120000</v>
      </c>
      <c r="I1333" s="112">
        <v>5280000</v>
      </c>
      <c r="J1333" s="99" t="s">
        <v>2379</v>
      </c>
      <c r="K1333" s="99" t="s">
        <v>127</v>
      </c>
    </row>
    <row r="1334" spans="2:11" x14ac:dyDescent="0.3">
      <c r="B1334" s="99" t="s">
        <v>1029</v>
      </c>
      <c r="C1334" s="100">
        <v>45911</v>
      </c>
      <c r="D1334" s="99" t="s">
        <v>28</v>
      </c>
      <c r="E1334" s="99" t="s">
        <v>29</v>
      </c>
      <c r="F1334" s="99" t="s">
        <v>20</v>
      </c>
      <c r="G1334" s="99">
        <v>23</v>
      </c>
      <c r="H1334" s="112">
        <v>450000</v>
      </c>
      <c r="I1334" s="112">
        <v>10350000</v>
      </c>
      <c r="J1334" s="99" t="s">
        <v>2574</v>
      </c>
      <c r="K1334" s="99" t="s">
        <v>60</v>
      </c>
    </row>
    <row r="1335" spans="2:11" x14ac:dyDescent="0.3">
      <c r="B1335" s="99" t="s">
        <v>1030</v>
      </c>
      <c r="C1335" s="100">
        <v>45911</v>
      </c>
      <c r="D1335" s="99" t="s">
        <v>28</v>
      </c>
      <c r="E1335" s="99" t="s">
        <v>29</v>
      </c>
      <c r="F1335" s="99" t="s">
        <v>20</v>
      </c>
      <c r="G1335" s="99">
        <v>39</v>
      </c>
      <c r="H1335" s="112">
        <v>450000</v>
      </c>
      <c r="I1335" s="112">
        <v>17550000</v>
      </c>
      <c r="J1335" s="99" t="s">
        <v>2651</v>
      </c>
      <c r="K1335" s="99" t="s">
        <v>47</v>
      </c>
    </row>
    <row r="1336" spans="2:11" x14ac:dyDescent="0.3">
      <c r="B1336" s="99" t="s">
        <v>1062</v>
      </c>
      <c r="C1336" s="100">
        <v>45912</v>
      </c>
      <c r="D1336" s="99" t="s">
        <v>31</v>
      </c>
      <c r="E1336" s="99" t="s">
        <v>32</v>
      </c>
      <c r="F1336" s="99" t="s">
        <v>20</v>
      </c>
      <c r="G1336" s="99">
        <v>17</v>
      </c>
      <c r="H1336" s="112">
        <v>180000</v>
      </c>
      <c r="I1336" s="112">
        <v>3060000</v>
      </c>
      <c r="J1336" s="99" t="s">
        <v>2343</v>
      </c>
      <c r="K1336" s="99" t="s">
        <v>8</v>
      </c>
    </row>
    <row r="1337" spans="2:11" x14ac:dyDescent="0.3">
      <c r="B1337" s="99" t="s">
        <v>1063</v>
      </c>
      <c r="C1337" s="100">
        <v>45912</v>
      </c>
      <c r="D1337" s="99" t="s">
        <v>22</v>
      </c>
      <c r="E1337" s="99" t="s">
        <v>23</v>
      </c>
      <c r="F1337" s="99" t="s">
        <v>12</v>
      </c>
      <c r="G1337" s="99">
        <v>49</v>
      </c>
      <c r="H1337" s="112">
        <v>25000</v>
      </c>
      <c r="I1337" s="112">
        <v>1225000</v>
      </c>
      <c r="J1337" s="99" t="s">
        <v>2317</v>
      </c>
      <c r="K1337" s="99" t="s">
        <v>47</v>
      </c>
    </row>
    <row r="1338" spans="2:11" x14ac:dyDescent="0.3">
      <c r="B1338" s="99" t="s">
        <v>1064</v>
      </c>
      <c r="C1338" s="100">
        <v>45912</v>
      </c>
      <c r="D1338" s="99" t="s">
        <v>28</v>
      </c>
      <c r="E1338" s="99" t="s">
        <v>29</v>
      </c>
      <c r="F1338" s="99" t="s">
        <v>20</v>
      </c>
      <c r="G1338" s="99">
        <v>25</v>
      </c>
      <c r="H1338" s="112">
        <v>450000</v>
      </c>
      <c r="I1338" s="112">
        <v>11250000</v>
      </c>
      <c r="J1338" s="99" t="s">
        <v>1977</v>
      </c>
      <c r="K1338" s="99" t="s">
        <v>8</v>
      </c>
    </row>
    <row r="1339" spans="2:11" x14ac:dyDescent="0.3">
      <c r="B1339" s="99" t="s">
        <v>1065</v>
      </c>
      <c r="C1339" s="100">
        <v>45912</v>
      </c>
      <c r="D1339" s="99" t="s">
        <v>44</v>
      </c>
      <c r="E1339" s="99" t="s">
        <v>45</v>
      </c>
      <c r="F1339" s="99" t="s">
        <v>16</v>
      </c>
      <c r="G1339" s="99">
        <v>9</v>
      </c>
      <c r="H1339" s="112">
        <v>250000</v>
      </c>
      <c r="I1339" s="112">
        <v>2250000</v>
      </c>
      <c r="J1339" s="99" t="s">
        <v>2553</v>
      </c>
      <c r="K1339" s="99" t="s">
        <v>127</v>
      </c>
    </row>
    <row r="1340" spans="2:11" x14ac:dyDescent="0.3">
      <c r="B1340" s="99" t="s">
        <v>1066</v>
      </c>
      <c r="C1340" s="100">
        <v>45912</v>
      </c>
      <c r="D1340" s="99" t="s">
        <v>14</v>
      </c>
      <c r="E1340" s="99" t="s">
        <v>15</v>
      </c>
      <c r="F1340" s="99" t="s">
        <v>16</v>
      </c>
      <c r="G1340" s="99">
        <v>25</v>
      </c>
      <c r="H1340" s="112">
        <v>350000</v>
      </c>
      <c r="I1340" s="112">
        <v>8750000</v>
      </c>
      <c r="J1340" s="99" t="s">
        <v>2125</v>
      </c>
      <c r="K1340" s="99" t="s">
        <v>47</v>
      </c>
    </row>
    <row r="1341" spans="2:11" x14ac:dyDescent="0.3">
      <c r="B1341" s="99" t="s">
        <v>1067</v>
      </c>
      <c r="C1341" s="100">
        <v>45912</v>
      </c>
      <c r="D1341" s="99" t="s">
        <v>40</v>
      </c>
      <c r="E1341" s="99" t="s">
        <v>41</v>
      </c>
      <c r="F1341" s="99" t="s">
        <v>16</v>
      </c>
      <c r="G1341" s="99">
        <v>220</v>
      </c>
      <c r="H1341" s="112">
        <v>950000</v>
      </c>
      <c r="I1341" s="112">
        <v>209000000</v>
      </c>
      <c r="J1341" s="99" t="s">
        <v>2162</v>
      </c>
      <c r="K1341" s="99" t="s">
        <v>8</v>
      </c>
    </row>
    <row r="1342" spans="2:11" x14ac:dyDescent="0.3">
      <c r="B1342" s="99" t="s">
        <v>1068</v>
      </c>
      <c r="C1342" s="100">
        <v>45912</v>
      </c>
      <c r="D1342" s="99" t="s">
        <v>28</v>
      </c>
      <c r="E1342" s="99" t="s">
        <v>29</v>
      </c>
      <c r="F1342" s="99" t="s">
        <v>20</v>
      </c>
      <c r="G1342" s="99">
        <v>19</v>
      </c>
      <c r="H1342" s="112">
        <v>450000</v>
      </c>
      <c r="I1342" s="112">
        <v>8550000</v>
      </c>
      <c r="J1342" s="99" t="s">
        <v>2537</v>
      </c>
      <c r="K1342" s="99" t="s">
        <v>127</v>
      </c>
    </row>
    <row r="1343" spans="2:11" x14ac:dyDescent="0.3">
      <c r="B1343" s="99" t="s">
        <v>1069</v>
      </c>
      <c r="C1343" s="100">
        <v>45912</v>
      </c>
      <c r="D1343" s="99" t="s">
        <v>44</v>
      </c>
      <c r="E1343" s="99" t="s">
        <v>45</v>
      </c>
      <c r="F1343" s="99" t="s">
        <v>16</v>
      </c>
      <c r="G1343" s="99">
        <v>35</v>
      </c>
      <c r="H1343" s="112">
        <v>250000</v>
      </c>
      <c r="I1343" s="112">
        <v>8750000</v>
      </c>
      <c r="J1343" s="99" t="s">
        <v>2760</v>
      </c>
      <c r="K1343" s="99" t="s">
        <v>60</v>
      </c>
    </row>
    <row r="1344" spans="2:11" x14ac:dyDescent="0.3">
      <c r="B1344" s="99" t="s">
        <v>1070</v>
      </c>
      <c r="C1344" s="100">
        <v>45912</v>
      </c>
      <c r="D1344" s="99" t="s">
        <v>18</v>
      </c>
      <c r="E1344" s="99" t="s">
        <v>19</v>
      </c>
      <c r="F1344" s="99" t="s">
        <v>20</v>
      </c>
      <c r="G1344" s="99">
        <v>28</v>
      </c>
      <c r="H1344" s="112">
        <v>500000</v>
      </c>
      <c r="I1344" s="112">
        <v>14000000</v>
      </c>
      <c r="J1344" s="99" t="s">
        <v>2331</v>
      </c>
      <c r="K1344" s="99" t="s">
        <v>47</v>
      </c>
    </row>
    <row r="1345" spans="2:11" x14ac:dyDescent="0.3">
      <c r="B1345" s="99" t="s">
        <v>1099</v>
      </c>
      <c r="C1345" s="100">
        <v>45912</v>
      </c>
      <c r="D1345" s="99" t="s">
        <v>10</v>
      </c>
      <c r="E1345" s="99" t="s">
        <v>11</v>
      </c>
      <c r="F1345" s="99" t="s">
        <v>12</v>
      </c>
      <c r="G1345" s="99">
        <v>41</v>
      </c>
      <c r="H1345" s="112">
        <v>120000</v>
      </c>
      <c r="I1345" s="112">
        <v>4920000</v>
      </c>
      <c r="J1345" s="99" t="s">
        <v>1716</v>
      </c>
      <c r="K1345" s="99" t="s">
        <v>127</v>
      </c>
    </row>
    <row r="1346" spans="2:11" x14ac:dyDescent="0.3">
      <c r="B1346" s="99" t="s">
        <v>1100</v>
      </c>
      <c r="C1346" s="100">
        <v>45912</v>
      </c>
      <c r="D1346" s="99" t="s">
        <v>31</v>
      </c>
      <c r="E1346" s="99" t="s">
        <v>32</v>
      </c>
      <c r="F1346" s="99" t="s">
        <v>20</v>
      </c>
      <c r="G1346" s="99">
        <v>33</v>
      </c>
      <c r="H1346" s="112">
        <v>180000</v>
      </c>
      <c r="I1346" s="112">
        <v>5940000</v>
      </c>
      <c r="J1346" s="99" t="s">
        <v>2761</v>
      </c>
      <c r="K1346" s="99" t="s">
        <v>69</v>
      </c>
    </row>
    <row r="1347" spans="2:11" x14ac:dyDescent="0.3">
      <c r="B1347" s="99" t="s">
        <v>1101</v>
      </c>
      <c r="C1347" s="100">
        <v>45912</v>
      </c>
      <c r="D1347" s="99" t="s">
        <v>44</v>
      </c>
      <c r="E1347" s="99" t="s">
        <v>45</v>
      </c>
      <c r="F1347" s="99" t="s">
        <v>16</v>
      </c>
      <c r="G1347" s="99">
        <v>42</v>
      </c>
      <c r="H1347" s="112">
        <v>250000</v>
      </c>
      <c r="I1347" s="112">
        <v>10500000</v>
      </c>
      <c r="J1347" s="99" t="s">
        <v>2192</v>
      </c>
      <c r="K1347" s="99" t="s">
        <v>8</v>
      </c>
    </row>
    <row r="1348" spans="2:11" x14ac:dyDescent="0.3">
      <c r="B1348" s="99" t="s">
        <v>1102</v>
      </c>
      <c r="C1348" s="100">
        <v>45912</v>
      </c>
      <c r="D1348" s="99" t="s">
        <v>22</v>
      </c>
      <c r="E1348" s="99" t="s">
        <v>23</v>
      </c>
      <c r="F1348" s="99" t="s">
        <v>12</v>
      </c>
      <c r="G1348" s="99">
        <v>35</v>
      </c>
      <c r="H1348" s="112">
        <v>25000</v>
      </c>
      <c r="I1348" s="112">
        <v>875000</v>
      </c>
      <c r="J1348" s="99" t="s">
        <v>1970</v>
      </c>
      <c r="K1348" s="99" t="s">
        <v>127</v>
      </c>
    </row>
    <row r="1349" spans="2:11" x14ac:dyDescent="0.3">
      <c r="B1349" s="99" t="s">
        <v>1103</v>
      </c>
      <c r="C1349" s="100">
        <v>45912</v>
      </c>
      <c r="D1349" s="99" t="s">
        <v>40</v>
      </c>
      <c r="E1349" s="99" t="s">
        <v>41</v>
      </c>
      <c r="F1349" s="99" t="s">
        <v>16</v>
      </c>
      <c r="G1349" s="99">
        <v>18</v>
      </c>
      <c r="H1349" s="112">
        <v>950000</v>
      </c>
      <c r="I1349" s="112">
        <v>17100000</v>
      </c>
      <c r="J1349" s="99" t="s">
        <v>2305</v>
      </c>
      <c r="K1349" s="99" t="s">
        <v>8</v>
      </c>
    </row>
    <row r="1350" spans="2:11" x14ac:dyDescent="0.3">
      <c r="B1350" s="99" t="s">
        <v>1104</v>
      </c>
      <c r="C1350" s="100">
        <v>45912</v>
      </c>
      <c r="D1350" s="99" t="s">
        <v>14</v>
      </c>
      <c r="E1350" s="99" t="s">
        <v>15</v>
      </c>
      <c r="F1350" s="99" t="s">
        <v>16</v>
      </c>
      <c r="G1350" s="99">
        <v>310</v>
      </c>
      <c r="H1350" s="112">
        <v>350000</v>
      </c>
      <c r="I1350" s="112">
        <v>108500000</v>
      </c>
      <c r="J1350" s="99" t="s">
        <v>2567</v>
      </c>
      <c r="K1350" s="99" t="s">
        <v>8</v>
      </c>
    </row>
    <row r="1351" spans="2:11" x14ac:dyDescent="0.3">
      <c r="B1351" s="99" t="s">
        <v>1105</v>
      </c>
      <c r="C1351" s="100">
        <v>45915</v>
      </c>
      <c r="D1351" s="99" t="s">
        <v>18</v>
      </c>
      <c r="E1351" s="99" t="s">
        <v>19</v>
      </c>
      <c r="F1351" s="99" t="s">
        <v>20</v>
      </c>
      <c r="G1351" s="99">
        <v>470</v>
      </c>
      <c r="H1351" s="112">
        <v>500000</v>
      </c>
      <c r="I1351" s="112">
        <v>235000000</v>
      </c>
      <c r="J1351" s="99" t="s">
        <v>2533</v>
      </c>
      <c r="K1351" s="99" t="s">
        <v>8</v>
      </c>
    </row>
    <row r="1352" spans="2:11" x14ac:dyDescent="0.3">
      <c r="B1352" s="99" t="s">
        <v>1106</v>
      </c>
      <c r="C1352" s="100">
        <v>45915</v>
      </c>
      <c r="D1352" s="99" t="s">
        <v>44</v>
      </c>
      <c r="E1352" s="99" t="s">
        <v>45</v>
      </c>
      <c r="F1352" s="99" t="s">
        <v>16</v>
      </c>
      <c r="G1352" s="99">
        <v>8</v>
      </c>
      <c r="H1352" s="112">
        <v>250000</v>
      </c>
      <c r="I1352" s="112">
        <v>2000000</v>
      </c>
      <c r="J1352" s="99" t="s">
        <v>2818</v>
      </c>
      <c r="K1352" s="99" t="s">
        <v>127</v>
      </c>
    </row>
    <row r="1353" spans="2:11" x14ac:dyDescent="0.3">
      <c r="B1353" s="99" t="s">
        <v>1107</v>
      </c>
      <c r="C1353" s="100">
        <v>45915</v>
      </c>
      <c r="D1353" s="99" t="s">
        <v>40</v>
      </c>
      <c r="E1353" s="99" t="s">
        <v>41</v>
      </c>
      <c r="F1353" s="99" t="s">
        <v>16</v>
      </c>
      <c r="G1353" s="99">
        <v>49</v>
      </c>
      <c r="H1353" s="112">
        <v>950000</v>
      </c>
      <c r="I1353" s="112">
        <v>46550000</v>
      </c>
      <c r="J1353" s="99" t="s">
        <v>2217</v>
      </c>
      <c r="K1353" s="99" t="s">
        <v>8</v>
      </c>
    </row>
    <row r="1354" spans="2:11" x14ac:dyDescent="0.3">
      <c r="B1354" s="99" t="s">
        <v>1145</v>
      </c>
      <c r="C1354" s="100">
        <v>45915</v>
      </c>
      <c r="D1354" s="99" t="s">
        <v>38</v>
      </c>
      <c r="E1354" s="99" t="s">
        <v>39</v>
      </c>
      <c r="F1354" s="99" t="s">
        <v>16</v>
      </c>
      <c r="G1354" s="99">
        <v>17</v>
      </c>
      <c r="H1354" s="112">
        <v>200000</v>
      </c>
      <c r="I1354" s="112">
        <v>3400000</v>
      </c>
      <c r="J1354" s="99" t="s">
        <v>2263</v>
      </c>
      <c r="K1354" s="99" t="s">
        <v>8</v>
      </c>
    </row>
    <row r="1355" spans="2:11" x14ac:dyDescent="0.3">
      <c r="B1355" s="99" t="s">
        <v>1146</v>
      </c>
      <c r="C1355" s="100">
        <v>45915</v>
      </c>
      <c r="D1355" s="99" t="s">
        <v>42</v>
      </c>
      <c r="E1355" s="99" t="s">
        <v>43</v>
      </c>
      <c r="F1355" s="99" t="s">
        <v>16</v>
      </c>
      <c r="G1355" s="99">
        <v>27</v>
      </c>
      <c r="H1355" s="112">
        <v>1200000</v>
      </c>
      <c r="I1355" s="112">
        <v>32400000</v>
      </c>
      <c r="J1355" s="99" t="s">
        <v>2797</v>
      </c>
      <c r="K1355" s="99" t="s">
        <v>47</v>
      </c>
    </row>
    <row r="1356" spans="2:11" x14ac:dyDescent="0.3">
      <c r="B1356" s="99" t="s">
        <v>1147</v>
      </c>
      <c r="C1356" s="100">
        <v>45915</v>
      </c>
      <c r="D1356" s="99" t="s">
        <v>38</v>
      </c>
      <c r="E1356" s="99" t="s">
        <v>39</v>
      </c>
      <c r="F1356" s="99" t="s">
        <v>16</v>
      </c>
      <c r="G1356" s="99">
        <v>8</v>
      </c>
      <c r="H1356" s="112">
        <v>200000</v>
      </c>
      <c r="I1356" s="112">
        <v>1600000</v>
      </c>
      <c r="J1356" s="99" t="s">
        <v>2667</v>
      </c>
      <c r="K1356" s="99" t="s">
        <v>8</v>
      </c>
    </row>
    <row r="1357" spans="2:11" x14ac:dyDescent="0.3">
      <c r="B1357" s="99" t="s">
        <v>1148</v>
      </c>
      <c r="C1357" s="100">
        <v>45915</v>
      </c>
      <c r="D1357" s="99" t="s">
        <v>22</v>
      </c>
      <c r="E1357" s="99" t="s">
        <v>23</v>
      </c>
      <c r="F1357" s="99" t="s">
        <v>12</v>
      </c>
      <c r="G1357" s="99">
        <v>6</v>
      </c>
      <c r="H1357" s="112">
        <v>25000</v>
      </c>
      <c r="I1357" s="112">
        <v>150000</v>
      </c>
      <c r="J1357" s="99" t="s">
        <v>307</v>
      </c>
      <c r="K1357" s="99" t="s">
        <v>127</v>
      </c>
    </row>
    <row r="1358" spans="2:11" x14ac:dyDescent="0.3">
      <c r="B1358" s="99" t="s">
        <v>1149</v>
      </c>
      <c r="C1358" s="100">
        <v>45917</v>
      </c>
      <c r="D1358" s="99" t="s">
        <v>38</v>
      </c>
      <c r="E1358" s="99" t="s">
        <v>39</v>
      </c>
      <c r="F1358" s="99" t="s">
        <v>16</v>
      </c>
      <c r="G1358" s="99">
        <v>45</v>
      </c>
      <c r="H1358" s="112">
        <v>200000</v>
      </c>
      <c r="I1358" s="112">
        <v>9000000</v>
      </c>
      <c r="J1358" s="99" t="s">
        <v>2662</v>
      </c>
      <c r="K1358" s="99" t="s">
        <v>127</v>
      </c>
    </row>
    <row r="1359" spans="2:11" x14ac:dyDescent="0.3">
      <c r="B1359" s="99" t="s">
        <v>1150</v>
      </c>
      <c r="C1359" s="100">
        <v>45917</v>
      </c>
      <c r="D1359" s="99" t="s">
        <v>14</v>
      </c>
      <c r="E1359" s="99" t="s">
        <v>15</v>
      </c>
      <c r="F1359" s="99" t="s">
        <v>16</v>
      </c>
      <c r="G1359" s="99">
        <v>5</v>
      </c>
      <c r="H1359" s="112">
        <v>350000</v>
      </c>
      <c r="I1359" s="112">
        <v>1750000</v>
      </c>
      <c r="J1359" s="99" t="s">
        <v>2649</v>
      </c>
      <c r="K1359" s="99" t="s">
        <v>60</v>
      </c>
    </row>
    <row r="1360" spans="2:11" x14ac:dyDescent="0.3">
      <c r="B1360" s="99" t="s">
        <v>1151</v>
      </c>
      <c r="C1360" s="100">
        <v>45917</v>
      </c>
      <c r="D1360" s="99" t="s">
        <v>18</v>
      </c>
      <c r="E1360" s="99" t="s">
        <v>19</v>
      </c>
      <c r="F1360" s="99" t="s">
        <v>20</v>
      </c>
      <c r="G1360" s="99">
        <v>18</v>
      </c>
      <c r="H1360" s="112">
        <v>500000</v>
      </c>
      <c r="I1360" s="112">
        <v>9000000</v>
      </c>
      <c r="J1360" s="99" t="s">
        <v>2660</v>
      </c>
      <c r="K1360" s="99" t="s">
        <v>69</v>
      </c>
    </row>
    <row r="1361" spans="2:11" x14ac:dyDescent="0.3">
      <c r="B1361" s="99" t="s">
        <v>1152</v>
      </c>
      <c r="C1361" s="100">
        <v>45917</v>
      </c>
      <c r="D1361" s="99" t="s">
        <v>14</v>
      </c>
      <c r="E1361" s="99" t="s">
        <v>15</v>
      </c>
      <c r="F1361" s="99" t="s">
        <v>16</v>
      </c>
      <c r="G1361" s="99">
        <v>23</v>
      </c>
      <c r="H1361" s="112">
        <v>350000</v>
      </c>
      <c r="I1361" s="112">
        <v>8050000</v>
      </c>
      <c r="J1361" s="99" t="s">
        <v>2221</v>
      </c>
      <c r="K1361" s="99" t="s">
        <v>60</v>
      </c>
    </row>
    <row r="1362" spans="2:11" x14ac:dyDescent="0.3">
      <c r="B1362" s="99" t="s">
        <v>1153</v>
      </c>
      <c r="C1362" s="100">
        <v>45917</v>
      </c>
      <c r="D1362" s="99" t="s">
        <v>14</v>
      </c>
      <c r="E1362" s="99" t="s">
        <v>15</v>
      </c>
      <c r="F1362" s="99" t="s">
        <v>16</v>
      </c>
      <c r="G1362" s="99">
        <v>370</v>
      </c>
      <c r="H1362" s="112">
        <v>350000</v>
      </c>
      <c r="I1362" s="112">
        <v>129500000</v>
      </c>
      <c r="J1362" s="99" t="s">
        <v>2686</v>
      </c>
      <c r="K1362" s="99" t="s">
        <v>8</v>
      </c>
    </row>
    <row r="1363" spans="2:11" x14ac:dyDescent="0.3">
      <c r="B1363" s="99" t="s">
        <v>1154</v>
      </c>
      <c r="C1363" s="100">
        <v>45917</v>
      </c>
      <c r="D1363" s="99" t="s">
        <v>10</v>
      </c>
      <c r="E1363" s="99" t="s">
        <v>11</v>
      </c>
      <c r="F1363" s="99" t="s">
        <v>12</v>
      </c>
      <c r="G1363" s="99">
        <v>10</v>
      </c>
      <c r="H1363" s="112">
        <v>120000</v>
      </c>
      <c r="I1363" s="112">
        <v>1200000</v>
      </c>
      <c r="J1363" s="99" t="s">
        <v>2464</v>
      </c>
      <c r="K1363" s="99" t="s">
        <v>8</v>
      </c>
    </row>
    <row r="1364" spans="2:11" x14ac:dyDescent="0.3">
      <c r="B1364" s="99" t="s">
        <v>1176</v>
      </c>
      <c r="C1364" s="100">
        <v>45917</v>
      </c>
      <c r="D1364" s="99" t="s">
        <v>31</v>
      </c>
      <c r="E1364" s="99" t="s">
        <v>32</v>
      </c>
      <c r="F1364" s="99" t="s">
        <v>20</v>
      </c>
      <c r="G1364" s="99">
        <v>12</v>
      </c>
      <c r="H1364" s="112">
        <v>180000</v>
      </c>
      <c r="I1364" s="112">
        <v>2160000</v>
      </c>
      <c r="J1364" s="99" t="s">
        <v>2817</v>
      </c>
      <c r="K1364" s="99" t="s">
        <v>127</v>
      </c>
    </row>
    <row r="1365" spans="2:11" x14ac:dyDescent="0.3">
      <c r="B1365" s="99" t="s">
        <v>1177</v>
      </c>
      <c r="C1365" s="100">
        <v>45918</v>
      </c>
      <c r="D1365" s="99" t="s">
        <v>18</v>
      </c>
      <c r="E1365" s="99" t="s">
        <v>19</v>
      </c>
      <c r="F1365" s="99" t="s">
        <v>20</v>
      </c>
      <c r="G1365" s="99">
        <v>28</v>
      </c>
      <c r="H1365" s="112">
        <v>500000</v>
      </c>
      <c r="I1365" s="112">
        <v>14000000</v>
      </c>
      <c r="J1365" s="99" t="s">
        <v>2356</v>
      </c>
      <c r="K1365" s="99" t="s">
        <v>8</v>
      </c>
    </row>
    <row r="1366" spans="2:11" x14ac:dyDescent="0.3">
      <c r="B1366" s="99" t="s">
        <v>1178</v>
      </c>
      <c r="C1366" s="100">
        <v>45918</v>
      </c>
      <c r="D1366" s="99" t="s">
        <v>42</v>
      </c>
      <c r="E1366" s="99" t="s">
        <v>43</v>
      </c>
      <c r="F1366" s="99" t="s">
        <v>16</v>
      </c>
      <c r="G1366" s="99">
        <v>42</v>
      </c>
      <c r="H1366" s="112">
        <v>1200000</v>
      </c>
      <c r="I1366" s="112">
        <v>50400000</v>
      </c>
      <c r="J1366" s="99" t="s">
        <v>2846</v>
      </c>
      <c r="K1366" s="99" t="s">
        <v>127</v>
      </c>
    </row>
    <row r="1367" spans="2:11" x14ac:dyDescent="0.3">
      <c r="B1367" s="99" t="s">
        <v>1179</v>
      </c>
      <c r="C1367" s="100">
        <v>45918</v>
      </c>
      <c r="D1367" s="99" t="s">
        <v>38</v>
      </c>
      <c r="E1367" s="99" t="s">
        <v>39</v>
      </c>
      <c r="F1367" s="99" t="s">
        <v>16</v>
      </c>
      <c r="G1367" s="99">
        <v>130</v>
      </c>
      <c r="H1367" s="112">
        <v>200000</v>
      </c>
      <c r="I1367" s="112">
        <v>26000000</v>
      </c>
      <c r="J1367" s="99" t="s">
        <v>2695</v>
      </c>
      <c r="K1367" s="99" t="s">
        <v>8</v>
      </c>
    </row>
    <row r="1368" spans="2:11" x14ac:dyDescent="0.3">
      <c r="B1368" s="99" t="s">
        <v>1180</v>
      </c>
      <c r="C1368" s="100">
        <v>45918</v>
      </c>
      <c r="D1368" s="99" t="s">
        <v>28</v>
      </c>
      <c r="E1368" s="99" t="s">
        <v>29</v>
      </c>
      <c r="F1368" s="99" t="s">
        <v>20</v>
      </c>
      <c r="G1368" s="99">
        <v>18</v>
      </c>
      <c r="H1368" s="112">
        <v>450000</v>
      </c>
      <c r="I1368" s="112">
        <v>8100000</v>
      </c>
      <c r="J1368" s="99" t="s">
        <v>2452</v>
      </c>
      <c r="K1368" s="99" t="s">
        <v>47</v>
      </c>
    </row>
    <row r="1369" spans="2:11" x14ac:dyDescent="0.3">
      <c r="B1369" s="99" t="s">
        <v>1181</v>
      </c>
      <c r="C1369" s="100">
        <v>45918</v>
      </c>
      <c r="D1369" s="99" t="s">
        <v>18</v>
      </c>
      <c r="E1369" s="99" t="s">
        <v>19</v>
      </c>
      <c r="F1369" s="99" t="s">
        <v>20</v>
      </c>
      <c r="G1369" s="99">
        <v>38</v>
      </c>
      <c r="H1369" s="112">
        <v>500000</v>
      </c>
      <c r="I1369" s="112">
        <v>19000000</v>
      </c>
      <c r="J1369" s="99" t="s">
        <v>2633</v>
      </c>
      <c r="K1369" s="99" t="s">
        <v>60</v>
      </c>
    </row>
    <row r="1370" spans="2:11" x14ac:dyDescent="0.3">
      <c r="B1370" s="99" t="s">
        <v>1182</v>
      </c>
      <c r="C1370" s="100">
        <v>45918</v>
      </c>
      <c r="D1370" s="99" t="s">
        <v>14</v>
      </c>
      <c r="E1370" s="99" t="s">
        <v>15</v>
      </c>
      <c r="F1370" s="99" t="s">
        <v>16</v>
      </c>
      <c r="G1370" s="99">
        <v>26</v>
      </c>
      <c r="H1370" s="112">
        <v>350000</v>
      </c>
      <c r="I1370" s="112">
        <v>9100000</v>
      </c>
      <c r="J1370" s="99" t="s">
        <v>2157</v>
      </c>
      <c r="K1370" s="99" t="s">
        <v>60</v>
      </c>
    </row>
    <row r="1371" spans="2:11" x14ac:dyDescent="0.3">
      <c r="B1371" s="99" t="s">
        <v>1225</v>
      </c>
      <c r="C1371" s="100">
        <v>45918</v>
      </c>
      <c r="D1371" s="99" t="s">
        <v>10</v>
      </c>
      <c r="E1371" s="99" t="s">
        <v>11</v>
      </c>
      <c r="F1371" s="99" t="s">
        <v>12</v>
      </c>
      <c r="G1371" s="99">
        <v>10</v>
      </c>
      <c r="H1371" s="112">
        <v>120000</v>
      </c>
      <c r="I1371" s="112">
        <v>1200000</v>
      </c>
      <c r="J1371" s="99" t="s">
        <v>307</v>
      </c>
      <c r="K1371" s="99" t="s">
        <v>127</v>
      </c>
    </row>
    <row r="1372" spans="2:11" x14ac:dyDescent="0.3">
      <c r="B1372" s="99" t="s">
        <v>1226</v>
      </c>
      <c r="C1372" s="100">
        <v>45918</v>
      </c>
      <c r="D1372" s="99" t="s">
        <v>22</v>
      </c>
      <c r="E1372" s="99" t="s">
        <v>23</v>
      </c>
      <c r="F1372" s="99" t="s">
        <v>12</v>
      </c>
      <c r="G1372" s="99">
        <v>20</v>
      </c>
      <c r="H1372" s="112">
        <v>25000</v>
      </c>
      <c r="I1372" s="112">
        <v>500000</v>
      </c>
      <c r="J1372" s="99" t="s">
        <v>2634</v>
      </c>
      <c r="K1372" s="99" t="s">
        <v>69</v>
      </c>
    </row>
    <row r="1373" spans="2:11" x14ac:dyDescent="0.3">
      <c r="B1373" s="99" t="s">
        <v>1227</v>
      </c>
      <c r="C1373" s="100">
        <v>45918</v>
      </c>
      <c r="D1373" s="99" t="s">
        <v>40</v>
      </c>
      <c r="E1373" s="99" t="s">
        <v>41</v>
      </c>
      <c r="F1373" s="99" t="s">
        <v>16</v>
      </c>
      <c r="G1373" s="99">
        <v>8</v>
      </c>
      <c r="H1373" s="112">
        <v>950000</v>
      </c>
      <c r="I1373" s="112">
        <v>7600000</v>
      </c>
      <c r="J1373" s="99" t="s">
        <v>2845</v>
      </c>
      <c r="K1373" s="99" t="s">
        <v>8</v>
      </c>
    </row>
    <row r="1374" spans="2:11" x14ac:dyDescent="0.3">
      <c r="B1374" s="99" t="s">
        <v>1228</v>
      </c>
      <c r="C1374" s="100">
        <v>45918</v>
      </c>
      <c r="D1374" s="99" t="s">
        <v>18</v>
      </c>
      <c r="E1374" s="99" t="s">
        <v>19</v>
      </c>
      <c r="F1374" s="99" t="s">
        <v>20</v>
      </c>
      <c r="G1374" s="99">
        <v>15</v>
      </c>
      <c r="H1374" s="112">
        <v>500000</v>
      </c>
      <c r="I1374" s="112">
        <v>7500000</v>
      </c>
      <c r="J1374" s="99" t="s">
        <v>2650</v>
      </c>
      <c r="K1374" s="99" t="s">
        <v>127</v>
      </c>
    </row>
    <row r="1375" spans="2:11" x14ac:dyDescent="0.3">
      <c r="B1375" s="99" t="s">
        <v>1229</v>
      </c>
      <c r="C1375" s="100">
        <v>45918</v>
      </c>
      <c r="D1375" s="99" t="s">
        <v>22</v>
      </c>
      <c r="E1375" s="99" t="s">
        <v>23</v>
      </c>
      <c r="F1375" s="99" t="s">
        <v>12</v>
      </c>
      <c r="G1375" s="99">
        <v>12</v>
      </c>
      <c r="H1375" s="112">
        <v>25000</v>
      </c>
      <c r="I1375" s="112">
        <v>300000</v>
      </c>
      <c r="J1375" s="99" t="s">
        <v>1398</v>
      </c>
      <c r="K1375" s="99" t="s">
        <v>127</v>
      </c>
    </row>
    <row r="1376" spans="2:11" x14ac:dyDescent="0.3">
      <c r="B1376" s="99" t="s">
        <v>1230</v>
      </c>
      <c r="C1376" s="100">
        <v>45918</v>
      </c>
      <c r="D1376" s="99" t="s">
        <v>14</v>
      </c>
      <c r="E1376" s="99" t="s">
        <v>15</v>
      </c>
      <c r="F1376" s="99" t="s">
        <v>16</v>
      </c>
      <c r="G1376" s="99">
        <v>19</v>
      </c>
      <c r="H1376" s="112">
        <v>350000</v>
      </c>
      <c r="I1376" s="112">
        <v>6650000</v>
      </c>
      <c r="J1376" s="99" t="s">
        <v>2224</v>
      </c>
      <c r="K1376" s="99" t="s">
        <v>127</v>
      </c>
    </row>
    <row r="1377" spans="2:11" x14ac:dyDescent="0.3">
      <c r="B1377" s="99" t="s">
        <v>1231</v>
      </c>
      <c r="C1377" s="100">
        <v>45918</v>
      </c>
      <c r="D1377" s="99" t="s">
        <v>44</v>
      </c>
      <c r="E1377" s="99" t="s">
        <v>45</v>
      </c>
      <c r="F1377" s="99" t="s">
        <v>16</v>
      </c>
      <c r="G1377" s="99">
        <v>33</v>
      </c>
      <c r="H1377" s="112">
        <v>250000</v>
      </c>
      <c r="I1377" s="112">
        <v>8250000</v>
      </c>
      <c r="J1377" s="99" t="s">
        <v>2839</v>
      </c>
      <c r="K1377" s="99" t="s">
        <v>47</v>
      </c>
    </row>
    <row r="1378" spans="2:11" x14ac:dyDescent="0.3">
      <c r="B1378" s="99" t="s">
        <v>1258</v>
      </c>
      <c r="C1378" s="100">
        <v>45918</v>
      </c>
      <c r="D1378" s="99" t="s">
        <v>40</v>
      </c>
      <c r="E1378" s="99" t="s">
        <v>41</v>
      </c>
      <c r="F1378" s="99" t="s">
        <v>16</v>
      </c>
      <c r="G1378" s="99">
        <v>15</v>
      </c>
      <c r="H1378" s="112">
        <v>950000</v>
      </c>
      <c r="I1378" s="112">
        <v>14250000</v>
      </c>
      <c r="J1378" s="99" t="s">
        <v>2516</v>
      </c>
      <c r="K1378" s="99" t="s">
        <v>60</v>
      </c>
    </row>
    <row r="1379" spans="2:11" x14ac:dyDescent="0.3">
      <c r="B1379" s="99" t="s">
        <v>1259</v>
      </c>
      <c r="C1379" s="100">
        <v>45918</v>
      </c>
      <c r="D1379" s="99" t="s">
        <v>38</v>
      </c>
      <c r="E1379" s="99" t="s">
        <v>39</v>
      </c>
      <c r="F1379" s="99" t="s">
        <v>16</v>
      </c>
      <c r="G1379" s="99">
        <v>15</v>
      </c>
      <c r="H1379" s="112">
        <v>200000</v>
      </c>
      <c r="I1379" s="112">
        <v>3000000</v>
      </c>
      <c r="J1379" s="99" t="s">
        <v>2538</v>
      </c>
      <c r="K1379" s="99" t="s">
        <v>127</v>
      </c>
    </row>
    <row r="1380" spans="2:11" x14ac:dyDescent="0.3">
      <c r="B1380" s="99" t="s">
        <v>1260</v>
      </c>
      <c r="C1380" s="100">
        <v>45919</v>
      </c>
      <c r="D1380" s="99" t="s">
        <v>42</v>
      </c>
      <c r="E1380" s="99" t="s">
        <v>43</v>
      </c>
      <c r="F1380" s="99" t="s">
        <v>16</v>
      </c>
      <c r="G1380" s="99">
        <v>8</v>
      </c>
      <c r="H1380" s="112">
        <v>1200000</v>
      </c>
      <c r="I1380" s="112">
        <v>9600000</v>
      </c>
      <c r="J1380" s="99" t="s">
        <v>2365</v>
      </c>
      <c r="K1380" s="99" t="s">
        <v>60</v>
      </c>
    </row>
    <row r="1381" spans="2:11" x14ac:dyDescent="0.3">
      <c r="B1381" s="99" t="s">
        <v>1261</v>
      </c>
      <c r="C1381" s="100">
        <v>45919</v>
      </c>
      <c r="D1381" s="99" t="s">
        <v>22</v>
      </c>
      <c r="E1381" s="99" t="s">
        <v>23</v>
      </c>
      <c r="F1381" s="99" t="s">
        <v>12</v>
      </c>
      <c r="G1381" s="99">
        <v>300</v>
      </c>
      <c r="H1381" s="112">
        <v>25000</v>
      </c>
      <c r="I1381" s="112">
        <v>7500000</v>
      </c>
      <c r="J1381" s="99" t="s">
        <v>2245</v>
      </c>
      <c r="K1381" s="99" t="s">
        <v>127</v>
      </c>
    </row>
    <row r="1382" spans="2:11" x14ac:dyDescent="0.3">
      <c r="B1382" s="99" t="s">
        <v>1262</v>
      </c>
      <c r="C1382" s="100">
        <v>45919</v>
      </c>
      <c r="D1382" s="99" t="s">
        <v>10</v>
      </c>
      <c r="E1382" s="99" t="s">
        <v>11</v>
      </c>
      <c r="F1382" s="99" t="s">
        <v>12</v>
      </c>
      <c r="G1382" s="99">
        <v>10</v>
      </c>
      <c r="H1382" s="112">
        <v>120000</v>
      </c>
      <c r="I1382" s="112">
        <v>1200000</v>
      </c>
      <c r="J1382" s="99" t="s">
        <v>2364</v>
      </c>
      <c r="K1382" s="99" t="s">
        <v>127</v>
      </c>
    </row>
    <row r="1383" spans="2:11" x14ac:dyDescent="0.3">
      <c r="B1383" s="99" t="s">
        <v>1263</v>
      </c>
      <c r="C1383" s="100">
        <v>45919</v>
      </c>
      <c r="D1383" s="99" t="s">
        <v>18</v>
      </c>
      <c r="E1383" s="99" t="s">
        <v>19</v>
      </c>
      <c r="F1383" s="99" t="s">
        <v>20</v>
      </c>
      <c r="G1383" s="99">
        <v>21</v>
      </c>
      <c r="H1383" s="112">
        <v>500000</v>
      </c>
      <c r="I1383" s="112">
        <v>10500000</v>
      </c>
      <c r="J1383" s="99" t="s">
        <v>2554</v>
      </c>
      <c r="K1383" s="99" t="s">
        <v>127</v>
      </c>
    </row>
    <row r="1384" spans="2:11" x14ac:dyDescent="0.3">
      <c r="B1384" s="99" t="s">
        <v>1264</v>
      </c>
      <c r="C1384" s="100">
        <v>45919</v>
      </c>
      <c r="D1384" s="99" t="s">
        <v>18</v>
      </c>
      <c r="E1384" s="99" t="s">
        <v>19</v>
      </c>
      <c r="F1384" s="99" t="s">
        <v>20</v>
      </c>
      <c r="G1384" s="99">
        <v>360</v>
      </c>
      <c r="H1384" s="112">
        <v>500000</v>
      </c>
      <c r="I1384" s="112">
        <v>180000000</v>
      </c>
      <c r="J1384" s="99" t="s">
        <v>2149</v>
      </c>
      <c r="K1384" s="99" t="s">
        <v>127</v>
      </c>
    </row>
    <row r="1385" spans="2:11" x14ac:dyDescent="0.3">
      <c r="B1385" s="99" t="s">
        <v>1265</v>
      </c>
      <c r="C1385" s="100">
        <v>45919</v>
      </c>
      <c r="D1385" s="99" t="s">
        <v>10</v>
      </c>
      <c r="E1385" s="99" t="s">
        <v>11</v>
      </c>
      <c r="F1385" s="99" t="s">
        <v>12</v>
      </c>
      <c r="G1385" s="99">
        <v>28</v>
      </c>
      <c r="H1385" s="112">
        <v>120000</v>
      </c>
      <c r="I1385" s="112">
        <v>3360000</v>
      </c>
      <c r="J1385" s="99" t="s">
        <v>2661</v>
      </c>
      <c r="K1385" s="99" t="s">
        <v>60</v>
      </c>
    </row>
    <row r="1386" spans="2:11" x14ac:dyDescent="0.3">
      <c r="B1386" s="99" t="s">
        <v>1266</v>
      </c>
      <c r="C1386" s="100">
        <v>45919</v>
      </c>
      <c r="D1386" s="99" t="s">
        <v>14</v>
      </c>
      <c r="E1386" s="99" t="s">
        <v>15</v>
      </c>
      <c r="F1386" s="99" t="s">
        <v>16</v>
      </c>
      <c r="G1386" s="99">
        <v>34</v>
      </c>
      <c r="H1386" s="112">
        <v>350000</v>
      </c>
      <c r="I1386" s="112">
        <v>11900000</v>
      </c>
      <c r="J1386" s="99" t="s">
        <v>2554</v>
      </c>
      <c r="K1386" s="99" t="s">
        <v>127</v>
      </c>
    </row>
    <row r="1387" spans="2:11" x14ac:dyDescent="0.3">
      <c r="B1387" s="99" t="s">
        <v>1267</v>
      </c>
      <c r="C1387" s="100">
        <v>45919</v>
      </c>
      <c r="D1387" s="99" t="s">
        <v>10</v>
      </c>
      <c r="E1387" s="99" t="s">
        <v>11</v>
      </c>
      <c r="F1387" s="99" t="s">
        <v>12</v>
      </c>
      <c r="G1387" s="99">
        <v>27</v>
      </c>
      <c r="H1387" s="112">
        <v>120000</v>
      </c>
      <c r="I1387" s="112">
        <v>3240000</v>
      </c>
      <c r="J1387" s="99" t="s">
        <v>2463</v>
      </c>
      <c r="K1387" s="99" t="s">
        <v>8</v>
      </c>
    </row>
    <row r="1388" spans="2:11" x14ac:dyDescent="0.3">
      <c r="B1388" s="99" t="s">
        <v>1268</v>
      </c>
      <c r="C1388" s="100">
        <v>45919</v>
      </c>
      <c r="D1388" s="99" t="s">
        <v>14</v>
      </c>
      <c r="E1388" s="99" t="s">
        <v>15</v>
      </c>
      <c r="F1388" s="99" t="s">
        <v>16</v>
      </c>
      <c r="G1388" s="99">
        <v>7</v>
      </c>
      <c r="H1388" s="112">
        <v>350000</v>
      </c>
      <c r="I1388" s="112">
        <v>2450000</v>
      </c>
      <c r="J1388" s="99" t="s">
        <v>2322</v>
      </c>
      <c r="K1388" s="99" t="s">
        <v>8</v>
      </c>
    </row>
    <row r="1389" spans="2:11" x14ac:dyDescent="0.3">
      <c r="B1389" s="99" t="s">
        <v>1269</v>
      </c>
      <c r="C1389" s="100">
        <v>45922</v>
      </c>
      <c r="D1389" s="99" t="s">
        <v>40</v>
      </c>
      <c r="E1389" s="99" t="s">
        <v>41</v>
      </c>
      <c r="F1389" s="99" t="s">
        <v>16</v>
      </c>
      <c r="G1389" s="99">
        <v>17</v>
      </c>
      <c r="H1389" s="112">
        <v>950000</v>
      </c>
      <c r="I1389" s="112">
        <v>16150000</v>
      </c>
      <c r="J1389" s="99" t="s">
        <v>2788</v>
      </c>
      <c r="K1389" s="99" t="s">
        <v>69</v>
      </c>
    </row>
    <row r="1390" spans="2:11" x14ac:dyDescent="0.3">
      <c r="B1390" s="99" t="s">
        <v>1270</v>
      </c>
      <c r="C1390" s="100">
        <v>45922</v>
      </c>
      <c r="D1390" s="99" t="s">
        <v>40</v>
      </c>
      <c r="E1390" s="99" t="s">
        <v>41</v>
      </c>
      <c r="F1390" s="99" t="s">
        <v>16</v>
      </c>
      <c r="G1390" s="99">
        <v>23</v>
      </c>
      <c r="H1390" s="112">
        <v>950000</v>
      </c>
      <c r="I1390" s="112">
        <v>21850000</v>
      </c>
      <c r="J1390" s="99" t="s">
        <v>2627</v>
      </c>
      <c r="K1390" s="99" t="s">
        <v>8</v>
      </c>
    </row>
    <row r="1391" spans="2:11" x14ac:dyDescent="0.3">
      <c r="B1391" s="99" t="s">
        <v>1308</v>
      </c>
      <c r="C1391" s="100">
        <v>45922</v>
      </c>
      <c r="D1391" s="99" t="s">
        <v>38</v>
      </c>
      <c r="E1391" s="99" t="s">
        <v>39</v>
      </c>
      <c r="F1391" s="99" t="s">
        <v>16</v>
      </c>
      <c r="G1391" s="99">
        <v>34</v>
      </c>
      <c r="H1391" s="112">
        <v>200000</v>
      </c>
      <c r="I1391" s="112">
        <v>6800000</v>
      </c>
      <c r="J1391" s="99" t="s">
        <v>78</v>
      </c>
      <c r="K1391" s="99" t="s">
        <v>127</v>
      </c>
    </row>
    <row r="1392" spans="2:11" x14ac:dyDescent="0.3">
      <c r="B1392" s="99" t="s">
        <v>1309</v>
      </c>
      <c r="C1392" s="100">
        <v>45922</v>
      </c>
      <c r="D1392" s="99" t="s">
        <v>31</v>
      </c>
      <c r="E1392" s="99" t="s">
        <v>32</v>
      </c>
      <c r="F1392" s="99" t="s">
        <v>20</v>
      </c>
      <c r="G1392" s="99">
        <v>29</v>
      </c>
      <c r="H1392" s="112">
        <v>180000</v>
      </c>
      <c r="I1392" s="112">
        <v>5220000</v>
      </c>
      <c r="J1392" s="99" t="s">
        <v>2635</v>
      </c>
      <c r="K1392" s="99" t="s">
        <v>47</v>
      </c>
    </row>
    <row r="1393" spans="2:11" x14ac:dyDescent="0.3">
      <c r="B1393" s="99" t="s">
        <v>1310</v>
      </c>
      <c r="C1393" s="100">
        <v>45922</v>
      </c>
      <c r="D1393" s="99" t="s">
        <v>18</v>
      </c>
      <c r="E1393" s="99" t="s">
        <v>19</v>
      </c>
      <c r="F1393" s="99" t="s">
        <v>20</v>
      </c>
      <c r="G1393" s="99">
        <v>47</v>
      </c>
      <c r="H1393" s="112">
        <v>500000</v>
      </c>
      <c r="I1393" s="112">
        <v>23500000</v>
      </c>
      <c r="J1393" s="99" t="s">
        <v>2631</v>
      </c>
      <c r="K1393" s="99" t="s">
        <v>127</v>
      </c>
    </row>
    <row r="1394" spans="2:11" x14ac:dyDescent="0.3">
      <c r="B1394" s="99" t="s">
        <v>1311</v>
      </c>
      <c r="C1394" s="100">
        <v>45922</v>
      </c>
      <c r="D1394" s="99" t="s">
        <v>42</v>
      </c>
      <c r="E1394" s="99" t="s">
        <v>43</v>
      </c>
      <c r="F1394" s="99" t="s">
        <v>16</v>
      </c>
      <c r="G1394" s="99">
        <v>370</v>
      </c>
      <c r="H1394" s="112">
        <v>1200000</v>
      </c>
      <c r="I1394" s="112">
        <v>444000000</v>
      </c>
      <c r="J1394" s="99" t="s">
        <v>2567</v>
      </c>
      <c r="K1394" s="99" t="s">
        <v>8</v>
      </c>
    </row>
    <row r="1395" spans="2:11" x14ac:dyDescent="0.3">
      <c r="B1395" s="99" t="s">
        <v>1312</v>
      </c>
      <c r="C1395" s="100">
        <v>45922</v>
      </c>
      <c r="D1395" s="99" t="s">
        <v>44</v>
      </c>
      <c r="E1395" s="99" t="s">
        <v>45</v>
      </c>
      <c r="F1395" s="99" t="s">
        <v>16</v>
      </c>
      <c r="G1395" s="99">
        <v>28</v>
      </c>
      <c r="H1395" s="112">
        <v>250000</v>
      </c>
      <c r="I1395" s="112">
        <v>7000000</v>
      </c>
      <c r="J1395" s="99" t="s">
        <v>2352</v>
      </c>
      <c r="K1395" s="99" t="s">
        <v>8</v>
      </c>
    </row>
    <row r="1396" spans="2:11" x14ac:dyDescent="0.3">
      <c r="B1396" s="99" t="s">
        <v>1313</v>
      </c>
      <c r="C1396" s="100">
        <v>45922</v>
      </c>
      <c r="D1396" s="99" t="s">
        <v>10</v>
      </c>
      <c r="E1396" s="99" t="s">
        <v>11</v>
      </c>
      <c r="F1396" s="99" t="s">
        <v>12</v>
      </c>
      <c r="G1396" s="99">
        <v>26</v>
      </c>
      <c r="H1396" s="112">
        <v>120000</v>
      </c>
      <c r="I1396" s="112">
        <v>3120000</v>
      </c>
      <c r="J1396" s="99" t="s">
        <v>2327</v>
      </c>
      <c r="K1396" s="99" t="s">
        <v>127</v>
      </c>
    </row>
    <row r="1397" spans="2:11" x14ac:dyDescent="0.3">
      <c r="B1397" s="99" t="s">
        <v>1348</v>
      </c>
      <c r="C1397" s="100">
        <v>45922</v>
      </c>
      <c r="D1397" s="99" t="s">
        <v>31</v>
      </c>
      <c r="E1397" s="99" t="s">
        <v>32</v>
      </c>
      <c r="F1397" s="99" t="s">
        <v>20</v>
      </c>
      <c r="G1397" s="99">
        <v>27</v>
      </c>
      <c r="H1397" s="112">
        <v>180000</v>
      </c>
      <c r="I1397" s="112">
        <v>4860000</v>
      </c>
      <c r="J1397" s="99" t="s">
        <v>258</v>
      </c>
      <c r="K1397" s="99" t="s">
        <v>47</v>
      </c>
    </row>
    <row r="1398" spans="2:11" x14ac:dyDescent="0.3">
      <c r="B1398" s="99" t="s">
        <v>1349</v>
      </c>
      <c r="C1398" s="100">
        <v>45922</v>
      </c>
      <c r="D1398" s="99" t="s">
        <v>18</v>
      </c>
      <c r="E1398" s="99" t="s">
        <v>19</v>
      </c>
      <c r="F1398" s="99" t="s">
        <v>20</v>
      </c>
      <c r="G1398" s="99">
        <v>14</v>
      </c>
      <c r="H1398" s="112">
        <v>500000</v>
      </c>
      <c r="I1398" s="112">
        <v>7000000</v>
      </c>
      <c r="J1398" s="99" t="s">
        <v>2777</v>
      </c>
      <c r="K1398" s="99" t="s">
        <v>8</v>
      </c>
    </row>
    <row r="1399" spans="2:11" x14ac:dyDescent="0.3">
      <c r="B1399" s="99" t="s">
        <v>1350</v>
      </c>
      <c r="C1399" s="100">
        <v>45922</v>
      </c>
      <c r="D1399" s="99" t="s">
        <v>40</v>
      </c>
      <c r="E1399" s="99" t="s">
        <v>41</v>
      </c>
      <c r="F1399" s="99" t="s">
        <v>16</v>
      </c>
      <c r="G1399" s="99">
        <v>48</v>
      </c>
      <c r="H1399" s="112">
        <v>950000</v>
      </c>
      <c r="I1399" s="112">
        <v>45600000</v>
      </c>
      <c r="J1399" s="99" t="s">
        <v>642</v>
      </c>
      <c r="K1399" s="99" t="s">
        <v>8</v>
      </c>
    </row>
    <row r="1400" spans="2:11" x14ac:dyDescent="0.3">
      <c r="B1400" s="99" t="s">
        <v>1351</v>
      </c>
      <c r="C1400" s="100">
        <v>45922</v>
      </c>
      <c r="D1400" s="99" t="s">
        <v>38</v>
      </c>
      <c r="E1400" s="99" t="s">
        <v>39</v>
      </c>
      <c r="F1400" s="99" t="s">
        <v>16</v>
      </c>
      <c r="G1400" s="99">
        <v>41</v>
      </c>
      <c r="H1400" s="112">
        <v>200000</v>
      </c>
      <c r="I1400" s="112">
        <v>8200000</v>
      </c>
      <c r="J1400" s="99" t="s">
        <v>2822</v>
      </c>
      <c r="K1400" s="99" t="s">
        <v>47</v>
      </c>
    </row>
    <row r="1401" spans="2:11" x14ac:dyDescent="0.3">
      <c r="B1401" s="99" t="s">
        <v>1352</v>
      </c>
      <c r="C1401" s="100">
        <v>45923</v>
      </c>
      <c r="D1401" s="99" t="s">
        <v>28</v>
      </c>
      <c r="E1401" s="99" t="s">
        <v>29</v>
      </c>
      <c r="F1401" s="99" t="s">
        <v>20</v>
      </c>
      <c r="G1401" s="99">
        <v>38</v>
      </c>
      <c r="H1401" s="112">
        <v>450000</v>
      </c>
      <c r="I1401" s="112">
        <v>17100000</v>
      </c>
      <c r="J1401" s="99" t="s">
        <v>2706</v>
      </c>
      <c r="K1401" s="99" t="s">
        <v>60</v>
      </c>
    </row>
    <row r="1402" spans="2:11" x14ac:dyDescent="0.3">
      <c r="B1402" s="99" t="s">
        <v>1353</v>
      </c>
      <c r="C1402" s="100">
        <v>45923</v>
      </c>
      <c r="D1402" s="99" t="s">
        <v>28</v>
      </c>
      <c r="E1402" s="99" t="s">
        <v>29</v>
      </c>
      <c r="F1402" s="99" t="s">
        <v>20</v>
      </c>
      <c r="G1402" s="99">
        <v>19</v>
      </c>
      <c r="H1402" s="112">
        <v>450000</v>
      </c>
      <c r="I1402" s="112">
        <v>8550000</v>
      </c>
      <c r="J1402" s="99" t="s">
        <v>2501</v>
      </c>
      <c r="K1402" s="99" t="s">
        <v>69</v>
      </c>
    </row>
    <row r="1403" spans="2:11" x14ac:dyDescent="0.3">
      <c r="B1403" s="99" t="s">
        <v>1354</v>
      </c>
      <c r="C1403" s="100">
        <v>45923</v>
      </c>
      <c r="D1403" s="99" t="s">
        <v>31</v>
      </c>
      <c r="E1403" s="99" t="s">
        <v>32</v>
      </c>
      <c r="F1403" s="99" t="s">
        <v>20</v>
      </c>
      <c r="G1403" s="99">
        <v>30</v>
      </c>
      <c r="H1403" s="112">
        <v>180000</v>
      </c>
      <c r="I1403" s="112">
        <v>5400000</v>
      </c>
      <c r="J1403" s="99" t="s">
        <v>2327</v>
      </c>
      <c r="K1403" s="99" t="s">
        <v>127</v>
      </c>
    </row>
    <row r="1404" spans="2:11" x14ac:dyDescent="0.3">
      <c r="B1404" s="99" t="s">
        <v>1385</v>
      </c>
      <c r="C1404" s="100">
        <v>45923</v>
      </c>
      <c r="D1404" s="99" t="s">
        <v>44</v>
      </c>
      <c r="E1404" s="99" t="s">
        <v>45</v>
      </c>
      <c r="F1404" s="99" t="s">
        <v>16</v>
      </c>
      <c r="G1404" s="99">
        <v>20</v>
      </c>
      <c r="H1404" s="112">
        <v>250000</v>
      </c>
      <c r="I1404" s="112">
        <v>5000000</v>
      </c>
      <c r="J1404" s="99" t="s">
        <v>2336</v>
      </c>
      <c r="K1404" s="99" t="s">
        <v>69</v>
      </c>
    </row>
    <row r="1405" spans="2:11" x14ac:dyDescent="0.3">
      <c r="B1405" s="99" t="s">
        <v>1386</v>
      </c>
      <c r="C1405" s="100">
        <v>45923</v>
      </c>
      <c r="D1405" s="99" t="s">
        <v>22</v>
      </c>
      <c r="E1405" s="99" t="s">
        <v>23</v>
      </c>
      <c r="F1405" s="99" t="s">
        <v>12</v>
      </c>
      <c r="G1405" s="99">
        <v>90</v>
      </c>
      <c r="H1405" s="112">
        <v>25000</v>
      </c>
      <c r="I1405" s="112">
        <v>2250000</v>
      </c>
      <c r="J1405" s="99" t="s">
        <v>2169</v>
      </c>
      <c r="K1405" s="99" t="s">
        <v>127</v>
      </c>
    </row>
    <row r="1406" spans="2:11" x14ac:dyDescent="0.3">
      <c r="B1406" s="99" t="s">
        <v>1422</v>
      </c>
      <c r="C1406" s="100">
        <v>45923</v>
      </c>
      <c r="D1406" s="99" t="s">
        <v>38</v>
      </c>
      <c r="E1406" s="99" t="s">
        <v>39</v>
      </c>
      <c r="F1406" s="99" t="s">
        <v>16</v>
      </c>
      <c r="G1406" s="99">
        <v>13</v>
      </c>
      <c r="H1406" s="112">
        <v>200000</v>
      </c>
      <c r="I1406" s="112">
        <v>2600000</v>
      </c>
      <c r="J1406" s="99" t="s">
        <v>2250</v>
      </c>
      <c r="K1406" s="99" t="s">
        <v>69</v>
      </c>
    </row>
    <row r="1407" spans="2:11" x14ac:dyDescent="0.3">
      <c r="B1407" s="99" t="s">
        <v>1423</v>
      </c>
      <c r="C1407" s="100">
        <v>45923</v>
      </c>
      <c r="D1407" s="99" t="s">
        <v>42</v>
      </c>
      <c r="E1407" s="99" t="s">
        <v>43</v>
      </c>
      <c r="F1407" s="99" t="s">
        <v>16</v>
      </c>
      <c r="G1407" s="99">
        <v>12</v>
      </c>
      <c r="H1407" s="112">
        <v>1200000</v>
      </c>
      <c r="I1407" s="112">
        <v>14400000</v>
      </c>
      <c r="J1407" s="99" t="s">
        <v>2809</v>
      </c>
      <c r="K1407" s="99" t="s">
        <v>47</v>
      </c>
    </row>
    <row r="1408" spans="2:11" x14ac:dyDescent="0.3">
      <c r="B1408" s="99" t="s">
        <v>1424</v>
      </c>
      <c r="C1408" s="100">
        <v>45923</v>
      </c>
      <c r="D1408" s="99" t="s">
        <v>14</v>
      </c>
      <c r="E1408" s="99" t="s">
        <v>15</v>
      </c>
      <c r="F1408" s="99" t="s">
        <v>16</v>
      </c>
      <c r="G1408" s="99">
        <v>45</v>
      </c>
      <c r="H1408" s="112">
        <v>350000</v>
      </c>
      <c r="I1408" s="112">
        <v>15750000</v>
      </c>
      <c r="J1408" s="99" t="s">
        <v>2273</v>
      </c>
      <c r="K1408" s="99" t="s">
        <v>60</v>
      </c>
    </row>
    <row r="1409" spans="2:11" x14ac:dyDescent="0.3">
      <c r="B1409" s="99" t="s">
        <v>1456</v>
      </c>
      <c r="C1409" s="100">
        <v>45923</v>
      </c>
      <c r="D1409" s="99" t="s">
        <v>22</v>
      </c>
      <c r="E1409" s="99" t="s">
        <v>23</v>
      </c>
      <c r="F1409" s="99" t="s">
        <v>12</v>
      </c>
      <c r="G1409" s="99">
        <v>31</v>
      </c>
      <c r="H1409" s="112">
        <v>25000</v>
      </c>
      <c r="I1409" s="112">
        <v>775000</v>
      </c>
      <c r="J1409" s="99" t="s">
        <v>2538</v>
      </c>
      <c r="K1409" s="99" t="s">
        <v>127</v>
      </c>
    </row>
    <row r="1410" spans="2:11" x14ac:dyDescent="0.3">
      <c r="B1410" s="99" t="s">
        <v>1457</v>
      </c>
      <c r="C1410" s="100">
        <v>45923</v>
      </c>
      <c r="D1410" s="99" t="s">
        <v>31</v>
      </c>
      <c r="E1410" s="99" t="s">
        <v>32</v>
      </c>
      <c r="F1410" s="99" t="s">
        <v>20</v>
      </c>
      <c r="G1410" s="99">
        <v>7</v>
      </c>
      <c r="H1410" s="112">
        <v>180000</v>
      </c>
      <c r="I1410" s="112">
        <v>1260000</v>
      </c>
      <c r="J1410" s="99" t="s">
        <v>2411</v>
      </c>
      <c r="K1410" s="99" t="s">
        <v>47</v>
      </c>
    </row>
    <row r="1411" spans="2:11" x14ac:dyDescent="0.3">
      <c r="B1411" s="99" t="s">
        <v>1458</v>
      </c>
      <c r="C1411" s="100">
        <v>45923</v>
      </c>
      <c r="D1411" s="99" t="s">
        <v>31</v>
      </c>
      <c r="E1411" s="99" t="s">
        <v>32</v>
      </c>
      <c r="F1411" s="99" t="s">
        <v>20</v>
      </c>
      <c r="G1411" s="99">
        <v>22</v>
      </c>
      <c r="H1411" s="112">
        <v>180000</v>
      </c>
      <c r="I1411" s="112">
        <v>3960000</v>
      </c>
      <c r="J1411" s="99" t="s">
        <v>2139</v>
      </c>
      <c r="K1411" s="99" t="s">
        <v>8</v>
      </c>
    </row>
    <row r="1412" spans="2:11" x14ac:dyDescent="0.3">
      <c r="B1412" s="99" t="s">
        <v>1459</v>
      </c>
      <c r="C1412" s="100">
        <v>45923</v>
      </c>
      <c r="D1412" s="99" t="s">
        <v>40</v>
      </c>
      <c r="E1412" s="99" t="s">
        <v>41</v>
      </c>
      <c r="F1412" s="99" t="s">
        <v>16</v>
      </c>
      <c r="G1412" s="99">
        <v>11</v>
      </c>
      <c r="H1412" s="112">
        <v>950000</v>
      </c>
      <c r="I1412" s="112">
        <v>10450000</v>
      </c>
      <c r="J1412" s="99" t="s">
        <v>2717</v>
      </c>
      <c r="K1412" s="99" t="s">
        <v>127</v>
      </c>
    </row>
    <row r="1413" spans="2:11" x14ac:dyDescent="0.3">
      <c r="B1413" s="99" t="s">
        <v>1460</v>
      </c>
      <c r="C1413" s="100">
        <v>45923</v>
      </c>
      <c r="D1413" s="99" t="s">
        <v>40</v>
      </c>
      <c r="E1413" s="99" t="s">
        <v>41</v>
      </c>
      <c r="F1413" s="99" t="s">
        <v>16</v>
      </c>
      <c r="G1413" s="99">
        <v>46</v>
      </c>
      <c r="H1413" s="112">
        <v>950000</v>
      </c>
      <c r="I1413" s="112">
        <v>43700000</v>
      </c>
      <c r="J1413" s="99" t="s">
        <v>68</v>
      </c>
      <c r="K1413" s="99" t="s">
        <v>8</v>
      </c>
    </row>
    <row r="1414" spans="2:11" x14ac:dyDescent="0.3">
      <c r="B1414" s="99" t="s">
        <v>1461</v>
      </c>
      <c r="C1414" s="100">
        <v>45924</v>
      </c>
      <c r="D1414" s="99" t="s">
        <v>38</v>
      </c>
      <c r="E1414" s="99" t="s">
        <v>39</v>
      </c>
      <c r="F1414" s="99" t="s">
        <v>16</v>
      </c>
      <c r="G1414" s="99">
        <v>33</v>
      </c>
      <c r="H1414" s="112">
        <v>200000</v>
      </c>
      <c r="I1414" s="112">
        <v>6600000</v>
      </c>
      <c r="J1414" s="99" t="s">
        <v>2427</v>
      </c>
      <c r="K1414" s="99" t="s">
        <v>8</v>
      </c>
    </row>
    <row r="1415" spans="2:11" x14ac:dyDescent="0.3">
      <c r="B1415" s="99" t="s">
        <v>1462</v>
      </c>
      <c r="C1415" s="100">
        <v>45924</v>
      </c>
      <c r="D1415" s="99" t="s">
        <v>22</v>
      </c>
      <c r="E1415" s="99" t="s">
        <v>23</v>
      </c>
      <c r="F1415" s="99" t="s">
        <v>12</v>
      </c>
      <c r="G1415" s="99">
        <v>10</v>
      </c>
      <c r="H1415" s="112">
        <v>25000</v>
      </c>
      <c r="I1415" s="112">
        <v>250000</v>
      </c>
      <c r="J1415" s="99" t="s">
        <v>2737</v>
      </c>
      <c r="K1415" s="99" t="s">
        <v>60</v>
      </c>
    </row>
    <row r="1416" spans="2:11" x14ac:dyDescent="0.3">
      <c r="B1416" s="99" t="s">
        <v>1497</v>
      </c>
      <c r="C1416" s="100">
        <v>45924</v>
      </c>
      <c r="D1416" s="99" t="s">
        <v>38</v>
      </c>
      <c r="E1416" s="99" t="s">
        <v>39</v>
      </c>
      <c r="F1416" s="99" t="s">
        <v>16</v>
      </c>
      <c r="G1416" s="99">
        <v>37</v>
      </c>
      <c r="H1416" s="112">
        <v>200000</v>
      </c>
      <c r="I1416" s="112">
        <v>7400000</v>
      </c>
      <c r="J1416" s="99" t="s">
        <v>2363</v>
      </c>
      <c r="K1416" s="99" t="s">
        <v>8</v>
      </c>
    </row>
    <row r="1417" spans="2:11" x14ac:dyDescent="0.3">
      <c r="B1417" s="99" t="s">
        <v>1498</v>
      </c>
      <c r="C1417" s="100">
        <v>45924</v>
      </c>
      <c r="D1417" s="99" t="s">
        <v>18</v>
      </c>
      <c r="E1417" s="99" t="s">
        <v>19</v>
      </c>
      <c r="F1417" s="99" t="s">
        <v>20</v>
      </c>
      <c r="G1417" s="99">
        <v>49</v>
      </c>
      <c r="H1417" s="112">
        <v>500000</v>
      </c>
      <c r="I1417" s="112">
        <v>24500000</v>
      </c>
      <c r="J1417" s="99" t="s">
        <v>2783</v>
      </c>
      <c r="K1417" s="99" t="s">
        <v>60</v>
      </c>
    </row>
    <row r="1418" spans="2:11" x14ac:dyDescent="0.3">
      <c r="B1418" s="99" t="s">
        <v>1499</v>
      </c>
      <c r="C1418" s="100">
        <v>45924</v>
      </c>
      <c r="D1418" s="99" t="s">
        <v>44</v>
      </c>
      <c r="E1418" s="99" t="s">
        <v>45</v>
      </c>
      <c r="F1418" s="99" t="s">
        <v>16</v>
      </c>
      <c r="G1418" s="99">
        <v>47</v>
      </c>
      <c r="H1418" s="112">
        <v>250000</v>
      </c>
      <c r="I1418" s="112">
        <v>11750000</v>
      </c>
      <c r="J1418" s="99" t="s">
        <v>2486</v>
      </c>
      <c r="K1418" s="99" t="s">
        <v>127</v>
      </c>
    </row>
    <row r="1419" spans="2:11" x14ac:dyDescent="0.3">
      <c r="B1419" s="99" t="s">
        <v>1500</v>
      </c>
      <c r="C1419" s="100">
        <v>45924</v>
      </c>
      <c r="D1419" s="99" t="s">
        <v>31</v>
      </c>
      <c r="E1419" s="99" t="s">
        <v>32</v>
      </c>
      <c r="F1419" s="99" t="s">
        <v>20</v>
      </c>
      <c r="G1419" s="99">
        <v>6</v>
      </c>
      <c r="H1419" s="112">
        <v>180000</v>
      </c>
      <c r="I1419" s="112">
        <v>1080000</v>
      </c>
      <c r="J1419" s="99" t="s">
        <v>2129</v>
      </c>
      <c r="K1419" s="99" t="s">
        <v>8</v>
      </c>
    </row>
    <row r="1420" spans="2:11" x14ac:dyDescent="0.3">
      <c r="B1420" s="99" t="s">
        <v>1501</v>
      </c>
      <c r="C1420" s="100">
        <v>45924</v>
      </c>
      <c r="D1420" s="99" t="s">
        <v>31</v>
      </c>
      <c r="E1420" s="99" t="s">
        <v>32</v>
      </c>
      <c r="F1420" s="99" t="s">
        <v>20</v>
      </c>
      <c r="G1420" s="99">
        <v>45</v>
      </c>
      <c r="H1420" s="112">
        <v>180000</v>
      </c>
      <c r="I1420" s="112">
        <v>8100000</v>
      </c>
      <c r="J1420" s="99" t="s">
        <v>2569</v>
      </c>
      <c r="K1420" s="99" t="s">
        <v>127</v>
      </c>
    </row>
    <row r="1421" spans="2:11" x14ac:dyDescent="0.3">
      <c r="B1421" s="99" t="s">
        <v>1502</v>
      </c>
      <c r="C1421" s="100">
        <v>45924</v>
      </c>
      <c r="D1421" s="99" t="s">
        <v>42</v>
      </c>
      <c r="E1421" s="99" t="s">
        <v>43</v>
      </c>
      <c r="F1421" s="99" t="s">
        <v>16</v>
      </c>
      <c r="G1421" s="99">
        <v>16</v>
      </c>
      <c r="H1421" s="112">
        <v>1200000</v>
      </c>
      <c r="I1421" s="112">
        <v>19200000</v>
      </c>
      <c r="J1421" s="99" t="s">
        <v>2312</v>
      </c>
      <c r="K1421" s="99" t="s">
        <v>127</v>
      </c>
    </row>
    <row r="1422" spans="2:11" x14ac:dyDescent="0.3">
      <c r="B1422" s="99" t="s">
        <v>1503</v>
      </c>
      <c r="C1422" s="100">
        <v>45924</v>
      </c>
      <c r="D1422" s="99" t="s">
        <v>31</v>
      </c>
      <c r="E1422" s="99" t="s">
        <v>32</v>
      </c>
      <c r="F1422" s="99" t="s">
        <v>20</v>
      </c>
      <c r="G1422" s="99">
        <v>250</v>
      </c>
      <c r="H1422" s="112">
        <v>180000</v>
      </c>
      <c r="I1422" s="112">
        <v>45000000</v>
      </c>
      <c r="J1422" s="99" t="s">
        <v>2299</v>
      </c>
      <c r="K1422" s="99" t="s">
        <v>127</v>
      </c>
    </row>
    <row r="1423" spans="2:11" x14ac:dyDescent="0.3">
      <c r="B1423" s="99" t="s">
        <v>1548</v>
      </c>
      <c r="C1423" s="100">
        <v>45924</v>
      </c>
      <c r="D1423" s="99" t="s">
        <v>10</v>
      </c>
      <c r="E1423" s="99" t="s">
        <v>11</v>
      </c>
      <c r="F1423" s="99" t="s">
        <v>12</v>
      </c>
      <c r="G1423" s="99">
        <v>27</v>
      </c>
      <c r="H1423" s="112">
        <v>120000</v>
      </c>
      <c r="I1423" s="112">
        <v>3240000</v>
      </c>
      <c r="J1423" s="99" t="s">
        <v>2513</v>
      </c>
      <c r="K1423" s="99" t="s">
        <v>47</v>
      </c>
    </row>
    <row r="1424" spans="2:11" x14ac:dyDescent="0.3">
      <c r="B1424" s="99" t="s">
        <v>1549</v>
      </c>
      <c r="C1424" s="100">
        <v>45924</v>
      </c>
      <c r="D1424" s="99" t="s">
        <v>14</v>
      </c>
      <c r="E1424" s="99" t="s">
        <v>15</v>
      </c>
      <c r="F1424" s="99" t="s">
        <v>16</v>
      </c>
      <c r="G1424" s="99">
        <v>16</v>
      </c>
      <c r="H1424" s="112">
        <v>350000</v>
      </c>
      <c r="I1424" s="112">
        <v>5600000</v>
      </c>
      <c r="J1424" s="99" t="s">
        <v>2459</v>
      </c>
      <c r="K1424" s="99" t="s">
        <v>69</v>
      </c>
    </row>
    <row r="1425" spans="2:11" x14ac:dyDescent="0.3">
      <c r="B1425" s="99" t="s">
        <v>1550</v>
      </c>
      <c r="C1425" s="100">
        <v>45924</v>
      </c>
      <c r="D1425" s="99" t="s">
        <v>18</v>
      </c>
      <c r="E1425" s="99" t="s">
        <v>19</v>
      </c>
      <c r="F1425" s="99" t="s">
        <v>20</v>
      </c>
      <c r="G1425" s="99">
        <v>40</v>
      </c>
      <c r="H1425" s="112">
        <v>500000</v>
      </c>
      <c r="I1425" s="112">
        <v>20000000</v>
      </c>
      <c r="J1425" s="99" t="s">
        <v>2809</v>
      </c>
      <c r="K1425" s="99" t="s">
        <v>47</v>
      </c>
    </row>
    <row r="1426" spans="2:11" x14ac:dyDescent="0.3">
      <c r="B1426" s="99" t="s">
        <v>1575</v>
      </c>
      <c r="C1426" s="100">
        <v>45924</v>
      </c>
      <c r="D1426" s="99" t="s">
        <v>10</v>
      </c>
      <c r="E1426" s="99" t="s">
        <v>11</v>
      </c>
      <c r="F1426" s="99" t="s">
        <v>12</v>
      </c>
      <c r="G1426" s="99">
        <v>48</v>
      </c>
      <c r="H1426" s="112">
        <v>120000</v>
      </c>
      <c r="I1426" s="112">
        <v>5760000</v>
      </c>
      <c r="J1426" s="99" t="s">
        <v>2545</v>
      </c>
      <c r="K1426" s="99" t="s">
        <v>60</v>
      </c>
    </row>
    <row r="1427" spans="2:11" x14ac:dyDescent="0.3">
      <c r="B1427" s="99" t="s">
        <v>1576</v>
      </c>
      <c r="C1427" s="100">
        <v>45924</v>
      </c>
      <c r="D1427" s="99" t="s">
        <v>10</v>
      </c>
      <c r="E1427" s="99" t="s">
        <v>11</v>
      </c>
      <c r="F1427" s="99" t="s">
        <v>12</v>
      </c>
      <c r="G1427" s="99">
        <v>34</v>
      </c>
      <c r="H1427" s="112">
        <v>120000</v>
      </c>
      <c r="I1427" s="112">
        <v>4080000</v>
      </c>
      <c r="J1427" s="99" t="s">
        <v>2127</v>
      </c>
      <c r="K1427" s="99" t="s">
        <v>127</v>
      </c>
    </row>
    <row r="1428" spans="2:11" x14ac:dyDescent="0.3">
      <c r="B1428" s="99" t="s">
        <v>1577</v>
      </c>
      <c r="C1428" s="100">
        <v>45924</v>
      </c>
      <c r="D1428" s="99" t="s">
        <v>42</v>
      </c>
      <c r="E1428" s="99" t="s">
        <v>43</v>
      </c>
      <c r="F1428" s="99" t="s">
        <v>16</v>
      </c>
      <c r="G1428" s="99">
        <v>440</v>
      </c>
      <c r="H1428" s="112">
        <v>1200000</v>
      </c>
      <c r="I1428" s="112">
        <v>528000000</v>
      </c>
      <c r="J1428" s="99" t="s">
        <v>2239</v>
      </c>
      <c r="K1428" s="99" t="s">
        <v>8</v>
      </c>
    </row>
    <row r="1429" spans="2:11" x14ac:dyDescent="0.3">
      <c r="B1429" s="99" t="s">
        <v>1578</v>
      </c>
      <c r="C1429" s="100">
        <v>45924</v>
      </c>
      <c r="D1429" s="99" t="s">
        <v>14</v>
      </c>
      <c r="E1429" s="99" t="s">
        <v>15</v>
      </c>
      <c r="F1429" s="99" t="s">
        <v>16</v>
      </c>
      <c r="G1429" s="99">
        <v>210</v>
      </c>
      <c r="H1429" s="112">
        <v>350000</v>
      </c>
      <c r="I1429" s="112">
        <v>73500000</v>
      </c>
      <c r="J1429" s="99" t="s">
        <v>2299</v>
      </c>
      <c r="K1429" s="99" t="s">
        <v>127</v>
      </c>
    </row>
    <row r="1430" spans="2:11" x14ac:dyDescent="0.3">
      <c r="B1430" s="99" t="s">
        <v>1579</v>
      </c>
      <c r="C1430" s="100">
        <v>45924</v>
      </c>
      <c r="D1430" s="99" t="s">
        <v>28</v>
      </c>
      <c r="E1430" s="99" t="s">
        <v>29</v>
      </c>
      <c r="F1430" s="99" t="s">
        <v>20</v>
      </c>
      <c r="G1430" s="99">
        <v>41</v>
      </c>
      <c r="H1430" s="112">
        <v>450000</v>
      </c>
      <c r="I1430" s="112">
        <v>18450000</v>
      </c>
      <c r="J1430" s="99" t="s">
        <v>184</v>
      </c>
      <c r="K1430" s="99" t="s">
        <v>127</v>
      </c>
    </row>
    <row r="1431" spans="2:11" x14ac:dyDescent="0.3">
      <c r="B1431" s="99" t="s">
        <v>1580</v>
      </c>
      <c r="C1431" s="100">
        <v>45925</v>
      </c>
      <c r="D1431" s="99" t="s">
        <v>42</v>
      </c>
      <c r="E1431" s="99" t="s">
        <v>43</v>
      </c>
      <c r="F1431" s="99" t="s">
        <v>16</v>
      </c>
      <c r="G1431" s="99">
        <v>33</v>
      </c>
      <c r="H1431" s="112">
        <v>1200000</v>
      </c>
      <c r="I1431" s="112">
        <v>39600000</v>
      </c>
      <c r="J1431" s="99" t="s">
        <v>2381</v>
      </c>
      <c r="K1431" s="99" t="s">
        <v>8</v>
      </c>
    </row>
    <row r="1432" spans="2:11" x14ac:dyDescent="0.3">
      <c r="B1432" s="99" t="s">
        <v>1581</v>
      </c>
      <c r="C1432" s="100">
        <v>45925</v>
      </c>
      <c r="D1432" s="99" t="s">
        <v>38</v>
      </c>
      <c r="E1432" s="99" t="s">
        <v>39</v>
      </c>
      <c r="F1432" s="99" t="s">
        <v>16</v>
      </c>
      <c r="G1432" s="99">
        <v>26</v>
      </c>
      <c r="H1432" s="112">
        <v>200000</v>
      </c>
      <c r="I1432" s="112">
        <v>5200000</v>
      </c>
      <c r="J1432" s="99" t="s">
        <v>2166</v>
      </c>
      <c r="K1432" s="99" t="s">
        <v>60</v>
      </c>
    </row>
    <row r="1433" spans="2:11" x14ac:dyDescent="0.3">
      <c r="B1433" s="99" t="s">
        <v>1599</v>
      </c>
      <c r="C1433" s="100">
        <v>45925</v>
      </c>
      <c r="D1433" s="99" t="s">
        <v>42</v>
      </c>
      <c r="E1433" s="99" t="s">
        <v>43</v>
      </c>
      <c r="F1433" s="99" t="s">
        <v>16</v>
      </c>
      <c r="G1433" s="99">
        <v>29</v>
      </c>
      <c r="H1433" s="112">
        <v>1200000</v>
      </c>
      <c r="I1433" s="112">
        <v>34800000</v>
      </c>
      <c r="J1433" s="99" t="s">
        <v>2118</v>
      </c>
      <c r="K1433" s="99" t="s">
        <v>69</v>
      </c>
    </row>
    <row r="1434" spans="2:11" x14ac:dyDescent="0.3">
      <c r="B1434" s="99" t="s">
        <v>1600</v>
      </c>
      <c r="C1434" s="100">
        <v>45925</v>
      </c>
      <c r="D1434" s="99" t="s">
        <v>22</v>
      </c>
      <c r="E1434" s="99" t="s">
        <v>23</v>
      </c>
      <c r="F1434" s="99" t="s">
        <v>12</v>
      </c>
      <c r="G1434" s="99">
        <v>10</v>
      </c>
      <c r="H1434" s="112">
        <v>25000</v>
      </c>
      <c r="I1434" s="112">
        <v>250000</v>
      </c>
      <c r="J1434" s="99" t="s">
        <v>2363</v>
      </c>
      <c r="K1434" s="99" t="s">
        <v>8</v>
      </c>
    </row>
    <row r="1435" spans="2:11" x14ac:dyDescent="0.3">
      <c r="B1435" s="99" t="s">
        <v>1601</v>
      </c>
      <c r="C1435" s="100">
        <v>45925</v>
      </c>
      <c r="D1435" s="99" t="s">
        <v>14</v>
      </c>
      <c r="E1435" s="99" t="s">
        <v>15</v>
      </c>
      <c r="F1435" s="99" t="s">
        <v>16</v>
      </c>
      <c r="G1435" s="99">
        <v>26</v>
      </c>
      <c r="H1435" s="112">
        <v>350000</v>
      </c>
      <c r="I1435" s="112">
        <v>9100000</v>
      </c>
      <c r="J1435" s="99" t="s">
        <v>2152</v>
      </c>
      <c r="K1435" s="99" t="s">
        <v>69</v>
      </c>
    </row>
    <row r="1436" spans="2:11" x14ac:dyDescent="0.3">
      <c r="B1436" s="99" t="s">
        <v>1626</v>
      </c>
      <c r="C1436" s="100">
        <v>45925</v>
      </c>
      <c r="D1436" s="99" t="s">
        <v>38</v>
      </c>
      <c r="E1436" s="99" t="s">
        <v>39</v>
      </c>
      <c r="F1436" s="99" t="s">
        <v>16</v>
      </c>
      <c r="G1436" s="99">
        <v>28</v>
      </c>
      <c r="H1436" s="112">
        <v>200000</v>
      </c>
      <c r="I1436" s="112">
        <v>5600000</v>
      </c>
      <c r="J1436" s="99" t="s">
        <v>2519</v>
      </c>
      <c r="K1436" s="99" t="s">
        <v>127</v>
      </c>
    </row>
    <row r="1437" spans="2:11" x14ac:dyDescent="0.3">
      <c r="B1437" s="99" t="s">
        <v>1627</v>
      </c>
      <c r="C1437" s="100">
        <v>45925</v>
      </c>
      <c r="D1437" s="99" t="s">
        <v>42</v>
      </c>
      <c r="E1437" s="99" t="s">
        <v>43</v>
      </c>
      <c r="F1437" s="99" t="s">
        <v>16</v>
      </c>
      <c r="G1437" s="99">
        <v>34</v>
      </c>
      <c r="H1437" s="112">
        <v>1200000</v>
      </c>
      <c r="I1437" s="112">
        <v>40800000</v>
      </c>
      <c r="J1437" s="99" t="s">
        <v>2469</v>
      </c>
      <c r="K1437" s="99" t="s">
        <v>69</v>
      </c>
    </row>
    <row r="1438" spans="2:11" x14ac:dyDescent="0.3">
      <c r="B1438" s="99" t="s">
        <v>1628</v>
      </c>
      <c r="C1438" s="100">
        <v>45925</v>
      </c>
      <c r="D1438" s="99" t="s">
        <v>40</v>
      </c>
      <c r="E1438" s="99" t="s">
        <v>41</v>
      </c>
      <c r="F1438" s="99" t="s">
        <v>16</v>
      </c>
      <c r="G1438" s="99">
        <v>13</v>
      </c>
      <c r="H1438" s="112">
        <v>950000</v>
      </c>
      <c r="I1438" s="112">
        <v>12350000</v>
      </c>
      <c r="J1438" s="99" t="s">
        <v>2738</v>
      </c>
      <c r="K1438" s="99" t="s">
        <v>8</v>
      </c>
    </row>
    <row r="1439" spans="2:11" x14ac:dyDescent="0.3">
      <c r="B1439" s="99" t="s">
        <v>1629</v>
      </c>
      <c r="C1439" s="100">
        <v>45926</v>
      </c>
      <c r="D1439" s="99" t="s">
        <v>44</v>
      </c>
      <c r="E1439" s="99" t="s">
        <v>45</v>
      </c>
      <c r="F1439" s="99" t="s">
        <v>16</v>
      </c>
      <c r="G1439" s="99">
        <v>27</v>
      </c>
      <c r="H1439" s="112">
        <v>250000</v>
      </c>
      <c r="I1439" s="112">
        <v>6750000</v>
      </c>
      <c r="J1439" s="99" t="s">
        <v>2152</v>
      </c>
      <c r="K1439" s="99" t="s">
        <v>69</v>
      </c>
    </row>
    <row r="1440" spans="2:11" x14ac:dyDescent="0.3">
      <c r="B1440" s="99" t="s">
        <v>1630</v>
      </c>
      <c r="C1440" s="100">
        <v>45926</v>
      </c>
      <c r="D1440" s="99" t="s">
        <v>38</v>
      </c>
      <c r="E1440" s="99" t="s">
        <v>39</v>
      </c>
      <c r="F1440" s="99" t="s">
        <v>16</v>
      </c>
      <c r="G1440" s="99">
        <v>5</v>
      </c>
      <c r="H1440" s="112">
        <v>200000</v>
      </c>
      <c r="I1440" s="112">
        <v>1000000</v>
      </c>
      <c r="J1440" s="99" t="s">
        <v>2265</v>
      </c>
      <c r="K1440" s="99" t="s">
        <v>127</v>
      </c>
    </row>
    <row r="1441" spans="2:11" x14ac:dyDescent="0.3">
      <c r="B1441" s="99" t="s">
        <v>1669</v>
      </c>
      <c r="C1441" s="100">
        <v>45926</v>
      </c>
      <c r="D1441" s="99" t="s">
        <v>38</v>
      </c>
      <c r="E1441" s="99" t="s">
        <v>39</v>
      </c>
      <c r="F1441" s="99" t="s">
        <v>16</v>
      </c>
      <c r="G1441" s="99">
        <v>19</v>
      </c>
      <c r="H1441" s="112">
        <v>200000</v>
      </c>
      <c r="I1441" s="112">
        <v>3800000</v>
      </c>
      <c r="J1441" s="99" t="s">
        <v>2318</v>
      </c>
      <c r="K1441" s="99" t="s">
        <v>47</v>
      </c>
    </row>
    <row r="1442" spans="2:11" x14ac:dyDescent="0.3">
      <c r="B1442" s="99" t="s">
        <v>1670</v>
      </c>
      <c r="C1442" s="100">
        <v>45926</v>
      </c>
      <c r="D1442" s="99" t="s">
        <v>42</v>
      </c>
      <c r="E1442" s="99" t="s">
        <v>43</v>
      </c>
      <c r="F1442" s="99" t="s">
        <v>16</v>
      </c>
      <c r="G1442" s="99">
        <v>8</v>
      </c>
      <c r="H1442" s="112">
        <v>1200000</v>
      </c>
      <c r="I1442" s="112">
        <v>9600000</v>
      </c>
      <c r="J1442" s="99" t="s">
        <v>2397</v>
      </c>
      <c r="K1442" s="99" t="s">
        <v>47</v>
      </c>
    </row>
    <row r="1443" spans="2:11" x14ac:dyDescent="0.3">
      <c r="B1443" s="99" t="s">
        <v>1671</v>
      </c>
      <c r="C1443" s="100">
        <v>45926</v>
      </c>
      <c r="D1443" s="99" t="s">
        <v>28</v>
      </c>
      <c r="E1443" s="99" t="s">
        <v>29</v>
      </c>
      <c r="F1443" s="99" t="s">
        <v>20</v>
      </c>
      <c r="G1443" s="99">
        <v>24</v>
      </c>
      <c r="H1443" s="112">
        <v>450000</v>
      </c>
      <c r="I1443" s="112">
        <v>10800000</v>
      </c>
      <c r="J1443" s="99" t="s">
        <v>2128</v>
      </c>
      <c r="K1443" s="99" t="s">
        <v>69</v>
      </c>
    </row>
    <row r="1444" spans="2:11" x14ac:dyDescent="0.3">
      <c r="B1444" s="99" t="s">
        <v>1672</v>
      </c>
      <c r="C1444" s="100">
        <v>45926</v>
      </c>
      <c r="D1444" s="99" t="s">
        <v>44</v>
      </c>
      <c r="E1444" s="99" t="s">
        <v>45</v>
      </c>
      <c r="F1444" s="99" t="s">
        <v>16</v>
      </c>
      <c r="G1444" s="99">
        <v>10</v>
      </c>
      <c r="H1444" s="112">
        <v>250000</v>
      </c>
      <c r="I1444" s="112">
        <v>2500000</v>
      </c>
      <c r="J1444" s="99" t="s">
        <v>2730</v>
      </c>
      <c r="K1444" s="99" t="s">
        <v>69</v>
      </c>
    </row>
    <row r="1445" spans="2:11" x14ac:dyDescent="0.3">
      <c r="B1445" s="99" t="s">
        <v>1673</v>
      </c>
      <c r="C1445" s="100">
        <v>45926</v>
      </c>
      <c r="D1445" s="99" t="s">
        <v>10</v>
      </c>
      <c r="E1445" s="99" t="s">
        <v>11</v>
      </c>
      <c r="F1445" s="99" t="s">
        <v>12</v>
      </c>
      <c r="G1445" s="99">
        <v>34</v>
      </c>
      <c r="H1445" s="112">
        <v>120000</v>
      </c>
      <c r="I1445" s="112">
        <v>4080000</v>
      </c>
      <c r="J1445" s="99" t="s">
        <v>2685</v>
      </c>
      <c r="K1445" s="99" t="s">
        <v>69</v>
      </c>
    </row>
    <row r="1446" spans="2:11" x14ac:dyDescent="0.3">
      <c r="B1446" s="99" t="s">
        <v>1674</v>
      </c>
      <c r="C1446" s="100">
        <v>45926</v>
      </c>
      <c r="D1446" s="99" t="s">
        <v>42</v>
      </c>
      <c r="E1446" s="99" t="s">
        <v>43</v>
      </c>
      <c r="F1446" s="99" t="s">
        <v>16</v>
      </c>
      <c r="G1446" s="99">
        <v>28</v>
      </c>
      <c r="H1446" s="112">
        <v>1200000</v>
      </c>
      <c r="I1446" s="112">
        <v>33600000</v>
      </c>
      <c r="J1446" s="99" t="s">
        <v>2705</v>
      </c>
      <c r="K1446" s="99" t="s">
        <v>69</v>
      </c>
    </row>
    <row r="1447" spans="2:11" x14ac:dyDescent="0.3">
      <c r="B1447" s="99" t="s">
        <v>1675</v>
      </c>
      <c r="C1447" s="100">
        <v>45926</v>
      </c>
      <c r="D1447" s="99" t="s">
        <v>44</v>
      </c>
      <c r="E1447" s="99" t="s">
        <v>45</v>
      </c>
      <c r="F1447" s="99" t="s">
        <v>16</v>
      </c>
      <c r="G1447" s="99">
        <v>36</v>
      </c>
      <c r="H1447" s="112">
        <v>250000</v>
      </c>
      <c r="I1447" s="112">
        <v>9000000</v>
      </c>
      <c r="J1447" s="99" t="s">
        <v>2656</v>
      </c>
      <c r="K1447" s="99" t="s">
        <v>127</v>
      </c>
    </row>
    <row r="1448" spans="2:11" x14ac:dyDescent="0.3">
      <c r="B1448" s="99" t="s">
        <v>1676</v>
      </c>
      <c r="C1448" s="100">
        <v>45926</v>
      </c>
      <c r="D1448" s="99" t="s">
        <v>10</v>
      </c>
      <c r="E1448" s="99" t="s">
        <v>11</v>
      </c>
      <c r="F1448" s="99" t="s">
        <v>12</v>
      </c>
      <c r="G1448" s="99">
        <v>21</v>
      </c>
      <c r="H1448" s="112">
        <v>120000</v>
      </c>
      <c r="I1448" s="112">
        <v>2520000</v>
      </c>
      <c r="J1448" s="99" t="s">
        <v>2783</v>
      </c>
      <c r="K1448" s="99" t="s">
        <v>60</v>
      </c>
    </row>
    <row r="1449" spans="2:11" x14ac:dyDescent="0.3">
      <c r="B1449" s="99" t="s">
        <v>1677</v>
      </c>
      <c r="C1449" s="100">
        <v>45926</v>
      </c>
      <c r="D1449" s="99" t="s">
        <v>31</v>
      </c>
      <c r="E1449" s="99" t="s">
        <v>32</v>
      </c>
      <c r="F1449" s="99" t="s">
        <v>20</v>
      </c>
      <c r="G1449" s="99">
        <v>39</v>
      </c>
      <c r="H1449" s="112">
        <v>180000</v>
      </c>
      <c r="I1449" s="112">
        <v>7020000</v>
      </c>
      <c r="J1449" s="99" t="s">
        <v>2453</v>
      </c>
      <c r="K1449" s="99" t="s">
        <v>8</v>
      </c>
    </row>
    <row r="1450" spans="2:11" x14ac:dyDescent="0.3">
      <c r="B1450" s="99" t="s">
        <v>1703</v>
      </c>
      <c r="C1450" s="100">
        <v>45929</v>
      </c>
      <c r="D1450" s="99" t="s">
        <v>42</v>
      </c>
      <c r="E1450" s="99" t="s">
        <v>43</v>
      </c>
      <c r="F1450" s="99" t="s">
        <v>16</v>
      </c>
      <c r="G1450" s="99">
        <v>5</v>
      </c>
      <c r="H1450" s="112">
        <v>1200000</v>
      </c>
      <c r="I1450" s="112">
        <v>6000000</v>
      </c>
      <c r="J1450" s="99" t="s">
        <v>2193</v>
      </c>
      <c r="K1450" s="99" t="s">
        <v>127</v>
      </c>
    </row>
    <row r="1451" spans="2:11" x14ac:dyDescent="0.3">
      <c r="B1451" s="99" t="s">
        <v>1704</v>
      </c>
      <c r="C1451" s="100">
        <v>45929</v>
      </c>
      <c r="D1451" s="99" t="s">
        <v>38</v>
      </c>
      <c r="E1451" s="99" t="s">
        <v>39</v>
      </c>
      <c r="F1451" s="99" t="s">
        <v>16</v>
      </c>
      <c r="G1451" s="99">
        <v>37</v>
      </c>
      <c r="H1451" s="112">
        <v>200000</v>
      </c>
      <c r="I1451" s="112">
        <v>7400000</v>
      </c>
      <c r="J1451" s="99" t="s">
        <v>2120</v>
      </c>
      <c r="K1451" s="99" t="s">
        <v>8</v>
      </c>
    </row>
    <row r="1452" spans="2:11" x14ac:dyDescent="0.3">
      <c r="B1452" s="99" t="s">
        <v>1705</v>
      </c>
      <c r="C1452" s="100">
        <v>45929</v>
      </c>
      <c r="D1452" s="99" t="s">
        <v>28</v>
      </c>
      <c r="E1452" s="99" t="s">
        <v>29</v>
      </c>
      <c r="F1452" s="99" t="s">
        <v>20</v>
      </c>
      <c r="G1452" s="99">
        <v>23</v>
      </c>
      <c r="H1452" s="112">
        <v>450000</v>
      </c>
      <c r="I1452" s="112">
        <v>10350000</v>
      </c>
      <c r="J1452" s="99" t="s">
        <v>2403</v>
      </c>
      <c r="K1452" s="99" t="s">
        <v>8</v>
      </c>
    </row>
    <row r="1453" spans="2:11" x14ac:dyDescent="0.3">
      <c r="B1453" s="99" t="s">
        <v>1706</v>
      </c>
      <c r="C1453" s="100">
        <v>45929</v>
      </c>
      <c r="D1453" s="99" t="s">
        <v>22</v>
      </c>
      <c r="E1453" s="99" t="s">
        <v>23</v>
      </c>
      <c r="F1453" s="99" t="s">
        <v>12</v>
      </c>
      <c r="G1453" s="99">
        <v>18</v>
      </c>
      <c r="H1453" s="112">
        <v>25000</v>
      </c>
      <c r="I1453" s="112">
        <v>450000</v>
      </c>
      <c r="J1453" s="99" t="s">
        <v>2441</v>
      </c>
      <c r="K1453" s="99" t="s">
        <v>127</v>
      </c>
    </row>
    <row r="1454" spans="2:11" x14ac:dyDescent="0.3">
      <c r="B1454" s="99" t="s">
        <v>1707</v>
      </c>
      <c r="C1454" s="100">
        <v>45929</v>
      </c>
      <c r="D1454" s="99" t="s">
        <v>10</v>
      </c>
      <c r="E1454" s="99" t="s">
        <v>11</v>
      </c>
      <c r="F1454" s="99" t="s">
        <v>12</v>
      </c>
      <c r="G1454" s="99">
        <v>43</v>
      </c>
      <c r="H1454" s="112">
        <v>120000</v>
      </c>
      <c r="I1454" s="112">
        <v>5160000</v>
      </c>
      <c r="J1454" s="99" t="s">
        <v>533</v>
      </c>
      <c r="K1454" s="99" t="s">
        <v>47</v>
      </c>
    </row>
    <row r="1455" spans="2:11" x14ac:dyDescent="0.3">
      <c r="B1455" s="99" t="s">
        <v>1708</v>
      </c>
      <c r="C1455" s="100">
        <v>45929</v>
      </c>
      <c r="D1455" s="99" t="s">
        <v>40</v>
      </c>
      <c r="E1455" s="99" t="s">
        <v>41</v>
      </c>
      <c r="F1455" s="99" t="s">
        <v>16</v>
      </c>
      <c r="G1455" s="99">
        <v>10</v>
      </c>
      <c r="H1455" s="112">
        <v>950000</v>
      </c>
      <c r="I1455" s="112">
        <v>9500000</v>
      </c>
      <c r="J1455" s="99" t="s">
        <v>2659</v>
      </c>
      <c r="K1455" s="99" t="s">
        <v>47</v>
      </c>
    </row>
    <row r="1456" spans="2:11" x14ac:dyDescent="0.3">
      <c r="B1456" s="99" t="s">
        <v>1709</v>
      </c>
      <c r="C1456" s="100">
        <v>45929</v>
      </c>
      <c r="D1456" s="99" t="s">
        <v>18</v>
      </c>
      <c r="E1456" s="99" t="s">
        <v>19</v>
      </c>
      <c r="F1456" s="99" t="s">
        <v>20</v>
      </c>
      <c r="G1456" s="99">
        <v>14</v>
      </c>
      <c r="H1456" s="112">
        <v>500000</v>
      </c>
      <c r="I1456" s="112">
        <v>7000000</v>
      </c>
      <c r="J1456" s="99" t="s">
        <v>2842</v>
      </c>
      <c r="K1456" s="99" t="s">
        <v>127</v>
      </c>
    </row>
    <row r="1457" spans="2:11" x14ac:dyDescent="0.3">
      <c r="B1457" s="99" t="s">
        <v>1739</v>
      </c>
      <c r="C1457" s="100">
        <v>45929</v>
      </c>
      <c r="D1457" s="99" t="s">
        <v>18</v>
      </c>
      <c r="E1457" s="99" t="s">
        <v>19</v>
      </c>
      <c r="F1457" s="99" t="s">
        <v>20</v>
      </c>
      <c r="G1457" s="99">
        <v>22</v>
      </c>
      <c r="H1457" s="112">
        <v>500000</v>
      </c>
      <c r="I1457" s="112">
        <v>11000000</v>
      </c>
      <c r="J1457" s="99" t="s">
        <v>2677</v>
      </c>
      <c r="K1457" s="99" t="s">
        <v>8</v>
      </c>
    </row>
    <row r="1458" spans="2:11" x14ac:dyDescent="0.3">
      <c r="B1458" s="99" t="s">
        <v>1740</v>
      </c>
      <c r="C1458" s="100">
        <v>45929</v>
      </c>
      <c r="D1458" s="99" t="s">
        <v>14</v>
      </c>
      <c r="E1458" s="99" t="s">
        <v>15</v>
      </c>
      <c r="F1458" s="99" t="s">
        <v>16</v>
      </c>
      <c r="G1458" s="99">
        <v>210</v>
      </c>
      <c r="H1458" s="112">
        <v>350000</v>
      </c>
      <c r="I1458" s="112">
        <v>73500000</v>
      </c>
      <c r="J1458" s="99" t="s">
        <v>2236</v>
      </c>
      <c r="K1458" s="99" t="s">
        <v>8</v>
      </c>
    </row>
    <row r="1459" spans="2:11" x14ac:dyDescent="0.3">
      <c r="B1459" s="99" t="s">
        <v>1741</v>
      </c>
      <c r="C1459" s="100">
        <v>45930</v>
      </c>
      <c r="D1459" s="99" t="s">
        <v>44</v>
      </c>
      <c r="E1459" s="99" t="s">
        <v>45</v>
      </c>
      <c r="F1459" s="99" t="s">
        <v>16</v>
      </c>
      <c r="G1459" s="99">
        <v>36</v>
      </c>
      <c r="H1459" s="112">
        <v>250000</v>
      </c>
      <c r="I1459" s="112">
        <v>9000000</v>
      </c>
      <c r="J1459" s="99" t="s">
        <v>2212</v>
      </c>
      <c r="K1459" s="99" t="s">
        <v>47</v>
      </c>
    </row>
    <row r="1460" spans="2:11" x14ac:dyDescent="0.3">
      <c r="B1460" s="99" t="s">
        <v>1742</v>
      </c>
      <c r="C1460" s="100">
        <v>45930</v>
      </c>
      <c r="D1460" s="99" t="s">
        <v>44</v>
      </c>
      <c r="E1460" s="99" t="s">
        <v>45</v>
      </c>
      <c r="F1460" s="99" t="s">
        <v>16</v>
      </c>
      <c r="G1460" s="99">
        <v>33</v>
      </c>
      <c r="H1460" s="112">
        <v>250000</v>
      </c>
      <c r="I1460" s="112">
        <v>8250000</v>
      </c>
      <c r="J1460" s="99" t="s">
        <v>2729</v>
      </c>
      <c r="K1460" s="99" t="s">
        <v>8</v>
      </c>
    </row>
    <row r="1461" spans="2:11" x14ac:dyDescent="0.3">
      <c r="B1461" s="99" t="s">
        <v>1743</v>
      </c>
      <c r="C1461" s="100">
        <v>45930</v>
      </c>
      <c r="D1461" s="99" t="s">
        <v>40</v>
      </c>
      <c r="E1461" s="99" t="s">
        <v>41</v>
      </c>
      <c r="F1461" s="99" t="s">
        <v>16</v>
      </c>
      <c r="G1461" s="99">
        <v>6</v>
      </c>
      <c r="H1461" s="112">
        <v>950000</v>
      </c>
      <c r="I1461" s="112">
        <v>5700000</v>
      </c>
      <c r="J1461" s="99" t="s">
        <v>2119</v>
      </c>
      <c r="K1461" s="99" t="s">
        <v>127</v>
      </c>
    </row>
    <row r="1462" spans="2:11" x14ac:dyDescent="0.3">
      <c r="B1462" s="99" t="s">
        <v>1744</v>
      </c>
      <c r="C1462" s="100">
        <v>45930</v>
      </c>
      <c r="D1462" s="99" t="s">
        <v>28</v>
      </c>
      <c r="E1462" s="99" t="s">
        <v>29</v>
      </c>
      <c r="F1462" s="99" t="s">
        <v>20</v>
      </c>
      <c r="G1462" s="99">
        <v>38</v>
      </c>
      <c r="H1462" s="112">
        <v>450000</v>
      </c>
      <c r="I1462" s="112">
        <v>17100000</v>
      </c>
      <c r="J1462" s="99" t="s">
        <v>2656</v>
      </c>
      <c r="K1462" s="99" t="s">
        <v>127</v>
      </c>
    </row>
    <row r="1463" spans="2:11" x14ac:dyDescent="0.3">
      <c r="B1463" s="99" t="s">
        <v>1745</v>
      </c>
      <c r="C1463" s="100">
        <v>45930</v>
      </c>
      <c r="D1463" s="99" t="s">
        <v>14</v>
      </c>
      <c r="E1463" s="99" t="s">
        <v>15</v>
      </c>
      <c r="F1463" s="99" t="s">
        <v>16</v>
      </c>
      <c r="G1463" s="99">
        <v>34</v>
      </c>
      <c r="H1463" s="112">
        <v>350000</v>
      </c>
      <c r="I1463" s="112">
        <v>11900000</v>
      </c>
      <c r="J1463" s="99" t="s">
        <v>2183</v>
      </c>
      <c r="K1463" s="99" t="s">
        <v>8</v>
      </c>
    </row>
    <row r="1464" spans="2:11" x14ac:dyDescent="0.3">
      <c r="B1464" s="99" t="s">
        <v>1746</v>
      </c>
      <c r="C1464" s="100">
        <v>45930</v>
      </c>
      <c r="D1464" s="99" t="s">
        <v>14</v>
      </c>
      <c r="E1464" s="99" t="s">
        <v>15</v>
      </c>
      <c r="F1464" s="99" t="s">
        <v>16</v>
      </c>
      <c r="G1464" s="99">
        <v>5</v>
      </c>
      <c r="H1464" s="112">
        <v>350000</v>
      </c>
      <c r="I1464" s="112">
        <v>1750000</v>
      </c>
      <c r="J1464" s="99" t="s">
        <v>2790</v>
      </c>
      <c r="K1464" s="99" t="s">
        <v>127</v>
      </c>
    </row>
    <row r="1465" spans="2:11" x14ac:dyDescent="0.3">
      <c r="B1465" s="99" t="s">
        <v>1747</v>
      </c>
      <c r="C1465" s="100">
        <v>45930</v>
      </c>
      <c r="D1465" s="99" t="s">
        <v>38</v>
      </c>
      <c r="E1465" s="99" t="s">
        <v>39</v>
      </c>
      <c r="F1465" s="99" t="s">
        <v>16</v>
      </c>
      <c r="G1465" s="99">
        <v>24</v>
      </c>
      <c r="H1465" s="112">
        <v>200000</v>
      </c>
      <c r="I1465" s="112">
        <v>4800000</v>
      </c>
      <c r="J1465" s="99" t="s">
        <v>2287</v>
      </c>
      <c r="K1465" s="99" t="s">
        <v>127</v>
      </c>
    </row>
    <row r="1466" spans="2:11" x14ac:dyDescent="0.3">
      <c r="B1466" s="99" t="s">
        <v>1778</v>
      </c>
      <c r="C1466" s="100">
        <v>45930</v>
      </c>
      <c r="D1466" s="99" t="s">
        <v>22</v>
      </c>
      <c r="E1466" s="99" t="s">
        <v>23</v>
      </c>
      <c r="F1466" s="99" t="s">
        <v>12</v>
      </c>
      <c r="G1466" s="99">
        <v>19</v>
      </c>
      <c r="H1466" s="112">
        <v>25000</v>
      </c>
      <c r="I1466" s="112">
        <v>475000</v>
      </c>
      <c r="J1466" s="99" t="s">
        <v>2217</v>
      </c>
      <c r="K1466" s="99" t="s">
        <v>8</v>
      </c>
    </row>
    <row r="1467" spans="2:11" x14ac:dyDescent="0.3">
      <c r="B1467" s="99" t="s">
        <v>1779</v>
      </c>
      <c r="C1467" s="100">
        <v>45930</v>
      </c>
      <c r="D1467" s="99" t="s">
        <v>22</v>
      </c>
      <c r="E1467" s="99" t="s">
        <v>23</v>
      </c>
      <c r="F1467" s="99" t="s">
        <v>12</v>
      </c>
      <c r="G1467" s="99">
        <v>11</v>
      </c>
      <c r="H1467" s="112">
        <v>25000</v>
      </c>
      <c r="I1467" s="112">
        <v>275000</v>
      </c>
      <c r="J1467" s="99" t="s">
        <v>2513</v>
      </c>
      <c r="K1467" s="99" t="s">
        <v>47</v>
      </c>
    </row>
    <row r="1468" spans="2:11" x14ac:dyDescent="0.3">
      <c r="B1468" s="99" t="s">
        <v>1780</v>
      </c>
      <c r="C1468" s="100">
        <v>45930</v>
      </c>
      <c r="D1468" s="99" t="s">
        <v>10</v>
      </c>
      <c r="E1468" s="99" t="s">
        <v>11</v>
      </c>
      <c r="F1468" s="99" t="s">
        <v>12</v>
      </c>
      <c r="G1468" s="99">
        <v>16</v>
      </c>
      <c r="H1468" s="112">
        <v>120000</v>
      </c>
      <c r="I1468" s="112">
        <v>1920000</v>
      </c>
      <c r="J1468" s="99" t="s">
        <v>1037</v>
      </c>
      <c r="K1468" s="99" t="s">
        <v>60</v>
      </c>
    </row>
    <row r="1469" spans="2:11" x14ac:dyDescent="0.3">
      <c r="B1469" s="99" t="s">
        <v>1781</v>
      </c>
      <c r="C1469" s="100">
        <v>45930</v>
      </c>
      <c r="D1469" s="99" t="s">
        <v>10</v>
      </c>
      <c r="E1469" s="99" t="s">
        <v>11</v>
      </c>
      <c r="F1469" s="99" t="s">
        <v>12</v>
      </c>
      <c r="G1469" s="99">
        <v>9</v>
      </c>
      <c r="H1469" s="112">
        <v>120000</v>
      </c>
      <c r="I1469" s="112">
        <v>1080000</v>
      </c>
      <c r="J1469" s="99" t="s">
        <v>2243</v>
      </c>
      <c r="K1469" s="99" t="s">
        <v>8</v>
      </c>
    </row>
    <row r="1470" spans="2:11" x14ac:dyDescent="0.3">
      <c r="B1470" s="99" t="s">
        <v>1782</v>
      </c>
      <c r="C1470" s="100">
        <v>45930</v>
      </c>
      <c r="D1470" s="99" t="s">
        <v>42</v>
      </c>
      <c r="E1470" s="99" t="s">
        <v>43</v>
      </c>
      <c r="F1470" s="99" t="s">
        <v>16</v>
      </c>
      <c r="G1470" s="99">
        <v>16</v>
      </c>
      <c r="H1470" s="112">
        <v>1200000</v>
      </c>
      <c r="I1470" s="112">
        <v>19200000</v>
      </c>
      <c r="J1470" s="99" t="s">
        <v>2159</v>
      </c>
      <c r="K1470" s="99" t="s">
        <v>127</v>
      </c>
    </row>
    <row r="1471" spans="2:11" x14ac:dyDescent="0.3">
      <c r="B1471" s="99" t="s">
        <v>1783</v>
      </c>
      <c r="C1471" s="100">
        <v>45930</v>
      </c>
      <c r="D1471" s="99" t="s">
        <v>40</v>
      </c>
      <c r="E1471" s="99" t="s">
        <v>41</v>
      </c>
      <c r="F1471" s="99" t="s">
        <v>16</v>
      </c>
      <c r="G1471" s="99">
        <v>140</v>
      </c>
      <c r="H1471" s="112">
        <v>950000</v>
      </c>
      <c r="I1471" s="112">
        <v>133000000</v>
      </c>
      <c r="J1471" s="99" t="s">
        <v>2362</v>
      </c>
      <c r="K1471" s="99" t="s">
        <v>8</v>
      </c>
    </row>
    <row r="1472" spans="2:11" x14ac:dyDescent="0.3">
      <c r="B1472" s="99" t="s">
        <v>1784</v>
      </c>
      <c r="C1472" s="100">
        <v>45931</v>
      </c>
      <c r="D1472" s="99" t="s">
        <v>44</v>
      </c>
      <c r="E1472" s="99" t="s">
        <v>45</v>
      </c>
      <c r="F1472" s="99" t="s">
        <v>16</v>
      </c>
      <c r="G1472" s="99">
        <v>29</v>
      </c>
      <c r="H1472" s="112">
        <v>250000</v>
      </c>
      <c r="I1472" s="112">
        <v>7250000</v>
      </c>
      <c r="J1472" s="99" t="s">
        <v>2772</v>
      </c>
      <c r="K1472" s="99" t="s">
        <v>47</v>
      </c>
    </row>
    <row r="1473" spans="2:11" x14ac:dyDescent="0.3">
      <c r="B1473" s="99" t="s">
        <v>1785</v>
      </c>
      <c r="C1473" s="100">
        <v>45931</v>
      </c>
      <c r="D1473" s="99" t="s">
        <v>18</v>
      </c>
      <c r="E1473" s="99" t="s">
        <v>19</v>
      </c>
      <c r="F1473" s="99" t="s">
        <v>20</v>
      </c>
      <c r="G1473" s="99">
        <v>22</v>
      </c>
      <c r="H1473" s="112">
        <v>500000</v>
      </c>
      <c r="I1473" s="112">
        <v>11000000</v>
      </c>
      <c r="J1473" s="99" t="s">
        <v>2375</v>
      </c>
      <c r="K1473" s="99" t="s">
        <v>127</v>
      </c>
    </row>
    <row r="1474" spans="2:11" x14ac:dyDescent="0.3">
      <c r="B1474" s="99" t="s">
        <v>1786</v>
      </c>
      <c r="C1474" s="100">
        <v>45931</v>
      </c>
      <c r="D1474" s="99" t="s">
        <v>31</v>
      </c>
      <c r="E1474" s="99" t="s">
        <v>32</v>
      </c>
      <c r="F1474" s="99" t="s">
        <v>20</v>
      </c>
      <c r="G1474" s="99">
        <v>12</v>
      </c>
      <c r="H1474" s="112">
        <v>180000</v>
      </c>
      <c r="I1474" s="112">
        <v>2160000</v>
      </c>
      <c r="J1474" s="99" t="s">
        <v>2301</v>
      </c>
      <c r="K1474" s="99" t="s">
        <v>8</v>
      </c>
    </row>
    <row r="1475" spans="2:11" x14ac:dyDescent="0.3">
      <c r="B1475" s="99" t="s">
        <v>1810</v>
      </c>
      <c r="C1475" s="100">
        <v>45931</v>
      </c>
      <c r="D1475" s="99" t="s">
        <v>18</v>
      </c>
      <c r="E1475" s="99" t="s">
        <v>19</v>
      </c>
      <c r="F1475" s="99" t="s">
        <v>20</v>
      </c>
      <c r="G1475" s="99">
        <v>31</v>
      </c>
      <c r="H1475" s="112">
        <v>500000</v>
      </c>
      <c r="I1475" s="112">
        <v>15500000</v>
      </c>
      <c r="J1475" s="99" t="s">
        <v>2147</v>
      </c>
      <c r="K1475" s="99" t="s">
        <v>60</v>
      </c>
    </row>
    <row r="1476" spans="2:11" x14ac:dyDescent="0.3">
      <c r="B1476" s="99" t="s">
        <v>1811</v>
      </c>
      <c r="C1476" s="100">
        <v>45931</v>
      </c>
      <c r="D1476" s="99" t="s">
        <v>38</v>
      </c>
      <c r="E1476" s="99" t="s">
        <v>39</v>
      </c>
      <c r="F1476" s="99" t="s">
        <v>16</v>
      </c>
      <c r="G1476" s="99">
        <v>46</v>
      </c>
      <c r="H1476" s="112">
        <v>200000</v>
      </c>
      <c r="I1476" s="112">
        <v>9200000</v>
      </c>
      <c r="J1476" s="99" t="s">
        <v>2617</v>
      </c>
      <c r="K1476" s="99" t="s">
        <v>47</v>
      </c>
    </row>
    <row r="1477" spans="2:11" x14ac:dyDescent="0.3">
      <c r="B1477" s="99" t="s">
        <v>1812</v>
      </c>
      <c r="C1477" s="100">
        <v>45931</v>
      </c>
      <c r="D1477" s="99" t="s">
        <v>18</v>
      </c>
      <c r="E1477" s="99" t="s">
        <v>19</v>
      </c>
      <c r="F1477" s="99" t="s">
        <v>20</v>
      </c>
      <c r="G1477" s="99">
        <v>230</v>
      </c>
      <c r="H1477" s="112">
        <v>500000</v>
      </c>
      <c r="I1477" s="112">
        <v>115000000</v>
      </c>
      <c r="J1477" s="99" t="s">
        <v>2740</v>
      </c>
      <c r="K1477" s="99" t="s">
        <v>127</v>
      </c>
    </row>
    <row r="1478" spans="2:11" x14ac:dyDescent="0.3">
      <c r="B1478" s="99" t="s">
        <v>1813</v>
      </c>
      <c r="C1478" s="100">
        <v>45931</v>
      </c>
      <c r="D1478" s="99" t="s">
        <v>14</v>
      </c>
      <c r="E1478" s="99" t="s">
        <v>15</v>
      </c>
      <c r="F1478" s="99" t="s">
        <v>16</v>
      </c>
      <c r="G1478" s="99">
        <v>14</v>
      </c>
      <c r="H1478" s="112">
        <v>350000</v>
      </c>
      <c r="I1478" s="112">
        <v>4900000</v>
      </c>
      <c r="J1478" s="99" t="s">
        <v>2179</v>
      </c>
      <c r="K1478" s="99" t="s">
        <v>127</v>
      </c>
    </row>
    <row r="1479" spans="2:11" x14ac:dyDescent="0.3">
      <c r="B1479" s="99" t="s">
        <v>1814</v>
      </c>
      <c r="C1479" s="100">
        <v>45931</v>
      </c>
      <c r="D1479" s="99" t="s">
        <v>22</v>
      </c>
      <c r="E1479" s="99" t="s">
        <v>23</v>
      </c>
      <c r="F1479" s="99" t="s">
        <v>12</v>
      </c>
      <c r="G1479" s="99">
        <v>14</v>
      </c>
      <c r="H1479" s="112">
        <v>25000</v>
      </c>
      <c r="I1479" s="112">
        <v>350000</v>
      </c>
      <c r="J1479" s="99" t="s">
        <v>2693</v>
      </c>
      <c r="K1479" s="99" t="s">
        <v>127</v>
      </c>
    </row>
    <row r="1480" spans="2:11" x14ac:dyDescent="0.3">
      <c r="B1480" s="99" t="s">
        <v>1815</v>
      </c>
      <c r="C1480" s="100">
        <v>45931</v>
      </c>
      <c r="D1480" s="99" t="s">
        <v>31</v>
      </c>
      <c r="E1480" s="99" t="s">
        <v>32</v>
      </c>
      <c r="F1480" s="99" t="s">
        <v>20</v>
      </c>
      <c r="G1480" s="99">
        <v>48</v>
      </c>
      <c r="H1480" s="112">
        <v>180000</v>
      </c>
      <c r="I1480" s="112">
        <v>8640000</v>
      </c>
      <c r="J1480" s="99" t="s">
        <v>968</v>
      </c>
      <c r="K1480" s="99" t="s">
        <v>8</v>
      </c>
    </row>
    <row r="1481" spans="2:11" x14ac:dyDescent="0.3">
      <c r="B1481" s="99" t="s">
        <v>1816</v>
      </c>
      <c r="C1481" s="100">
        <v>45931</v>
      </c>
      <c r="D1481" s="99" t="s">
        <v>44</v>
      </c>
      <c r="E1481" s="99" t="s">
        <v>45</v>
      </c>
      <c r="F1481" s="99" t="s">
        <v>16</v>
      </c>
      <c r="G1481" s="99">
        <v>14</v>
      </c>
      <c r="H1481" s="112">
        <v>250000</v>
      </c>
      <c r="I1481" s="112">
        <v>3500000</v>
      </c>
      <c r="J1481" s="99" t="s">
        <v>2674</v>
      </c>
      <c r="K1481" s="99" t="s">
        <v>60</v>
      </c>
    </row>
    <row r="1482" spans="2:11" x14ac:dyDescent="0.3">
      <c r="B1482" s="99" t="s">
        <v>1817</v>
      </c>
      <c r="C1482" s="100">
        <v>45931</v>
      </c>
      <c r="D1482" s="99" t="s">
        <v>22</v>
      </c>
      <c r="E1482" s="99" t="s">
        <v>23</v>
      </c>
      <c r="F1482" s="99" t="s">
        <v>12</v>
      </c>
      <c r="G1482" s="99">
        <v>32</v>
      </c>
      <c r="H1482" s="112">
        <v>25000</v>
      </c>
      <c r="I1482" s="112">
        <v>800000</v>
      </c>
      <c r="J1482" s="99" t="s">
        <v>2435</v>
      </c>
      <c r="K1482" s="99" t="s">
        <v>127</v>
      </c>
    </row>
    <row r="1483" spans="2:11" x14ac:dyDescent="0.3">
      <c r="B1483" s="99" t="s">
        <v>1818</v>
      </c>
      <c r="C1483" s="100">
        <v>45931</v>
      </c>
      <c r="D1483" s="99" t="s">
        <v>42</v>
      </c>
      <c r="E1483" s="99" t="s">
        <v>43</v>
      </c>
      <c r="F1483" s="99" t="s">
        <v>16</v>
      </c>
      <c r="G1483" s="99">
        <v>15</v>
      </c>
      <c r="H1483" s="112">
        <v>1200000</v>
      </c>
      <c r="I1483" s="112">
        <v>18000000</v>
      </c>
      <c r="J1483" s="99" t="s">
        <v>2346</v>
      </c>
      <c r="K1483" s="99" t="s">
        <v>127</v>
      </c>
    </row>
    <row r="1484" spans="2:11" x14ac:dyDescent="0.3">
      <c r="B1484" s="99" t="s">
        <v>1846</v>
      </c>
      <c r="C1484" s="100">
        <v>45931</v>
      </c>
      <c r="D1484" s="99" t="s">
        <v>42</v>
      </c>
      <c r="E1484" s="99" t="s">
        <v>43</v>
      </c>
      <c r="F1484" s="99" t="s">
        <v>16</v>
      </c>
      <c r="G1484" s="99">
        <v>6</v>
      </c>
      <c r="H1484" s="112">
        <v>1200000</v>
      </c>
      <c r="I1484" s="112">
        <v>7200000</v>
      </c>
      <c r="J1484" s="99" t="s">
        <v>2389</v>
      </c>
      <c r="K1484" s="99" t="s">
        <v>60</v>
      </c>
    </row>
    <row r="1485" spans="2:11" x14ac:dyDescent="0.3">
      <c r="B1485" s="99" t="s">
        <v>1847</v>
      </c>
      <c r="C1485" s="100">
        <v>45931</v>
      </c>
      <c r="D1485" s="99" t="s">
        <v>40</v>
      </c>
      <c r="E1485" s="99" t="s">
        <v>41</v>
      </c>
      <c r="F1485" s="99" t="s">
        <v>16</v>
      </c>
      <c r="G1485" s="99">
        <v>26</v>
      </c>
      <c r="H1485" s="112">
        <v>950000</v>
      </c>
      <c r="I1485" s="112">
        <v>24700000</v>
      </c>
      <c r="J1485" s="99" t="s">
        <v>2339</v>
      </c>
      <c r="K1485" s="99" t="s">
        <v>69</v>
      </c>
    </row>
    <row r="1486" spans="2:11" x14ac:dyDescent="0.3">
      <c r="B1486" s="99" t="s">
        <v>1874</v>
      </c>
      <c r="C1486" s="100">
        <v>45931</v>
      </c>
      <c r="D1486" s="99" t="s">
        <v>44</v>
      </c>
      <c r="E1486" s="99" t="s">
        <v>45</v>
      </c>
      <c r="F1486" s="99" t="s">
        <v>16</v>
      </c>
      <c r="G1486" s="99">
        <v>13</v>
      </c>
      <c r="H1486" s="112">
        <v>250000</v>
      </c>
      <c r="I1486" s="112">
        <v>3250000</v>
      </c>
      <c r="J1486" s="99" t="s">
        <v>2368</v>
      </c>
      <c r="K1486" s="99" t="s">
        <v>8</v>
      </c>
    </row>
    <row r="1487" spans="2:11" x14ac:dyDescent="0.3">
      <c r="B1487" s="99" t="s">
        <v>1875</v>
      </c>
      <c r="C1487" s="100">
        <v>45937</v>
      </c>
      <c r="D1487" s="99" t="s">
        <v>18</v>
      </c>
      <c r="E1487" s="99" t="s">
        <v>19</v>
      </c>
      <c r="F1487" s="99" t="s">
        <v>20</v>
      </c>
      <c r="G1487" s="99">
        <v>180</v>
      </c>
      <c r="H1487" s="112">
        <v>500000</v>
      </c>
      <c r="I1487" s="112">
        <v>90000000</v>
      </c>
      <c r="J1487" s="99" t="s">
        <v>2618</v>
      </c>
      <c r="K1487" s="99" t="s">
        <v>8</v>
      </c>
    </row>
    <row r="1488" spans="2:11" x14ac:dyDescent="0.3">
      <c r="B1488" s="99" t="s">
        <v>1876</v>
      </c>
      <c r="C1488" s="100">
        <v>45937</v>
      </c>
      <c r="D1488" s="99" t="s">
        <v>44</v>
      </c>
      <c r="E1488" s="99" t="s">
        <v>45</v>
      </c>
      <c r="F1488" s="99" t="s">
        <v>16</v>
      </c>
      <c r="G1488" s="99">
        <v>39</v>
      </c>
      <c r="H1488" s="112">
        <v>250000</v>
      </c>
      <c r="I1488" s="112">
        <v>9750000</v>
      </c>
      <c r="J1488" s="99" t="s">
        <v>307</v>
      </c>
      <c r="K1488" s="99" t="s">
        <v>127</v>
      </c>
    </row>
    <row r="1489" spans="2:11" x14ac:dyDescent="0.3">
      <c r="B1489" s="99" t="s">
        <v>1877</v>
      </c>
      <c r="C1489" s="100">
        <v>45937</v>
      </c>
      <c r="D1489" s="99" t="s">
        <v>22</v>
      </c>
      <c r="E1489" s="99" t="s">
        <v>23</v>
      </c>
      <c r="F1489" s="99" t="s">
        <v>12</v>
      </c>
      <c r="G1489" s="99">
        <v>47</v>
      </c>
      <c r="H1489" s="112">
        <v>25000</v>
      </c>
      <c r="I1489" s="112">
        <v>1175000</v>
      </c>
      <c r="J1489" s="99" t="s">
        <v>2253</v>
      </c>
      <c r="K1489" s="99" t="s">
        <v>8</v>
      </c>
    </row>
    <row r="1490" spans="2:11" x14ac:dyDescent="0.3">
      <c r="B1490" s="99" t="s">
        <v>1878</v>
      </c>
      <c r="C1490" s="100">
        <v>45937</v>
      </c>
      <c r="D1490" s="99" t="s">
        <v>44</v>
      </c>
      <c r="E1490" s="99" t="s">
        <v>45</v>
      </c>
      <c r="F1490" s="99" t="s">
        <v>16</v>
      </c>
      <c r="G1490" s="99">
        <v>20</v>
      </c>
      <c r="H1490" s="112">
        <v>250000</v>
      </c>
      <c r="I1490" s="112">
        <v>5000000</v>
      </c>
      <c r="J1490" s="99" t="s">
        <v>2249</v>
      </c>
      <c r="K1490" s="99" t="s">
        <v>69</v>
      </c>
    </row>
    <row r="1491" spans="2:11" x14ac:dyDescent="0.3">
      <c r="B1491" s="99" t="s">
        <v>1879</v>
      </c>
      <c r="C1491" s="100">
        <v>45937</v>
      </c>
      <c r="D1491" s="99" t="s">
        <v>44</v>
      </c>
      <c r="E1491" s="99" t="s">
        <v>45</v>
      </c>
      <c r="F1491" s="99" t="s">
        <v>16</v>
      </c>
      <c r="G1491" s="99">
        <v>9</v>
      </c>
      <c r="H1491" s="112">
        <v>250000</v>
      </c>
      <c r="I1491" s="112">
        <v>2250000</v>
      </c>
      <c r="J1491" s="99" t="s">
        <v>2257</v>
      </c>
      <c r="K1491" s="99" t="s">
        <v>127</v>
      </c>
    </row>
    <row r="1492" spans="2:11" x14ac:dyDescent="0.3">
      <c r="B1492" s="99" t="s">
        <v>1880</v>
      </c>
      <c r="C1492" s="100">
        <v>45937</v>
      </c>
      <c r="D1492" s="99" t="s">
        <v>44</v>
      </c>
      <c r="E1492" s="99" t="s">
        <v>45</v>
      </c>
      <c r="F1492" s="99" t="s">
        <v>16</v>
      </c>
      <c r="G1492" s="99">
        <v>20</v>
      </c>
      <c r="H1492" s="112">
        <v>250000</v>
      </c>
      <c r="I1492" s="112">
        <v>5000000</v>
      </c>
      <c r="J1492" s="99" t="s">
        <v>2647</v>
      </c>
      <c r="K1492" s="99" t="s">
        <v>8</v>
      </c>
    </row>
    <row r="1493" spans="2:11" x14ac:dyDescent="0.3">
      <c r="B1493" s="99" t="s">
        <v>1896</v>
      </c>
      <c r="C1493" s="100">
        <v>45937</v>
      </c>
      <c r="D1493" s="99" t="s">
        <v>31</v>
      </c>
      <c r="E1493" s="99" t="s">
        <v>32</v>
      </c>
      <c r="F1493" s="99" t="s">
        <v>20</v>
      </c>
      <c r="G1493" s="99">
        <v>21</v>
      </c>
      <c r="H1493" s="112">
        <v>180000</v>
      </c>
      <c r="I1493" s="112">
        <v>3780000</v>
      </c>
      <c r="J1493" s="99" t="s">
        <v>2564</v>
      </c>
      <c r="K1493" s="99" t="s">
        <v>127</v>
      </c>
    </row>
    <row r="1494" spans="2:11" x14ac:dyDescent="0.3">
      <c r="B1494" s="99" t="s">
        <v>1910</v>
      </c>
      <c r="C1494" s="100">
        <v>45937</v>
      </c>
      <c r="D1494" s="99" t="s">
        <v>22</v>
      </c>
      <c r="E1494" s="99" t="s">
        <v>23</v>
      </c>
      <c r="F1494" s="99" t="s">
        <v>12</v>
      </c>
      <c r="G1494" s="99">
        <v>24</v>
      </c>
      <c r="H1494" s="112">
        <v>25000</v>
      </c>
      <c r="I1494" s="112">
        <v>600000</v>
      </c>
      <c r="J1494" s="99" t="s">
        <v>2518</v>
      </c>
      <c r="K1494" s="99" t="s">
        <v>60</v>
      </c>
    </row>
    <row r="1495" spans="2:11" x14ac:dyDescent="0.3">
      <c r="B1495" s="99" t="s">
        <v>1911</v>
      </c>
      <c r="C1495" s="100">
        <v>45937</v>
      </c>
      <c r="D1495" s="99" t="s">
        <v>42</v>
      </c>
      <c r="E1495" s="99" t="s">
        <v>43</v>
      </c>
      <c r="F1495" s="99" t="s">
        <v>16</v>
      </c>
      <c r="G1495" s="99">
        <v>39</v>
      </c>
      <c r="H1495" s="112">
        <v>1200000</v>
      </c>
      <c r="I1495" s="112">
        <v>46800000</v>
      </c>
      <c r="J1495" s="99" t="s">
        <v>2587</v>
      </c>
      <c r="K1495" s="99" t="s">
        <v>8</v>
      </c>
    </row>
    <row r="1496" spans="2:11" x14ac:dyDescent="0.3">
      <c r="B1496" s="99" t="s">
        <v>1920</v>
      </c>
      <c r="C1496" s="100">
        <v>45937</v>
      </c>
      <c r="D1496" s="99" t="s">
        <v>22</v>
      </c>
      <c r="E1496" s="99" t="s">
        <v>23</v>
      </c>
      <c r="F1496" s="99" t="s">
        <v>12</v>
      </c>
      <c r="G1496" s="99">
        <v>22</v>
      </c>
      <c r="H1496" s="112">
        <v>25000</v>
      </c>
      <c r="I1496" s="112">
        <v>550000</v>
      </c>
      <c r="J1496" s="99" t="s">
        <v>2364</v>
      </c>
      <c r="K1496" s="99" t="s">
        <v>127</v>
      </c>
    </row>
    <row r="1497" spans="2:11" x14ac:dyDescent="0.3">
      <c r="B1497" s="99" t="s">
        <v>1921</v>
      </c>
      <c r="C1497" s="100">
        <v>45937</v>
      </c>
      <c r="D1497" s="99" t="s">
        <v>31</v>
      </c>
      <c r="E1497" s="99" t="s">
        <v>32</v>
      </c>
      <c r="F1497" s="99" t="s">
        <v>20</v>
      </c>
      <c r="G1497" s="99">
        <v>50</v>
      </c>
      <c r="H1497" s="112">
        <v>180000</v>
      </c>
      <c r="I1497" s="112">
        <v>9000000</v>
      </c>
      <c r="J1497" s="99" t="s">
        <v>2408</v>
      </c>
      <c r="K1497" s="99" t="s">
        <v>8</v>
      </c>
    </row>
    <row r="1498" spans="2:11" x14ac:dyDescent="0.3">
      <c r="B1498" s="99" t="s">
        <v>1922</v>
      </c>
      <c r="C1498" s="100">
        <v>45937</v>
      </c>
      <c r="D1498" s="99" t="s">
        <v>18</v>
      </c>
      <c r="E1498" s="99" t="s">
        <v>19</v>
      </c>
      <c r="F1498" s="99" t="s">
        <v>20</v>
      </c>
      <c r="G1498" s="99">
        <v>7</v>
      </c>
      <c r="H1498" s="112">
        <v>500000</v>
      </c>
      <c r="I1498" s="112">
        <v>3500000</v>
      </c>
      <c r="J1498" s="99" t="s">
        <v>2729</v>
      </c>
      <c r="K1498" s="99" t="s">
        <v>8</v>
      </c>
    </row>
    <row r="1499" spans="2:11" x14ac:dyDescent="0.3">
      <c r="B1499" s="99" t="s">
        <v>1946</v>
      </c>
      <c r="C1499" s="100">
        <v>45938</v>
      </c>
      <c r="D1499" s="99" t="s">
        <v>44</v>
      </c>
      <c r="E1499" s="99" t="s">
        <v>45</v>
      </c>
      <c r="F1499" s="99" t="s">
        <v>16</v>
      </c>
      <c r="G1499" s="99">
        <v>26</v>
      </c>
      <c r="H1499" s="112">
        <v>250000</v>
      </c>
      <c r="I1499" s="112">
        <v>6500000</v>
      </c>
      <c r="J1499" s="99" t="s">
        <v>2819</v>
      </c>
      <c r="K1499" s="99" t="s">
        <v>8</v>
      </c>
    </row>
    <row r="1500" spans="2:11" x14ac:dyDescent="0.3">
      <c r="B1500" s="99" t="s">
        <v>1965</v>
      </c>
      <c r="C1500" s="100">
        <v>45938</v>
      </c>
      <c r="D1500" s="99" t="s">
        <v>14</v>
      </c>
      <c r="E1500" s="99" t="s">
        <v>15</v>
      </c>
      <c r="F1500" s="99" t="s">
        <v>16</v>
      </c>
      <c r="G1500" s="99">
        <v>23</v>
      </c>
      <c r="H1500" s="112">
        <v>350000</v>
      </c>
      <c r="I1500" s="112">
        <v>8050000</v>
      </c>
      <c r="J1500" s="99" t="s">
        <v>2135</v>
      </c>
      <c r="K1500" s="99" t="s">
        <v>8</v>
      </c>
    </row>
    <row r="1501" spans="2:11" x14ac:dyDescent="0.3">
      <c r="B1501" s="99" t="s">
        <v>1983</v>
      </c>
      <c r="C1501" s="100">
        <v>45938</v>
      </c>
      <c r="D1501" s="99" t="s">
        <v>31</v>
      </c>
      <c r="E1501" s="99" t="s">
        <v>32</v>
      </c>
      <c r="F1501" s="99" t="s">
        <v>20</v>
      </c>
      <c r="G1501" s="99">
        <v>13</v>
      </c>
      <c r="H1501" s="112">
        <v>180000</v>
      </c>
      <c r="I1501" s="112">
        <v>2340000</v>
      </c>
      <c r="J1501" s="99" t="s">
        <v>2588</v>
      </c>
      <c r="K1501" s="99" t="s">
        <v>47</v>
      </c>
    </row>
    <row r="1502" spans="2:11" x14ac:dyDescent="0.3">
      <c r="B1502" s="99" t="s">
        <v>1984</v>
      </c>
      <c r="C1502" s="100">
        <v>45938</v>
      </c>
      <c r="D1502" s="99" t="s">
        <v>38</v>
      </c>
      <c r="E1502" s="99" t="s">
        <v>39</v>
      </c>
      <c r="F1502" s="99" t="s">
        <v>16</v>
      </c>
      <c r="G1502" s="99">
        <v>16</v>
      </c>
      <c r="H1502" s="112">
        <v>200000</v>
      </c>
      <c r="I1502" s="112">
        <v>3200000</v>
      </c>
      <c r="J1502" s="99" t="s">
        <v>2724</v>
      </c>
      <c r="K1502" s="99" t="s">
        <v>47</v>
      </c>
    </row>
    <row r="1503" spans="2:11" x14ac:dyDescent="0.3">
      <c r="B1503" s="99" t="s">
        <v>1998</v>
      </c>
      <c r="C1503" s="100">
        <v>45938</v>
      </c>
      <c r="D1503" s="99" t="s">
        <v>22</v>
      </c>
      <c r="E1503" s="99" t="s">
        <v>23</v>
      </c>
      <c r="F1503" s="99" t="s">
        <v>12</v>
      </c>
      <c r="G1503" s="99">
        <v>25</v>
      </c>
      <c r="H1503" s="112">
        <v>25000</v>
      </c>
      <c r="I1503" s="112">
        <v>625000</v>
      </c>
      <c r="J1503" s="99" t="s">
        <v>2187</v>
      </c>
      <c r="K1503" s="99" t="s">
        <v>60</v>
      </c>
    </row>
    <row r="1504" spans="2:11" x14ac:dyDescent="0.3">
      <c r="B1504" s="99" t="s">
        <v>1999</v>
      </c>
      <c r="C1504" s="100">
        <v>45938</v>
      </c>
      <c r="D1504" s="99" t="s">
        <v>10</v>
      </c>
      <c r="E1504" s="99" t="s">
        <v>11</v>
      </c>
      <c r="F1504" s="99" t="s">
        <v>12</v>
      </c>
      <c r="G1504" s="99">
        <v>34</v>
      </c>
      <c r="H1504" s="112">
        <v>120000</v>
      </c>
      <c r="I1504" s="112">
        <v>4080000</v>
      </c>
      <c r="J1504" s="99" t="s">
        <v>2198</v>
      </c>
      <c r="K1504" s="99" t="s">
        <v>8</v>
      </c>
    </row>
    <row r="1505" spans="2:11" x14ac:dyDescent="0.3">
      <c r="B1505" s="99" t="s">
        <v>2000</v>
      </c>
      <c r="C1505" s="100">
        <v>45938</v>
      </c>
      <c r="D1505" s="99" t="s">
        <v>10</v>
      </c>
      <c r="E1505" s="99" t="s">
        <v>11</v>
      </c>
      <c r="F1505" s="99" t="s">
        <v>12</v>
      </c>
      <c r="G1505" s="99">
        <v>34</v>
      </c>
      <c r="H1505" s="112">
        <v>120000</v>
      </c>
      <c r="I1505" s="112">
        <v>4080000</v>
      </c>
      <c r="J1505" s="99" t="s">
        <v>2270</v>
      </c>
      <c r="K1505" s="99" t="s">
        <v>60</v>
      </c>
    </row>
    <row r="1506" spans="2:11" x14ac:dyDescent="0.3">
      <c r="B1506" s="99" t="s">
        <v>2001</v>
      </c>
      <c r="C1506" s="100">
        <v>45938</v>
      </c>
      <c r="D1506" s="99" t="s">
        <v>44</v>
      </c>
      <c r="E1506" s="99" t="s">
        <v>45</v>
      </c>
      <c r="F1506" s="99" t="s">
        <v>16</v>
      </c>
      <c r="G1506" s="99">
        <v>42</v>
      </c>
      <c r="H1506" s="112">
        <v>250000</v>
      </c>
      <c r="I1506" s="112">
        <v>10500000</v>
      </c>
      <c r="J1506" s="99" t="s">
        <v>2124</v>
      </c>
      <c r="K1506" s="99" t="s">
        <v>8</v>
      </c>
    </row>
    <row r="1507" spans="2:11" x14ac:dyDescent="0.3">
      <c r="B1507" s="99" t="s">
        <v>2008</v>
      </c>
      <c r="C1507" s="100">
        <v>45939</v>
      </c>
      <c r="D1507" s="99" t="s">
        <v>14</v>
      </c>
      <c r="E1507" s="99" t="s">
        <v>15</v>
      </c>
      <c r="F1507" s="99" t="s">
        <v>16</v>
      </c>
      <c r="G1507" s="99">
        <v>35</v>
      </c>
      <c r="H1507" s="112">
        <v>350000</v>
      </c>
      <c r="I1507" s="112">
        <v>12250000</v>
      </c>
      <c r="J1507" s="99" t="s">
        <v>2040</v>
      </c>
      <c r="K1507" s="99" t="s">
        <v>60</v>
      </c>
    </row>
    <row r="1508" spans="2:11" x14ac:dyDescent="0.3">
      <c r="B1508" s="99" t="s">
        <v>2036</v>
      </c>
      <c r="C1508" s="100">
        <v>45939</v>
      </c>
      <c r="D1508" s="99" t="s">
        <v>44</v>
      </c>
      <c r="E1508" s="99" t="s">
        <v>45</v>
      </c>
      <c r="F1508" s="99" t="s">
        <v>16</v>
      </c>
      <c r="G1508" s="99">
        <v>31</v>
      </c>
      <c r="H1508" s="112">
        <v>250000</v>
      </c>
      <c r="I1508" s="112">
        <v>7750000</v>
      </c>
      <c r="J1508" s="99" t="s">
        <v>2193</v>
      </c>
      <c r="K1508" s="99" t="s">
        <v>127</v>
      </c>
    </row>
    <row r="1509" spans="2:11" x14ac:dyDescent="0.3">
      <c r="B1509" s="99" t="s">
        <v>2037</v>
      </c>
      <c r="C1509" s="100">
        <v>45939</v>
      </c>
      <c r="D1509" s="99" t="s">
        <v>22</v>
      </c>
      <c r="E1509" s="99" t="s">
        <v>23</v>
      </c>
      <c r="F1509" s="99" t="s">
        <v>12</v>
      </c>
      <c r="G1509" s="99">
        <v>22</v>
      </c>
      <c r="H1509" s="112">
        <v>25000</v>
      </c>
      <c r="I1509" s="112">
        <v>550000</v>
      </c>
      <c r="J1509" s="99" t="s">
        <v>2486</v>
      </c>
      <c r="K1509" s="99" t="s">
        <v>127</v>
      </c>
    </row>
    <row r="1510" spans="2:11" x14ac:dyDescent="0.3">
      <c r="B1510" s="99" t="s">
        <v>2038</v>
      </c>
      <c r="C1510" s="100">
        <v>45939</v>
      </c>
      <c r="D1510" s="99" t="s">
        <v>31</v>
      </c>
      <c r="E1510" s="99" t="s">
        <v>32</v>
      </c>
      <c r="F1510" s="99" t="s">
        <v>20</v>
      </c>
      <c r="G1510" s="99">
        <v>30</v>
      </c>
      <c r="H1510" s="112">
        <v>180000</v>
      </c>
      <c r="I1510" s="112">
        <v>5400000</v>
      </c>
      <c r="J1510" s="99" t="s">
        <v>2592</v>
      </c>
      <c r="K1510" s="99" t="s">
        <v>8</v>
      </c>
    </row>
    <row r="1511" spans="2:11" x14ac:dyDescent="0.3">
      <c r="B1511" s="99" t="s">
        <v>2048</v>
      </c>
      <c r="C1511" s="100">
        <v>45939</v>
      </c>
      <c r="D1511" s="99" t="s">
        <v>44</v>
      </c>
      <c r="E1511" s="99" t="s">
        <v>45</v>
      </c>
      <c r="F1511" s="99" t="s">
        <v>16</v>
      </c>
      <c r="G1511" s="99">
        <v>410</v>
      </c>
      <c r="H1511" s="112">
        <v>250000</v>
      </c>
      <c r="I1511" s="112">
        <v>102500000</v>
      </c>
      <c r="J1511" s="99" t="s">
        <v>2239</v>
      </c>
      <c r="K1511" s="99" t="s">
        <v>8</v>
      </c>
    </row>
    <row r="1512" spans="2:11" x14ac:dyDescent="0.3">
      <c r="B1512" s="99" t="s">
        <v>2049</v>
      </c>
      <c r="C1512" s="100">
        <v>45939</v>
      </c>
      <c r="D1512" s="99" t="s">
        <v>10</v>
      </c>
      <c r="E1512" s="99" t="s">
        <v>11</v>
      </c>
      <c r="F1512" s="99" t="s">
        <v>12</v>
      </c>
      <c r="G1512" s="99">
        <v>10</v>
      </c>
      <c r="H1512" s="112">
        <v>120000</v>
      </c>
      <c r="I1512" s="112">
        <v>1200000</v>
      </c>
      <c r="J1512" s="99" t="s">
        <v>1554</v>
      </c>
      <c r="K1512" s="99" t="s">
        <v>69</v>
      </c>
    </row>
    <row r="1513" spans="2:11" x14ac:dyDescent="0.3">
      <c r="B1513" s="99" t="s">
        <v>2050</v>
      </c>
      <c r="C1513" s="100">
        <v>45939</v>
      </c>
      <c r="D1513" s="99" t="s">
        <v>14</v>
      </c>
      <c r="E1513" s="99" t="s">
        <v>15</v>
      </c>
      <c r="F1513" s="99" t="s">
        <v>16</v>
      </c>
      <c r="G1513" s="99">
        <v>10</v>
      </c>
      <c r="H1513" s="112">
        <v>350000</v>
      </c>
      <c r="I1513" s="112">
        <v>3500000</v>
      </c>
      <c r="J1513" s="99" t="s">
        <v>2273</v>
      </c>
      <c r="K1513" s="99" t="s">
        <v>60</v>
      </c>
    </row>
    <row r="1514" spans="2:11" x14ac:dyDescent="0.3">
      <c r="B1514" s="99" t="s">
        <v>2051</v>
      </c>
      <c r="C1514" s="100">
        <v>45939</v>
      </c>
      <c r="D1514" s="99" t="s">
        <v>10</v>
      </c>
      <c r="E1514" s="99" t="s">
        <v>11</v>
      </c>
      <c r="F1514" s="99" t="s">
        <v>12</v>
      </c>
      <c r="G1514" s="99">
        <v>33</v>
      </c>
      <c r="H1514" s="112">
        <v>120000</v>
      </c>
      <c r="I1514" s="112">
        <v>3960000</v>
      </c>
      <c r="J1514" s="99" t="s">
        <v>2249</v>
      </c>
      <c r="K1514" s="99" t="s">
        <v>69</v>
      </c>
    </row>
    <row r="1515" spans="2:11" x14ac:dyDescent="0.3">
      <c r="B1515" s="99" t="s">
        <v>2052</v>
      </c>
      <c r="C1515" s="100">
        <v>45939</v>
      </c>
      <c r="D1515" s="99" t="s">
        <v>31</v>
      </c>
      <c r="E1515" s="99" t="s">
        <v>32</v>
      </c>
      <c r="F1515" s="99" t="s">
        <v>20</v>
      </c>
      <c r="G1515" s="99">
        <v>8</v>
      </c>
      <c r="H1515" s="112">
        <v>180000</v>
      </c>
      <c r="I1515" s="112">
        <v>1440000</v>
      </c>
      <c r="J1515" s="99" t="s">
        <v>2142</v>
      </c>
      <c r="K1515" s="99" t="s">
        <v>8</v>
      </c>
    </row>
    <row r="1516" spans="2:11" x14ac:dyDescent="0.3">
      <c r="B1516" s="99" t="s">
        <v>2071</v>
      </c>
      <c r="C1516" s="100">
        <v>45940</v>
      </c>
      <c r="D1516" s="99" t="s">
        <v>18</v>
      </c>
      <c r="E1516" s="99" t="s">
        <v>19</v>
      </c>
      <c r="F1516" s="99" t="s">
        <v>20</v>
      </c>
      <c r="G1516" s="99">
        <v>9</v>
      </c>
      <c r="H1516" s="112">
        <v>500000</v>
      </c>
      <c r="I1516" s="112">
        <v>4500000</v>
      </c>
      <c r="J1516" s="99" t="s">
        <v>2738</v>
      </c>
      <c r="K1516" s="99" t="s">
        <v>8</v>
      </c>
    </row>
    <row r="1517" spans="2:11" x14ac:dyDescent="0.3">
      <c r="B1517" s="99" t="s">
        <v>2082</v>
      </c>
      <c r="C1517" s="100">
        <v>45940</v>
      </c>
      <c r="D1517" s="99" t="s">
        <v>22</v>
      </c>
      <c r="E1517" s="99" t="s">
        <v>23</v>
      </c>
      <c r="F1517" s="99" t="s">
        <v>12</v>
      </c>
      <c r="G1517" s="99">
        <v>5</v>
      </c>
      <c r="H1517" s="112">
        <v>25000</v>
      </c>
      <c r="I1517" s="112">
        <v>125000</v>
      </c>
      <c r="J1517" s="99" t="s">
        <v>258</v>
      </c>
      <c r="K1517" s="99" t="s">
        <v>47</v>
      </c>
    </row>
    <row r="1518" spans="2:11" x14ac:dyDescent="0.3">
      <c r="B1518" s="99" t="s">
        <v>2083</v>
      </c>
      <c r="C1518" s="100">
        <v>45940</v>
      </c>
      <c r="D1518" s="99" t="s">
        <v>42</v>
      </c>
      <c r="E1518" s="99" t="s">
        <v>43</v>
      </c>
      <c r="F1518" s="99" t="s">
        <v>16</v>
      </c>
      <c r="G1518" s="99">
        <v>7</v>
      </c>
      <c r="H1518" s="112">
        <v>1200000</v>
      </c>
      <c r="I1518" s="112">
        <v>8400000</v>
      </c>
      <c r="J1518" s="99" t="s">
        <v>2495</v>
      </c>
      <c r="K1518" s="99" t="s">
        <v>60</v>
      </c>
    </row>
    <row r="1519" spans="2:11" x14ac:dyDescent="0.3">
      <c r="B1519" s="99" t="s">
        <v>2084</v>
      </c>
      <c r="C1519" s="100">
        <v>45940</v>
      </c>
      <c r="D1519" s="99" t="s">
        <v>44</v>
      </c>
      <c r="E1519" s="99" t="s">
        <v>45</v>
      </c>
      <c r="F1519" s="99" t="s">
        <v>16</v>
      </c>
      <c r="G1519" s="99">
        <v>29</v>
      </c>
      <c r="H1519" s="112">
        <v>250000</v>
      </c>
      <c r="I1519" s="112">
        <v>7250000</v>
      </c>
      <c r="J1519" s="99" t="s">
        <v>2810</v>
      </c>
      <c r="K1519" s="99" t="s">
        <v>69</v>
      </c>
    </row>
    <row r="1520" spans="2:11" x14ac:dyDescent="0.3">
      <c r="B1520" s="99" t="s">
        <v>2085</v>
      </c>
      <c r="C1520" s="100">
        <v>45940</v>
      </c>
      <c r="D1520" s="99" t="s">
        <v>31</v>
      </c>
      <c r="E1520" s="99" t="s">
        <v>32</v>
      </c>
      <c r="F1520" s="99" t="s">
        <v>20</v>
      </c>
      <c r="G1520" s="99">
        <v>23</v>
      </c>
      <c r="H1520" s="112">
        <v>180000</v>
      </c>
      <c r="I1520" s="112">
        <v>4140000</v>
      </c>
      <c r="J1520" s="99" t="s">
        <v>2542</v>
      </c>
      <c r="K1520" s="99" t="s">
        <v>60</v>
      </c>
    </row>
    <row r="1521" spans="2:11" x14ac:dyDescent="0.3">
      <c r="B1521" s="99" t="s">
        <v>2093</v>
      </c>
      <c r="C1521" s="100">
        <v>45940</v>
      </c>
      <c r="D1521" s="99" t="s">
        <v>44</v>
      </c>
      <c r="E1521" s="99" t="s">
        <v>45</v>
      </c>
      <c r="F1521" s="99" t="s">
        <v>16</v>
      </c>
      <c r="G1521" s="99">
        <v>18</v>
      </c>
      <c r="H1521" s="112">
        <v>250000</v>
      </c>
      <c r="I1521" s="112">
        <v>4500000</v>
      </c>
      <c r="J1521" s="99" t="s">
        <v>2763</v>
      </c>
      <c r="K1521" s="99" t="s">
        <v>127</v>
      </c>
    </row>
    <row r="1522" spans="2:11" x14ac:dyDescent="0.3">
      <c r="B1522" s="99" t="s">
        <v>2112</v>
      </c>
      <c r="C1522" s="100">
        <v>45940</v>
      </c>
      <c r="D1522" s="99" t="s">
        <v>31</v>
      </c>
      <c r="E1522" s="99" t="s">
        <v>32</v>
      </c>
      <c r="F1522" s="99" t="s">
        <v>20</v>
      </c>
      <c r="G1522" s="99">
        <v>26</v>
      </c>
      <c r="H1522" s="112">
        <v>180000</v>
      </c>
      <c r="I1522" s="112">
        <v>4680000</v>
      </c>
      <c r="J1522" s="99" t="s">
        <v>2599</v>
      </c>
      <c r="K1522" s="99" t="s">
        <v>127</v>
      </c>
    </row>
    <row r="1523" spans="2:11" x14ac:dyDescent="0.3">
      <c r="B1523" s="99" t="s">
        <v>2113</v>
      </c>
      <c r="C1523" s="100">
        <v>45940</v>
      </c>
      <c r="D1523" s="99" t="s">
        <v>22</v>
      </c>
      <c r="E1523" s="99" t="s">
        <v>23</v>
      </c>
      <c r="F1523" s="99" t="s">
        <v>12</v>
      </c>
      <c r="G1523" s="99">
        <v>19</v>
      </c>
      <c r="H1523" s="112">
        <v>25000</v>
      </c>
      <c r="I1523" s="112">
        <v>475000</v>
      </c>
      <c r="J1523" s="99" t="s">
        <v>2437</v>
      </c>
      <c r="K1523" s="99" t="s">
        <v>69</v>
      </c>
    </row>
    <row r="1524" spans="2:11" x14ac:dyDescent="0.3">
      <c r="B1524" s="99" t="s">
        <v>2114</v>
      </c>
      <c r="C1524" s="100">
        <v>45940</v>
      </c>
      <c r="D1524" s="99" t="s">
        <v>28</v>
      </c>
      <c r="E1524" s="99" t="s">
        <v>29</v>
      </c>
      <c r="F1524" s="99" t="s">
        <v>20</v>
      </c>
      <c r="G1524" s="99">
        <v>47</v>
      </c>
      <c r="H1524" s="112">
        <v>450000</v>
      </c>
      <c r="I1524" s="112">
        <v>21150000</v>
      </c>
      <c r="J1524" s="99" t="s">
        <v>2386</v>
      </c>
      <c r="K1524" s="99" t="s">
        <v>127</v>
      </c>
    </row>
    <row r="1525" spans="2:11" x14ac:dyDescent="0.3">
      <c r="B1525" s="99" t="s">
        <v>2115</v>
      </c>
      <c r="C1525" s="100">
        <v>45940</v>
      </c>
      <c r="D1525" s="99" t="s">
        <v>18</v>
      </c>
      <c r="E1525" s="99" t="s">
        <v>19</v>
      </c>
      <c r="F1525" s="99" t="s">
        <v>20</v>
      </c>
      <c r="G1525" s="99">
        <v>46</v>
      </c>
      <c r="H1525" s="112">
        <v>500000</v>
      </c>
      <c r="I1525" s="112">
        <v>23000000</v>
      </c>
      <c r="J1525" s="99" t="s">
        <v>2720</v>
      </c>
      <c r="K1525" s="99" t="s">
        <v>47</v>
      </c>
    </row>
    <row r="1526" spans="2:11" x14ac:dyDescent="0.3">
      <c r="B1526" s="99" t="s">
        <v>33</v>
      </c>
      <c r="C1526" s="100">
        <v>45943</v>
      </c>
      <c r="D1526" s="99" t="s">
        <v>14</v>
      </c>
      <c r="E1526" s="99" t="s">
        <v>15</v>
      </c>
      <c r="F1526" s="99" t="s">
        <v>16</v>
      </c>
      <c r="G1526" s="99">
        <v>110</v>
      </c>
      <c r="H1526" s="112">
        <v>350000</v>
      </c>
      <c r="I1526" s="112">
        <v>38500000</v>
      </c>
      <c r="J1526" s="99" t="s">
        <v>2684</v>
      </c>
      <c r="K1526" s="99" t="s">
        <v>127</v>
      </c>
    </row>
    <row r="1527" spans="2:11" x14ac:dyDescent="0.3">
      <c r="B1527" s="99" t="s">
        <v>55</v>
      </c>
      <c r="C1527" s="100">
        <v>45943</v>
      </c>
      <c r="D1527" s="99" t="s">
        <v>22</v>
      </c>
      <c r="E1527" s="99" t="s">
        <v>23</v>
      </c>
      <c r="F1527" s="99" t="s">
        <v>12</v>
      </c>
      <c r="G1527" s="99">
        <v>50</v>
      </c>
      <c r="H1527" s="112">
        <v>25000</v>
      </c>
      <c r="I1527" s="112">
        <v>1250000</v>
      </c>
      <c r="J1527" s="99" t="s">
        <v>2847</v>
      </c>
      <c r="K1527" s="99" t="s">
        <v>127</v>
      </c>
    </row>
    <row r="1528" spans="2:11" x14ac:dyDescent="0.3">
      <c r="B1528" s="99" t="s">
        <v>56</v>
      </c>
      <c r="C1528" s="100">
        <v>45943</v>
      </c>
      <c r="D1528" s="99" t="s">
        <v>14</v>
      </c>
      <c r="E1528" s="99" t="s">
        <v>15</v>
      </c>
      <c r="F1528" s="99" t="s">
        <v>16</v>
      </c>
      <c r="G1528" s="99">
        <v>30</v>
      </c>
      <c r="H1528" s="112">
        <v>350000</v>
      </c>
      <c r="I1528" s="112">
        <v>10500000</v>
      </c>
      <c r="J1528" s="99" t="s">
        <v>2225</v>
      </c>
      <c r="K1528" s="99" t="s">
        <v>8</v>
      </c>
    </row>
    <row r="1529" spans="2:11" x14ac:dyDescent="0.3">
      <c r="B1529" s="99" t="s">
        <v>57</v>
      </c>
      <c r="C1529" s="100">
        <v>45943</v>
      </c>
      <c r="D1529" s="99" t="s">
        <v>10</v>
      </c>
      <c r="E1529" s="99" t="s">
        <v>11</v>
      </c>
      <c r="F1529" s="99" t="s">
        <v>12</v>
      </c>
      <c r="G1529" s="99">
        <v>12</v>
      </c>
      <c r="H1529" s="112">
        <v>120000</v>
      </c>
      <c r="I1529" s="112">
        <v>1440000</v>
      </c>
      <c r="J1529" s="99" t="s">
        <v>2129</v>
      </c>
      <c r="K1529" s="99" t="s">
        <v>8</v>
      </c>
    </row>
    <row r="1530" spans="2:11" x14ac:dyDescent="0.3">
      <c r="B1530" s="99" t="s">
        <v>58</v>
      </c>
      <c r="C1530" s="100">
        <v>45943</v>
      </c>
      <c r="D1530" s="99" t="s">
        <v>31</v>
      </c>
      <c r="E1530" s="99" t="s">
        <v>32</v>
      </c>
      <c r="F1530" s="99" t="s">
        <v>20</v>
      </c>
      <c r="G1530" s="99">
        <v>31</v>
      </c>
      <c r="H1530" s="112">
        <v>180000</v>
      </c>
      <c r="I1530" s="112">
        <v>5580000</v>
      </c>
      <c r="J1530" s="99" t="s">
        <v>2614</v>
      </c>
      <c r="K1530" s="99" t="s">
        <v>60</v>
      </c>
    </row>
    <row r="1531" spans="2:11" x14ac:dyDescent="0.3">
      <c r="B1531" s="99" t="s">
        <v>66</v>
      </c>
      <c r="C1531" s="100">
        <v>45943</v>
      </c>
      <c r="D1531" s="99" t="s">
        <v>18</v>
      </c>
      <c r="E1531" s="99" t="s">
        <v>19</v>
      </c>
      <c r="F1531" s="99" t="s">
        <v>20</v>
      </c>
      <c r="G1531" s="99">
        <v>20</v>
      </c>
      <c r="H1531" s="112">
        <v>500000</v>
      </c>
      <c r="I1531" s="112">
        <v>10000000</v>
      </c>
      <c r="J1531" s="99" t="s">
        <v>2142</v>
      </c>
      <c r="K1531" s="99" t="s">
        <v>8</v>
      </c>
    </row>
    <row r="1532" spans="2:11" x14ac:dyDescent="0.3">
      <c r="B1532" s="99" t="s">
        <v>75</v>
      </c>
      <c r="C1532" s="100">
        <v>45943</v>
      </c>
      <c r="D1532" s="99" t="s">
        <v>31</v>
      </c>
      <c r="E1532" s="99" t="s">
        <v>32</v>
      </c>
      <c r="F1532" s="99" t="s">
        <v>20</v>
      </c>
      <c r="G1532" s="99">
        <v>35</v>
      </c>
      <c r="H1532" s="112">
        <v>180000</v>
      </c>
      <c r="I1532" s="112">
        <v>6300000</v>
      </c>
      <c r="J1532" s="99" t="s">
        <v>2134</v>
      </c>
      <c r="K1532" s="99" t="s">
        <v>8</v>
      </c>
    </row>
    <row r="1533" spans="2:11" x14ac:dyDescent="0.3">
      <c r="B1533" s="99" t="s">
        <v>76</v>
      </c>
      <c r="C1533" s="100">
        <v>45943</v>
      </c>
      <c r="D1533" s="99" t="s">
        <v>14</v>
      </c>
      <c r="E1533" s="99" t="s">
        <v>15</v>
      </c>
      <c r="F1533" s="99" t="s">
        <v>16</v>
      </c>
      <c r="G1533" s="99">
        <v>6</v>
      </c>
      <c r="H1533" s="112">
        <v>350000</v>
      </c>
      <c r="I1533" s="112">
        <v>2100000</v>
      </c>
      <c r="J1533" s="99" t="s">
        <v>2829</v>
      </c>
      <c r="K1533" s="99" t="s">
        <v>69</v>
      </c>
    </row>
    <row r="1534" spans="2:11" x14ac:dyDescent="0.3">
      <c r="B1534" s="99" t="s">
        <v>86</v>
      </c>
      <c r="C1534" s="100">
        <v>45943</v>
      </c>
      <c r="D1534" s="99" t="s">
        <v>10</v>
      </c>
      <c r="E1534" s="99" t="s">
        <v>11</v>
      </c>
      <c r="F1534" s="99" t="s">
        <v>12</v>
      </c>
      <c r="G1534" s="99">
        <v>49</v>
      </c>
      <c r="H1534" s="112">
        <v>120000</v>
      </c>
      <c r="I1534" s="112">
        <v>5880000</v>
      </c>
      <c r="J1534" s="99" t="s">
        <v>2510</v>
      </c>
      <c r="K1534" s="99" t="s">
        <v>69</v>
      </c>
    </row>
    <row r="1535" spans="2:11" x14ac:dyDescent="0.3">
      <c r="B1535" s="99" t="s">
        <v>98</v>
      </c>
      <c r="C1535" s="100">
        <v>45943</v>
      </c>
      <c r="D1535" s="99" t="s">
        <v>22</v>
      </c>
      <c r="E1535" s="99" t="s">
        <v>23</v>
      </c>
      <c r="F1535" s="99" t="s">
        <v>12</v>
      </c>
      <c r="G1535" s="99">
        <v>8</v>
      </c>
      <c r="H1535" s="112">
        <v>25000</v>
      </c>
      <c r="I1535" s="112">
        <v>200000</v>
      </c>
      <c r="J1535" s="99" t="s">
        <v>325</v>
      </c>
      <c r="K1535" s="99" t="s">
        <v>8</v>
      </c>
    </row>
    <row r="1536" spans="2:11" x14ac:dyDescent="0.3">
      <c r="B1536" s="99" t="s">
        <v>136</v>
      </c>
      <c r="C1536" s="100">
        <v>45943</v>
      </c>
      <c r="D1536" s="99" t="s">
        <v>44</v>
      </c>
      <c r="E1536" s="99" t="s">
        <v>45</v>
      </c>
      <c r="F1536" s="99" t="s">
        <v>16</v>
      </c>
      <c r="G1536" s="99">
        <v>12</v>
      </c>
      <c r="H1536" s="112">
        <v>250000</v>
      </c>
      <c r="I1536" s="112">
        <v>3000000</v>
      </c>
      <c r="J1536" s="99" t="s">
        <v>2570</v>
      </c>
      <c r="K1536" s="99" t="s">
        <v>8</v>
      </c>
    </row>
    <row r="1537" spans="2:11" x14ac:dyDescent="0.3">
      <c r="B1537" s="99" t="s">
        <v>141</v>
      </c>
      <c r="C1537" s="100">
        <v>45943</v>
      </c>
      <c r="D1537" s="99" t="s">
        <v>44</v>
      </c>
      <c r="E1537" s="99" t="s">
        <v>45</v>
      </c>
      <c r="F1537" s="99" t="s">
        <v>16</v>
      </c>
      <c r="G1537" s="99">
        <v>27</v>
      </c>
      <c r="H1537" s="112">
        <v>250000</v>
      </c>
      <c r="I1537" s="112">
        <v>6750000</v>
      </c>
      <c r="J1537" s="99" t="s">
        <v>1970</v>
      </c>
      <c r="K1537" s="99" t="s">
        <v>127</v>
      </c>
    </row>
    <row r="1538" spans="2:11" x14ac:dyDescent="0.3">
      <c r="B1538" s="99" t="s">
        <v>142</v>
      </c>
      <c r="C1538" s="100">
        <v>45944</v>
      </c>
      <c r="D1538" s="99" t="s">
        <v>44</v>
      </c>
      <c r="E1538" s="99" t="s">
        <v>45</v>
      </c>
      <c r="F1538" s="99" t="s">
        <v>16</v>
      </c>
      <c r="G1538" s="99">
        <v>18</v>
      </c>
      <c r="H1538" s="112">
        <v>250000</v>
      </c>
      <c r="I1538" s="112">
        <v>4500000</v>
      </c>
      <c r="J1538" s="99" t="s">
        <v>2818</v>
      </c>
      <c r="K1538" s="99" t="s">
        <v>127</v>
      </c>
    </row>
    <row r="1539" spans="2:11" x14ac:dyDescent="0.3">
      <c r="B1539" s="99" t="s">
        <v>161</v>
      </c>
      <c r="C1539" s="100">
        <v>45944</v>
      </c>
      <c r="D1539" s="99" t="s">
        <v>28</v>
      </c>
      <c r="E1539" s="99" t="s">
        <v>29</v>
      </c>
      <c r="F1539" s="99" t="s">
        <v>20</v>
      </c>
      <c r="G1539" s="99">
        <v>29</v>
      </c>
      <c r="H1539" s="112">
        <v>450000</v>
      </c>
      <c r="I1539" s="112">
        <v>13050000</v>
      </c>
      <c r="J1539" s="99" t="s">
        <v>2612</v>
      </c>
      <c r="K1539" s="99" t="s">
        <v>60</v>
      </c>
    </row>
    <row r="1540" spans="2:11" x14ac:dyDescent="0.3">
      <c r="B1540" s="99" t="s">
        <v>162</v>
      </c>
      <c r="C1540" s="100">
        <v>45944</v>
      </c>
      <c r="D1540" s="99" t="s">
        <v>28</v>
      </c>
      <c r="E1540" s="99" t="s">
        <v>29</v>
      </c>
      <c r="F1540" s="99" t="s">
        <v>20</v>
      </c>
      <c r="G1540" s="99">
        <v>49</v>
      </c>
      <c r="H1540" s="112">
        <v>450000</v>
      </c>
      <c r="I1540" s="112">
        <v>22050000</v>
      </c>
      <c r="J1540" s="99" t="s">
        <v>2404</v>
      </c>
      <c r="K1540" s="99" t="s">
        <v>60</v>
      </c>
    </row>
    <row r="1541" spans="2:11" x14ac:dyDescent="0.3">
      <c r="B1541" s="99" t="s">
        <v>163</v>
      </c>
      <c r="C1541" s="100">
        <v>45944</v>
      </c>
      <c r="D1541" s="99" t="s">
        <v>18</v>
      </c>
      <c r="E1541" s="99" t="s">
        <v>19</v>
      </c>
      <c r="F1541" s="99" t="s">
        <v>20</v>
      </c>
      <c r="G1541" s="99">
        <v>320</v>
      </c>
      <c r="H1541" s="112">
        <v>500000</v>
      </c>
      <c r="I1541" s="112">
        <v>160000000</v>
      </c>
      <c r="J1541" s="99" t="s">
        <v>2684</v>
      </c>
      <c r="K1541" s="99" t="s">
        <v>127</v>
      </c>
    </row>
    <row r="1542" spans="2:11" x14ac:dyDescent="0.3">
      <c r="B1542" s="99" t="s">
        <v>178</v>
      </c>
      <c r="C1542" s="100">
        <v>45944</v>
      </c>
      <c r="D1542" s="99" t="s">
        <v>14</v>
      </c>
      <c r="E1542" s="99" t="s">
        <v>15</v>
      </c>
      <c r="F1542" s="99" t="s">
        <v>16</v>
      </c>
      <c r="G1542" s="99">
        <v>50</v>
      </c>
      <c r="H1542" s="112">
        <v>350000</v>
      </c>
      <c r="I1542" s="112">
        <v>17500000</v>
      </c>
      <c r="J1542" s="99" t="s">
        <v>2475</v>
      </c>
      <c r="K1542" s="99" t="s">
        <v>47</v>
      </c>
    </row>
    <row r="1543" spans="2:11" x14ac:dyDescent="0.3">
      <c r="B1543" s="99" t="s">
        <v>179</v>
      </c>
      <c r="C1543" s="100">
        <v>45944</v>
      </c>
      <c r="D1543" s="99" t="s">
        <v>42</v>
      </c>
      <c r="E1543" s="99" t="s">
        <v>43</v>
      </c>
      <c r="F1543" s="99" t="s">
        <v>16</v>
      </c>
      <c r="G1543" s="99">
        <v>39</v>
      </c>
      <c r="H1543" s="112">
        <v>1200000</v>
      </c>
      <c r="I1543" s="112">
        <v>46800000</v>
      </c>
      <c r="J1543" s="99" t="s">
        <v>2619</v>
      </c>
      <c r="K1543" s="99" t="s">
        <v>8</v>
      </c>
    </row>
    <row r="1544" spans="2:11" x14ac:dyDescent="0.3">
      <c r="B1544" s="99" t="s">
        <v>200</v>
      </c>
      <c r="C1544" s="100">
        <v>45944</v>
      </c>
      <c r="D1544" s="99" t="s">
        <v>14</v>
      </c>
      <c r="E1544" s="99" t="s">
        <v>15</v>
      </c>
      <c r="F1544" s="99" t="s">
        <v>16</v>
      </c>
      <c r="G1544" s="99">
        <v>280</v>
      </c>
      <c r="H1544" s="112">
        <v>350000</v>
      </c>
      <c r="I1544" s="112">
        <v>98000000</v>
      </c>
      <c r="J1544" s="99" t="s">
        <v>2686</v>
      </c>
      <c r="K1544" s="99" t="s">
        <v>8</v>
      </c>
    </row>
    <row r="1545" spans="2:11" x14ac:dyDescent="0.3">
      <c r="B1545" s="99" t="s">
        <v>201</v>
      </c>
      <c r="C1545" s="100">
        <v>45944</v>
      </c>
      <c r="D1545" s="99" t="s">
        <v>14</v>
      </c>
      <c r="E1545" s="99" t="s">
        <v>15</v>
      </c>
      <c r="F1545" s="99" t="s">
        <v>16</v>
      </c>
      <c r="G1545" s="99">
        <v>48</v>
      </c>
      <c r="H1545" s="112">
        <v>350000</v>
      </c>
      <c r="I1545" s="112">
        <v>16800000</v>
      </c>
      <c r="J1545" s="99" t="s">
        <v>2607</v>
      </c>
      <c r="K1545" s="99" t="s">
        <v>47</v>
      </c>
    </row>
    <row r="1546" spans="2:11" x14ac:dyDescent="0.3">
      <c r="B1546" s="99" t="s">
        <v>202</v>
      </c>
      <c r="C1546" s="100">
        <v>45945</v>
      </c>
      <c r="D1546" s="99" t="s">
        <v>22</v>
      </c>
      <c r="E1546" s="99" t="s">
        <v>23</v>
      </c>
      <c r="F1546" s="99" t="s">
        <v>12</v>
      </c>
      <c r="G1546" s="99">
        <v>22</v>
      </c>
      <c r="H1546" s="112">
        <v>25000</v>
      </c>
      <c r="I1546" s="112">
        <v>550000</v>
      </c>
      <c r="J1546" s="99" t="s">
        <v>2754</v>
      </c>
      <c r="K1546" s="99" t="s">
        <v>127</v>
      </c>
    </row>
    <row r="1547" spans="2:11" x14ac:dyDescent="0.3">
      <c r="B1547" s="99" t="s">
        <v>212</v>
      </c>
      <c r="C1547" s="100">
        <v>45945</v>
      </c>
      <c r="D1547" s="99" t="s">
        <v>22</v>
      </c>
      <c r="E1547" s="99" t="s">
        <v>23</v>
      </c>
      <c r="F1547" s="99" t="s">
        <v>12</v>
      </c>
      <c r="G1547" s="99">
        <v>15</v>
      </c>
      <c r="H1547" s="112">
        <v>25000</v>
      </c>
      <c r="I1547" s="112">
        <v>375000</v>
      </c>
      <c r="J1547" s="99" t="s">
        <v>2780</v>
      </c>
      <c r="K1547" s="99" t="s">
        <v>127</v>
      </c>
    </row>
    <row r="1548" spans="2:11" x14ac:dyDescent="0.3">
      <c r="B1548" s="99" t="s">
        <v>227</v>
      </c>
      <c r="C1548" s="100">
        <v>45945</v>
      </c>
      <c r="D1548" s="99" t="s">
        <v>18</v>
      </c>
      <c r="E1548" s="99" t="s">
        <v>19</v>
      </c>
      <c r="F1548" s="99" t="s">
        <v>20</v>
      </c>
      <c r="G1548" s="99">
        <v>36</v>
      </c>
      <c r="H1548" s="112">
        <v>500000</v>
      </c>
      <c r="I1548" s="112">
        <v>18000000</v>
      </c>
      <c r="J1548" s="99" t="s">
        <v>2286</v>
      </c>
      <c r="K1548" s="99" t="s">
        <v>8</v>
      </c>
    </row>
    <row r="1549" spans="2:11" x14ac:dyDescent="0.3">
      <c r="B1549" s="99" t="s">
        <v>235</v>
      </c>
      <c r="C1549" s="100">
        <v>45945</v>
      </c>
      <c r="D1549" s="99" t="s">
        <v>40</v>
      </c>
      <c r="E1549" s="99" t="s">
        <v>41</v>
      </c>
      <c r="F1549" s="99" t="s">
        <v>16</v>
      </c>
      <c r="G1549" s="99">
        <v>10</v>
      </c>
      <c r="H1549" s="112">
        <v>950000</v>
      </c>
      <c r="I1549" s="112">
        <v>9500000</v>
      </c>
      <c r="J1549" s="99" t="s">
        <v>2605</v>
      </c>
      <c r="K1549" s="99" t="s">
        <v>127</v>
      </c>
    </row>
    <row r="1550" spans="2:11" x14ac:dyDescent="0.3">
      <c r="B1550" s="99" t="s">
        <v>236</v>
      </c>
      <c r="C1550" s="100">
        <v>45945</v>
      </c>
      <c r="D1550" s="99" t="s">
        <v>28</v>
      </c>
      <c r="E1550" s="99" t="s">
        <v>29</v>
      </c>
      <c r="F1550" s="99" t="s">
        <v>20</v>
      </c>
      <c r="G1550" s="99">
        <v>38</v>
      </c>
      <c r="H1550" s="112">
        <v>450000</v>
      </c>
      <c r="I1550" s="112">
        <v>17100000</v>
      </c>
      <c r="J1550" s="99" t="s">
        <v>2152</v>
      </c>
      <c r="K1550" s="99" t="s">
        <v>69</v>
      </c>
    </row>
    <row r="1551" spans="2:11" x14ac:dyDescent="0.3">
      <c r="B1551" s="99" t="s">
        <v>251</v>
      </c>
      <c r="C1551" s="100">
        <v>45945</v>
      </c>
      <c r="D1551" s="99" t="s">
        <v>28</v>
      </c>
      <c r="E1551" s="99" t="s">
        <v>29</v>
      </c>
      <c r="F1551" s="99" t="s">
        <v>20</v>
      </c>
      <c r="G1551" s="99">
        <v>47</v>
      </c>
      <c r="H1551" s="112">
        <v>450000</v>
      </c>
      <c r="I1551" s="112">
        <v>21150000</v>
      </c>
      <c r="J1551" s="99" t="s">
        <v>2493</v>
      </c>
      <c r="K1551" s="99" t="s">
        <v>69</v>
      </c>
    </row>
    <row r="1552" spans="2:11" x14ac:dyDescent="0.3">
      <c r="B1552" s="99" t="s">
        <v>252</v>
      </c>
      <c r="C1552" s="100">
        <v>45945</v>
      </c>
      <c r="D1552" s="99" t="s">
        <v>14</v>
      </c>
      <c r="E1552" s="99" t="s">
        <v>15</v>
      </c>
      <c r="F1552" s="99" t="s">
        <v>16</v>
      </c>
      <c r="G1552" s="99">
        <v>7</v>
      </c>
      <c r="H1552" s="112">
        <v>350000</v>
      </c>
      <c r="I1552" s="112">
        <v>2450000</v>
      </c>
      <c r="J1552" s="99" t="s">
        <v>2193</v>
      </c>
      <c r="K1552" s="99" t="s">
        <v>127</v>
      </c>
    </row>
    <row r="1553" spans="2:11" x14ac:dyDescent="0.3">
      <c r="B1553" s="99" t="s">
        <v>253</v>
      </c>
      <c r="C1553" s="100">
        <v>45945</v>
      </c>
      <c r="D1553" s="99" t="s">
        <v>40</v>
      </c>
      <c r="E1553" s="99" t="s">
        <v>41</v>
      </c>
      <c r="F1553" s="99" t="s">
        <v>16</v>
      </c>
      <c r="G1553" s="99">
        <v>19</v>
      </c>
      <c r="H1553" s="112">
        <v>950000</v>
      </c>
      <c r="I1553" s="112">
        <v>18050000</v>
      </c>
      <c r="J1553" s="99" t="s">
        <v>2781</v>
      </c>
      <c r="K1553" s="99" t="s">
        <v>127</v>
      </c>
    </row>
    <row r="1554" spans="2:11" x14ac:dyDescent="0.3">
      <c r="B1554" s="99" t="s">
        <v>254</v>
      </c>
      <c r="C1554" s="100">
        <v>45945</v>
      </c>
      <c r="D1554" s="99" t="s">
        <v>31</v>
      </c>
      <c r="E1554" s="99" t="s">
        <v>32</v>
      </c>
      <c r="F1554" s="99" t="s">
        <v>20</v>
      </c>
      <c r="G1554" s="99">
        <v>26</v>
      </c>
      <c r="H1554" s="112">
        <v>180000</v>
      </c>
      <c r="I1554" s="112">
        <v>4680000</v>
      </c>
      <c r="J1554" s="99" t="s">
        <v>2372</v>
      </c>
      <c r="K1554" s="99" t="s">
        <v>8</v>
      </c>
    </row>
    <row r="1555" spans="2:11" x14ac:dyDescent="0.3">
      <c r="B1555" s="99" t="s">
        <v>270</v>
      </c>
      <c r="C1555" s="100">
        <v>45945</v>
      </c>
      <c r="D1555" s="99" t="s">
        <v>18</v>
      </c>
      <c r="E1555" s="99" t="s">
        <v>19</v>
      </c>
      <c r="F1555" s="99" t="s">
        <v>20</v>
      </c>
      <c r="G1555" s="99">
        <v>34</v>
      </c>
      <c r="H1555" s="112">
        <v>500000</v>
      </c>
      <c r="I1555" s="112">
        <v>17000000</v>
      </c>
      <c r="J1555" s="99" t="s">
        <v>2696</v>
      </c>
      <c r="K1555" s="99" t="s">
        <v>60</v>
      </c>
    </row>
    <row r="1556" spans="2:11" x14ac:dyDescent="0.3">
      <c r="B1556" s="99" t="s">
        <v>271</v>
      </c>
      <c r="C1556" s="100">
        <v>45947</v>
      </c>
      <c r="D1556" s="99" t="s">
        <v>40</v>
      </c>
      <c r="E1556" s="99" t="s">
        <v>41</v>
      </c>
      <c r="F1556" s="99" t="s">
        <v>16</v>
      </c>
      <c r="G1556" s="99">
        <v>18</v>
      </c>
      <c r="H1556" s="112">
        <v>950000</v>
      </c>
      <c r="I1556" s="112">
        <v>17100000</v>
      </c>
      <c r="J1556" s="99" t="s">
        <v>2410</v>
      </c>
      <c r="K1556" s="99" t="s">
        <v>8</v>
      </c>
    </row>
    <row r="1557" spans="2:11" x14ac:dyDescent="0.3">
      <c r="B1557" s="99" t="s">
        <v>283</v>
      </c>
      <c r="C1557" s="100">
        <v>45947</v>
      </c>
      <c r="D1557" s="99" t="s">
        <v>28</v>
      </c>
      <c r="E1557" s="99" t="s">
        <v>29</v>
      </c>
      <c r="F1557" s="99" t="s">
        <v>20</v>
      </c>
      <c r="G1557" s="99">
        <v>36</v>
      </c>
      <c r="H1557" s="112">
        <v>450000</v>
      </c>
      <c r="I1557" s="112">
        <v>16200000</v>
      </c>
      <c r="J1557" s="99" t="s">
        <v>2012</v>
      </c>
      <c r="K1557" s="99" t="s">
        <v>60</v>
      </c>
    </row>
    <row r="1558" spans="2:11" x14ac:dyDescent="0.3">
      <c r="B1558" s="99" t="s">
        <v>284</v>
      </c>
      <c r="C1558" s="100">
        <v>45947</v>
      </c>
      <c r="D1558" s="99" t="s">
        <v>10</v>
      </c>
      <c r="E1558" s="99" t="s">
        <v>11</v>
      </c>
      <c r="F1558" s="99" t="s">
        <v>12</v>
      </c>
      <c r="G1558" s="99">
        <v>38</v>
      </c>
      <c r="H1558" s="112">
        <v>120000</v>
      </c>
      <c r="I1558" s="112">
        <v>4560000</v>
      </c>
      <c r="J1558" s="99" t="s">
        <v>274</v>
      </c>
      <c r="K1558" s="99" t="s">
        <v>8</v>
      </c>
    </row>
    <row r="1559" spans="2:11" x14ac:dyDescent="0.3">
      <c r="B1559" s="99" t="s">
        <v>285</v>
      </c>
      <c r="C1559" s="100">
        <v>45947</v>
      </c>
      <c r="D1559" s="99" t="s">
        <v>40</v>
      </c>
      <c r="E1559" s="99" t="s">
        <v>41</v>
      </c>
      <c r="F1559" s="99" t="s">
        <v>16</v>
      </c>
      <c r="G1559" s="99">
        <v>39</v>
      </c>
      <c r="H1559" s="112">
        <v>950000</v>
      </c>
      <c r="I1559" s="112">
        <v>37050000</v>
      </c>
      <c r="J1559" s="99" t="s">
        <v>2704</v>
      </c>
      <c r="K1559" s="99" t="s">
        <v>8</v>
      </c>
    </row>
    <row r="1560" spans="2:11" x14ac:dyDescent="0.3">
      <c r="B1560" s="99" t="s">
        <v>294</v>
      </c>
      <c r="C1560" s="100">
        <v>45947</v>
      </c>
      <c r="D1560" s="99" t="s">
        <v>10</v>
      </c>
      <c r="E1560" s="99" t="s">
        <v>11</v>
      </c>
      <c r="F1560" s="99" t="s">
        <v>12</v>
      </c>
      <c r="G1560" s="99">
        <v>23</v>
      </c>
      <c r="H1560" s="112">
        <v>120000</v>
      </c>
      <c r="I1560" s="112">
        <v>2760000</v>
      </c>
      <c r="J1560" s="99" t="s">
        <v>2480</v>
      </c>
      <c r="K1560" s="99" t="s">
        <v>127</v>
      </c>
    </row>
    <row r="1561" spans="2:11" x14ac:dyDescent="0.3">
      <c r="B1561" s="99" t="s">
        <v>295</v>
      </c>
      <c r="C1561" s="100">
        <v>45947</v>
      </c>
      <c r="D1561" s="99" t="s">
        <v>10</v>
      </c>
      <c r="E1561" s="99" t="s">
        <v>11</v>
      </c>
      <c r="F1561" s="99" t="s">
        <v>12</v>
      </c>
      <c r="G1561" s="99">
        <v>400</v>
      </c>
      <c r="H1561" s="112">
        <v>120000</v>
      </c>
      <c r="I1561" s="112">
        <v>48000000</v>
      </c>
      <c r="J1561" s="99" t="s">
        <v>2618</v>
      </c>
      <c r="K1561" s="99" t="s">
        <v>8</v>
      </c>
    </row>
    <row r="1562" spans="2:11" x14ac:dyDescent="0.3">
      <c r="B1562" s="99" t="s">
        <v>304</v>
      </c>
      <c r="C1562" s="100">
        <v>45947</v>
      </c>
      <c r="D1562" s="99" t="s">
        <v>10</v>
      </c>
      <c r="E1562" s="99" t="s">
        <v>11</v>
      </c>
      <c r="F1562" s="99" t="s">
        <v>12</v>
      </c>
      <c r="G1562" s="99">
        <v>500</v>
      </c>
      <c r="H1562" s="112">
        <v>120000</v>
      </c>
      <c r="I1562" s="112">
        <v>60000000</v>
      </c>
      <c r="J1562" s="99" t="s">
        <v>2624</v>
      </c>
      <c r="K1562" s="99" t="s">
        <v>60</v>
      </c>
    </row>
    <row r="1563" spans="2:11" x14ac:dyDescent="0.3">
      <c r="B1563" s="99" t="s">
        <v>305</v>
      </c>
      <c r="C1563" s="100">
        <v>45947</v>
      </c>
      <c r="D1563" s="99" t="s">
        <v>38</v>
      </c>
      <c r="E1563" s="99" t="s">
        <v>39</v>
      </c>
      <c r="F1563" s="99" t="s">
        <v>16</v>
      </c>
      <c r="G1563" s="99">
        <v>49</v>
      </c>
      <c r="H1563" s="112">
        <v>200000</v>
      </c>
      <c r="I1563" s="112">
        <v>9800000</v>
      </c>
      <c r="J1563" s="99" t="s">
        <v>2477</v>
      </c>
      <c r="K1563" s="99" t="s">
        <v>47</v>
      </c>
    </row>
    <row r="1564" spans="2:11" x14ac:dyDescent="0.3">
      <c r="B1564" s="99" t="s">
        <v>320</v>
      </c>
      <c r="C1564" s="100">
        <v>45950</v>
      </c>
      <c r="D1564" s="99" t="s">
        <v>42</v>
      </c>
      <c r="E1564" s="99" t="s">
        <v>43</v>
      </c>
      <c r="F1564" s="99" t="s">
        <v>16</v>
      </c>
      <c r="G1564" s="99">
        <v>29</v>
      </c>
      <c r="H1564" s="112">
        <v>1200000</v>
      </c>
      <c r="I1564" s="112">
        <v>34800000</v>
      </c>
      <c r="J1564" s="99" t="s">
        <v>2651</v>
      </c>
      <c r="K1564" s="99" t="s">
        <v>47</v>
      </c>
    </row>
    <row r="1565" spans="2:11" x14ac:dyDescent="0.3">
      <c r="B1565" s="99" t="s">
        <v>321</v>
      </c>
      <c r="C1565" s="100">
        <v>45950</v>
      </c>
      <c r="D1565" s="99" t="s">
        <v>10</v>
      </c>
      <c r="E1565" s="99" t="s">
        <v>11</v>
      </c>
      <c r="F1565" s="99" t="s">
        <v>12</v>
      </c>
      <c r="G1565" s="99">
        <v>430</v>
      </c>
      <c r="H1565" s="112">
        <v>120000</v>
      </c>
      <c r="I1565" s="112">
        <v>51600000</v>
      </c>
      <c r="J1565" s="99" t="s">
        <v>2830</v>
      </c>
      <c r="K1565" s="99" t="s">
        <v>69</v>
      </c>
    </row>
    <row r="1566" spans="2:11" x14ac:dyDescent="0.3">
      <c r="B1566" s="99" t="s">
        <v>322</v>
      </c>
      <c r="C1566" s="100">
        <v>45950</v>
      </c>
      <c r="D1566" s="99" t="s">
        <v>18</v>
      </c>
      <c r="E1566" s="99" t="s">
        <v>19</v>
      </c>
      <c r="F1566" s="99" t="s">
        <v>20</v>
      </c>
      <c r="G1566" s="99">
        <v>230</v>
      </c>
      <c r="H1566" s="112">
        <v>500000</v>
      </c>
      <c r="I1566" s="112">
        <v>115000000</v>
      </c>
      <c r="J1566" s="99" t="s">
        <v>2695</v>
      </c>
      <c r="K1566" s="99" t="s">
        <v>8</v>
      </c>
    </row>
    <row r="1567" spans="2:11" x14ac:dyDescent="0.3">
      <c r="B1567" s="99" t="s">
        <v>334</v>
      </c>
      <c r="C1567" s="100">
        <v>45950</v>
      </c>
      <c r="D1567" s="99" t="s">
        <v>44</v>
      </c>
      <c r="E1567" s="99" t="s">
        <v>45</v>
      </c>
      <c r="F1567" s="99" t="s">
        <v>16</v>
      </c>
      <c r="G1567" s="99">
        <v>30</v>
      </c>
      <c r="H1567" s="112">
        <v>250000</v>
      </c>
      <c r="I1567" s="112">
        <v>7500000</v>
      </c>
      <c r="J1567" s="99" t="s">
        <v>2786</v>
      </c>
      <c r="K1567" s="99" t="s">
        <v>127</v>
      </c>
    </row>
    <row r="1568" spans="2:11" x14ac:dyDescent="0.3">
      <c r="B1568" s="99" t="s">
        <v>335</v>
      </c>
      <c r="C1568" s="100">
        <v>45950</v>
      </c>
      <c r="D1568" s="99" t="s">
        <v>14</v>
      </c>
      <c r="E1568" s="99" t="s">
        <v>15</v>
      </c>
      <c r="F1568" s="99" t="s">
        <v>16</v>
      </c>
      <c r="G1568" s="99">
        <v>21</v>
      </c>
      <c r="H1568" s="112">
        <v>350000</v>
      </c>
      <c r="I1568" s="112">
        <v>7350000</v>
      </c>
      <c r="J1568" s="99" t="s">
        <v>2198</v>
      </c>
      <c r="K1568" s="99" t="s">
        <v>8</v>
      </c>
    </row>
    <row r="1569" spans="2:11" x14ac:dyDescent="0.3">
      <c r="B1569" s="99" t="s">
        <v>351</v>
      </c>
      <c r="C1569" s="100">
        <v>45950</v>
      </c>
      <c r="D1569" s="99" t="s">
        <v>31</v>
      </c>
      <c r="E1569" s="99" t="s">
        <v>32</v>
      </c>
      <c r="F1569" s="99" t="s">
        <v>20</v>
      </c>
      <c r="G1569" s="99">
        <v>18</v>
      </c>
      <c r="H1569" s="112">
        <v>180000</v>
      </c>
      <c r="I1569" s="112">
        <v>3240000</v>
      </c>
      <c r="J1569" s="99" t="s">
        <v>2558</v>
      </c>
      <c r="K1569" s="99" t="s">
        <v>8</v>
      </c>
    </row>
    <row r="1570" spans="2:11" x14ac:dyDescent="0.3">
      <c r="B1570" s="99" t="s">
        <v>352</v>
      </c>
      <c r="C1570" s="100">
        <v>45950</v>
      </c>
      <c r="D1570" s="99" t="s">
        <v>14</v>
      </c>
      <c r="E1570" s="99" t="s">
        <v>15</v>
      </c>
      <c r="F1570" s="99" t="s">
        <v>16</v>
      </c>
      <c r="G1570" s="99">
        <v>44</v>
      </c>
      <c r="H1570" s="112">
        <v>350000</v>
      </c>
      <c r="I1570" s="112">
        <v>15400000</v>
      </c>
      <c r="J1570" s="99" t="s">
        <v>2660</v>
      </c>
      <c r="K1570" s="99" t="s">
        <v>69</v>
      </c>
    </row>
    <row r="1571" spans="2:11" x14ac:dyDescent="0.3">
      <c r="B1571" s="99" t="s">
        <v>353</v>
      </c>
      <c r="C1571" s="100">
        <v>45950</v>
      </c>
      <c r="D1571" s="99" t="s">
        <v>18</v>
      </c>
      <c r="E1571" s="99" t="s">
        <v>19</v>
      </c>
      <c r="F1571" s="99" t="s">
        <v>20</v>
      </c>
      <c r="G1571" s="99">
        <v>43</v>
      </c>
      <c r="H1571" s="112">
        <v>500000</v>
      </c>
      <c r="I1571" s="112">
        <v>21500000</v>
      </c>
      <c r="J1571" s="99" t="s">
        <v>2652</v>
      </c>
      <c r="K1571" s="99" t="s">
        <v>8</v>
      </c>
    </row>
    <row r="1572" spans="2:11" x14ac:dyDescent="0.3">
      <c r="B1572" s="99" t="s">
        <v>375</v>
      </c>
      <c r="C1572" s="100">
        <v>45950</v>
      </c>
      <c r="D1572" s="99" t="s">
        <v>42</v>
      </c>
      <c r="E1572" s="99" t="s">
        <v>43</v>
      </c>
      <c r="F1572" s="99" t="s">
        <v>16</v>
      </c>
      <c r="G1572" s="99">
        <v>6</v>
      </c>
      <c r="H1572" s="112">
        <v>1200000</v>
      </c>
      <c r="I1572" s="112">
        <v>7200000</v>
      </c>
      <c r="J1572" s="99" t="s">
        <v>2397</v>
      </c>
      <c r="K1572" s="99" t="s">
        <v>47</v>
      </c>
    </row>
    <row r="1573" spans="2:11" x14ac:dyDescent="0.3">
      <c r="B1573" s="99" t="s">
        <v>393</v>
      </c>
      <c r="C1573" s="100">
        <v>45950</v>
      </c>
      <c r="D1573" s="99" t="s">
        <v>28</v>
      </c>
      <c r="E1573" s="99" t="s">
        <v>29</v>
      </c>
      <c r="F1573" s="99" t="s">
        <v>20</v>
      </c>
      <c r="G1573" s="99">
        <v>29</v>
      </c>
      <c r="H1573" s="112">
        <v>450000</v>
      </c>
      <c r="I1573" s="112">
        <v>13050000</v>
      </c>
      <c r="J1573" s="99" t="s">
        <v>2767</v>
      </c>
      <c r="K1573" s="99" t="s">
        <v>127</v>
      </c>
    </row>
    <row r="1574" spans="2:11" x14ac:dyDescent="0.3">
      <c r="B1574" s="99" t="s">
        <v>394</v>
      </c>
      <c r="C1574" s="100">
        <v>45950</v>
      </c>
      <c r="D1574" s="99" t="s">
        <v>14</v>
      </c>
      <c r="E1574" s="99" t="s">
        <v>15</v>
      </c>
      <c r="F1574" s="99" t="s">
        <v>16</v>
      </c>
      <c r="G1574" s="99">
        <v>33</v>
      </c>
      <c r="H1574" s="112">
        <v>350000</v>
      </c>
      <c r="I1574" s="112">
        <v>11550000</v>
      </c>
      <c r="J1574" s="99" t="s">
        <v>2649</v>
      </c>
      <c r="K1574" s="99" t="s">
        <v>60</v>
      </c>
    </row>
    <row r="1575" spans="2:11" x14ac:dyDescent="0.3">
      <c r="B1575" s="99" t="s">
        <v>395</v>
      </c>
      <c r="C1575" s="100">
        <v>45950</v>
      </c>
      <c r="D1575" s="99" t="s">
        <v>38</v>
      </c>
      <c r="E1575" s="99" t="s">
        <v>39</v>
      </c>
      <c r="F1575" s="99" t="s">
        <v>16</v>
      </c>
      <c r="G1575" s="99">
        <v>32</v>
      </c>
      <c r="H1575" s="112">
        <v>200000</v>
      </c>
      <c r="I1575" s="112">
        <v>6400000</v>
      </c>
      <c r="J1575" s="99" t="s">
        <v>152</v>
      </c>
      <c r="K1575" s="99" t="s">
        <v>127</v>
      </c>
    </row>
    <row r="1576" spans="2:11" x14ac:dyDescent="0.3">
      <c r="B1576" s="99" t="s">
        <v>412</v>
      </c>
      <c r="C1576" s="100">
        <v>45950</v>
      </c>
      <c r="D1576" s="99" t="s">
        <v>42</v>
      </c>
      <c r="E1576" s="99" t="s">
        <v>43</v>
      </c>
      <c r="F1576" s="99" t="s">
        <v>16</v>
      </c>
      <c r="G1576" s="99">
        <v>19</v>
      </c>
      <c r="H1576" s="112">
        <v>1200000</v>
      </c>
      <c r="I1576" s="112">
        <v>22800000</v>
      </c>
      <c r="J1576" s="99" t="s">
        <v>2248</v>
      </c>
      <c r="K1576" s="99" t="s">
        <v>60</v>
      </c>
    </row>
    <row r="1577" spans="2:11" x14ac:dyDescent="0.3">
      <c r="B1577" s="99" t="s">
        <v>413</v>
      </c>
      <c r="C1577" s="100">
        <v>45951</v>
      </c>
      <c r="D1577" s="99" t="s">
        <v>40</v>
      </c>
      <c r="E1577" s="99" t="s">
        <v>41</v>
      </c>
      <c r="F1577" s="99" t="s">
        <v>16</v>
      </c>
      <c r="G1577" s="99">
        <v>48</v>
      </c>
      <c r="H1577" s="112">
        <v>950000</v>
      </c>
      <c r="I1577" s="112">
        <v>45600000</v>
      </c>
      <c r="J1577" s="99" t="s">
        <v>2187</v>
      </c>
      <c r="K1577" s="99" t="s">
        <v>60</v>
      </c>
    </row>
    <row r="1578" spans="2:11" x14ac:dyDescent="0.3">
      <c r="B1578" s="99" t="s">
        <v>414</v>
      </c>
      <c r="C1578" s="100">
        <v>45951</v>
      </c>
      <c r="D1578" s="99" t="s">
        <v>14</v>
      </c>
      <c r="E1578" s="99" t="s">
        <v>15</v>
      </c>
      <c r="F1578" s="99" t="s">
        <v>16</v>
      </c>
      <c r="G1578" s="99">
        <v>41</v>
      </c>
      <c r="H1578" s="112">
        <v>350000</v>
      </c>
      <c r="I1578" s="112">
        <v>14350000</v>
      </c>
      <c r="J1578" s="99" t="s">
        <v>2646</v>
      </c>
      <c r="K1578" s="99" t="s">
        <v>60</v>
      </c>
    </row>
    <row r="1579" spans="2:11" x14ac:dyDescent="0.3">
      <c r="B1579" s="99" t="s">
        <v>415</v>
      </c>
      <c r="C1579" s="100">
        <v>45951</v>
      </c>
      <c r="D1579" s="99" t="s">
        <v>40</v>
      </c>
      <c r="E1579" s="99" t="s">
        <v>41</v>
      </c>
      <c r="F1579" s="99" t="s">
        <v>16</v>
      </c>
      <c r="G1579" s="99">
        <v>26</v>
      </c>
      <c r="H1579" s="112">
        <v>950000</v>
      </c>
      <c r="I1579" s="112">
        <v>24700000</v>
      </c>
      <c r="J1579" s="99" t="s">
        <v>2179</v>
      </c>
      <c r="K1579" s="99" t="s">
        <v>127</v>
      </c>
    </row>
    <row r="1580" spans="2:11" x14ac:dyDescent="0.3">
      <c r="B1580" s="99" t="s">
        <v>430</v>
      </c>
      <c r="C1580" s="100">
        <v>45951</v>
      </c>
      <c r="D1580" s="99" t="s">
        <v>44</v>
      </c>
      <c r="E1580" s="99" t="s">
        <v>45</v>
      </c>
      <c r="F1580" s="99" t="s">
        <v>16</v>
      </c>
      <c r="G1580" s="99">
        <v>36</v>
      </c>
      <c r="H1580" s="112">
        <v>250000</v>
      </c>
      <c r="I1580" s="112">
        <v>9000000</v>
      </c>
      <c r="J1580" s="99" t="s">
        <v>2205</v>
      </c>
      <c r="K1580" s="99" t="s">
        <v>60</v>
      </c>
    </row>
    <row r="1581" spans="2:11" x14ac:dyDescent="0.3">
      <c r="B1581" s="99" t="s">
        <v>431</v>
      </c>
      <c r="C1581" s="100">
        <v>45951</v>
      </c>
      <c r="D1581" s="99" t="s">
        <v>10</v>
      </c>
      <c r="E1581" s="99" t="s">
        <v>11</v>
      </c>
      <c r="F1581" s="99" t="s">
        <v>12</v>
      </c>
      <c r="G1581" s="99">
        <v>6</v>
      </c>
      <c r="H1581" s="112">
        <v>120000</v>
      </c>
      <c r="I1581" s="112">
        <v>720000</v>
      </c>
      <c r="J1581" s="99" t="s">
        <v>2608</v>
      </c>
      <c r="K1581" s="99" t="s">
        <v>60</v>
      </c>
    </row>
    <row r="1582" spans="2:11" x14ac:dyDescent="0.3">
      <c r="B1582" s="99" t="s">
        <v>440</v>
      </c>
      <c r="C1582" s="100">
        <v>45951</v>
      </c>
      <c r="D1582" s="99" t="s">
        <v>22</v>
      </c>
      <c r="E1582" s="99" t="s">
        <v>23</v>
      </c>
      <c r="F1582" s="99" t="s">
        <v>12</v>
      </c>
      <c r="G1582" s="99">
        <v>29</v>
      </c>
      <c r="H1582" s="112">
        <v>25000</v>
      </c>
      <c r="I1582" s="112">
        <v>725000</v>
      </c>
      <c r="J1582" s="99" t="s">
        <v>1584</v>
      </c>
      <c r="K1582" s="99" t="s">
        <v>127</v>
      </c>
    </row>
    <row r="1583" spans="2:11" x14ac:dyDescent="0.3">
      <c r="B1583" s="99" t="s">
        <v>456</v>
      </c>
      <c r="C1583" s="100">
        <v>45951</v>
      </c>
      <c r="D1583" s="99" t="s">
        <v>31</v>
      </c>
      <c r="E1583" s="99" t="s">
        <v>32</v>
      </c>
      <c r="F1583" s="99" t="s">
        <v>20</v>
      </c>
      <c r="G1583" s="99">
        <v>33</v>
      </c>
      <c r="H1583" s="112">
        <v>180000</v>
      </c>
      <c r="I1583" s="112">
        <v>5940000</v>
      </c>
      <c r="J1583" s="99" t="s">
        <v>2373</v>
      </c>
      <c r="K1583" s="99" t="s">
        <v>69</v>
      </c>
    </row>
    <row r="1584" spans="2:11" x14ac:dyDescent="0.3">
      <c r="B1584" s="99" t="s">
        <v>457</v>
      </c>
      <c r="C1584" s="100">
        <v>45951</v>
      </c>
      <c r="D1584" s="99" t="s">
        <v>40</v>
      </c>
      <c r="E1584" s="99" t="s">
        <v>41</v>
      </c>
      <c r="F1584" s="99" t="s">
        <v>16</v>
      </c>
      <c r="G1584" s="99">
        <v>10</v>
      </c>
      <c r="H1584" s="112">
        <v>950000</v>
      </c>
      <c r="I1584" s="112">
        <v>9500000</v>
      </c>
      <c r="J1584" s="99" t="s">
        <v>2231</v>
      </c>
      <c r="K1584" s="99" t="s">
        <v>60</v>
      </c>
    </row>
    <row r="1585" spans="2:11" x14ac:dyDescent="0.3">
      <c r="B1585" s="99" t="s">
        <v>458</v>
      </c>
      <c r="C1585" s="100">
        <v>45951</v>
      </c>
      <c r="D1585" s="99" t="s">
        <v>18</v>
      </c>
      <c r="E1585" s="99" t="s">
        <v>19</v>
      </c>
      <c r="F1585" s="99" t="s">
        <v>20</v>
      </c>
      <c r="G1585" s="99">
        <v>490</v>
      </c>
      <c r="H1585" s="112">
        <v>500000</v>
      </c>
      <c r="I1585" s="112">
        <v>245000000</v>
      </c>
      <c r="J1585" s="99" t="s">
        <v>728</v>
      </c>
      <c r="K1585" s="99" t="s">
        <v>47</v>
      </c>
    </row>
    <row r="1586" spans="2:11" x14ac:dyDescent="0.3">
      <c r="B1586" s="99" t="s">
        <v>478</v>
      </c>
      <c r="C1586" s="100">
        <v>45951</v>
      </c>
      <c r="D1586" s="99" t="s">
        <v>22</v>
      </c>
      <c r="E1586" s="99" t="s">
        <v>23</v>
      </c>
      <c r="F1586" s="99" t="s">
        <v>12</v>
      </c>
      <c r="G1586" s="99">
        <v>15</v>
      </c>
      <c r="H1586" s="112">
        <v>25000</v>
      </c>
      <c r="I1586" s="112">
        <v>375000</v>
      </c>
      <c r="J1586" s="99" t="s">
        <v>2637</v>
      </c>
      <c r="K1586" s="99" t="s">
        <v>47</v>
      </c>
    </row>
    <row r="1587" spans="2:11" x14ac:dyDescent="0.3">
      <c r="B1587" s="99" t="s">
        <v>479</v>
      </c>
      <c r="C1587" s="100">
        <v>45951</v>
      </c>
      <c r="D1587" s="99" t="s">
        <v>22</v>
      </c>
      <c r="E1587" s="99" t="s">
        <v>23</v>
      </c>
      <c r="F1587" s="99" t="s">
        <v>12</v>
      </c>
      <c r="G1587" s="99">
        <v>15</v>
      </c>
      <c r="H1587" s="112">
        <v>25000</v>
      </c>
      <c r="I1587" s="112">
        <v>375000</v>
      </c>
      <c r="J1587" s="99" t="s">
        <v>2833</v>
      </c>
      <c r="K1587" s="99" t="s">
        <v>60</v>
      </c>
    </row>
    <row r="1588" spans="2:11" x14ac:dyDescent="0.3">
      <c r="B1588" s="99" t="s">
        <v>503</v>
      </c>
      <c r="C1588" s="100">
        <v>45951</v>
      </c>
      <c r="D1588" s="99" t="s">
        <v>28</v>
      </c>
      <c r="E1588" s="99" t="s">
        <v>29</v>
      </c>
      <c r="F1588" s="99" t="s">
        <v>20</v>
      </c>
      <c r="G1588" s="99">
        <v>20</v>
      </c>
      <c r="H1588" s="112">
        <v>450000</v>
      </c>
      <c r="I1588" s="112">
        <v>9000000</v>
      </c>
      <c r="J1588" s="99" t="s">
        <v>2583</v>
      </c>
      <c r="K1588" s="99" t="s">
        <v>69</v>
      </c>
    </row>
    <row r="1589" spans="2:11" x14ac:dyDescent="0.3">
      <c r="B1589" s="99" t="s">
        <v>504</v>
      </c>
      <c r="C1589" s="100">
        <v>45952</v>
      </c>
      <c r="D1589" s="99" t="s">
        <v>14</v>
      </c>
      <c r="E1589" s="99" t="s">
        <v>15</v>
      </c>
      <c r="F1589" s="99" t="s">
        <v>16</v>
      </c>
      <c r="G1589" s="99">
        <v>41</v>
      </c>
      <c r="H1589" s="112">
        <v>350000</v>
      </c>
      <c r="I1589" s="112">
        <v>14350000</v>
      </c>
      <c r="J1589" s="99" t="s">
        <v>2185</v>
      </c>
      <c r="K1589" s="99" t="s">
        <v>47</v>
      </c>
    </row>
    <row r="1590" spans="2:11" x14ac:dyDescent="0.3">
      <c r="B1590" s="99" t="s">
        <v>505</v>
      </c>
      <c r="C1590" s="100">
        <v>45952</v>
      </c>
      <c r="D1590" s="99" t="s">
        <v>44</v>
      </c>
      <c r="E1590" s="99" t="s">
        <v>45</v>
      </c>
      <c r="F1590" s="99" t="s">
        <v>16</v>
      </c>
      <c r="G1590" s="99">
        <v>110</v>
      </c>
      <c r="H1590" s="112">
        <v>250000</v>
      </c>
      <c r="I1590" s="112">
        <v>27500000</v>
      </c>
      <c r="J1590" s="99" t="s">
        <v>2684</v>
      </c>
      <c r="K1590" s="99" t="s">
        <v>127</v>
      </c>
    </row>
    <row r="1591" spans="2:11" x14ac:dyDescent="0.3">
      <c r="B1591" s="99" t="s">
        <v>522</v>
      </c>
      <c r="C1591" s="100">
        <v>45952</v>
      </c>
      <c r="D1591" s="99" t="s">
        <v>10</v>
      </c>
      <c r="E1591" s="99" t="s">
        <v>11</v>
      </c>
      <c r="F1591" s="99" t="s">
        <v>12</v>
      </c>
      <c r="G1591" s="99">
        <v>15</v>
      </c>
      <c r="H1591" s="112">
        <v>120000</v>
      </c>
      <c r="I1591" s="112">
        <v>1800000</v>
      </c>
      <c r="J1591" s="99" t="s">
        <v>2637</v>
      </c>
      <c r="K1591" s="99" t="s">
        <v>47</v>
      </c>
    </row>
    <row r="1592" spans="2:11" x14ac:dyDescent="0.3">
      <c r="B1592" s="99" t="s">
        <v>523</v>
      </c>
      <c r="C1592" s="100">
        <v>45952</v>
      </c>
      <c r="D1592" s="99" t="s">
        <v>38</v>
      </c>
      <c r="E1592" s="99" t="s">
        <v>39</v>
      </c>
      <c r="F1592" s="99" t="s">
        <v>16</v>
      </c>
      <c r="G1592" s="99">
        <v>39</v>
      </c>
      <c r="H1592" s="112">
        <v>200000</v>
      </c>
      <c r="I1592" s="112">
        <v>7800000</v>
      </c>
      <c r="J1592" s="99" t="s">
        <v>2585</v>
      </c>
      <c r="K1592" s="99" t="s">
        <v>8</v>
      </c>
    </row>
    <row r="1593" spans="2:11" x14ac:dyDescent="0.3">
      <c r="B1593" s="99" t="s">
        <v>524</v>
      </c>
      <c r="C1593" s="100">
        <v>45952</v>
      </c>
      <c r="D1593" s="99" t="s">
        <v>40</v>
      </c>
      <c r="E1593" s="99" t="s">
        <v>41</v>
      </c>
      <c r="F1593" s="99" t="s">
        <v>16</v>
      </c>
      <c r="G1593" s="99">
        <v>47</v>
      </c>
      <c r="H1593" s="112">
        <v>950000</v>
      </c>
      <c r="I1593" s="112">
        <v>44650000</v>
      </c>
      <c r="J1593" s="99" t="s">
        <v>2272</v>
      </c>
      <c r="K1593" s="99" t="s">
        <v>8</v>
      </c>
    </row>
    <row r="1594" spans="2:11" x14ac:dyDescent="0.3">
      <c r="B1594" s="99" t="s">
        <v>549</v>
      </c>
      <c r="C1594" s="100">
        <v>45952</v>
      </c>
      <c r="D1594" s="99" t="s">
        <v>14</v>
      </c>
      <c r="E1594" s="99" t="s">
        <v>15</v>
      </c>
      <c r="F1594" s="99" t="s">
        <v>16</v>
      </c>
      <c r="G1594" s="99">
        <v>43</v>
      </c>
      <c r="H1594" s="112">
        <v>350000</v>
      </c>
      <c r="I1594" s="112">
        <v>15050000</v>
      </c>
      <c r="J1594" s="99" t="s">
        <v>2183</v>
      </c>
      <c r="K1594" s="99" t="s">
        <v>8</v>
      </c>
    </row>
    <row r="1595" spans="2:11" x14ac:dyDescent="0.3">
      <c r="B1595" s="99" t="s">
        <v>550</v>
      </c>
      <c r="C1595" s="100">
        <v>45952</v>
      </c>
      <c r="D1595" s="99" t="s">
        <v>44</v>
      </c>
      <c r="E1595" s="99" t="s">
        <v>45</v>
      </c>
      <c r="F1595" s="99" t="s">
        <v>16</v>
      </c>
      <c r="G1595" s="99">
        <v>34</v>
      </c>
      <c r="H1595" s="112">
        <v>250000</v>
      </c>
      <c r="I1595" s="112">
        <v>8500000</v>
      </c>
      <c r="J1595" s="99" t="s">
        <v>2775</v>
      </c>
      <c r="K1595" s="99" t="s">
        <v>47</v>
      </c>
    </row>
    <row r="1596" spans="2:11" x14ac:dyDescent="0.3">
      <c r="B1596" s="99" t="s">
        <v>551</v>
      </c>
      <c r="C1596" s="100">
        <v>45952</v>
      </c>
      <c r="D1596" s="99" t="s">
        <v>18</v>
      </c>
      <c r="E1596" s="99" t="s">
        <v>19</v>
      </c>
      <c r="F1596" s="99" t="s">
        <v>20</v>
      </c>
      <c r="G1596" s="99">
        <v>5</v>
      </c>
      <c r="H1596" s="112">
        <v>500000</v>
      </c>
      <c r="I1596" s="112">
        <v>2500000</v>
      </c>
      <c r="J1596" s="99" t="s">
        <v>2419</v>
      </c>
      <c r="K1596" s="99" t="s">
        <v>47</v>
      </c>
    </row>
    <row r="1597" spans="2:11" x14ac:dyDescent="0.3">
      <c r="B1597" s="99" t="s">
        <v>552</v>
      </c>
      <c r="C1597" s="100">
        <v>45952</v>
      </c>
      <c r="D1597" s="99" t="s">
        <v>42</v>
      </c>
      <c r="E1597" s="99" t="s">
        <v>43</v>
      </c>
      <c r="F1597" s="99" t="s">
        <v>16</v>
      </c>
      <c r="G1597" s="99">
        <v>16</v>
      </c>
      <c r="H1597" s="112">
        <v>1200000</v>
      </c>
      <c r="I1597" s="112">
        <v>19200000</v>
      </c>
      <c r="J1597" s="99" t="s">
        <v>2473</v>
      </c>
      <c r="K1597" s="99" t="s">
        <v>69</v>
      </c>
    </row>
    <row r="1598" spans="2:11" x14ac:dyDescent="0.3">
      <c r="B1598" s="99" t="s">
        <v>553</v>
      </c>
      <c r="C1598" s="100">
        <v>45952</v>
      </c>
      <c r="D1598" s="99" t="s">
        <v>14</v>
      </c>
      <c r="E1598" s="99" t="s">
        <v>15</v>
      </c>
      <c r="F1598" s="99" t="s">
        <v>16</v>
      </c>
      <c r="G1598" s="99">
        <v>5</v>
      </c>
      <c r="H1598" s="112">
        <v>350000</v>
      </c>
      <c r="I1598" s="112">
        <v>1750000</v>
      </c>
      <c r="J1598" s="99" t="s">
        <v>2801</v>
      </c>
      <c r="K1598" s="99" t="s">
        <v>60</v>
      </c>
    </row>
    <row r="1599" spans="2:11" x14ac:dyDescent="0.3">
      <c r="B1599" s="99" t="s">
        <v>570</v>
      </c>
      <c r="C1599" s="100">
        <v>45952</v>
      </c>
      <c r="D1599" s="99" t="s">
        <v>14</v>
      </c>
      <c r="E1599" s="99" t="s">
        <v>15</v>
      </c>
      <c r="F1599" s="99" t="s">
        <v>16</v>
      </c>
      <c r="G1599" s="99">
        <v>5</v>
      </c>
      <c r="H1599" s="112">
        <v>350000</v>
      </c>
      <c r="I1599" s="112">
        <v>1750000</v>
      </c>
      <c r="J1599" s="99" t="s">
        <v>2764</v>
      </c>
      <c r="K1599" s="99" t="s">
        <v>127</v>
      </c>
    </row>
    <row r="1600" spans="2:11" x14ac:dyDescent="0.3">
      <c r="B1600" s="99" t="s">
        <v>587</v>
      </c>
      <c r="C1600" s="100">
        <v>45952</v>
      </c>
      <c r="D1600" s="99" t="s">
        <v>42</v>
      </c>
      <c r="E1600" s="99" t="s">
        <v>43</v>
      </c>
      <c r="F1600" s="99" t="s">
        <v>16</v>
      </c>
      <c r="G1600" s="99">
        <v>420</v>
      </c>
      <c r="H1600" s="112">
        <v>1200000</v>
      </c>
      <c r="I1600" s="112">
        <v>504000000</v>
      </c>
      <c r="J1600" s="99" t="s">
        <v>2239</v>
      </c>
      <c r="K1600" s="99" t="s">
        <v>8</v>
      </c>
    </row>
    <row r="1601" spans="2:11" x14ac:dyDescent="0.3">
      <c r="B1601" s="99" t="s">
        <v>588</v>
      </c>
      <c r="C1601" s="100">
        <v>45952</v>
      </c>
      <c r="D1601" s="99" t="s">
        <v>42</v>
      </c>
      <c r="E1601" s="99" t="s">
        <v>43</v>
      </c>
      <c r="F1601" s="99" t="s">
        <v>16</v>
      </c>
      <c r="G1601" s="99">
        <v>18</v>
      </c>
      <c r="H1601" s="112">
        <v>1200000</v>
      </c>
      <c r="I1601" s="112">
        <v>21600000</v>
      </c>
      <c r="J1601" s="99" t="s">
        <v>2136</v>
      </c>
      <c r="K1601" s="99" t="s">
        <v>69</v>
      </c>
    </row>
    <row r="1602" spans="2:11" x14ac:dyDescent="0.3">
      <c r="B1602" s="99" t="s">
        <v>589</v>
      </c>
      <c r="C1602" s="100">
        <v>45952</v>
      </c>
      <c r="D1602" s="99" t="s">
        <v>22</v>
      </c>
      <c r="E1602" s="99" t="s">
        <v>23</v>
      </c>
      <c r="F1602" s="99" t="s">
        <v>12</v>
      </c>
      <c r="G1602" s="99">
        <v>31</v>
      </c>
      <c r="H1602" s="112">
        <v>25000</v>
      </c>
      <c r="I1602" s="112">
        <v>775000</v>
      </c>
      <c r="J1602" s="99" t="s">
        <v>2682</v>
      </c>
      <c r="K1602" s="99" t="s">
        <v>60</v>
      </c>
    </row>
    <row r="1603" spans="2:11" x14ac:dyDescent="0.3">
      <c r="B1603" s="99" t="s">
        <v>590</v>
      </c>
      <c r="C1603" s="100">
        <v>45952</v>
      </c>
      <c r="D1603" s="99" t="s">
        <v>40</v>
      </c>
      <c r="E1603" s="99" t="s">
        <v>41</v>
      </c>
      <c r="F1603" s="99" t="s">
        <v>16</v>
      </c>
      <c r="G1603" s="99">
        <v>20</v>
      </c>
      <c r="H1603" s="112">
        <v>950000</v>
      </c>
      <c r="I1603" s="112">
        <v>19000000</v>
      </c>
      <c r="J1603" s="99" t="s">
        <v>2605</v>
      </c>
      <c r="K1603" s="99" t="s">
        <v>127</v>
      </c>
    </row>
    <row r="1604" spans="2:11" x14ac:dyDescent="0.3">
      <c r="B1604" s="99" t="s">
        <v>591</v>
      </c>
      <c r="C1604" s="100">
        <v>45952</v>
      </c>
      <c r="D1604" s="99" t="s">
        <v>42</v>
      </c>
      <c r="E1604" s="99" t="s">
        <v>43</v>
      </c>
      <c r="F1604" s="99" t="s">
        <v>16</v>
      </c>
      <c r="G1604" s="99">
        <v>4</v>
      </c>
      <c r="H1604" s="112">
        <v>1200000</v>
      </c>
      <c r="I1604" s="112">
        <v>4800000</v>
      </c>
      <c r="J1604" s="99" t="s">
        <v>2276</v>
      </c>
      <c r="K1604" s="99" t="s">
        <v>8</v>
      </c>
    </row>
    <row r="1605" spans="2:11" x14ac:dyDescent="0.3">
      <c r="B1605" s="99" t="s">
        <v>592</v>
      </c>
      <c r="C1605" s="100">
        <v>45954</v>
      </c>
      <c r="D1605" s="99" t="s">
        <v>44</v>
      </c>
      <c r="E1605" s="99" t="s">
        <v>45</v>
      </c>
      <c r="F1605" s="99" t="s">
        <v>16</v>
      </c>
      <c r="G1605" s="99">
        <v>27</v>
      </c>
      <c r="H1605" s="112">
        <v>250000</v>
      </c>
      <c r="I1605" s="112">
        <v>6750000</v>
      </c>
      <c r="J1605" s="99" t="s">
        <v>2470</v>
      </c>
      <c r="K1605" s="99" t="s">
        <v>60</v>
      </c>
    </row>
    <row r="1606" spans="2:11" x14ac:dyDescent="0.3">
      <c r="B1606" s="99" t="s">
        <v>593</v>
      </c>
      <c r="C1606" s="100">
        <v>45954</v>
      </c>
      <c r="D1606" s="99" t="s">
        <v>44</v>
      </c>
      <c r="E1606" s="99" t="s">
        <v>45</v>
      </c>
      <c r="F1606" s="99" t="s">
        <v>16</v>
      </c>
      <c r="G1606" s="99">
        <v>20</v>
      </c>
      <c r="H1606" s="112">
        <v>250000</v>
      </c>
      <c r="I1606" s="112">
        <v>5000000</v>
      </c>
      <c r="J1606" s="99" t="s">
        <v>2671</v>
      </c>
      <c r="K1606" s="99" t="s">
        <v>127</v>
      </c>
    </row>
    <row r="1607" spans="2:11" x14ac:dyDescent="0.3">
      <c r="B1607" s="99" t="s">
        <v>594</v>
      </c>
      <c r="C1607" s="100">
        <v>45954</v>
      </c>
      <c r="D1607" s="99" t="s">
        <v>42</v>
      </c>
      <c r="E1607" s="99" t="s">
        <v>43</v>
      </c>
      <c r="F1607" s="99" t="s">
        <v>16</v>
      </c>
      <c r="G1607" s="99">
        <v>430</v>
      </c>
      <c r="H1607" s="112">
        <v>1200000</v>
      </c>
      <c r="I1607" s="112">
        <v>516000000</v>
      </c>
      <c r="J1607" s="99" t="s">
        <v>2830</v>
      </c>
      <c r="K1607" s="99" t="s">
        <v>69</v>
      </c>
    </row>
    <row r="1608" spans="2:11" x14ac:dyDescent="0.3">
      <c r="B1608" s="99" t="s">
        <v>607</v>
      </c>
      <c r="C1608" s="100">
        <v>45954</v>
      </c>
      <c r="D1608" s="99" t="s">
        <v>10</v>
      </c>
      <c r="E1608" s="99" t="s">
        <v>11</v>
      </c>
      <c r="F1608" s="99" t="s">
        <v>12</v>
      </c>
      <c r="G1608" s="99">
        <v>44</v>
      </c>
      <c r="H1608" s="112">
        <v>120000</v>
      </c>
      <c r="I1608" s="112">
        <v>5280000</v>
      </c>
      <c r="J1608" s="99" t="s">
        <v>2530</v>
      </c>
      <c r="K1608" s="99" t="s">
        <v>127</v>
      </c>
    </row>
    <row r="1609" spans="2:11" x14ac:dyDescent="0.3">
      <c r="B1609" s="99" t="s">
        <v>631</v>
      </c>
      <c r="C1609" s="100">
        <v>45954</v>
      </c>
      <c r="D1609" s="99" t="s">
        <v>40</v>
      </c>
      <c r="E1609" s="99" t="s">
        <v>41</v>
      </c>
      <c r="F1609" s="99" t="s">
        <v>16</v>
      </c>
      <c r="G1609" s="99">
        <v>18</v>
      </c>
      <c r="H1609" s="112">
        <v>950000</v>
      </c>
      <c r="I1609" s="112">
        <v>17100000</v>
      </c>
      <c r="J1609" s="99" t="s">
        <v>418</v>
      </c>
      <c r="K1609" s="99" t="s">
        <v>47</v>
      </c>
    </row>
    <row r="1610" spans="2:11" x14ac:dyDescent="0.3">
      <c r="B1610" s="99" t="s">
        <v>632</v>
      </c>
      <c r="C1610" s="100">
        <v>45954</v>
      </c>
      <c r="D1610" s="99" t="s">
        <v>40</v>
      </c>
      <c r="E1610" s="99" t="s">
        <v>41</v>
      </c>
      <c r="F1610" s="99" t="s">
        <v>16</v>
      </c>
      <c r="G1610" s="99">
        <v>23</v>
      </c>
      <c r="H1610" s="112">
        <v>950000</v>
      </c>
      <c r="I1610" s="112">
        <v>21850000</v>
      </c>
      <c r="J1610" s="99" t="s">
        <v>2635</v>
      </c>
      <c r="K1610" s="99" t="s">
        <v>47</v>
      </c>
    </row>
    <row r="1611" spans="2:11" x14ac:dyDescent="0.3">
      <c r="B1611" s="99" t="s">
        <v>633</v>
      </c>
      <c r="C1611" s="100">
        <v>45954</v>
      </c>
      <c r="D1611" s="99" t="s">
        <v>18</v>
      </c>
      <c r="E1611" s="99" t="s">
        <v>19</v>
      </c>
      <c r="F1611" s="99" t="s">
        <v>20</v>
      </c>
      <c r="G1611" s="99">
        <v>44</v>
      </c>
      <c r="H1611" s="112">
        <v>500000</v>
      </c>
      <c r="I1611" s="112">
        <v>22000000</v>
      </c>
      <c r="J1611" s="99" t="s">
        <v>2666</v>
      </c>
      <c r="K1611" s="99" t="s">
        <v>69</v>
      </c>
    </row>
    <row r="1612" spans="2:11" x14ac:dyDescent="0.3">
      <c r="B1612" s="99" t="s">
        <v>634</v>
      </c>
      <c r="C1612" s="100">
        <v>45959</v>
      </c>
      <c r="D1612" s="99" t="s">
        <v>40</v>
      </c>
      <c r="E1612" s="99" t="s">
        <v>41</v>
      </c>
      <c r="F1612" s="99" t="s">
        <v>16</v>
      </c>
      <c r="G1612" s="99">
        <v>460</v>
      </c>
      <c r="H1612" s="112">
        <v>950000</v>
      </c>
      <c r="I1612" s="112">
        <v>437000000</v>
      </c>
      <c r="J1612" s="99" t="s">
        <v>2496</v>
      </c>
      <c r="K1612" s="99" t="s">
        <v>60</v>
      </c>
    </row>
    <row r="1613" spans="2:11" x14ac:dyDescent="0.3">
      <c r="B1613" s="99" t="s">
        <v>635</v>
      </c>
      <c r="C1613" s="100">
        <v>45959</v>
      </c>
      <c r="D1613" s="99" t="s">
        <v>38</v>
      </c>
      <c r="E1613" s="99" t="s">
        <v>39</v>
      </c>
      <c r="F1613" s="99" t="s">
        <v>16</v>
      </c>
      <c r="G1613" s="99">
        <v>7</v>
      </c>
      <c r="H1613" s="112">
        <v>200000</v>
      </c>
      <c r="I1613" s="112">
        <v>1400000</v>
      </c>
      <c r="J1613" s="99" t="s">
        <v>2692</v>
      </c>
      <c r="K1613" s="99" t="s">
        <v>47</v>
      </c>
    </row>
    <row r="1614" spans="2:11" x14ac:dyDescent="0.3">
      <c r="B1614" s="99" t="s">
        <v>636</v>
      </c>
      <c r="C1614" s="100">
        <v>45959</v>
      </c>
      <c r="D1614" s="99" t="s">
        <v>10</v>
      </c>
      <c r="E1614" s="99" t="s">
        <v>11</v>
      </c>
      <c r="F1614" s="99" t="s">
        <v>12</v>
      </c>
      <c r="G1614" s="99">
        <v>400</v>
      </c>
      <c r="H1614" s="112">
        <v>120000</v>
      </c>
      <c r="I1614" s="112">
        <v>48000000</v>
      </c>
      <c r="J1614" s="99" t="s">
        <v>2429</v>
      </c>
      <c r="K1614" s="99" t="s">
        <v>127</v>
      </c>
    </row>
    <row r="1615" spans="2:11" x14ac:dyDescent="0.3">
      <c r="B1615" s="99" t="s">
        <v>660</v>
      </c>
      <c r="C1615" s="100">
        <v>45959</v>
      </c>
      <c r="D1615" s="99" t="s">
        <v>14</v>
      </c>
      <c r="E1615" s="99" t="s">
        <v>15</v>
      </c>
      <c r="F1615" s="99" t="s">
        <v>16</v>
      </c>
      <c r="G1615" s="99">
        <v>36</v>
      </c>
      <c r="H1615" s="112">
        <v>350000</v>
      </c>
      <c r="I1615" s="112">
        <v>12600000</v>
      </c>
      <c r="J1615" s="99" t="s">
        <v>2717</v>
      </c>
      <c r="K1615" s="99" t="s">
        <v>127</v>
      </c>
    </row>
    <row r="1616" spans="2:11" x14ac:dyDescent="0.3">
      <c r="B1616" s="99" t="s">
        <v>661</v>
      </c>
      <c r="C1616" s="100">
        <v>45959</v>
      </c>
      <c r="D1616" s="99" t="s">
        <v>18</v>
      </c>
      <c r="E1616" s="99" t="s">
        <v>19</v>
      </c>
      <c r="F1616" s="99" t="s">
        <v>20</v>
      </c>
      <c r="G1616" s="99">
        <v>9</v>
      </c>
      <c r="H1616" s="112">
        <v>500000</v>
      </c>
      <c r="I1616" s="112">
        <v>4500000</v>
      </c>
      <c r="J1616" s="99" t="s">
        <v>2420</v>
      </c>
      <c r="K1616" s="99" t="s">
        <v>127</v>
      </c>
    </row>
    <row r="1617" spans="2:11" x14ac:dyDescent="0.3">
      <c r="B1617" s="99" t="s">
        <v>662</v>
      </c>
      <c r="C1617" s="100">
        <v>45959</v>
      </c>
      <c r="D1617" s="99" t="s">
        <v>44</v>
      </c>
      <c r="E1617" s="99" t="s">
        <v>45</v>
      </c>
      <c r="F1617" s="99" t="s">
        <v>16</v>
      </c>
      <c r="G1617" s="99">
        <v>44</v>
      </c>
      <c r="H1617" s="112">
        <v>250000</v>
      </c>
      <c r="I1617" s="112">
        <v>11000000</v>
      </c>
      <c r="J1617" s="99" t="s">
        <v>2644</v>
      </c>
      <c r="K1617" s="99" t="s">
        <v>69</v>
      </c>
    </row>
    <row r="1618" spans="2:11" x14ac:dyDescent="0.3">
      <c r="B1618" s="99" t="s">
        <v>663</v>
      </c>
      <c r="C1618" s="100">
        <v>45959</v>
      </c>
      <c r="D1618" s="99" t="s">
        <v>31</v>
      </c>
      <c r="E1618" s="99" t="s">
        <v>32</v>
      </c>
      <c r="F1618" s="99" t="s">
        <v>20</v>
      </c>
      <c r="G1618" s="99">
        <v>14</v>
      </c>
      <c r="H1618" s="112">
        <v>180000</v>
      </c>
      <c r="I1618" s="112">
        <v>2520000</v>
      </c>
      <c r="J1618" s="99" t="s">
        <v>2314</v>
      </c>
      <c r="K1618" s="99" t="s">
        <v>8</v>
      </c>
    </row>
    <row r="1619" spans="2:11" x14ac:dyDescent="0.3">
      <c r="B1619" s="99" t="s">
        <v>664</v>
      </c>
      <c r="C1619" s="100">
        <v>45959</v>
      </c>
      <c r="D1619" s="99" t="s">
        <v>10</v>
      </c>
      <c r="E1619" s="99" t="s">
        <v>11</v>
      </c>
      <c r="F1619" s="99" t="s">
        <v>12</v>
      </c>
      <c r="G1619" s="99">
        <v>50</v>
      </c>
      <c r="H1619" s="112">
        <v>120000</v>
      </c>
      <c r="I1619" s="112">
        <v>6000000</v>
      </c>
      <c r="J1619" s="99" t="s">
        <v>2747</v>
      </c>
      <c r="K1619" s="99" t="s">
        <v>8</v>
      </c>
    </row>
    <row r="1620" spans="2:11" x14ac:dyDescent="0.3">
      <c r="B1620" s="99" t="s">
        <v>665</v>
      </c>
      <c r="C1620" s="100">
        <v>45959</v>
      </c>
      <c r="D1620" s="99" t="s">
        <v>18</v>
      </c>
      <c r="E1620" s="99" t="s">
        <v>19</v>
      </c>
      <c r="F1620" s="99" t="s">
        <v>20</v>
      </c>
      <c r="G1620" s="99">
        <v>25</v>
      </c>
      <c r="H1620" s="112">
        <v>500000</v>
      </c>
      <c r="I1620" s="112">
        <v>12500000</v>
      </c>
      <c r="J1620" s="99" t="s">
        <v>2722</v>
      </c>
      <c r="K1620" s="99" t="s">
        <v>8</v>
      </c>
    </row>
    <row r="1621" spans="2:11" x14ac:dyDescent="0.3">
      <c r="B1621" s="99" t="s">
        <v>666</v>
      </c>
      <c r="C1621" s="100">
        <v>45959</v>
      </c>
      <c r="D1621" s="99" t="s">
        <v>22</v>
      </c>
      <c r="E1621" s="99" t="s">
        <v>23</v>
      </c>
      <c r="F1621" s="99" t="s">
        <v>12</v>
      </c>
      <c r="G1621" s="99">
        <v>48</v>
      </c>
      <c r="H1621" s="112">
        <v>25000</v>
      </c>
      <c r="I1621" s="112">
        <v>1200000</v>
      </c>
      <c r="J1621" s="99" t="s">
        <v>2804</v>
      </c>
      <c r="K1621" s="99" t="s">
        <v>8</v>
      </c>
    </row>
    <row r="1622" spans="2:11" x14ac:dyDescent="0.3">
      <c r="B1622" s="99" t="s">
        <v>687</v>
      </c>
      <c r="C1622" s="100">
        <v>45959</v>
      </c>
      <c r="D1622" s="99" t="s">
        <v>44</v>
      </c>
      <c r="E1622" s="99" t="s">
        <v>45</v>
      </c>
      <c r="F1622" s="99" t="s">
        <v>16</v>
      </c>
      <c r="G1622" s="99">
        <v>18</v>
      </c>
      <c r="H1622" s="112">
        <v>250000</v>
      </c>
      <c r="I1622" s="112">
        <v>4500000</v>
      </c>
      <c r="J1622" s="99" t="s">
        <v>2268</v>
      </c>
      <c r="K1622" s="99" t="s">
        <v>60</v>
      </c>
    </row>
    <row r="1623" spans="2:11" x14ac:dyDescent="0.3">
      <c r="B1623" s="99" t="s">
        <v>688</v>
      </c>
      <c r="C1623" s="100">
        <v>45959</v>
      </c>
      <c r="D1623" s="99" t="s">
        <v>10</v>
      </c>
      <c r="E1623" s="99" t="s">
        <v>11</v>
      </c>
      <c r="F1623" s="99" t="s">
        <v>12</v>
      </c>
      <c r="G1623" s="99">
        <v>400</v>
      </c>
      <c r="H1623" s="112">
        <v>120000</v>
      </c>
      <c r="I1623" s="112">
        <v>48000000</v>
      </c>
      <c r="J1623" s="99" t="s">
        <v>2149</v>
      </c>
      <c r="K1623" s="99" t="s">
        <v>127</v>
      </c>
    </row>
    <row r="1624" spans="2:11" x14ac:dyDescent="0.3">
      <c r="B1624" s="99" t="s">
        <v>689</v>
      </c>
      <c r="C1624" s="100">
        <v>45960</v>
      </c>
      <c r="D1624" s="99" t="s">
        <v>28</v>
      </c>
      <c r="E1624" s="99" t="s">
        <v>29</v>
      </c>
      <c r="F1624" s="99" t="s">
        <v>20</v>
      </c>
      <c r="G1624" s="99">
        <v>350</v>
      </c>
      <c r="H1624" s="112">
        <v>450000</v>
      </c>
      <c r="I1624" s="112">
        <v>157500000</v>
      </c>
      <c r="J1624" s="99" t="s">
        <v>2160</v>
      </c>
      <c r="K1624" s="99" t="s">
        <v>60</v>
      </c>
    </row>
    <row r="1625" spans="2:11" x14ac:dyDescent="0.3">
      <c r="B1625" s="99" t="s">
        <v>690</v>
      </c>
      <c r="C1625" s="100">
        <v>45960</v>
      </c>
      <c r="D1625" s="99" t="s">
        <v>28</v>
      </c>
      <c r="E1625" s="99" t="s">
        <v>29</v>
      </c>
      <c r="F1625" s="99" t="s">
        <v>20</v>
      </c>
      <c r="G1625" s="99">
        <v>12</v>
      </c>
      <c r="H1625" s="112">
        <v>450000</v>
      </c>
      <c r="I1625" s="112">
        <v>5400000</v>
      </c>
      <c r="J1625" s="99" t="s">
        <v>2570</v>
      </c>
      <c r="K1625" s="99" t="s">
        <v>8</v>
      </c>
    </row>
    <row r="1626" spans="2:11" x14ac:dyDescent="0.3">
      <c r="B1626" s="99" t="s">
        <v>691</v>
      </c>
      <c r="C1626" s="100">
        <v>45960</v>
      </c>
      <c r="D1626" s="99" t="s">
        <v>42</v>
      </c>
      <c r="E1626" s="99" t="s">
        <v>43</v>
      </c>
      <c r="F1626" s="99" t="s">
        <v>16</v>
      </c>
      <c r="G1626" s="99">
        <v>14</v>
      </c>
      <c r="H1626" s="112">
        <v>1200000</v>
      </c>
      <c r="I1626" s="112">
        <v>16800000</v>
      </c>
      <c r="J1626" s="99" t="s">
        <v>2492</v>
      </c>
      <c r="K1626" s="99" t="s">
        <v>127</v>
      </c>
    </row>
    <row r="1627" spans="2:11" x14ac:dyDescent="0.3">
      <c r="B1627" s="99" t="s">
        <v>724</v>
      </c>
      <c r="C1627" s="100">
        <v>45960</v>
      </c>
      <c r="D1627" s="99" t="s">
        <v>38</v>
      </c>
      <c r="E1627" s="99" t="s">
        <v>39</v>
      </c>
      <c r="F1627" s="99" t="s">
        <v>16</v>
      </c>
      <c r="G1627" s="99">
        <v>32</v>
      </c>
      <c r="H1627" s="112">
        <v>200000</v>
      </c>
      <c r="I1627" s="112">
        <v>6400000</v>
      </c>
      <c r="J1627" s="99" t="s">
        <v>2425</v>
      </c>
      <c r="K1627" s="99" t="s">
        <v>60</v>
      </c>
    </row>
    <row r="1628" spans="2:11" x14ac:dyDescent="0.3">
      <c r="B1628" s="99" t="s">
        <v>725</v>
      </c>
      <c r="C1628" s="100">
        <v>45960</v>
      </c>
      <c r="D1628" s="99" t="s">
        <v>10</v>
      </c>
      <c r="E1628" s="99" t="s">
        <v>11</v>
      </c>
      <c r="F1628" s="99" t="s">
        <v>12</v>
      </c>
      <c r="G1628" s="99">
        <v>38</v>
      </c>
      <c r="H1628" s="112">
        <v>120000</v>
      </c>
      <c r="I1628" s="112">
        <v>4560000</v>
      </c>
      <c r="J1628" s="99" t="s">
        <v>2625</v>
      </c>
      <c r="K1628" s="99" t="s">
        <v>8</v>
      </c>
    </row>
    <row r="1629" spans="2:11" x14ac:dyDescent="0.3">
      <c r="B1629" s="99" t="s">
        <v>726</v>
      </c>
      <c r="C1629" s="100">
        <v>45960</v>
      </c>
      <c r="D1629" s="99" t="s">
        <v>10</v>
      </c>
      <c r="E1629" s="99" t="s">
        <v>11</v>
      </c>
      <c r="F1629" s="99" t="s">
        <v>12</v>
      </c>
      <c r="G1629" s="99">
        <v>36</v>
      </c>
      <c r="H1629" s="112">
        <v>120000</v>
      </c>
      <c r="I1629" s="112">
        <v>4320000</v>
      </c>
      <c r="J1629" s="99" t="s">
        <v>2658</v>
      </c>
      <c r="K1629" s="99" t="s">
        <v>8</v>
      </c>
    </row>
    <row r="1630" spans="2:11" x14ac:dyDescent="0.3">
      <c r="B1630" s="99" t="s">
        <v>727</v>
      </c>
      <c r="C1630" s="100">
        <v>45960</v>
      </c>
      <c r="D1630" s="99" t="s">
        <v>18</v>
      </c>
      <c r="E1630" s="99" t="s">
        <v>19</v>
      </c>
      <c r="F1630" s="99" t="s">
        <v>20</v>
      </c>
      <c r="G1630" s="99">
        <v>11</v>
      </c>
      <c r="H1630" s="112">
        <v>500000</v>
      </c>
      <c r="I1630" s="112">
        <v>5500000</v>
      </c>
      <c r="J1630" s="99" t="s">
        <v>2757</v>
      </c>
      <c r="K1630" s="99" t="s">
        <v>127</v>
      </c>
    </row>
    <row r="1631" spans="2:11" x14ac:dyDescent="0.3">
      <c r="B1631" s="99" t="s">
        <v>742</v>
      </c>
      <c r="C1631" s="100">
        <v>45960</v>
      </c>
      <c r="D1631" s="99" t="s">
        <v>40</v>
      </c>
      <c r="E1631" s="99" t="s">
        <v>41</v>
      </c>
      <c r="F1631" s="99" t="s">
        <v>16</v>
      </c>
      <c r="G1631" s="99">
        <v>19</v>
      </c>
      <c r="H1631" s="112">
        <v>950000</v>
      </c>
      <c r="I1631" s="112">
        <v>18050000</v>
      </c>
      <c r="J1631" s="99" t="s">
        <v>2601</v>
      </c>
      <c r="K1631" s="99" t="s">
        <v>127</v>
      </c>
    </row>
    <row r="1632" spans="2:11" x14ac:dyDescent="0.3">
      <c r="B1632" s="99" t="s">
        <v>743</v>
      </c>
      <c r="C1632" s="100">
        <v>45960</v>
      </c>
      <c r="D1632" s="99" t="s">
        <v>10</v>
      </c>
      <c r="E1632" s="99" t="s">
        <v>11</v>
      </c>
      <c r="F1632" s="99" t="s">
        <v>12</v>
      </c>
      <c r="G1632" s="99">
        <v>47</v>
      </c>
      <c r="H1632" s="112">
        <v>120000</v>
      </c>
      <c r="I1632" s="112">
        <v>5640000</v>
      </c>
      <c r="J1632" s="99" t="s">
        <v>2491</v>
      </c>
      <c r="K1632" s="99" t="s">
        <v>47</v>
      </c>
    </row>
    <row r="1633" spans="2:11" x14ac:dyDescent="0.3">
      <c r="B1633" s="99" t="s">
        <v>744</v>
      </c>
      <c r="C1633" s="100">
        <v>45960</v>
      </c>
      <c r="D1633" s="99" t="s">
        <v>22</v>
      </c>
      <c r="E1633" s="99" t="s">
        <v>23</v>
      </c>
      <c r="F1633" s="99" t="s">
        <v>12</v>
      </c>
      <c r="G1633" s="99">
        <v>36</v>
      </c>
      <c r="H1633" s="112">
        <v>25000</v>
      </c>
      <c r="I1633" s="112">
        <v>900000</v>
      </c>
      <c r="J1633" s="99" t="s">
        <v>2376</v>
      </c>
      <c r="K1633" s="99" t="s">
        <v>127</v>
      </c>
    </row>
    <row r="1634" spans="2:11" x14ac:dyDescent="0.3">
      <c r="B1634" s="99" t="s">
        <v>745</v>
      </c>
      <c r="C1634" s="100">
        <v>45960</v>
      </c>
      <c r="D1634" s="99" t="s">
        <v>14</v>
      </c>
      <c r="E1634" s="99" t="s">
        <v>15</v>
      </c>
      <c r="F1634" s="99" t="s">
        <v>16</v>
      </c>
      <c r="G1634" s="99">
        <v>28</v>
      </c>
      <c r="H1634" s="112">
        <v>350000</v>
      </c>
      <c r="I1634" s="112">
        <v>9800000</v>
      </c>
      <c r="J1634" s="99" t="s">
        <v>2189</v>
      </c>
      <c r="K1634" s="99" t="s">
        <v>8</v>
      </c>
    </row>
    <row r="1635" spans="2:11" x14ac:dyDescent="0.3">
      <c r="B1635" s="99" t="s">
        <v>746</v>
      </c>
      <c r="C1635" s="100">
        <v>45960</v>
      </c>
      <c r="D1635" s="99" t="s">
        <v>10</v>
      </c>
      <c r="E1635" s="99" t="s">
        <v>11</v>
      </c>
      <c r="F1635" s="99" t="s">
        <v>12</v>
      </c>
      <c r="G1635" s="99">
        <v>47</v>
      </c>
      <c r="H1635" s="112">
        <v>120000</v>
      </c>
      <c r="I1635" s="112">
        <v>5640000</v>
      </c>
      <c r="J1635" s="99" t="s">
        <v>2132</v>
      </c>
      <c r="K1635" s="99" t="s">
        <v>127</v>
      </c>
    </row>
    <row r="1636" spans="2:11" x14ac:dyDescent="0.3">
      <c r="B1636" s="99" t="s">
        <v>763</v>
      </c>
      <c r="C1636" s="100">
        <v>45960</v>
      </c>
      <c r="D1636" s="99" t="s">
        <v>18</v>
      </c>
      <c r="E1636" s="99" t="s">
        <v>19</v>
      </c>
      <c r="F1636" s="99" t="s">
        <v>20</v>
      </c>
      <c r="G1636" s="99">
        <v>26</v>
      </c>
      <c r="H1636" s="112">
        <v>500000</v>
      </c>
      <c r="I1636" s="112">
        <v>13000000</v>
      </c>
      <c r="J1636" s="99" t="s">
        <v>2243</v>
      </c>
      <c r="K1636" s="99" t="s">
        <v>8</v>
      </c>
    </row>
    <row r="1637" spans="2:11" x14ac:dyDescent="0.3">
      <c r="B1637" s="99" t="s">
        <v>764</v>
      </c>
      <c r="C1637" s="100">
        <v>45960</v>
      </c>
      <c r="D1637" s="99" t="s">
        <v>14</v>
      </c>
      <c r="E1637" s="99" t="s">
        <v>15</v>
      </c>
      <c r="F1637" s="99" t="s">
        <v>16</v>
      </c>
      <c r="G1637" s="99">
        <v>34</v>
      </c>
      <c r="H1637" s="112">
        <v>350000</v>
      </c>
      <c r="I1637" s="112">
        <v>11900000</v>
      </c>
      <c r="J1637" s="99" t="s">
        <v>2457</v>
      </c>
      <c r="K1637" s="99" t="s">
        <v>60</v>
      </c>
    </row>
    <row r="1638" spans="2:11" x14ac:dyDescent="0.3">
      <c r="B1638" s="99" t="s">
        <v>765</v>
      </c>
      <c r="C1638" s="100">
        <v>45960</v>
      </c>
      <c r="D1638" s="99" t="s">
        <v>38</v>
      </c>
      <c r="E1638" s="99" t="s">
        <v>39</v>
      </c>
      <c r="F1638" s="99" t="s">
        <v>16</v>
      </c>
      <c r="G1638" s="99">
        <v>15</v>
      </c>
      <c r="H1638" s="112">
        <v>200000</v>
      </c>
      <c r="I1638" s="112">
        <v>3000000</v>
      </c>
      <c r="J1638" s="99" t="s">
        <v>2632</v>
      </c>
      <c r="K1638" s="99" t="s">
        <v>60</v>
      </c>
    </row>
    <row r="1639" spans="2:11" x14ac:dyDescent="0.3">
      <c r="B1639" s="99" t="s">
        <v>786</v>
      </c>
      <c r="C1639" s="100">
        <v>45960</v>
      </c>
      <c r="D1639" s="99" t="s">
        <v>18</v>
      </c>
      <c r="E1639" s="99" t="s">
        <v>19</v>
      </c>
      <c r="F1639" s="99" t="s">
        <v>20</v>
      </c>
      <c r="G1639" s="99">
        <v>360</v>
      </c>
      <c r="H1639" s="112">
        <v>500000</v>
      </c>
      <c r="I1639" s="112">
        <v>180000000</v>
      </c>
      <c r="J1639" s="99" t="s">
        <v>2362</v>
      </c>
      <c r="K1639" s="99" t="s">
        <v>8</v>
      </c>
    </row>
    <row r="1640" spans="2:11" x14ac:dyDescent="0.3">
      <c r="B1640" s="99" t="s">
        <v>787</v>
      </c>
      <c r="C1640" s="100">
        <v>45960</v>
      </c>
      <c r="D1640" s="99" t="s">
        <v>38</v>
      </c>
      <c r="E1640" s="99" t="s">
        <v>39</v>
      </c>
      <c r="F1640" s="99" t="s">
        <v>16</v>
      </c>
      <c r="G1640" s="99">
        <v>28</v>
      </c>
      <c r="H1640" s="112">
        <v>200000</v>
      </c>
      <c r="I1640" s="112">
        <v>5600000</v>
      </c>
      <c r="J1640" s="99" t="s">
        <v>2190</v>
      </c>
      <c r="K1640" s="99" t="s">
        <v>8</v>
      </c>
    </row>
    <row r="1641" spans="2:11" x14ac:dyDescent="0.3">
      <c r="B1641" s="99" t="s">
        <v>788</v>
      </c>
      <c r="C1641" s="100">
        <v>45961</v>
      </c>
      <c r="D1641" s="99" t="s">
        <v>31</v>
      </c>
      <c r="E1641" s="99" t="s">
        <v>32</v>
      </c>
      <c r="F1641" s="99" t="s">
        <v>20</v>
      </c>
      <c r="G1641" s="99">
        <v>200</v>
      </c>
      <c r="H1641" s="112">
        <v>180000</v>
      </c>
      <c r="I1641" s="112">
        <v>36000000</v>
      </c>
      <c r="J1641" s="99" t="s">
        <v>2668</v>
      </c>
      <c r="K1641" s="99" t="s">
        <v>127</v>
      </c>
    </row>
    <row r="1642" spans="2:11" x14ac:dyDescent="0.3">
      <c r="B1642" s="99" t="s">
        <v>789</v>
      </c>
      <c r="C1642" s="100">
        <v>45961</v>
      </c>
      <c r="D1642" s="99" t="s">
        <v>28</v>
      </c>
      <c r="E1642" s="99" t="s">
        <v>29</v>
      </c>
      <c r="F1642" s="99" t="s">
        <v>20</v>
      </c>
      <c r="G1642" s="99">
        <v>35</v>
      </c>
      <c r="H1642" s="112">
        <v>450000</v>
      </c>
      <c r="I1642" s="112">
        <v>15750000</v>
      </c>
      <c r="J1642" s="99" t="s">
        <v>2639</v>
      </c>
      <c r="K1642" s="99" t="s">
        <v>69</v>
      </c>
    </row>
    <row r="1643" spans="2:11" x14ac:dyDescent="0.3">
      <c r="B1643" s="99" t="s">
        <v>790</v>
      </c>
      <c r="C1643" s="100">
        <v>45961</v>
      </c>
      <c r="D1643" s="99" t="s">
        <v>22</v>
      </c>
      <c r="E1643" s="99" t="s">
        <v>23</v>
      </c>
      <c r="F1643" s="99" t="s">
        <v>12</v>
      </c>
      <c r="G1643" s="99">
        <v>9</v>
      </c>
      <c r="H1643" s="112">
        <v>25000</v>
      </c>
      <c r="I1643" s="112">
        <v>225000</v>
      </c>
      <c r="J1643" s="99" t="s">
        <v>2402</v>
      </c>
      <c r="K1643" s="99" t="s">
        <v>69</v>
      </c>
    </row>
    <row r="1644" spans="2:11" x14ac:dyDescent="0.3">
      <c r="B1644" s="99" t="s">
        <v>805</v>
      </c>
      <c r="C1644" s="100">
        <v>45961</v>
      </c>
      <c r="D1644" s="99" t="s">
        <v>31</v>
      </c>
      <c r="E1644" s="99" t="s">
        <v>32</v>
      </c>
      <c r="F1644" s="99" t="s">
        <v>20</v>
      </c>
      <c r="G1644" s="99">
        <v>27</v>
      </c>
      <c r="H1644" s="112">
        <v>180000</v>
      </c>
      <c r="I1644" s="112">
        <v>4860000</v>
      </c>
      <c r="J1644" s="99" t="s">
        <v>2525</v>
      </c>
      <c r="K1644" s="99" t="s">
        <v>127</v>
      </c>
    </row>
    <row r="1645" spans="2:11" x14ac:dyDescent="0.3">
      <c r="B1645" s="99" t="s">
        <v>806</v>
      </c>
      <c r="C1645" s="100">
        <v>45961</v>
      </c>
      <c r="D1645" s="99" t="s">
        <v>22</v>
      </c>
      <c r="E1645" s="99" t="s">
        <v>23</v>
      </c>
      <c r="F1645" s="99" t="s">
        <v>12</v>
      </c>
      <c r="G1645" s="99">
        <v>480</v>
      </c>
      <c r="H1645" s="112">
        <v>25000</v>
      </c>
      <c r="I1645" s="112">
        <v>12000000</v>
      </c>
      <c r="J1645" s="99" t="s">
        <v>2753</v>
      </c>
      <c r="K1645" s="99" t="s">
        <v>47</v>
      </c>
    </row>
    <row r="1646" spans="2:11" x14ac:dyDescent="0.3">
      <c r="B1646" s="99" t="s">
        <v>816</v>
      </c>
      <c r="C1646" s="100">
        <v>45961</v>
      </c>
      <c r="D1646" s="99" t="s">
        <v>14</v>
      </c>
      <c r="E1646" s="99" t="s">
        <v>15</v>
      </c>
      <c r="F1646" s="99" t="s">
        <v>16</v>
      </c>
      <c r="G1646" s="99">
        <v>30</v>
      </c>
      <c r="H1646" s="112">
        <v>350000</v>
      </c>
      <c r="I1646" s="112">
        <v>10500000</v>
      </c>
      <c r="J1646" s="99" t="s">
        <v>2785</v>
      </c>
      <c r="K1646" s="99" t="s">
        <v>69</v>
      </c>
    </row>
    <row r="1647" spans="2:11" x14ac:dyDescent="0.3">
      <c r="B1647" s="99" t="s">
        <v>817</v>
      </c>
      <c r="C1647" s="100">
        <v>45961</v>
      </c>
      <c r="D1647" s="99" t="s">
        <v>31</v>
      </c>
      <c r="E1647" s="99" t="s">
        <v>32</v>
      </c>
      <c r="F1647" s="99" t="s">
        <v>20</v>
      </c>
      <c r="G1647" s="99">
        <v>48</v>
      </c>
      <c r="H1647" s="112">
        <v>180000</v>
      </c>
      <c r="I1647" s="112">
        <v>8640000</v>
      </c>
      <c r="J1647" s="99" t="s">
        <v>2176</v>
      </c>
      <c r="K1647" s="99" t="s">
        <v>127</v>
      </c>
    </row>
    <row r="1648" spans="2:11" x14ac:dyDescent="0.3">
      <c r="B1648" s="99" t="s">
        <v>818</v>
      </c>
      <c r="C1648" s="100">
        <v>45961</v>
      </c>
      <c r="D1648" s="99" t="s">
        <v>28</v>
      </c>
      <c r="E1648" s="99" t="s">
        <v>29</v>
      </c>
      <c r="F1648" s="99" t="s">
        <v>20</v>
      </c>
      <c r="G1648" s="99">
        <v>25</v>
      </c>
      <c r="H1648" s="112">
        <v>450000</v>
      </c>
      <c r="I1648" s="112">
        <v>11250000</v>
      </c>
      <c r="J1648" s="99" t="s">
        <v>2762</v>
      </c>
      <c r="K1648" s="99" t="s">
        <v>127</v>
      </c>
    </row>
    <row r="1649" spans="2:11" x14ac:dyDescent="0.3">
      <c r="B1649" s="99" t="s">
        <v>819</v>
      </c>
      <c r="C1649" s="100">
        <v>45961</v>
      </c>
      <c r="D1649" s="99" t="s">
        <v>38</v>
      </c>
      <c r="E1649" s="99" t="s">
        <v>39</v>
      </c>
      <c r="F1649" s="99" t="s">
        <v>16</v>
      </c>
      <c r="G1649" s="99">
        <v>100</v>
      </c>
      <c r="H1649" s="112">
        <v>200000</v>
      </c>
      <c r="I1649" s="112">
        <v>20000000</v>
      </c>
      <c r="J1649" s="99" t="s">
        <v>2688</v>
      </c>
      <c r="K1649" s="99" t="s">
        <v>60</v>
      </c>
    </row>
    <row r="1650" spans="2:11" x14ac:dyDescent="0.3">
      <c r="B1650" s="99" t="s">
        <v>820</v>
      </c>
      <c r="C1650" s="100">
        <v>45961</v>
      </c>
      <c r="D1650" s="99" t="s">
        <v>18</v>
      </c>
      <c r="E1650" s="99" t="s">
        <v>19</v>
      </c>
      <c r="F1650" s="99" t="s">
        <v>20</v>
      </c>
      <c r="G1650" s="99">
        <v>8</v>
      </c>
      <c r="H1650" s="112">
        <v>500000</v>
      </c>
      <c r="I1650" s="112">
        <v>4000000</v>
      </c>
      <c r="J1650" s="99" t="s">
        <v>461</v>
      </c>
      <c r="K1650" s="99" t="s">
        <v>127</v>
      </c>
    </row>
    <row r="1651" spans="2:11" x14ac:dyDescent="0.3">
      <c r="B1651" s="99" t="s">
        <v>835</v>
      </c>
      <c r="C1651" s="100">
        <v>45961</v>
      </c>
      <c r="D1651" s="99" t="s">
        <v>44</v>
      </c>
      <c r="E1651" s="99" t="s">
        <v>45</v>
      </c>
      <c r="F1651" s="99" t="s">
        <v>16</v>
      </c>
      <c r="G1651" s="99">
        <v>10</v>
      </c>
      <c r="H1651" s="112">
        <v>250000</v>
      </c>
      <c r="I1651" s="112">
        <v>2500000</v>
      </c>
      <c r="J1651" s="99" t="s">
        <v>2302</v>
      </c>
      <c r="K1651" s="99" t="s">
        <v>8</v>
      </c>
    </row>
    <row r="1652" spans="2:11" x14ac:dyDescent="0.3">
      <c r="B1652" s="99" t="s">
        <v>860</v>
      </c>
      <c r="C1652" s="100">
        <v>45961</v>
      </c>
      <c r="D1652" s="99" t="s">
        <v>14</v>
      </c>
      <c r="E1652" s="99" t="s">
        <v>15</v>
      </c>
      <c r="F1652" s="99" t="s">
        <v>16</v>
      </c>
      <c r="G1652" s="99">
        <v>48</v>
      </c>
      <c r="H1652" s="112">
        <v>350000</v>
      </c>
      <c r="I1652" s="112">
        <v>16800000</v>
      </c>
      <c r="J1652" s="99" t="s">
        <v>2453</v>
      </c>
      <c r="K1652" s="99" t="s">
        <v>8</v>
      </c>
    </row>
    <row r="1653" spans="2:11" x14ac:dyDescent="0.3">
      <c r="B1653" s="99" t="s">
        <v>861</v>
      </c>
      <c r="C1653" s="100">
        <v>45961</v>
      </c>
      <c r="D1653" s="99" t="s">
        <v>38</v>
      </c>
      <c r="E1653" s="99" t="s">
        <v>39</v>
      </c>
      <c r="F1653" s="99" t="s">
        <v>16</v>
      </c>
      <c r="G1653" s="99">
        <v>41</v>
      </c>
      <c r="H1653" s="112">
        <v>200000</v>
      </c>
      <c r="I1653" s="112">
        <v>8200000</v>
      </c>
      <c r="J1653" s="99" t="s">
        <v>2430</v>
      </c>
      <c r="K1653" s="99" t="s">
        <v>8</v>
      </c>
    </row>
    <row r="1654" spans="2:11" x14ac:dyDescent="0.3">
      <c r="B1654" s="99" t="s">
        <v>873</v>
      </c>
      <c r="C1654" s="100">
        <v>45965</v>
      </c>
      <c r="D1654" s="99" t="s">
        <v>44</v>
      </c>
      <c r="E1654" s="99" t="s">
        <v>45</v>
      </c>
      <c r="F1654" s="99" t="s">
        <v>16</v>
      </c>
      <c r="G1654" s="99">
        <v>1320</v>
      </c>
      <c r="H1654" s="112">
        <v>250000</v>
      </c>
      <c r="I1654" s="112">
        <v>330000000</v>
      </c>
      <c r="J1654" s="99" t="s">
        <v>2429</v>
      </c>
      <c r="K1654" s="99" t="s">
        <v>127</v>
      </c>
    </row>
    <row r="1655" spans="2:11" x14ac:dyDescent="0.3">
      <c r="B1655" s="99" t="s">
        <v>874</v>
      </c>
      <c r="C1655" s="100">
        <v>45965</v>
      </c>
      <c r="D1655" s="99" t="s">
        <v>40</v>
      </c>
      <c r="E1655" s="99" t="s">
        <v>41</v>
      </c>
      <c r="F1655" s="99" t="s">
        <v>16</v>
      </c>
      <c r="G1655" s="99">
        <v>39</v>
      </c>
      <c r="H1655" s="112">
        <v>950000</v>
      </c>
      <c r="I1655" s="112">
        <v>37050000</v>
      </c>
      <c r="J1655" s="99" t="s">
        <v>2260</v>
      </c>
      <c r="K1655" s="99" t="s">
        <v>127</v>
      </c>
    </row>
    <row r="1656" spans="2:11" x14ac:dyDescent="0.3">
      <c r="B1656" s="99" t="s">
        <v>875</v>
      </c>
      <c r="C1656" s="100">
        <v>45965</v>
      </c>
      <c r="D1656" s="99" t="s">
        <v>18</v>
      </c>
      <c r="E1656" s="99" t="s">
        <v>19</v>
      </c>
      <c r="F1656" s="99" t="s">
        <v>20</v>
      </c>
      <c r="G1656" s="99">
        <v>80</v>
      </c>
      <c r="H1656" s="112">
        <v>500000</v>
      </c>
      <c r="I1656" s="112">
        <v>40000000</v>
      </c>
      <c r="J1656" s="99" t="s">
        <v>2824</v>
      </c>
      <c r="K1656" s="99" t="s">
        <v>127</v>
      </c>
    </row>
    <row r="1657" spans="2:11" x14ac:dyDescent="0.3">
      <c r="B1657" s="99" t="s">
        <v>893</v>
      </c>
      <c r="C1657" s="100">
        <v>45965</v>
      </c>
      <c r="D1657" s="99" t="s">
        <v>18</v>
      </c>
      <c r="E1657" s="99" t="s">
        <v>19</v>
      </c>
      <c r="F1657" s="99" t="s">
        <v>20</v>
      </c>
      <c r="G1657" s="99">
        <v>50</v>
      </c>
      <c r="H1657" s="112">
        <v>500000</v>
      </c>
      <c r="I1657" s="112">
        <v>25000000</v>
      </c>
      <c r="J1657" s="99" t="s">
        <v>2535</v>
      </c>
      <c r="K1657" s="99" t="s">
        <v>127</v>
      </c>
    </row>
    <row r="1658" spans="2:11" x14ac:dyDescent="0.3">
      <c r="B1658" s="99" t="s">
        <v>894</v>
      </c>
      <c r="C1658" s="100">
        <v>45965</v>
      </c>
      <c r="D1658" s="99" t="s">
        <v>44</v>
      </c>
      <c r="E1658" s="99" t="s">
        <v>45</v>
      </c>
      <c r="F1658" s="99" t="s">
        <v>16</v>
      </c>
      <c r="G1658" s="99">
        <v>8</v>
      </c>
      <c r="H1658" s="112">
        <v>250000</v>
      </c>
      <c r="I1658" s="112">
        <v>2000000</v>
      </c>
      <c r="J1658" s="99" t="s">
        <v>2426</v>
      </c>
      <c r="K1658" s="99" t="s">
        <v>69</v>
      </c>
    </row>
    <row r="1659" spans="2:11" x14ac:dyDescent="0.3">
      <c r="B1659" s="99" t="s">
        <v>920</v>
      </c>
      <c r="C1659" s="100">
        <v>45965</v>
      </c>
      <c r="D1659" s="99" t="s">
        <v>31</v>
      </c>
      <c r="E1659" s="99" t="s">
        <v>32</v>
      </c>
      <c r="F1659" s="99" t="s">
        <v>20</v>
      </c>
      <c r="G1659" s="99">
        <v>24</v>
      </c>
      <c r="H1659" s="112">
        <v>180000</v>
      </c>
      <c r="I1659" s="112">
        <v>4320000</v>
      </c>
      <c r="J1659" s="99" t="s">
        <v>2502</v>
      </c>
      <c r="K1659" s="99" t="s">
        <v>47</v>
      </c>
    </row>
    <row r="1660" spans="2:11" x14ac:dyDescent="0.3">
      <c r="B1660" s="99" t="s">
        <v>952</v>
      </c>
      <c r="C1660" s="100">
        <v>45965</v>
      </c>
      <c r="D1660" s="99" t="s">
        <v>22</v>
      </c>
      <c r="E1660" s="99" t="s">
        <v>23</v>
      </c>
      <c r="F1660" s="99" t="s">
        <v>12</v>
      </c>
      <c r="G1660" s="99">
        <v>100</v>
      </c>
      <c r="H1660" s="112">
        <v>25000</v>
      </c>
      <c r="I1660" s="112">
        <v>2500000</v>
      </c>
      <c r="J1660" s="99" t="s">
        <v>2779</v>
      </c>
      <c r="K1660" s="99" t="s">
        <v>8</v>
      </c>
    </row>
    <row r="1661" spans="2:11" x14ac:dyDescent="0.3">
      <c r="B1661" s="99" t="s">
        <v>953</v>
      </c>
      <c r="C1661" s="100">
        <v>45965</v>
      </c>
      <c r="D1661" s="99" t="s">
        <v>28</v>
      </c>
      <c r="E1661" s="99" t="s">
        <v>29</v>
      </c>
      <c r="F1661" s="99" t="s">
        <v>20</v>
      </c>
      <c r="G1661" s="99">
        <v>6</v>
      </c>
      <c r="H1661" s="112">
        <v>450000</v>
      </c>
      <c r="I1661" s="112">
        <v>2700000</v>
      </c>
      <c r="J1661" s="99" t="s">
        <v>2447</v>
      </c>
      <c r="K1661" s="99" t="s">
        <v>8</v>
      </c>
    </row>
    <row r="1662" spans="2:11" x14ac:dyDescent="0.3">
      <c r="B1662" s="99" t="s">
        <v>954</v>
      </c>
      <c r="C1662" s="100">
        <v>45965</v>
      </c>
      <c r="D1662" s="99" t="s">
        <v>31</v>
      </c>
      <c r="E1662" s="99" t="s">
        <v>32</v>
      </c>
      <c r="F1662" s="99" t="s">
        <v>20</v>
      </c>
      <c r="G1662" s="99">
        <v>300</v>
      </c>
      <c r="H1662" s="112">
        <v>180000</v>
      </c>
      <c r="I1662" s="112">
        <v>54000000</v>
      </c>
      <c r="J1662" s="99" t="s">
        <v>2604</v>
      </c>
      <c r="K1662" s="99" t="s">
        <v>47</v>
      </c>
    </row>
    <row r="1663" spans="2:11" x14ac:dyDescent="0.3">
      <c r="B1663" s="99" t="s">
        <v>955</v>
      </c>
      <c r="C1663" s="100">
        <v>45965</v>
      </c>
      <c r="D1663" s="99" t="s">
        <v>18</v>
      </c>
      <c r="E1663" s="99" t="s">
        <v>19</v>
      </c>
      <c r="F1663" s="99" t="s">
        <v>20</v>
      </c>
      <c r="G1663" s="99">
        <v>5</v>
      </c>
      <c r="H1663" s="112">
        <v>500000</v>
      </c>
      <c r="I1663" s="112">
        <v>2500000</v>
      </c>
      <c r="J1663" s="99" t="s">
        <v>2665</v>
      </c>
      <c r="K1663" s="99" t="s">
        <v>127</v>
      </c>
    </row>
    <row r="1664" spans="2:11" x14ac:dyDescent="0.3">
      <c r="B1664" s="99" t="s">
        <v>956</v>
      </c>
      <c r="C1664" s="100">
        <v>45965</v>
      </c>
      <c r="D1664" s="99" t="s">
        <v>31</v>
      </c>
      <c r="E1664" s="99" t="s">
        <v>32</v>
      </c>
      <c r="F1664" s="99" t="s">
        <v>20</v>
      </c>
      <c r="G1664" s="99">
        <v>14</v>
      </c>
      <c r="H1664" s="112">
        <v>180000</v>
      </c>
      <c r="I1664" s="112">
        <v>2520000</v>
      </c>
      <c r="J1664" s="99" t="s">
        <v>68</v>
      </c>
      <c r="K1664" s="99" t="s">
        <v>8</v>
      </c>
    </row>
    <row r="1665" spans="2:11" x14ac:dyDescent="0.3">
      <c r="B1665" s="99" t="s">
        <v>994</v>
      </c>
      <c r="C1665" s="100">
        <v>45965</v>
      </c>
      <c r="D1665" s="99" t="s">
        <v>18</v>
      </c>
      <c r="E1665" s="99" t="s">
        <v>19</v>
      </c>
      <c r="F1665" s="99" t="s">
        <v>20</v>
      </c>
      <c r="G1665" s="99">
        <v>9</v>
      </c>
      <c r="H1665" s="112">
        <v>500000</v>
      </c>
      <c r="I1665" s="112">
        <v>4500000</v>
      </c>
      <c r="J1665" s="99" t="s">
        <v>2645</v>
      </c>
      <c r="K1665" s="99" t="s">
        <v>127</v>
      </c>
    </row>
    <row r="1666" spans="2:11" x14ac:dyDescent="0.3">
      <c r="B1666" s="99" t="s">
        <v>995</v>
      </c>
      <c r="C1666" s="100">
        <v>45965</v>
      </c>
      <c r="D1666" s="99" t="s">
        <v>28</v>
      </c>
      <c r="E1666" s="99" t="s">
        <v>29</v>
      </c>
      <c r="F1666" s="99" t="s">
        <v>20</v>
      </c>
      <c r="G1666" s="99">
        <v>13</v>
      </c>
      <c r="H1666" s="112">
        <v>450000</v>
      </c>
      <c r="I1666" s="112">
        <v>5850000</v>
      </c>
      <c r="J1666" s="99" t="s">
        <v>824</v>
      </c>
      <c r="K1666" s="99" t="s">
        <v>60</v>
      </c>
    </row>
    <row r="1667" spans="2:11" x14ac:dyDescent="0.3">
      <c r="B1667" s="99" t="s">
        <v>996</v>
      </c>
      <c r="C1667" s="100">
        <v>45965</v>
      </c>
      <c r="D1667" s="99" t="s">
        <v>40</v>
      </c>
      <c r="E1667" s="99" t="s">
        <v>41</v>
      </c>
      <c r="F1667" s="99" t="s">
        <v>16</v>
      </c>
      <c r="G1667" s="99">
        <v>27</v>
      </c>
      <c r="H1667" s="112">
        <v>950000</v>
      </c>
      <c r="I1667" s="112">
        <v>25650000</v>
      </c>
      <c r="J1667" s="99" t="s">
        <v>2691</v>
      </c>
      <c r="K1667" s="99" t="s">
        <v>69</v>
      </c>
    </row>
    <row r="1668" spans="2:11" x14ac:dyDescent="0.3">
      <c r="B1668" s="99" t="s">
        <v>997</v>
      </c>
      <c r="C1668" s="100">
        <v>45966</v>
      </c>
      <c r="D1668" s="99" t="s">
        <v>40</v>
      </c>
      <c r="E1668" s="99" t="s">
        <v>41</v>
      </c>
      <c r="F1668" s="99" t="s">
        <v>16</v>
      </c>
      <c r="G1668" s="99">
        <v>24</v>
      </c>
      <c r="H1668" s="112">
        <v>950000</v>
      </c>
      <c r="I1668" s="112">
        <v>22800000</v>
      </c>
      <c r="J1668" s="99" t="s">
        <v>2218</v>
      </c>
      <c r="K1668" s="99" t="s">
        <v>47</v>
      </c>
    </row>
    <row r="1669" spans="2:11" x14ac:dyDescent="0.3">
      <c r="B1669" s="99" t="s">
        <v>998</v>
      </c>
      <c r="C1669" s="100">
        <v>45966</v>
      </c>
      <c r="D1669" s="99" t="s">
        <v>18</v>
      </c>
      <c r="E1669" s="99" t="s">
        <v>19</v>
      </c>
      <c r="F1669" s="99" t="s">
        <v>20</v>
      </c>
      <c r="G1669" s="99">
        <v>8</v>
      </c>
      <c r="H1669" s="112">
        <v>500000</v>
      </c>
      <c r="I1669" s="112">
        <v>4000000</v>
      </c>
      <c r="J1669" s="99" t="s">
        <v>2313</v>
      </c>
      <c r="K1669" s="99" t="s">
        <v>127</v>
      </c>
    </row>
    <row r="1670" spans="2:11" x14ac:dyDescent="0.3">
      <c r="B1670" s="99" t="s">
        <v>1031</v>
      </c>
      <c r="C1670" s="100">
        <v>45966</v>
      </c>
      <c r="D1670" s="99" t="s">
        <v>14</v>
      </c>
      <c r="E1670" s="99" t="s">
        <v>15</v>
      </c>
      <c r="F1670" s="99" t="s">
        <v>16</v>
      </c>
      <c r="G1670" s="99">
        <v>43</v>
      </c>
      <c r="H1670" s="112">
        <v>350000</v>
      </c>
      <c r="I1670" s="112">
        <v>15050000</v>
      </c>
      <c r="J1670" s="99" t="s">
        <v>2645</v>
      </c>
      <c r="K1670" s="99" t="s">
        <v>127</v>
      </c>
    </row>
    <row r="1671" spans="2:11" x14ac:dyDescent="0.3">
      <c r="B1671" s="99" t="s">
        <v>1032</v>
      </c>
      <c r="C1671" s="100">
        <v>45966</v>
      </c>
      <c r="D1671" s="99" t="s">
        <v>31</v>
      </c>
      <c r="E1671" s="99" t="s">
        <v>32</v>
      </c>
      <c r="F1671" s="99" t="s">
        <v>20</v>
      </c>
      <c r="G1671" s="99">
        <v>7</v>
      </c>
      <c r="H1671" s="112">
        <v>180000</v>
      </c>
      <c r="I1671" s="112">
        <v>1260000</v>
      </c>
      <c r="J1671" s="99" t="s">
        <v>2728</v>
      </c>
      <c r="K1671" s="99" t="s">
        <v>47</v>
      </c>
    </row>
    <row r="1672" spans="2:11" x14ac:dyDescent="0.3">
      <c r="B1672" s="99" t="s">
        <v>1033</v>
      </c>
      <c r="C1672" s="100">
        <v>45966</v>
      </c>
      <c r="D1672" s="99" t="s">
        <v>18</v>
      </c>
      <c r="E1672" s="99" t="s">
        <v>19</v>
      </c>
      <c r="F1672" s="99" t="s">
        <v>20</v>
      </c>
      <c r="G1672" s="99">
        <v>6</v>
      </c>
      <c r="H1672" s="112">
        <v>500000</v>
      </c>
      <c r="I1672" s="112">
        <v>3000000</v>
      </c>
      <c r="J1672" s="99" t="s">
        <v>2515</v>
      </c>
      <c r="K1672" s="99" t="s">
        <v>60</v>
      </c>
    </row>
    <row r="1673" spans="2:11" x14ac:dyDescent="0.3">
      <c r="B1673" s="99" t="s">
        <v>1034</v>
      </c>
      <c r="C1673" s="100">
        <v>45966</v>
      </c>
      <c r="D1673" s="99" t="s">
        <v>38</v>
      </c>
      <c r="E1673" s="99" t="s">
        <v>39</v>
      </c>
      <c r="F1673" s="99" t="s">
        <v>16</v>
      </c>
      <c r="G1673" s="99">
        <v>43</v>
      </c>
      <c r="H1673" s="112">
        <v>200000</v>
      </c>
      <c r="I1673" s="112">
        <v>8600000</v>
      </c>
      <c r="J1673" s="99" t="s">
        <v>2539</v>
      </c>
      <c r="K1673" s="99" t="s">
        <v>47</v>
      </c>
    </row>
    <row r="1674" spans="2:11" x14ac:dyDescent="0.3">
      <c r="B1674" s="99" t="s">
        <v>1035</v>
      </c>
      <c r="C1674" s="100">
        <v>45966</v>
      </c>
      <c r="D1674" s="99" t="s">
        <v>10</v>
      </c>
      <c r="E1674" s="99" t="s">
        <v>11</v>
      </c>
      <c r="F1674" s="99" t="s">
        <v>12</v>
      </c>
      <c r="G1674" s="99">
        <v>44</v>
      </c>
      <c r="H1674" s="112">
        <v>120000</v>
      </c>
      <c r="I1674" s="112">
        <v>5280000</v>
      </c>
      <c r="J1674" s="99" t="s">
        <v>2178</v>
      </c>
      <c r="K1674" s="99" t="s">
        <v>47</v>
      </c>
    </row>
    <row r="1675" spans="2:11" x14ac:dyDescent="0.3">
      <c r="B1675" s="99" t="s">
        <v>1036</v>
      </c>
      <c r="C1675" s="100">
        <v>45966</v>
      </c>
      <c r="D1675" s="99" t="s">
        <v>38</v>
      </c>
      <c r="E1675" s="99" t="s">
        <v>39</v>
      </c>
      <c r="F1675" s="99" t="s">
        <v>16</v>
      </c>
      <c r="G1675" s="99">
        <v>11</v>
      </c>
      <c r="H1675" s="112">
        <v>200000</v>
      </c>
      <c r="I1675" s="112">
        <v>2200000</v>
      </c>
      <c r="J1675" s="99" t="s">
        <v>2808</v>
      </c>
      <c r="K1675" s="99" t="s">
        <v>8</v>
      </c>
    </row>
    <row r="1676" spans="2:11" x14ac:dyDescent="0.3">
      <c r="B1676" s="99" t="s">
        <v>1071</v>
      </c>
      <c r="C1676" s="100">
        <v>45966</v>
      </c>
      <c r="D1676" s="99" t="s">
        <v>31</v>
      </c>
      <c r="E1676" s="99" t="s">
        <v>32</v>
      </c>
      <c r="F1676" s="99" t="s">
        <v>20</v>
      </c>
      <c r="G1676" s="99">
        <v>23</v>
      </c>
      <c r="H1676" s="112">
        <v>180000</v>
      </c>
      <c r="I1676" s="112">
        <v>4140000</v>
      </c>
      <c r="J1676" s="99" t="s">
        <v>2450</v>
      </c>
      <c r="K1676" s="99" t="s">
        <v>8</v>
      </c>
    </row>
    <row r="1677" spans="2:11" x14ac:dyDescent="0.3">
      <c r="B1677" s="99" t="s">
        <v>1072</v>
      </c>
      <c r="C1677" s="100">
        <v>45967</v>
      </c>
      <c r="D1677" s="99" t="s">
        <v>14</v>
      </c>
      <c r="E1677" s="99" t="s">
        <v>15</v>
      </c>
      <c r="F1677" s="99" t="s">
        <v>16</v>
      </c>
      <c r="G1677" s="99">
        <v>6</v>
      </c>
      <c r="H1677" s="112">
        <v>350000</v>
      </c>
      <c r="I1677" s="112">
        <v>2100000</v>
      </c>
      <c r="J1677" s="99" t="s">
        <v>2553</v>
      </c>
      <c r="K1677" s="99" t="s">
        <v>127</v>
      </c>
    </row>
    <row r="1678" spans="2:11" x14ac:dyDescent="0.3">
      <c r="B1678" s="99" t="s">
        <v>1073</v>
      </c>
      <c r="C1678" s="100">
        <v>45967</v>
      </c>
      <c r="D1678" s="99" t="s">
        <v>28</v>
      </c>
      <c r="E1678" s="99" t="s">
        <v>29</v>
      </c>
      <c r="F1678" s="99" t="s">
        <v>20</v>
      </c>
      <c r="G1678" s="99">
        <v>14</v>
      </c>
      <c r="H1678" s="112">
        <v>450000</v>
      </c>
      <c r="I1678" s="112">
        <v>6300000</v>
      </c>
      <c r="J1678" s="99" t="s">
        <v>2353</v>
      </c>
      <c r="K1678" s="99" t="s">
        <v>69</v>
      </c>
    </row>
    <row r="1679" spans="2:11" x14ac:dyDescent="0.3">
      <c r="B1679" s="99" t="s">
        <v>1074</v>
      </c>
      <c r="C1679" s="100">
        <v>45967</v>
      </c>
      <c r="D1679" s="99" t="s">
        <v>18</v>
      </c>
      <c r="E1679" s="99" t="s">
        <v>19</v>
      </c>
      <c r="F1679" s="99" t="s">
        <v>20</v>
      </c>
      <c r="G1679" s="99">
        <v>390</v>
      </c>
      <c r="H1679" s="112">
        <v>500000</v>
      </c>
      <c r="I1679" s="112">
        <v>195000000</v>
      </c>
      <c r="J1679" s="99" t="s">
        <v>2739</v>
      </c>
      <c r="K1679" s="99" t="s">
        <v>8</v>
      </c>
    </row>
    <row r="1680" spans="2:11" x14ac:dyDescent="0.3">
      <c r="B1680" s="99" t="s">
        <v>1075</v>
      </c>
      <c r="C1680" s="100">
        <v>45967</v>
      </c>
      <c r="D1680" s="99" t="s">
        <v>40</v>
      </c>
      <c r="E1680" s="99" t="s">
        <v>41</v>
      </c>
      <c r="F1680" s="99" t="s">
        <v>16</v>
      </c>
      <c r="G1680" s="99">
        <v>11</v>
      </c>
      <c r="H1680" s="112">
        <v>950000</v>
      </c>
      <c r="I1680" s="112">
        <v>10450000</v>
      </c>
      <c r="J1680" s="99" t="s">
        <v>2714</v>
      </c>
      <c r="K1680" s="99" t="s">
        <v>8</v>
      </c>
    </row>
    <row r="1681" spans="2:11" x14ac:dyDescent="0.3">
      <c r="B1681" s="99" t="s">
        <v>1076</v>
      </c>
      <c r="C1681" s="100">
        <v>45967</v>
      </c>
      <c r="D1681" s="99" t="s">
        <v>22</v>
      </c>
      <c r="E1681" s="99" t="s">
        <v>23</v>
      </c>
      <c r="F1681" s="99" t="s">
        <v>12</v>
      </c>
      <c r="G1681" s="99">
        <v>10</v>
      </c>
      <c r="H1681" s="112">
        <v>25000</v>
      </c>
      <c r="I1681" s="112">
        <v>250000</v>
      </c>
      <c r="J1681" s="99" t="s">
        <v>2645</v>
      </c>
      <c r="K1681" s="99" t="s">
        <v>127</v>
      </c>
    </row>
    <row r="1682" spans="2:11" x14ac:dyDescent="0.3">
      <c r="B1682" s="99" t="s">
        <v>1108</v>
      </c>
      <c r="C1682" s="100">
        <v>45967</v>
      </c>
      <c r="D1682" s="99" t="s">
        <v>28</v>
      </c>
      <c r="E1682" s="99" t="s">
        <v>29</v>
      </c>
      <c r="F1682" s="99" t="s">
        <v>20</v>
      </c>
      <c r="G1682" s="99">
        <v>500</v>
      </c>
      <c r="H1682" s="112">
        <v>450000</v>
      </c>
      <c r="I1682" s="112">
        <v>225000000</v>
      </c>
      <c r="J1682" s="99" t="s">
        <v>2245</v>
      </c>
      <c r="K1682" s="99" t="s">
        <v>127</v>
      </c>
    </row>
    <row r="1683" spans="2:11" x14ac:dyDescent="0.3">
      <c r="B1683" s="99" t="s">
        <v>1109</v>
      </c>
      <c r="C1683" s="100">
        <v>45967</v>
      </c>
      <c r="D1683" s="99" t="s">
        <v>42</v>
      </c>
      <c r="E1683" s="99" t="s">
        <v>43</v>
      </c>
      <c r="F1683" s="99" t="s">
        <v>16</v>
      </c>
      <c r="G1683" s="99">
        <v>370</v>
      </c>
      <c r="H1683" s="112">
        <v>1200000</v>
      </c>
      <c r="I1683" s="112">
        <v>444000000</v>
      </c>
      <c r="J1683" s="99" t="s">
        <v>2160</v>
      </c>
      <c r="K1683" s="99" t="s">
        <v>60</v>
      </c>
    </row>
    <row r="1684" spans="2:11" x14ac:dyDescent="0.3">
      <c r="B1684" s="99" t="s">
        <v>1110</v>
      </c>
      <c r="C1684" s="100">
        <v>45967</v>
      </c>
      <c r="D1684" s="99" t="s">
        <v>40</v>
      </c>
      <c r="E1684" s="99" t="s">
        <v>41</v>
      </c>
      <c r="F1684" s="99" t="s">
        <v>16</v>
      </c>
      <c r="G1684" s="99">
        <v>31</v>
      </c>
      <c r="H1684" s="112">
        <v>950000</v>
      </c>
      <c r="I1684" s="112">
        <v>29450000</v>
      </c>
      <c r="J1684" s="99" t="s">
        <v>709</v>
      </c>
      <c r="K1684" s="99" t="s">
        <v>8</v>
      </c>
    </row>
    <row r="1685" spans="2:11" x14ac:dyDescent="0.3">
      <c r="B1685" s="99" t="s">
        <v>1111</v>
      </c>
      <c r="C1685" s="100">
        <v>45967</v>
      </c>
      <c r="D1685" s="99" t="s">
        <v>28</v>
      </c>
      <c r="E1685" s="99" t="s">
        <v>29</v>
      </c>
      <c r="F1685" s="99" t="s">
        <v>20</v>
      </c>
      <c r="G1685" s="99">
        <v>19</v>
      </c>
      <c r="H1685" s="112">
        <v>450000</v>
      </c>
      <c r="I1685" s="112">
        <v>8550000</v>
      </c>
      <c r="J1685" s="99" t="s">
        <v>2802</v>
      </c>
      <c r="K1685" s="99" t="s">
        <v>69</v>
      </c>
    </row>
    <row r="1686" spans="2:11" x14ac:dyDescent="0.3">
      <c r="B1686" s="99" t="s">
        <v>1155</v>
      </c>
      <c r="C1686" s="100">
        <v>45968</v>
      </c>
      <c r="D1686" s="99" t="s">
        <v>40</v>
      </c>
      <c r="E1686" s="99" t="s">
        <v>41</v>
      </c>
      <c r="F1686" s="99" t="s">
        <v>16</v>
      </c>
      <c r="G1686" s="99">
        <v>390</v>
      </c>
      <c r="H1686" s="112">
        <v>950000</v>
      </c>
      <c r="I1686" s="112">
        <v>370500000</v>
      </c>
      <c r="J1686" s="99" t="s">
        <v>2740</v>
      </c>
      <c r="K1686" s="99" t="s">
        <v>127</v>
      </c>
    </row>
    <row r="1687" spans="2:11" x14ac:dyDescent="0.3">
      <c r="B1687" s="99" t="s">
        <v>1156</v>
      </c>
      <c r="C1687" s="100">
        <v>45968</v>
      </c>
      <c r="D1687" s="99" t="s">
        <v>44</v>
      </c>
      <c r="E1687" s="99" t="s">
        <v>45</v>
      </c>
      <c r="F1687" s="99" t="s">
        <v>16</v>
      </c>
      <c r="G1687" s="99">
        <v>20</v>
      </c>
      <c r="H1687" s="112">
        <v>250000</v>
      </c>
      <c r="I1687" s="112">
        <v>5000000</v>
      </c>
      <c r="J1687" s="99" t="s">
        <v>2404</v>
      </c>
      <c r="K1687" s="99" t="s">
        <v>60</v>
      </c>
    </row>
    <row r="1688" spans="2:11" x14ac:dyDescent="0.3">
      <c r="B1688" s="99" t="s">
        <v>1157</v>
      </c>
      <c r="C1688" s="100">
        <v>45968</v>
      </c>
      <c r="D1688" s="99" t="s">
        <v>38</v>
      </c>
      <c r="E1688" s="99" t="s">
        <v>39</v>
      </c>
      <c r="F1688" s="99" t="s">
        <v>16</v>
      </c>
      <c r="G1688" s="99">
        <v>33</v>
      </c>
      <c r="H1688" s="112">
        <v>200000</v>
      </c>
      <c r="I1688" s="112">
        <v>6600000</v>
      </c>
      <c r="J1688" s="99" t="s">
        <v>2751</v>
      </c>
      <c r="K1688" s="99" t="s">
        <v>127</v>
      </c>
    </row>
    <row r="1689" spans="2:11" x14ac:dyDescent="0.3">
      <c r="B1689" s="99" t="s">
        <v>1158</v>
      </c>
      <c r="C1689" s="100">
        <v>45968</v>
      </c>
      <c r="D1689" s="99" t="s">
        <v>31</v>
      </c>
      <c r="E1689" s="99" t="s">
        <v>32</v>
      </c>
      <c r="F1689" s="99" t="s">
        <v>20</v>
      </c>
      <c r="G1689" s="99">
        <v>6</v>
      </c>
      <c r="H1689" s="112">
        <v>180000</v>
      </c>
      <c r="I1689" s="112">
        <v>1080000</v>
      </c>
      <c r="J1689" s="99" t="s">
        <v>2723</v>
      </c>
      <c r="K1689" s="99" t="s">
        <v>8</v>
      </c>
    </row>
    <row r="1690" spans="2:11" x14ac:dyDescent="0.3">
      <c r="B1690" s="99" t="s">
        <v>1159</v>
      </c>
      <c r="C1690" s="100">
        <v>45968</v>
      </c>
      <c r="D1690" s="99" t="s">
        <v>28</v>
      </c>
      <c r="E1690" s="99" t="s">
        <v>29</v>
      </c>
      <c r="F1690" s="99" t="s">
        <v>20</v>
      </c>
      <c r="G1690" s="99">
        <v>50</v>
      </c>
      <c r="H1690" s="112">
        <v>450000</v>
      </c>
      <c r="I1690" s="112">
        <v>22500000</v>
      </c>
      <c r="J1690" s="99" t="s">
        <v>2377</v>
      </c>
      <c r="K1690" s="99" t="s">
        <v>60</v>
      </c>
    </row>
    <row r="1691" spans="2:11" x14ac:dyDescent="0.3">
      <c r="B1691" s="99" t="s">
        <v>1160</v>
      </c>
      <c r="C1691" s="100">
        <v>45968</v>
      </c>
      <c r="D1691" s="99" t="s">
        <v>31</v>
      </c>
      <c r="E1691" s="99" t="s">
        <v>32</v>
      </c>
      <c r="F1691" s="99" t="s">
        <v>20</v>
      </c>
      <c r="G1691" s="99">
        <v>26</v>
      </c>
      <c r="H1691" s="112">
        <v>180000</v>
      </c>
      <c r="I1691" s="112">
        <v>4680000</v>
      </c>
      <c r="J1691" s="99" t="s">
        <v>2510</v>
      </c>
      <c r="K1691" s="99" t="s">
        <v>69</v>
      </c>
    </row>
    <row r="1692" spans="2:11" x14ac:dyDescent="0.3">
      <c r="B1692" s="99" t="s">
        <v>1161</v>
      </c>
      <c r="C1692" s="100">
        <v>45968</v>
      </c>
      <c r="D1692" s="99" t="s">
        <v>22</v>
      </c>
      <c r="E1692" s="99" t="s">
        <v>23</v>
      </c>
      <c r="F1692" s="99" t="s">
        <v>12</v>
      </c>
      <c r="G1692" s="99">
        <v>50</v>
      </c>
      <c r="H1692" s="112">
        <v>25000</v>
      </c>
      <c r="I1692" s="112">
        <v>1250000</v>
      </c>
      <c r="J1692" s="99" t="s">
        <v>2742</v>
      </c>
      <c r="K1692" s="99" t="s">
        <v>8</v>
      </c>
    </row>
    <row r="1693" spans="2:11" x14ac:dyDescent="0.3">
      <c r="B1693" s="99" t="s">
        <v>1162</v>
      </c>
      <c r="C1693" s="100">
        <v>45968</v>
      </c>
      <c r="D1693" s="99" t="s">
        <v>40</v>
      </c>
      <c r="E1693" s="99" t="s">
        <v>41</v>
      </c>
      <c r="F1693" s="99" t="s">
        <v>16</v>
      </c>
      <c r="G1693" s="99">
        <v>410</v>
      </c>
      <c r="H1693" s="112">
        <v>950000</v>
      </c>
      <c r="I1693" s="112">
        <v>389500000</v>
      </c>
      <c r="J1693" s="99" t="s">
        <v>2533</v>
      </c>
      <c r="K1693" s="99" t="s">
        <v>8</v>
      </c>
    </row>
    <row r="1694" spans="2:11" x14ac:dyDescent="0.3">
      <c r="B1694" s="99" t="s">
        <v>1163</v>
      </c>
      <c r="C1694" s="100">
        <v>45968</v>
      </c>
      <c r="D1694" s="99" t="s">
        <v>22</v>
      </c>
      <c r="E1694" s="99" t="s">
        <v>23</v>
      </c>
      <c r="F1694" s="99" t="s">
        <v>12</v>
      </c>
      <c r="G1694" s="99">
        <v>24</v>
      </c>
      <c r="H1694" s="112">
        <v>25000</v>
      </c>
      <c r="I1694" s="112">
        <v>600000</v>
      </c>
      <c r="J1694" s="99" t="s">
        <v>2131</v>
      </c>
      <c r="K1694" s="99" t="s">
        <v>60</v>
      </c>
    </row>
    <row r="1695" spans="2:11" x14ac:dyDescent="0.3">
      <c r="B1695" s="99" t="s">
        <v>1183</v>
      </c>
      <c r="C1695" s="100">
        <v>45968</v>
      </c>
      <c r="D1695" s="99" t="s">
        <v>42</v>
      </c>
      <c r="E1695" s="99" t="s">
        <v>43</v>
      </c>
      <c r="F1695" s="99" t="s">
        <v>16</v>
      </c>
      <c r="G1695" s="99">
        <v>420</v>
      </c>
      <c r="H1695" s="112">
        <v>1200000</v>
      </c>
      <c r="I1695" s="112">
        <v>504000000</v>
      </c>
      <c r="J1695" s="99" t="s">
        <v>2233</v>
      </c>
      <c r="K1695" s="99" t="s">
        <v>8</v>
      </c>
    </row>
    <row r="1696" spans="2:11" x14ac:dyDescent="0.3">
      <c r="B1696" s="99" t="s">
        <v>1184</v>
      </c>
      <c r="C1696" s="100">
        <v>45968</v>
      </c>
      <c r="D1696" s="99" t="s">
        <v>10</v>
      </c>
      <c r="E1696" s="99" t="s">
        <v>11</v>
      </c>
      <c r="F1696" s="99" t="s">
        <v>12</v>
      </c>
      <c r="G1696" s="99">
        <v>24</v>
      </c>
      <c r="H1696" s="112">
        <v>120000</v>
      </c>
      <c r="I1696" s="112">
        <v>2880000</v>
      </c>
      <c r="J1696" s="99" t="s">
        <v>2428</v>
      </c>
      <c r="K1696" s="99" t="s">
        <v>60</v>
      </c>
    </row>
    <row r="1697" spans="2:11" x14ac:dyDescent="0.3">
      <c r="B1697" s="99" t="s">
        <v>1185</v>
      </c>
      <c r="C1697" s="100">
        <v>45968</v>
      </c>
      <c r="D1697" s="99" t="s">
        <v>44</v>
      </c>
      <c r="E1697" s="99" t="s">
        <v>45</v>
      </c>
      <c r="F1697" s="99" t="s">
        <v>16</v>
      </c>
      <c r="G1697" s="99">
        <v>10</v>
      </c>
      <c r="H1697" s="112">
        <v>250000</v>
      </c>
      <c r="I1697" s="112">
        <v>2500000</v>
      </c>
      <c r="J1697" s="99" t="s">
        <v>2296</v>
      </c>
      <c r="K1697" s="99" t="s">
        <v>8</v>
      </c>
    </row>
    <row r="1698" spans="2:11" x14ac:dyDescent="0.3">
      <c r="B1698" s="99" t="s">
        <v>1186</v>
      </c>
      <c r="C1698" s="100">
        <v>45968</v>
      </c>
      <c r="D1698" s="99" t="s">
        <v>31</v>
      </c>
      <c r="E1698" s="99" t="s">
        <v>32</v>
      </c>
      <c r="F1698" s="99" t="s">
        <v>20</v>
      </c>
      <c r="G1698" s="99">
        <v>41</v>
      </c>
      <c r="H1698" s="112">
        <v>180000</v>
      </c>
      <c r="I1698" s="112">
        <v>7380000</v>
      </c>
      <c r="J1698" s="99" t="s">
        <v>2392</v>
      </c>
      <c r="K1698" s="99" t="s">
        <v>8</v>
      </c>
    </row>
    <row r="1699" spans="2:11" x14ac:dyDescent="0.3">
      <c r="B1699" s="99" t="s">
        <v>1187</v>
      </c>
      <c r="C1699" s="100">
        <v>45968</v>
      </c>
      <c r="D1699" s="99" t="s">
        <v>31</v>
      </c>
      <c r="E1699" s="99" t="s">
        <v>32</v>
      </c>
      <c r="F1699" s="99" t="s">
        <v>20</v>
      </c>
      <c r="G1699" s="99">
        <v>23</v>
      </c>
      <c r="H1699" s="112">
        <v>180000</v>
      </c>
      <c r="I1699" s="112">
        <v>4140000</v>
      </c>
      <c r="J1699" s="99" t="s">
        <v>1584</v>
      </c>
      <c r="K1699" s="99" t="s">
        <v>127</v>
      </c>
    </row>
    <row r="1700" spans="2:11" x14ac:dyDescent="0.3">
      <c r="B1700" s="99" t="s">
        <v>1188</v>
      </c>
      <c r="C1700" s="100">
        <v>45972</v>
      </c>
      <c r="D1700" s="99" t="s">
        <v>42</v>
      </c>
      <c r="E1700" s="99" t="s">
        <v>43</v>
      </c>
      <c r="F1700" s="99" t="s">
        <v>16</v>
      </c>
      <c r="G1700" s="99">
        <v>10</v>
      </c>
      <c r="H1700" s="112">
        <v>1200000</v>
      </c>
      <c r="I1700" s="112">
        <v>12000000</v>
      </c>
      <c r="J1700" s="99" t="s">
        <v>2497</v>
      </c>
      <c r="K1700" s="99" t="s">
        <v>127</v>
      </c>
    </row>
    <row r="1701" spans="2:11" x14ac:dyDescent="0.3">
      <c r="B1701" s="99" t="s">
        <v>1189</v>
      </c>
      <c r="C1701" s="100">
        <v>45972</v>
      </c>
      <c r="D1701" s="99" t="s">
        <v>42</v>
      </c>
      <c r="E1701" s="99" t="s">
        <v>43</v>
      </c>
      <c r="F1701" s="99" t="s">
        <v>16</v>
      </c>
      <c r="G1701" s="99">
        <v>8</v>
      </c>
      <c r="H1701" s="112">
        <v>1200000</v>
      </c>
      <c r="I1701" s="112">
        <v>9600000</v>
      </c>
      <c r="J1701" s="99" t="s">
        <v>2483</v>
      </c>
      <c r="K1701" s="99" t="s">
        <v>8</v>
      </c>
    </row>
    <row r="1702" spans="2:11" x14ac:dyDescent="0.3">
      <c r="B1702" s="99" t="s">
        <v>1190</v>
      </c>
      <c r="C1702" s="100">
        <v>45972</v>
      </c>
      <c r="D1702" s="99" t="s">
        <v>10</v>
      </c>
      <c r="E1702" s="99" t="s">
        <v>11</v>
      </c>
      <c r="F1702" s="99" t="s">
        <v>12</v>
      </c>
      <c r="G1702" s="99">
        <v>41</v>
      </c>
      <c r="H1702" s="112">
        <v>120000</v>
      </c>
      <c r="I1702" s="112">
        <v>4920000</v>
      </c>
      <c r="J1702" s="99" t="s">
        <v>2468</v>
      </c>
      <c r="K1702" s="99" t="s">
        <v>60</v>
      </c>
    </row>
    <row r="1703" spans="2:11" x14ac:dyDescent="0.3">
      <c r="B1703" s="99" t="s">
        <v>1191</v>
      </c>
      <c r="C1703" s="100">
        <v>45972</v>
      </c>
      <c r="D1703" s="99" t="s">
        <v>38</v>
      </c>
      <c r="E1703" s="99" t="s">
        <v>39</v>
      </c>
      <c r="F1703" s="99" t="s">
        <v>16</v>
      </c>
      <c r="G1703" s="99">
        <v>130</v>
      </c>
      <c r="H1703" s="112">
        <v>200000</v>
      </c>
      <c r="I1703" s="112">
        <v>26000000</v>
      </c>
      <c r="J1703" s="99" t="s">
        <v>2236</v>
      </c>
      <c r="K1703" s="99" t="s">
        <v>8</v>
      </c>
    </row>
    <row r="1704" spans="2:11" x14ac:dyDescent="0.3">
      <c r="B1704" s="99" t="s">
        <v>1192</v>
      </c>
      <c r="C1704" s="100">
        <v>45972</v>
      </c>
      <c r="D1704" s="99" t="s">
        <v>14</v>
      </c>
      <c r="E1704" s="99" t="s">
        <v>15</v>
      </c>
      <c r="F1704" s="99" t="s">
        <v>16</v>
      </c>
      <c r="G1704" s="99">
        <v>29</v>
      </c>
      <c r="H1704" s="112">
        <v>350000</v>
      </c>
      <c r="I1704" s="112">
        <v>10150000</v>
      </c>
      <c r="J1704" s="99" t="s">
        <v>2524</v>
      </c>
      <c r="K1704" s="99" t="s">
        <v>127</v>
      </c>
    </row>
    <row r="1705" spans="2:11" x14ac:dyDescent="0.3">
      <c r="B1705" s="99" t="s">
        <v>1193</v>
      </c>
      <c r="C1705" s="100">
        <v>45972</v>
      </c>
      <c r="D1705" s="99" t="s">
        <v>22</v>
      </c>
      <c r="E1705" s="99" t="s">
        <v>23</v>
      </c>
      <c r="F1705" s="99" t="s">
        <v>12</v>
      </c>
      <c r="G1705" s="99">
        <v>9</v>
      </c>
      <c r="H1705" s="112">
        <v>25000</v>
      </c>
      <c r="I1705" s="112">
        <v>225000</v>
      </c>
      <c r="J1705" s="99" t="s">
        <v>2143</v>
      </c>
      <c r="K1705" s="99" t="s">
        <v>8</v>
      </c>
    </row>
    <row r="1706" spans="2:11" x14ac:dyDescent="0.3">
      <c r="B1706" s="99" t="s">
        <v>1194</v>
      </c>
      <c r="C1706" s="100">
        <v>45972</v>
      </c>
      <c r="D1706" s="99" t="s">
        <v>28</v>
      </c>
      <c r="E1706" s="99" t="s">
        <v>29</v>
      </c>
      <c r="F1706" s="99" t="s">
        <v>20</v>
      </c>
      <c r="G1706" s="99">
        <v>32</v>
      </c>
      <c r="H1706" s="112">
        <v>450000</v>
      </c>
      <c r="I1706" s="112">
        <v>14400000</v>
      </c>
      <c r="J1706" s="99" t="s">
        <v>2511</v>
      </c>
      <c r="K1706" s="99" t="s">
        <v>127</v>
      </c>
    </row>
    <row r="1707" spans="2:11" x14ac:dyDescent="0.3">
      <c r="B1707" s="99" t="s">
        <v>1232</v>
      </c>
      <c r="C1707" s="100">
        <v>45972</v>
      </c>
      <c r="D1707" s="99" t="s">
        <v>22</v>
      </c>
      <c r="E1707" s="99" t="s">
        <v>23</v>
      </c>
      <c r="F1707" s="99" t="s">
        <v>12</v>
      </c>
      <c r="G1707" s="99">
        <v>11</v>
      </c>
      <c r="H1707" s="112">
        <v>25000</v>
      </c>
      <c r="I1707" s="112">
        <v>275000</v>
      </c>
      <c r="J1707" s="99" t="s">
        <v>2355</v>
      </c>
      <c r="K1707" s="99" t="s">
        <v>47</v>
      </c>
    </row>
    <row r="1708" spans="2:11" x14ac:dyDescent="0.3">
      <c r="B1708" s="99" t="s">
        <v>1233</v>
      </c>
      <c r="C1708" s="100">
        <v>45972</v>
      </c>
      <c r="D1708" s="99" t="s">
        <v>31</v>
      </c>
      <c r="E1708" s="99" t="s">
        <v>32</v>
      </c>
      <c r="F1708" s="99" t="s">
        <v>20</v>
      </c>
      <c r="G1708" s="99">
        <v>16</v>
      </c>
      <c r="H1708" s="112">
        <v>180000</v>
      </c>
      <c r="I1708" s="112">
        <v>2880000</v>
      </c>
      <c r="J1708" s="99" t="s">
        <v>2637</v>
      </c>
      <c r="K1708" s="99" t="s">
        <v>47</v>
      </c>
    </row>
    <row r="1709" spans="2:11" x14ac:dyDescent="0.3">
      <c r="B1709" s="99" t="s">
        <v>1234</v>
      </c>
      <c r="C1709" s="100">
        <v>45972</v>
      </c>
      <c r="D1709" s="99" t="s">
        <v>10</v>
      </c>
      <c r="E1709" s="99" t="s">
        <v>11</v>
      </c>
      <c r="F1709" s="99" t="s">
        <v>12</v>
      </c>
      <c r="G1709" s="99">
        <v>37</v>
      </c>
      <c r="H1709" s="112">
        <v>120000</v>
      </c>
      <c r="I1709" s="112">
        <v>4440000</v>
      </c>
      <c r="J1709" s="99" t="s">
        <v>2734</v>
      </c>
      <c r="K1709" s="99" t="s">
        <v>8</v>
      </c>
    </row>
    <row r="1710" spans="2:11" x14ac:dyDescent="0.3">
      <c r="B1710" s="99" t="s">
        <v>1235</v>
      </c>
      <c r="C1710" s="100">
        <v>45972</v>
      </c>
      <c r="D1710" s="99" t="s">
        <v>31</v>
      </c>
      <c r="E1710" s="99" t="s">
        <v>32</v>
      </c>
      <c r="F1710" s="99" t="s">
        <v>20</v>
      </c>
      <c r="G1710" s="99">
        <v>45</v>
      </c>
      <c r="H1710" s="112">
        <v>180000</v>
      </c>
      <c r="I1710" s="112">
        <v>8100000</v>
      </c>
      <c r="J1710" s="99" t="s">
        <v>2485</v>
      </c>
      <c r="K1710" s="99" t="s">
        <v>127</v>
      </c>
    </row>
    <row r="1711" spans="2:11" x14ac:dyDescent="0.3">
      <c r="B1711" s="99" t="s">
        <v>1236</v>
      </c>
      <c r="C1711" s="100">
        <v>45974</v>
      </c>
      <c r="D1711" s="99" t="s">
        <v>22</v>
      </c>
      <c r="E1711" s="99" t="s">
        <v>23</v>
      </c>
      <c r="F1711" s="99" t="s">
        <v>12</v>
      </c>
      <c r="G1711" s="99">
        <v>9</v>
      </c>
      <c r="H1711" s="112">
        <v>25000</v>
      </c>
      <c r="I1711" s="112">
        <v>225000</v>
      </c>
      <c r="J1711" s="99" t="s">
        <v>2633</v>
      </c>
      <c r="K1711" s="99" t="s">
        <v>60</v>
      </c>
    </row>
    <row r="1712" spans="2:11" x14ac:dyDescent="0.3">
      <c r="B1712" s="99" t="s">
        <v>1237</v>
      </c>
      <c r="C1712" s="100">
        <v>45974</v>
      </c>
      <c r="D1712" s="99" t="s">
        <v>28</v>
      </c>
      <c r="E1712" s="99" t="s">
        <v>29</v>
      </c>
      <c r="F1712" s="99" t="s">
        <v>20</v>
      </c>
      <c r="G1712" s="99">
        <v>14</v>
      </c>
      <c r="H1712" s="112">
        <v>450000</v>
      </c>
      <c r="I1712" s="112">
        <v>6300000</v>
      </c>
      <c r="J1712" s="99" t="s">
        <v>2532</v>
      </c>
      <c r="K1712" s="99" t="s">
        <v>47</v>
      </c>
    </row>
    <row r="1713" spans="2:11" x14ac:dyDescent="0.3">
      <c r="B1713" s="99" t="s">
        <v>1238</v>
      </c>
      <c r="C1713" s="100">
        <v>45974</v>
      </c>
      <c r="D1713" s="99" t="s">
        <v>31</v>
      </c>
      <c r="E1713" s="99" t="s">
        <v>32</v>
      </c>
      <c r="F1713" s="99" t="s">
        <v>20</v>
      </c>
      <c r="G1713" s="99">
        <v>24</v>
      </c>
      <c r="H1713" s="112">
        <v>180000</v>
      </c>
      <c r="I1713" s="112">
        <v>4320000</v>
      </c>
      <c r="J1713" s="99" t="s">
        <v>2237</v>
      </c>
      <c r="K1713" s="99" t="s">
        <v>47</v>
      </c>
    </row>
    <row r="1714" spans="2:11" x14ac:dyDescent="0.3">
      <c r="B1714" s="99" t="s">
        <v>1239</v>
      </c>
      <c r="C1714" s="100">
        <v>45974</v>
      </c>
      <c r="D1714" s="99" t="s">
        <v>40</v>
      </c>
      <c r="E1714" s="99" t="s">
        <v>41</v>
      </c>
      <c r="F1714" s="99" t="s">
        <v>16</v>
      </c>
      <c r="G1714" s="99">
        <v>410</v>
      </c>
      <c r="H1714" s="112">
        <v>950000</v>
      </c>
      <c r="I1714" s="112">
        <v>389500000</v>
      </c>
      <c r="J1714" s="99" t="s">
        <v>2245</v>
      </c>
      <c r="K1714" s="99" t="s">
        <v>127</v>
      </c>
    </row>
    <row r="1715" spans="2:11" x14ac:dyDescent="0.3">
      <c r="B1715" s="99" t="s">
        <v>1240</v>
      </c>
      <c r="C1715" s="100">
        <v>45974</v>
      </c>
      <c r="D1715" s="99" t="s">
        <v>18</v>
      </c>
      <c r="E1715" s="99" t="s">
        <v>19</v>
      </c>
      <c r="F1715" s="99" t="s">
        <v>20</v>
      </c>
      <c r="G1715" s="99">
        <v>27</v>
      </c>
      <c r="H1715" s="112">
        <v>500000</v>
      </c>
      <c r="I1715" s="112">
        <v>13500000</v>
      </c>
      <c r="J1715" s="99" t="s">
        <v>2727</v>
      </c>
      <c r="K1715" s="99" t="s">
        <v>69</v>
      </c>
    </row>
    <row r="1716" spans="2:11" x14ac:dyDescent="0.3">
      <c r="B1716" s="99" t="s">
        <v>1241</v>
      </c>
      <c r="C1716" s="100">
        <v>45974</v>
      </c>
      <c r="D1716" s="99" t="s">
        <v>14</v>
      </c>
      <c r="E1716" s="99" t="s">
        <v>15</v>
      </c>
      <c r="F1716" s="99" t="s">
        <v>16</v>
      </c>
      <c r="G1716" s="99">
        <v>39</v>
      </c>
      <c r="H1716" s="112">
        <v>350000</v>
      </c>
      <c r="I1716" s="112">
        <v>13650000</v>
      </c>
      <c r="J1716" s="99" t="s">
        <v>2801</v>
      </c>
      <c r="K1716" s="99" t="s">
        <v>60</v>
      </c>
    </row>
    <row r="1717" spans="2:11" x14ac:dyDescent="0.3">
      <c r="B1717" s="99" t="s">
        <v>1271</v>
      </c>
      <c r="C1717" s="100">
        <v>45974</v>
      </c>
      <c r="D1717" s="99" t="s">
        <v>10</v>
      </c>
      <c r="E1717" s="99" t="s">
        <v>11</v>
      </c>
      <c r="F1717" s="99" t="s">
        <v>12</v>
      </c>
      <c r="G1717" s="99">
        <v>27</v>
      </c>
      <c r="H1717" s="112">
        <v>120000</v>
      </c>
      <c r="I1717" s="112">
        <v>3240000</v>
      </c>
      <c r="J1717" s="99" t="s">
        <v>2363</v>
      </c>
      <c r="K1717" s="99" t="s">
        <v>8</v>
      </c>
    </row>
    <row r="1718" spans="2:11" x14ac:dyDescent="0.3">
      <c r="B1718" s="99" t="s">
        <v>1272</v>
      </c>
      <c r="C1718" s="100">
        <v>45974</v>
      </c>
      <c r="D1718" s="99" t="s">
        <v>18</v>
      </c>
      <c r="E1718" s="99" t="s">
        <v>19</v>
      </c>
      <c r="F1718" s="99" t="s">
        <v>20</v>
      </c>
      <c r="G1718" s="99">
        <v>25</v>
      </c>
      <c r="H1718" s="112">
        <v>500000</v>
      </c>
      <c r="I1718" s="112">
        <v>12500000</v>
      </c>
      <c r="J1718" s="99" t="s">
        <v>2500</v>
      </c>
      <c r="K1718" s="99" t="s">
        <v>69</v>
      </c>
    </row>
    <row r="1719" spans="2:11" x14ac:dyDescent="0.3">
      <c r="B1719" s="99" t="s">
        <v>1273</v>
      </c>
      <c r="C1719" s="100">
        <v>45974</v>
      </c>
      <c r="D1719" s="99" t="s">
        <v>22</v>
      </c>
      <c r="E1719" s="99" t="s">
        <v>23</v>
      </c>
      <c r="F1719" s="99" t="s">
        <v>12</v>
      </c>
      <c r="G1719" s="99">
        <v>48</v>
      </c>
      <c r="H1719" s="112">
        <v>25000</v>
      </c>
      <c r="I1719" s="112">
        <v>1200000</v>
      </c>
      <c r="J1719" s="99" t="s">
        <v>2371</v>
      </c>
      <c r="K1719" s="99" t="s">
        <v>8</v>
      </c>
    </row>
    <row r="1720" spans="2:11" x14ac:dyDescent="0.3">
      <c r="B1720" s="99" t="s">
        <v>1274</v>
      </c>
      <c r="C1720" s="100">
        <v>45974</v>
      </c>
      <c r="D1720" s="99" t="s">
        <v>18</v>
      </c>
      <c r="E1720" s="99" t="s">
        <v>19</v>
      </c>
      <c r="F1720" s="99" t="s">
        <v>20</v>
      </c>
      <c r="G1720" s="99">
        <v>460</v>
      </c>
      <c r="H1720" s="112">
        <v>500000</v>
      </c>
      <c r="I1720" s="112">
        <v>230000000</v>
      </c>
      <c r="J1720" s="99" t="s">
        <v>1789</v>
      </c>
      <c r="K1720" s="99" t="s">
        <v>8</v>
      </c>
    </row>
    <row r="1721" spans="2:11" x14ac:dyDescent="0.3">
      <c r="B1721" s="99" t="s">
        <v>1275</v>
      </c>
      <c r="C1721" s="100">
        <v>45974</v>
      </c>
      <c r="D1721" s="99" t="s">
        <v>44</v>
      </c>
      <c r="E1721" s="99" t="s">
        <v>45</v>
      </c>
      <c r="F1721" s="99" t="s">
        <v>16</v>
      </c>
      <c r="G1721" s="99">
        <v>8</v>
      </c>
      <c r="H1721" s="112">
        <v>250000</v>
      </c>
      <c r="I1721" s="112">
        <v>2000000</v>
      </c>
      <c r="J1721" s="99" t="s">
        <v>2532</v>
      </c>
      <c r="K1721" s="99" t="s">
        <v>47</v>
      </c>
    </row>
    <row r="1722" spans="2:11" x14ac:dyDescent="0.3">
      <c r="B1722" s="99" t="s">
        <v>1276</v>
      </c>
      <c r="C1722" s="100">
        <v>45974</v>
      </c>
      <c r="D1722" s="99" t="s">
        <v>10</v>
      </c>
      <c r="E1722" s="99" t="s">
        <v>11</v>
      </c>
      <c r="F1722" s="99" t="s">
        <v>12</v>
      </c>
      <c r="G1722" s="99">
        <v>33</v>
      </c>
      <c r="H1722" s="112">
        <v>120000</v>
      </c>
      <c r="I1722" s="112">
        <v>3960000</v>
      </c>
      <c r="J1722" s="99" t="s">
        <v>2829</v>
      </c>
      <c r="K1722" s="99" t="s">
        <v>69</v>
      </c>
    </row>
    <row r="1723" spans="2:11" x14ac:dyDescent="0.3">
      <c r="B1723" s="99" t="s">
        <v>1277</v>
      </c>
      <c r="C1723" s="100">
        <v>45974</v>
      </c>
      <c r="D1723" s="99" t="s">
        <v>44</v>
      </c>
      <c r="E1723" s="99" t="s">
        <v>45</v>
      </c>
      <c r="F1723" s="99" t="s">
        <v>16</v>
      </c>
      <c r="G1723" s="99">
        <v>35</v>
      </c>
      <c r="H1723" s="112">
        <v>250000</v>
      </c>
      <c r="I1723" s="112">
        <v>8750000</v>
      </c>
      <c r="J1723" s="99" t="s">
        <v>2505</v>
      </c>
      <c r="K1723" s="99" t="s">
        <v>69</v>
      </c>
    </row>
    <row r="1724" spans="2:11" x14ac:dyDescent="0.3">
      <c r="B1724" s="99" t="s">
        <v>1278</v>
      </c>
      <c r="C1724" s="100">
        <v>45974</v>
      </c>
      <c r="D1724" s="99" t="s">
        <v>31</v>
      </c>
      <c r="E1724" s="99" t="s">
        <v>32</v>
      </c>
      <c r="F1724" s="99" t="s">
        <v>20</v>
      </c>
      <c r="G1724" s="99">
        <v>43</v>
      </c>
      <c r="H1724" s="112">
        <v>180000</v>
      </c>
      <c r="I1724" s="112">
        <v>7740000</v>
      </c>
      <c r="J1724" s="99" t="s">
        <v>2247</v>
      </c>
      <c r="K1724" s="99" t="s">
        <v>8</v>
      </c>
    </row>
    <row r="1725" spans="2:11" x14ac:dyDescent="0.3">
      <c r="B1725" s="99" t="s">
        <v>1279</v>
      </c>
      <c r="C1725" s="100">
        <v>45974</v>
      </c>
      <c r="D1725" s="99" t="s">
        <v>42</v>
      </c>
      <c r="E1725" s="99" t="s">
        <v>43</v>
      </c>
      <c r="F1725" s="99" t="s">
        <v>16</v>
      </c>
      <c r="G1725" s="99">
        <v>50</v>
      </c>
      <c r="H1725" s="112">
        <v>1200000</v>
      </c>
      <c r="I1725" s="112">
        <v>60000000</v>
      </c>
      <c r="J1725" s="99" t="s">
        <v>2226</v>
      </c>
      <c r="K1725" s="99" t="s">
        <v>60</v>
      </c>
    </row>
    <row r="1726" spans="2:11" x14ac:dyDescent="0.3">
      <c r="B1726" s="99" t="s">
        <v>1314</v>
      </c>
      <c r="C1726" s="100">
        <v>45974</v>
      </c>
      <c r="D1726" s="99" t="s">
        <v>22</v>
      </c>
      <c r="E1726" s="99" t="s">
        <v>23</v>
      </c>
      <c r="F1726" s="99" t="s">
        <v>12</v>
      </c>
      <c r="G1726" s="99">
        <v>39</v>
      </c>
      <c r="H1726" s="112">
        <v>25000</v>
      </c>
      <c r="I1726" s="112">
        <v>975000</v>
      </c>
      <c r="J1726" s="99" t="s">
        <v>2556</v>
      </c>
      <c r="K1726" s="99" t="s">
        <v>8</v>
      </c>
    </row>
    <row r="1727" spans="2:11" x14ac:dyDescent="0.3">
      <c r="B1727" s="99" t="s">
        <v>1315</v>
      </c>
      <c r="C1727" s="100">
        <v>45978</v>
      </c>
      <c r="D1727" s="99" t="s">
        <v>31</v>
      </c>
      <c r="E1727" s="99" t="s">
        <v>32</v>
      </c>
      <c r="F1727" s="99" t="s">
        <v>20</v>
      </c>
      <c r="G1727" s="99">
        <v>380</v>
      </c>
      <c r="H1727" s="112">
        <v>180000</v>
      </c>
      <c r="I1727" s="112">
        <v>68400000</v>
      </c>
      <c r="J1727" s="99" t="s">
        <v>2753</v>
      </c>
      <c r="K1727" s="99" t="s">
        <v>47</v>
      </c>
    </row>
    <row r="1728" spans="2:11" x14ac:dyDescent="0.3">
      <c r="B1728" s="99" t="s">
        <v>1316</v>
      </c>
      <c r="C1728" s="100">
        <v>45978</v>
      </c>
      <c r="D1728" s="99" t="s">
        <v>28</v>
      </c>
      <c r="E1728" s="99" t="s">
        <v>29</v>
      </c>
      <c r="F1728" s="99" t="s">
        <v>20</v>
      </c>
      <c r="G1728" s="99">
        <v>17</v>
      </c>
      <c r="H1728" s="112">
        <v>450000</v>
      </c>
      <c r="I1728" s="112">
        <v>7650000</v>
      </c>
      <c r="J1728" s="99" t="s">
        <v>2769</v>
      </c>
      <c r="K1728" s="99" t="s">
        <v>47</v>
      </c>
    </row>
    <row r="1729" spans="2:11" x14ac:dyDescent="0.3">
      <c r="B1729" s="99" t="s">
        <v>1317</v>
      </c>
      <c r="C1729" s="100">
        <v>45978</v>
      </c>
      <c r="D1729" s="99" t="s">
        <v>14</v>
      </c>
      <c r="E1729" s="99" t="s">
        <v>15</v>
      </c>
      <c r="F1729" s="99" t="s">
        <v>16</v>
      </c>
      <c r="G1729" s="99">
        <v>43</v>
      </c>
      <c r="H1729" s="112">
        <v>350000</v>
      </c>
      <c r="I1729" s="112">
        <v>15050000</v>
      </c>
      <c r="J1729" s="99" t="s">
        <v>2797</v>
      </c>
      <c r="K1729" s="99" t="s">
        <v>47</v>
      </c>
    </row>
    <row r="1730" spans="2:11" x14ac:dyDescent="0.3">
      <c r="B1730" s="99" t="s">
        <v>1318</v>
      </c>
      <c r="C1730" s="100">
        <v>45978</v>
      </c>
      <c r="D1730" s="99" t="s">
        <v>14</v>
      </c>
      <c r="E1730" s="99" t="s">
        <v>15</v>
      </c>
      <c r="F1730" s="99" t="s">
        <v>16</v>
      </c>
      <c r="G1730" s="99">
        <v>41</v>
      </c>
      <c r="H1730" s="112">
        <v>350000</v>
      </c>
      <c r="I1730" s="112">
        <v>14350000</v>
      </c>
      <c r="J1730" s="99" t="s">
        <v>2296</v>
      </c>
      <c r="K1730" s="99" t="s">
        <v>8</v>
      </c>
    </row>
    <row r="1731" spans="2:11" x14ac:dyDescent="0.3">
      <c r="B1731" s="99" t="s">
        <v>1319</v>
      </c>
      <c r="C1731" s="100">
        <v>45978</v>
      </c>
      <c r="D1731" s="99" t="s">
        <v>14</v>
      </c>
      <c r="E1731" s="99" t="s">
        <v>15</v>
      </c>
      <c r="F1731" s="99" t="s">
        <v>16</v>
      </c>
      <c r="G1731" s="99">
        <v>39</v>
      </c>
      <c r="H1731" s="112">
        <v>350000</v>
      </c>
      <c r="I1731" s="112">
        <v>13650000</v>
      </c>
      <c r="J1731" s="99" t="s">
        <v>2786</v>
      </c>
      <c r="K1731" s="99" t="s">
        <v>127</v>
      </c>
    </row>
    <row r="1732" spans="2:11" x14ac:dyDescent="0.3">
      <c r="B1732" s="99" t="s">
        <v>1355</v>
      </c>
      <c r="C1732" s="100">
        <v>45978</v>
      </c>
      <c r="D1732" s="99" t="s">
        <v>42</v>
      </c>
      <c r="E1732" s="99" t="s">
        <v>43</v>
      </c>
      <c r="F1732" s="99" t="s">
        <v>16</v>
      </c>
      <c r="G1732" s="99">
        <v>470</v>
      </c>
      <c r="H1732" s="112">
        <v>1200000</v>
      </c>
      <c r="I1732" s="112">
        <v>564000000</v>
      </c>
      <c r="J1732" s="99" t="s">
        <v>2668</v>
      </c>
      <c r="K1732" s="99" t="s">
        <v>127</v>
      </c>
    </row>
    <row r="1733" spans="2:11" x14ac:dyDescent="0.3">
      <c r="B1733" s="99" t="s">
        <v>1356</v>
      </c>
      <c r="C1733" s="100">
        <v>45978</v>
      </c>
      <c r="D1733" s="99" t="s">
        <v>31</v>
      </c>
      <c r="E1733" s="99" t="s">
        <v>32</v>
      </c>
      <c r="F1733" s="99" t="s">
        <v>20</v>
      </c>
      <c r="G1733" s="99">
        <v>37</v>
      </c>
      <c r="H1733" s="112">
        <v>180000</v>
      </c>
      <c r="I1733" s="112">
        <v>6660000</v>
      </c>
      <c r="J1733" s="99" t="s">
        <v>2633</v>
      </c>
      <c r="K1733" s="99" t="s">
        <v>60</v>
      </c>
    </row>
    <row r="1734" spans="2:11" x14ac:dyDescent="0.3">
      <c r="B1734" s="99" t="s">
        <v>1357</v>
      </c>
      <c r="C1734" s="100">
        <v>45978</v>
      </c>
      <c r="D1734" s="99" t="s">
        <v>10</v>
      </c>
      <c r="E1734" s="99" t="s">
        <v>11</v>
      </c>
      <c r="F1734" s="99" t="s">
        <v>12</v>
      </c>
      <c r="G1734" s="99">
        <v>33</v>
      </c>
      <c r="H1734" s="112">
        <v>120000</v>
      </c>
      <c r="I1734" s="112">
        <v>3960000</v>
      </c>
      <c r="J1734" s="99" t="s">
        <v>2365</v>
      </c>
      <c r="K1734" s="99" t="s">
        <v>60</v>
      </c>
    </row>
    <row r="1735" spans="2:11" x14ac:dyDescent="0.3">
      <c r="B1735" s="99" t="s">
        <v>1387</v>
      </c>
      <c r="C1735" s="100">
        <v>45978</v>
      </c>
      <c r="D1735" s="99" t="s">
        <v>22</v>
      </c>
      <c r="E1735" s="99" t="s">
        <v>23</v>
      </c>
      <c r="F1735" s="99" t="s">
        <v>12</v>
      </c>
      <c r="G1735" s="99">
        <v>32</v>
      </c>
      <c r="H1735" s="112">
        <v>25000</v>
      </c>
      <c r="I1735" s="112">
        <v>800000</v>
      </c>
      <c r="J1735" s="99" t="s">
        <v>274</v>
      </c>
      <c r="K1735" s="99" t="s">
        <v>8</v>
      </c>
    </row>
    <row r="1736" spans="2:11" x14ac:dyDescent="0.3">
      <c r="B1736" s="99" t="s">
        <v>1388</v>
      </c>
      <c r="C1736" s="100">
        <v>45978</v>
      </c>
      <c r="D1736" s="99" t="s">
        <v>38</v>
      </c>
      <c r="E1736" s="99" t="s">
        <v>39</v>
      </c>
      <c r="F1736" s="99" t="s">
        <v>16</v>
      </c>
      <c r="G1736" s="99">
        <v>49</v>
      </c>
      <c r="H1736" s="112">
        <v>200000</v>
      </c>
      <c r="I1736" s="112">
        <v>9800000</v>
      </c>
      <c r="J1736" s="99" t="s">
        <v>2507</v>
      </c>
      <c r="K1736" s="99" t="s">
        <v>127</v>
      </c>
    </row>
    <row r="1737" spans="2:11" x14ac:dyDescent="0.3">
      <c r="B1737" s="99" t="s">
        <v>1389</v>
      </c>
      <c r="C1737" s="100">
        <v>45978</v>
      </c>
      <c r="D1737" s="99" t="s">
        <v>31</v>
      </c>
      <c r="E1737" s="99" t="s">
        <v>32</v>
      </c>
      <c r="F1737" s="99" t="s">
        <v>20</v>
      </c>
      <c r="G1737" s="99">
        <v>27</v>
      </c>
      <c r="H1737" s="112">
        <v>180000</v>
      </c>
      <c r="I1737" s="112">
        <v>4860000</v>
      </c>
      <c r="J1737" s="99" t="s">
        <v>2318</v>
      </c>
      <c r="K1737" s="99" t="s">
        <v>47</v>
      </c>
    </row>
    <row r="1738" spans="2:11" x14ac:dyDescent="0.3">
      <c r="B1738" s="99" t="s">
        <v>1390</v>
      </c>
      <c r="C1738" s="100">
        <v>45978</v>
      </c>
      <c r="D1738" s="99" t="s">
        <v>40</v>
      </c>
      <c r="E1738" s="99" t="s">
        <v>41</v>
      </c>
      <c r="F1738" s="99" t="s">
        <v>16</v>
      </c>
      <c r="G1738" s="99">
        <v>80</v>
      </c>
      <c r="H1738" s="112">
        <v>950000</v>
      </c>
      <c r="I1738" s="112">
        <v>76000000</v>
      </c>
      <c r="J1738" s="99" t="s">
        <v>2824</v>
      </c>
      <c r="K1738" s="99" t="s">
        <v>127</v>
      </c>
    </row>
    <row r="1739" spans="2:11" x14ac:dyDescent="0.3">
      <c r="B1739" s="99" t="s">
        <v>1391</v>
      </c>
      <c r="C1739" s="100">
        <v>45978</v>
      </c>
      <c r="D1739" s="99" t="s">
        <v>42</v>
      </c>
      <c r="E1739" s="99" t="s">
        <v>43</v>
      </c>
      <c r="F1739" s="99" t="s">
        <v>16</v>
      </c>
      <c r="G1739" s="99">
        <v>32</v>
      </c>
      <c r="H1739" s="112">
        <v>1200000</v>
      </c>
      <c r="I1739" s="112">
        <v>38400000</v>
      </c>
      <c r="J1739" s="99" t="s">
        <v>164</v>
      </c>
      <c r="K1739" s="99" t="s">
        <v>8</v>
      </c>
    </row>
    <row r="1740" spans="2:11" x14ac:dyDescent="0.3">
      <c r="B1740" s="99" t="s">
        <v>1392</v>
      </c>
      <c r="C1740" s="100">
        <v>45979</v>
      </c>
      <c r="D1740" s="99" t="s">
        <v>42</v>
      </c>
      <c r="E1740" s="99" t="s">
        <v>43</v>
      </c>
      <c r="F1740" s="99" t="s">
        <v>16</v>
      </c>
      <c r="G1740" s="99">
        <v>10</v>
      </c>
      <c r="H1740" s="112">
        <v>1200000</v>
      </c>
      <c r="I1740" s="112">
        <v>12000000</v>
      </c>
      <c r="J1740" s="99" t="s">
        <v>2587</v>
      </c>
      <c r="K1740" s="99" t="s">
        <v>8</v>
      </c>
    </row>
    <row r="1741" spans="2:11" x14ac:dyDescent="0.3">
      <c r="B1741" s="99" t="s">
        <v>1393</v>
      </c>
      <c r="C1741" s="100">
        <v>45979</v>
      </c>
      <c r="D1741" s="99" t="s">
        <v>38</v>
      </c>
      <c r="E1741" s="99" t="s">
        <v>39</v>
      </c>
      <c r="F1741" s="99" t="s">
        <v>16</v>
      </c>
      <c r="G1741" s="99">
        <v>260</v>
      </c>
      <c r="H1741" s="112">
        <v>200000</v>
      </c>
      <c r="I1741" s="112">
        <v>52000000</v>
      </c>
      <c r="J1741" s="99" t="s">
        <v>2429</v>
      </c>
      <c r="K1741" s="99" t="s">
        <v>127</v>
      </c>
    </row>
    <row r="1742" spans="2:11" x14ac:dyDescent="0.3">
      <c r="B1742" s="99" t="s">
        <v>1394</v>
      </c>
      <c r="C1742" s="100">
        <v>45979</v>
      </c>
      <c r="D1742" s="99" t="s">
        <v>31</v>
      </c>
      <c r="E1742" s="99" t="s">
        <v>32</v>
      </c>
      <c r="F1742" s="99" t="s">
        <v>20</v>
      </c>
      <c r="G1742" s="99">
        <v>28</v>
      </c>
      <c r="H1742" s="112">
        <v>180000</v>
      </c>
      <c r="I1742" s="112">
        <v>5040000</v>
      </c>
      <c r="J1742" s="99" t="s">
        <v>2339</v>
      </c>
      <c r="K1742" s="99" t="s">
        <v>69</v>
      </c>
    </row>
    <row r="1743" spans="2:11" x14ac:dyDescent="0.3">
      <c r="B1743" s="99" t="s">
        <v>1395</v>
      </c>
      <c r="C1743" s="100">
        <v>45979</v>
      </c>
      <c r="D1743" s="99" t="s">
        <v>38</v>
      </c>
      <c r="E1743" s="99" t="s">
        <v>39</v>
      </c>
      <c r="F1743" s="99" t="s">
        <v>16</v>
      </c>
      <c r="G1743" s="99">
        <v>43</v>
      </c>
      <c r="H1743" s="112">
        <v>200000</v>
      </c>
      <c r="I1743" s="112">
        <v>8600000</v>
      </c>
      <c r="J1743" s="99" t="s">
        <v>2726</v>
      </c>
      <c r="K1743" s="99" t="s">
        <v>60</v>
      </c>
    </row>
    <row r="1744" spans="2:11" x14ac:dyDescent="0.3">
      <c r="B1744" s="99" t="s">
        <v>1396</v>
      </c>
      <c r="C1744" s="100">
        <v>45979</v>
      </c>
      <c r="D1744" s="99" t="s">
        <v>38</v>
      </c>
      <c r="E1744" s="99" t="s">
        <v>39</v>
      </c>
      <c r="F1744" s="99" t="s">
        <v>16</v>
      </c>
      <c r="G1744" s="99">
        <v>340</v>
      </c>
      <c r="H1744" s="112">
        <v>200000</v>
      </c>
      <c r="I1744" s="112">
        <v>68000000</v>
      </c>
      <c r="J1744" s="99" t="s">
        <v>853</v>
      </c>
      <c r="K1744" s="99" t="s">
        <v>47</v>
      </c>
    </row>
    <row r="1745" spans="2:11" x14ac:dyDescent="0.3">
      <c r="B1745" s="99" t="s">
        <v>1397</v>
      </c>
      <c r="C1745" s="100">
        <v>45979</v>
      </c>
      <c r="D1745" s="99" t="s">
        <v>31</v>
      </c>
      <c r="E1745" s="99" t="s">
        <v>32</v>
      </c>
      <c r="F1745" s="99" t="s">
        <v>20</v>
      </c>
      <c r="G1745" s="99">
        <v>49</v>
      </c>
      <c r="H1745" s="112">
        <v>180000</v>
      </c>
      <c r="I1745" s="112">
        <v>8820000</v>
      </c>
      <c r="J1745" s="99" t="s">
        <v>2420</v>
      </c>
      <c r="K1745" s="99" t="s">
        <v>127</v>
      </c>
    </row>
    <row r="1746" spans="2:11" x14ac:dyDescent="0.3">
      <c r="B1746" s="99" t="s">
        <v>1425</v>
      </c>
      <c r="C1746" s="100">
        <v>45979</v>
      </c>
      <c r="D1746" s="99" t="s">
        <v>14</v>
      </c>
      <c r="E1746" s="99" t="s">
        <v>15</v>
      </c>
      <c r="F1746" s="99" t="s">
        <v>16</v>
      </c>
      <c r="G1746" s="99">
        <v>22</v>
      </c>
      <c r="H1746" s="112">
        <v>350000</v>
      </c>
      <c r="I1746" s="112">
        <v>7700000</v>
      </c>
      <c r="J1746" s="99" t="s">
        <v>2380</v>
      </c>
      <c r="K1746" s="99" t="s">
        <v>69</v>
      </c>
    </row>
    <row r="1747" spans="2:11" x14ac:dyDescent="0.3">
      <c r="B1747" s="99" t="s">
        <v>1426</v>
      </c>
      <c r="C1747" s="100">
        <v>45979</v>
      </c>
      <c r="D1747" s="99" t="s">
        <v>18</v>
      </c>
      <c r="E1747" s="99" t="s">
        <v>19</v>
      </c>
      <c r="F1747" s="99" t="s">
        <v>20</v>
      </c>
      <c r="G1747" s="99">
        <v>20</v>
      </c>
      <c r="H1747" s="112">
        <v>500000</v>
      </c>
      <c r="I1747" s="112">
        <v>10000000</v>
      </c>
      <c r="J1747" s="99" t="s">
        <v>2808</v>
      </c>
      <c r="K1747" s="99" t="s">
        <v>8</v>
      </c>
    </row>
    <row r="1748" spans="2:11" x14ac:dyDescent="0.3">
      <c r="B1748" s="99" t="s">
        <v>1427</v>
      </c>
      <c r="C1748" s="100">
        <v>45979</v>
      </c>
      <c r="D1748" s="99" t="s">
        <v>14</v>
      </c>
      <c r="E1748" s="99" t="s">
        <v>15</v>
      </c>
      <c r="F1748" s="99" t="s">
        <v>16</v>
      </c>
      <c r="G1748" s="99">
        <v>27</v>
      </c>
      <c r="H1748" s="112">
        <v>350000</v>
      </c>
      <c r="I1748" s="112">
        <v>9450000</v>
      </c>
      <c r="J1748" s="99" t="s">
        <v>2530</v>
      </c>
      <c r="K1748" s="99" t="s">
        <v>127</v>
      </c>
    </row>
    <row r="1749" spans="2:11" x14ac:dyDescent="0.3">
      <c r="B1749" s="99" t="s">
        <v>1428</v>
      </c>
      <c r="C1749" s="100">
        <v>45979</v>
      </c>
      <c r="D1749" s="99" t="s">
        <v>28</v>
      </c>
      <c r="E1749" s="99" t="s">
        <v>29</v>
      </c>
      <c r="F1749" s="99" t="s">
        <v>20</v>
      </c>
      <c r="G1749" s="99">
        <v>22</v>
      </c>
      <c r="H1749" s="112">
        <v>450000</v>
      </c>
      <c r="I1749" s="112">
        <v>9900000</v>
      </c>
      <c r="J1749" s="99" t="s">
        <v>2549</v>
      </c>
      <c r="K1749" s="99" t="s">
        <v>60</v>
      </c>
    </row>
    <row r="1750" spans="2:11" x14ac:dyDescent="0.3">
      <c r="B1750" s="99" t="s">
        <v>1429</v>
      </c>
      <c r="C1750" s="100">
        <v>45979</v>
      </c>
      <c r="D1750" s="99" t="s">
        <v>42</v>
      </c>
      <c r="E1750" s="99" t="s">
        <v>43</v>
      </c>
      <c r="F1750" s="99" t="s">
        <v>16</v>
      </c>
      <c r="G1750" s="99">
        <v>48</v>
      </c>
      <c r="H1750" s="112">
        <v>1200000</v>
      </c>
      <c r="I1750" s="112">
        <v>57600000</v>
      </c>
      <c r="J1750" s="99" t="s">
        <v>2382</v>
      </c>
      <c r="K1750" s="99" t="s">
        <v>47</v>
      </c>
    </row>
    <row r="1751" spans="2:11" x14ac:dyDescent="0.3">
      <c r="B1751" s="99" t="s">
        <v>1430</v>
      </c>
      <c r="C1751" s="100">
        <v>45980</v>
      </c>
      <c r="D1751" s="99" t="s">
        <v>44</v>
      </c>
      <c r="E1751" s="99" t="s">
        <v>45</v>
      </c>
      <c r="F1751" s="99" t="s">
        <v>16</v>
      </c>
      <c r="G1751" s="99">
        <v>16</v>
      </c>
      <c r="H1751" s="112">
        <v>250000</v>
      </c>
      <c r="I1751" s="112">
        <v>4000000</v>
      </c>
      <c r="J1751" s="99" t="s">
        <v>2230</v>
      </c>
      <c r="K1751" s="99" t="s">
        <v>47</v>
      </c>
    </row>
    <row r="1752" spans="2:11" x14ac:dyDescent="0.3">
      <c r="B1752" s="99" t="s">
        <v>1463</v>
      </c>
      <c r="C1752" s="100">
        <v>45980</v>
      </c>
      <c r="D1752" s="99" t="s">
        <v>40</v>
      </c>
      <c r="E1752" s="99" t="s">
        <v>41</v>
      </c>
      <c r="F1752" s="99" t="s">
        <v>16</v>
      </c>
      <c r="G1752" s="99">
        <v>11</v>
      </c>
      <c r="H1752" s="112">
        <v>950000</v>
      </c>
      <c r="I1752" s="112">
        <v>10450000</v>
      </c>
      <c r="J1752" s="99" t="s">
        <v>2623</v>
      </c>
      <c r="K1752" s="99" t="s">
        <v>127</v>
      </c>
    </row>
    <row r="1753" spans="2:11" x14ac:dyDescent="0.3">
      <c r="B1753" s="99" t="s">
        <v>1464</v>
      </c>
      <c r="C1753" s="100">
        <v>45980</v>
      </c>
      <c r="D1753" s="99" t="s">
        <v>42</v>
      </c>
      <c r="E1753" s="99" t="s">
        <v>43</v>
      </c>
      <c r="F1753" s="99" t="s">
        <v>16</v>
      </c>
      <c r="G1753" s="99">
        <v>9</v>
      </c>
      <c r="H1753" s="112">
        <v>1200000</v>
      </c>
      <c r="I1753" s="112">
        <v>10800000</v>
      </c>
      <c r="J1753" s="99" t="s">
        <v>2119</v>
      </c>
      <c r="K1753" s="99" t="s">
        <v>127</v>
      </c>
    </row>
    <row r="1754" spans="2:11" x14ac:dyDescent="0.3">
      <c r="B1754" s="99" t="s">
        <v>1465</v>
      </c>
      <c r="C1754" s="100">
        <v>45980</v>
      </c>
      <c r="D1754" s="99" t="s">
        <v>42</v>
      </c>
      <c r="E1754" s="99" t="s">
        <v>43</v>
      </c>
      <c r="F1754" s="99" t="s">
        <v>16</v>
      </c>
      <c r="G1754" s="99">
        <v>80</v>
      </c>
      <c r="H1754" s="112">
        <v>1200000</v>
      </c>
      <c r="I1754" s="112">
        <v>96000000</v>
      </c>
      <c r="J1754" s="99" t="s">
        <v>2233</v>
      </c>
      <c r="K1754" s="99" t="s">
        <v>8</v>
      </c>
    </row>
    <row r="1755" spans="2:11" x14ac:dyDescent="0.3">
      <c r="B1755" s="99" t="s">
        <v>1466</v>
      </c>
      <c r="C1755" s="100">
        <v>45980</v>
      </c>
      <c r="D1755" s="99" t="s">
        <v>10</v>
      </c>
      <c r="E1755" s="99" t="s">
        <v>11</v>
      </c>
      <c r="F1755" s="99" t="s">
        <v>12</v>
      </c>
      <c r="G1755" s="99">
        <v>10</v>
      </c>
      <c r="H1755" s="112">
        <v>120000</v>
      </c>
      <c r="I1755" s="112">
        <v>1200000</v>
      </c>
      <c r="J1755" s="99" t="s">
        <v>2440</v>
      </c>
      <c r="K1755" s="99" t="s">
        <v>127</v>
      </c>
    </row>
    <row r="1756" spans="2:11" x14ac:dyDescent="0.3">
      <c r="B1756" s="99" t="s">
        <v>1467</v>
      </c>
      <c r="C1756" s="100">
        <v>45980</v>
      </c>
      <c r="D1756" s="99" t="s">
        <v>18</v>
      </c>
      <c r="E1756" s="99" t="s">
        <v>19</v>
      </c>
      <c r="F1756" s="99" t="s">
        <v>20</v>
      </c>
      <c r="G1756" s="99">
        <v>12</v>
      </c>
      <c r="H1756" s="112">
        <v>500000</v>
      </c>
      <c r="I1756" s="112">
        <v>6000000</v>
      </c>
      <c r="J1756" s="99" t="s">
        <v>2450</v>
      </c>
      <c r="K1756" s="99" t="s">
        <v>8</v>
      </c>
    </row>
    <row r="1757" spans="2:11" x14ac:dyDescent="0.3">
      <c r="B1757" s="99" t="s">
        <v>1468</v>
      </c>
      <c r="C1757" s="100">
        <v>45980</v>
      </c>
      <c r="D1757" s="99" t="s">
        <v>38</v>
      </c>
      <c r="E1757" s="99" t="s">
        <v>39</v>
      </c>
      <c r="F1757" s="99" t="s">
        <v>16</v>
      </c>
      <c r="G1757" s="99">
        <v>7</v>
      </c>
      <c r="H1757" s="112">
        <v>200000</v>
      </c>
      <c r="I1757" s="112">
        <v>1400000</v>
      </c>
      <c r="J1757" s="99" t="s">
        <v>2733</v>
      </c>
      <c r="K1757" s="99" t="s">
        <v>127</v>
      </c>
    </row>
    <row r="1758" spans="2:11" x14ac:dyDescent="0.3">
      <c r="B1758" s="99" t="s">
        <v>1469</v>
      </c>
      <c r="C1758" s="100">
        <v>45980</v>
      </c>
      <c r="D1758" s="99" t="s">
        <v>31</v>
      </c>
      <c r="E1758" s="99" t="s">
        <v>32</v>
      </c>
      <c r="F1758" s="99" t="s">
        <v>20</v>
      </c>
      <c r="G1758" s="99">
        <v>42</v>
      </c>
      <c r="H1758" s="112">
        <v>180000</v>
      </c>
      <c r="I1758" s="112">
        <v>7560000</v>
      </c>
      <c r="J1758" s="99" t="s">
        <v>2502</v>
      </c>
      <c r="K1758" s="99" t="s">
        <v>47</v>
      </c>
    </row>
    <row r="1759" spans="2:11" x14ac:dyDescent="0.3">
      <c r="B1759" s="99" t="s">
        <v>1504</v>
      </c>
      <c r="C1759" s="100">
        <v>45980</v>
      </c>
      <c r="D1759" s="99" t="s">
        <v>44</v>
      </c>
      <c r="E1759" s="99" t="s">
        <v>45</v>
      </c>
      <c r="F1759" s="99" t="s">
        <v>16</v>
      </c>
      <c r="G1759" s="99">
        <v>35</v>
      </c>
      <c r="H1759" s="112">
        <v>250000</v>
      </c>
      <c r="I1759" s="112">
        <v>8750000</v>
      </c>
      <c r="J1759" s="99" t="s">
        <v>2703</v>
      </c>
      <c r="K1759" s="99" t="s">
        <v>127</v>
      </c>
    </row>
    <row r="1760" spans="2:11" x14ac:dyDescent="0.3">
      <c r="B1760" s="99" t="s">
        <v>1505</v>
      </c>
      <c r="C1760" s="100">
        <v>45982</v>
      </c>
      <c r="D1760" s="99" t="s">
        <v>42</v>
      </c>
      <c r="E1760" s="99" t="s">
        <v>43</v>
      </c>
      <c r="F1760" s="99" t="s">
        <v>16</v>
      </c>
      <c r="G1760" s="99">
        <v>190</v>
      </c>
      <c r="H1760" s="112">
        <v>1200000</v>
      </c>
      <c r="I1760" s="112">
        <v>228000000</v>
      </c>
      <c r="J1760" s="99" t="s">
        <v>2236</v>
      </c>
      <c r="K1760" s="99" t="s">
        <v>8</v>
      </c>
    </row>
    <row r="1761" spans="2:11" x14ac:dyDescent="0.3">
      <c r="B1761" s="99" t="s">
        <v>1506</v>
      </c>
      <c r="C1761" s="100">
        <v>45982</v>
      </c>
      <c r="D1761" s="99" t="s">
        <v>44</v>
      </c>
      <c r="E1761" s="99" t="s">
        <v>45</v>
      </c>
      <c r="F1761" s="99" t="s">
        <v>16</v>
      </c>
      <c r="G1761" s="99">
        <v>29</v>
      </c>
      <c r="H1761" s="112">
        <v>250000</v>
      </c>
      <c r="I1761" s="112">
        <v>7250000</v>
      </c>
      <c r="J1761" s="99" t="s">
        <v>2763</v>
      </c>
      <c r="K1761" s="99" t="s">
        <v>127</v>
      </c>
    </row>
    <row r="1762" spans="2:11" x14ac:dyDescent="0.3">
      <c r="B1762" s="99" t="s">
        <v>1507</v>
      </c>
      <c r="C1762" s="100">
        <v>45982</v>
      </c>
      <c r="D1762" s="99" t="s">
        <v>44</v>
      </c>
      <c r="E1762" s="99" t="s">
        <v>45</v>
      </c>
      <c r="F1762" s="99" t="s">
        <v>16</v>
      </c>
      <c r="G1762" s="99">
        <v>46</v>
      </c>
      <c r="H1762" s="112">
        <v>250000</v>
      </c>
      <c r="I1762" s="112">
        <v>11500000</v>
      </c>
      <c r="J1762" s="99" t="s">
        <v>2146</v>
      </c>
      <c r="K1762" s="99" t="s">
        <v>69</v>
      </c>
    </row>
    <row r="1763" spans="2:11" x14ac:dyDescent="0.3">
      <c r="B1763" s="99" t="s">
        <v>1508</v>
      </c>
      <c r="C1763" s="100">
        <v>45982</v>
      </c>
      <c r="D1763" s="99" t="s">
        <v>42</v>
      </c>
      <c r="E1763" s="99" t="s">
        <v>43</v>
      </c>
      <c r="F1763" s="99" t="s">
        <v>16</v>
      </c>
      <c r="G1763" s="99">
        <v>7</v>
      </c>
      <c r="H1763" s="112">
        <v>1200000</v>
      </c>
      <c r="I1763" s="112">
        <v>8400000</v>
      </c>
      <c r="J1763" s="99" t="s">
        <v>2182</v>
      </c>
      <c r="K1763" s="99" t="s">
        <v>47</v>
      </c>
    </row>
    <row r="1764" spans="2:11" x14ac:dyDescent="0.3">
      <c r="B1764" s="99" t="s">
        <v>1509</v>
      </c>
      <c r="C1764" s="100">
        <v>45982</v>
      </c>
      <c r="D1764" s="99" t="s">
        <v>22</v>
      </c>
      <c r="E1764" s="99" t="s">
        <v>23</v>
      </c>
      <c r="F1764" s="99" t="s">
        <v>12</v>
      </c>
      <c r="G1764" s="99">
        <v>14</v>
      </c>
      <c r="H1764" s="112">
        <v>25000</v>
      </c>
      <c r="I1764" s="112">
        <v>350000</v>
      </c>
      <c r="J1764" s="99" t="s">
        <v>2223</v>
      </c>
      <c r="K1764" s="99" t="s">
        <v>8</v>
      </c>
    </row>
    <row r="1765" spans="2:11" x14ac:dyDescent="0.3">
      <c r="B1765" s="99" t="s">
        <v>1510</v>
      </c>
      <c r="C1765" s="100">
        <v>45982</v>
      </c>
      <c r="D1765" s="99" t="s">
        <v>42</v>
      </c>
      <c r="E1765" s="99" t="s">
        <v>43</v>
      </c>
      <c r="F1765" s="99" t="s">
        <v>16</v>
      </c>
      <c r="G1765" s="99">
        <v>8</v>
      </c>
      <c r="H1765" s="112">
        <v>1200000</v>
      </c>
      <c r="I1765" s="112">
        <v>9600000</v>
      </c>
      <c r="J1765" s="99" t="s">
        <v>2780</v>
      </c>
      <c r="K1765" s="99" t="s">
        <v>127</v>
      </c>
    </row>
    <row r="1766" spans="2:11" x14ac:dyDescent="0.3">
      <c r="B1766" s="99" t="s">
        <v>1511</v>
      </c>
      <c r="C1766" s="100">
        <v>45982</v>
      </c>
      <c r="D1766" s="99" t="s">
        <v>40</v>
      </c>
      <c r="E1766" s="99" t="s">
        <v>41</v>
      </c>
      <c r="F1766" s="99" t="s">
        <v>16</v>
      </c>
      <c r="G1766" s="99">
        <v>100</v>
      </c>
      <c r="H1766" s="112">
        <v>950000</v>
      </c>
      <c r="I1766" s="112">
        <v>95000000</v>
      </c>
      <c r="J1766" s="99" t="s">
        <v>2779</v>
      </c>
      <c r="K1766" s="99" t="s">
        <v>8</v>
      </c>
    </row>
    <row r="1767" spans="2:11" x14ac:dyDescent="0.3">
      <c r="B1767" s="99" t="s">
        <v>1512</v>
      </c>
      <c r="C1767" s="100">
        <v>45982</v>
      </c>
      <c r="D1767" s="99" t="s">
        <v>44</v>
      </c>
      <c r="E1767" s="99" t="s">
        <v>45</v>
      </c>
      <c r="F1767" s="99" t="s">
        <v>16</v>
      </c>
      <c r="G1767" s="99">
        <v>40</v>
      </c>
      <c r="H1767" s="112">
        <v>250000</v>
      </c>
      <c r="I1767" s="112">
        <v>10000000</v>
      </c>
      <c r="J1767" s="99" t="s">
        <v>2182</v>
      </c>
      <c r="K1767" s="99" t="s">
        <v>47</v>
      </c>
    </row>
    <row r="1768" spans="2:11" x14ac:dyDescent="0.3">
      <c r="B1768" s="99" t="s">
        <v>1513</v>
      </c>
      <c r="C1768" s="100">
        <v>45982</v>
      </c>
      <c r="D1768" s="99" t="s">
        <v>38</v>
      </c>
      <c r="E1768" s="99" t="s">
        <v>39</v>
      </c>
      <c r="F1768" s="99" t="s">
        <v>16</v>
      </c>
      <c r="G1768" s="99">
        <v>49</v>
      </c>
      <c r="H1768" s="112">
        <v>200000</v>
      </c>
      <c r="I1768" s="112">
        <v>9800000</v>
      </c>
      <c r="J1768" s="99" t="s">
        <v>2580</v>
      </c>
      <c r="K1768" s="99" t="s">
        <v>60</v>
      </c>
    </row>
    <row r="1769" spans="2:11" x14ac:dyDescent="0.3">
      <c r="B1769" s="99" t="s">
        <v>1551</v>
      </c>
      <c r="C1769" s="100">
        <v>45982</v>
      </c>
      <c r="D1769" s="99" t="s">
        <v>40</v>
      </c>
      <c r="E1769" s="99" t="s">
        <v>41</v>
      </c>
      <c r="F1769" s="99" t="s">
        <v>16</v>
      </c>
      <c r="G1769" s="99">
        <v>14</v>
      </c>
      <c r="H1769" s="112">
        <v>950000</v>
      </c>
      <c r="I1769" s="112">
        <v>13300000</v>
      </c>
      <c r="J1769" s="99" t="s">
        <v>2579</v>
      </c>
      <c r="K1769" s="99" t="s">
        <v>60</v>
      </c>
    </row>
    <row r="1770" spans="2:11" x14ac:dyDescent="0.3">
      <c r="B1770" s="99" t="s">
        <v>1552</v>
      </c>
      <c r="C1770" s="100">
        <v>45982</v>
      </c>
      <c r="D1770" s="99" t="s">
        <v>28</v>
      </c>
      <c r="E1770" s="99" t="s">
        <v>29</v>
      </c>
      <c r="F1770" s="99" t="s">
        <v>20</v>
      </c>
      <c r="G1770" s="99">
        <v>4</v>
      </c>
      <c r="H1770" s="112">
        <v>450000</v>
      </c>
      <c r="I1770" s="112">
        <v>1800000</v>
      </c>
      <c r="J1770" s="99" t="s">
        <v>2276</v>
      </c>
      <c r="K1770" s="99" t="s">
        <v>8</v>
      </c>
    </row>
    <row r="1771" spans="2:11" x14ac:dyDescent="0.3">
      <c r="B1771" s="99" t="s">
        <v>1553</v>
      </c>
      <c r="C1771" s="100">
        <v>45982</v>
      </c>
      <c r="D1771" s="99" t="s">
        <v>38</v>
      </c>
      <c r="E1771" s="99" t="s">
        <v>39</v>
      </c>
      <c r="F1771" s="99" t="s">
        <v>16</v>
      </c>
      <c r="G1771" s="99">
        <v>10</v>
      </c>
      <c r="H1771" s="112">
        <v>200000</v>
      </c>
      <c r="I1771" s="112">
        <v>2000000</v>
      </c>
      <c r="J1771" s="99" t="s">
        <v>2387</v>
      </c>
      <c r="K1771" s="99" t="s">
        <v>8</v>
      </c>
    </row>
    <row r="1772" spans="2:11" x14ac:dyDescent="0.3">
      <c r="B1772" s="99" t="s">
        <v>1582</v>
      </c>
      <c r="C1772" s="100">
        <v>45982</v>
      </c>
      <c r="D1772" s="99" t="s">
        <v>18</v>
      </c>
      <c r="E1772" s="99" t="s">
        <v>19</v>
      </c>
      <c r="F1772" s="99" t="s">
        <v>20</v>
      </c>
      <c r="G1772" s="99">
        <v>17</v>
      </c>
      <c r="H1772" s="112">
        <v>500000</v>
      </c>
      <c r="I1772" s="112">
        <v>8500000</v>
      </c>
      <c r="J1772" s="99" t="s">
        <v>2179</v>
      </c>
      <c r="K1772" s="99" t="s">
        <v>127</v>
      </c>
    </row>
    <row r="1773" spans="2:11" x14ac:dyDescent="0.3">
      <c r="B1773" s="99" t="s">
        <v>1583</v>
      </c>
      <c r="C1773" s="100">
        <v>45982</v>
      </c>
      <c r="D1773" s="99" t="s">
        <v>14</v>
      </c>
      <c r="E1773" s="99" t="s">
        <v>15</v>
      </c>
      <c r="F1773" s="99" t="s">
        <v>16</v>
      </c>
      <c r="G1773" s="99">
        <v>49</v>
      </c>
      <c r="H1773" s="112">
        <v>350000</v>
      </c>
      <c r="I1773" s="112">
        <v>17150000</v>
      </c>
      <c r="J1773" s="99" t="s">
        <v>2274</v>
      </c>
      <c r="K1773" s="99" t="s">
        <v>60</v>
      </c>
    </row>
    <row r="1774" spans="2:11" x14ac:dyDescent="0.3">
      <c r="B1774" s="99" t="s">
        <v>1602</v>
      </c>
      <c r="C1774" s="100">
        <v>45985</v>
      </c>
      <c r="D1774" s="99" t="s">
        <v>40</v>
      </c>
      <c r="E1774" s="99" t="s">
        <v>41</v>
      </c>
      <c r="F1774" s="99" t="s">
        <v>16</v>
      </c>
      <c r="G1774" s="99">
        <v>34</v>
      </c>
      <c r="H1774" s="112">
        <v>950000</v>
      </c>
      <c r="I1774" s="112">
        <v>32300000</v>
      </c>
      <c r="J1774" s="99" t="s">
        <v>2486</v>
      </c>
      <c r="K1774" s="99" t="s">
        <v>127</v>
      </c>
    </row>
    <row r="1775" spans="2:11" x14ac:dyDescent="0.3">
      <c r="B1775" s="99" t="s">
        <v>1603</v>
      </c>
      <c r="C1775" s="100">
        <v>45985</v>
      </c>
      <c r="D1775" s="99" t="s">
        <v>22</v>
      </c>
      <c r="E1775" s="99" t="s">
        <v>23</v>
      </c>
      <c r="F1775" s="99" t="s">
        <v>12</v>
      </c>
      <c r="G1775" s="99">
        <v>21</v>
      </c>
      <c r="H1775" s="112">
        <v>25000</v>
      </c>
      <c r="I1775" s="112">
        <v>525000</v>
      </c>
      <c r="J1775" s="99" t="s">
        <v>2303</v>
      </c>
      <c r="K1775" s="99" t="s">
        <v>127</v>
      </c>
    </row>
    <row r="1776" spans="2:11" x14ac:dyDescent="0.3">
      <c r="B1776" s="99" t="s">
        <v>1604</v>
      </c>
      <c r="C1776" s="100">
        <v>45985</v>
      </c>
      <c r="D1776" s="99" t="s">
        <v>14</v>
      </c>
      <c r="E1776" s="99" t="s">
        <v>15</v>
      </c>
      <c r="F1776" s="99" t="s">
        <v>16</v>
      </c>
      <c r="G1776" s="99">
        <v>8</v>
      </c>
      <c r="H1776" s="112">
        <v>350000</v>
      </c>
      <c r="I1776" s="112">
        <v>2800000</v>
      </c>
      <c r="J1776" s="99" t="s">
        <v>2584</v>
      </c>
      <c r="K1776" s="99" t="s">
        <v>60</v>
      </c>
    </row>
    <row r="1777" spans="2:11" x14ac:dyDescent="0.3">
      <c r="B1777" s="99" t="s">
        <v>1605</v>
      </c>
      <c r="C1777" s="100">
        <v>45985</v>
      </c>
      <c r="D1777" s="99" t="s">
        <v>18</v>
      </c>
      <c r="E1777" s="99" t="s">
        <v>19</v>
      </c>
      <c r="F1777" s="99" t="s">
        <v>20</v>
      </c>
      <c r="G1777" s="99">
        <v>47</v>
      </c>
      <c r="H1777" s="112">
        <v>500000</v>
      </c>
      <c r="I1777" s="112">
        <v>23500000</v>
      </c>
      <c r="J1777" s="99" t="s">
        <v>2326</v>
      </c>
      <c r="K1777" s="99" t="s">
        <v>69</v>
      </c>
    </row>
    <row r="1778" spans="2:11" x14ac:dyDescent="0.3">
      <c r="B1778" s="99" t="s">
        <v>1606</v>
      </c>
      <c r="C1778" s="100">
        <v>45985</v>
      </c>
      <c r="D1778" s="99" t="s">
        <v>44</v>
      </c>
      <c r="E1778" s="99" t="s">
        <v>45</v>
      </c>
      <c r="F1778" s="99" t="s">
        <v>16</v>
      </c>
      <c r="G1778" s="99">
        <v>30</v>
      </c>
      <c r="H1778" s="112">
        <v>250000</v>
      </c>
      <c r="I1778" s="112">
        <v>7500000</v>
      </c>
      <c r="J1778" s="99" t="s">
        <v>2477</v>
      </c>
      <c r="K1778" s="99" t="s">
        <v>47</v>
      </c>
    </row>
    <row r="1779" spans="2:11" x14ac:dyDescent="0.3">
      <c r="B1779" s="99" t="s">
        <v>1607</v>
      </c>
      <c r="C1779" s="100">
        <v>45985</v>
      </c>
      <c r="D1779" s="99" t="s">
        <v>31</v>
      </c>
      <c r="E1779" s="99" t="s">
        <v>32</v>
      </c>
      <c r="F1779" s="99" t="s">
        <v>20</v>
      </c>
      <c r="G1779" s="99">
        <v>48</v>
      </c>
      <c r="H1779" s="112">
        <v>180000</v>
      </c>
      <c r="I1779" s="112">
        <v>8640000</v>
      </c>
      <c r="J1779" s="99" t="s">
        <v>2820</v>
      </c>
      <c r="K1779" s="99" t="s">
        <v>127</v>
      </c>
    </row>
    <row r="1780" spans="2:11" x14ac:dyDescent="0.3">
      <c r="B1780" s="99" t="s">
        <v>1631</v>
      </c>
      <c r="C1780" s="100">
        <v>45985</v>
      </c>
      <c r="D1780" s="99" t="s">
        <v>10</v>
      </c>
      <c r="E1780" s="99" t="s">
        <v>11</v>
      </c>
      <c r="F1780" s="99" t="s">
        <v>12</v>
      </c>
      <c r="G1780" s="99">
        <v>16</v>
      </c>
      <c r="H1780" s="112">
        <v>120000</v>
      </c>
      <c r="I1780" s="112">
        <v>1920000</v>
      </c>
      <c r="J1780" s="99" t="s">
        <v>2519</v>
      </c>
      <c r="K1780" s="99" t="s">
        <v>127</v>
      </c>
    </row>
    <row r="1781" spans="2:11" x14ac:dyDescent="0.3">
      <c r="B1781" s="99" t="s">
        <v>1632</v>
      </c>
      <c r="C1781" s="100">
        <v>45985</v>
      </c>
      <c r="D1781" s="99" t="s">
        <v>31</v>
      </c>
      <c r="E1781" s="99" t="s">
        <v>32</v>
      </c>
      <c r="F1781" s="99" t="s">
        <v>20</v>
      </c>
      <c r="G1781" s="99">
        <v>10</v>
      </c>
      <c r="H1781" s="112">
        <v>180000</v>
      </c>
      <c r="I1781" s="112">
        <v>1800000</v>
      </c>
      <c r="J1781" s="99" t="s">
        <v>2561</v>
      </c>
      <c r="K1781" s="99" t="s">
        <v>8</v>
      </c>
    </row>
    <row r="1782" spans="2:11" x14ac:dyDescent="0.3">
      <c r="B1782" s="99" t="s">
        <v>1633</v>
      </c>
      <c r="C1782" s="100">
        <v>45985</v>
      </c>
      <c r="D1782" s="99" t="s">
        <v>42</v>
      </c>
      <c r="E1782" s="99" t="s">
        <v>43</v>
      </c>
      <c r="F1782" s="99" t="s">
        <v>16</v>
      </c>
      <c r="G1782" s="99">
        <v>20</v>
      </c>
      <c r="H1782" s="112">
        <v>1200000</v>
      </c>
      <c r="I1782" s="112">
        <v>24000000</v>
      </c>
      <c r="J1782" s="99" t="s">
        <v>1358</v>
      </c>
      <c r="K1782" s="99" t="s">
        <v>47</v>
      </c>
    </row>
    <row r="1783" spans="2:11" x14ac:dyDescent="0.3">
      <c r="B1783" s="99" t="s">
        <v>1634</v>
      </c>
      <c r="C1783" s="100">
        <v>45986</v>
      </c>
      <c r="D1783" s="99" t="s">
        <v>18</v>
      </c>
      <c r="E1783" s="99" t="s">
        <v>19</v>
      </c>
      <c r="F1783" s="99" t="s">
        <v>20</v>
      </c>
      <c r="G1783" s="99">
        <v>380</v>
      </c>
      <c r="H1783" s="112">
        <v>500000</v>
      </c>
      <c r="I1783" s="112">
        <v>190000000</v>
      </c>
      <c r="J1783" s="99" t="s">
        <v>1789</v>
      </c>
      <c r="K1783" s="99" t="s">
        <v>8</v>
      </c>
    </row>
    <row r="1784" spans="2:11" x14ac:dyDescent="0.3">
      <c r="B1784" s="99" t="s">
        <v>1635</v>
      </c>
      <c r="C1784" s="100">
        <v>45986</v>
      </c>
      <c r="D1784" s="99" t="s">
        <v>28</v>
      </c>
      <c r="E1784" s="99" t="s">
        <v>29</v>
      </c>
      <c r="F1784" s="99" t="s">
        <v>20</v>
      </c>
      <c r="G1784" s="99">
        <v>38</v>
      </c>
      <c r="H1784" s="112">
        <v>450000</v>
      </c>
      <c r="I1784" s="112">
        <v>17100000</v>
      </c>
      <c r="J1784" s="99" t="s">
        <v>2754</v>
      </c>
      <c r="K1784" s="99" t="s">
        <v>127</v>
      </c>
    </row>
    <row r="1785" spans="2:11" x14ac:dyDescent="0.3">
      <c r="B1785" s="99" t="s">
        <v>1636</v>
      </c>
      <c r="C1785" s="100">
        <v>45986</v>
      </c>
      <c r="D1785" s="99" t="s">
        <v>28</v>
      </c>
      <c r="E1785" s="99" t="s">
        <v>29</v>
      </c>
      <c r="F1785" s="99" t="s">
        <v>20</v>
      </c>
      <c r="G1785" s="99">
        <v>380</v>
      </c>
      <c r="H1785" s="112">
        <v>450000</v>
      </c>
      <c r="I1785" s="112">
        <v>171000000</v>
      </c>
      <c r="J1785" s="99" t="s">
        <v>2488</v>
      </c>
      <c r="K1785" s="99" t="s">
        <v>8</v>
      </c>
    </row>
    <row r="1786" spans="2:11" x14ac:dyDescent="0.3">
      <c r="B1786" s="99" t="s">
        <v>1637</v>
      </c>
      <c r="C1786" s="100">
        <v>45986</v>
      </c>
      <c r="D1786" s="99" t="s">
        <v>14</v>
      </c>
      <c r="E1786" s="99" t="s">
        <v>15</v>
      </c>
      <c r="F1786" s="99" t="s">
        <v>16</v>
      </c>
      <c r="G1786" s="99">
        <v>46</v>
      </c>
      <c r="H1786" s="112">
        <v>350000</v>
      </c>
      <c r="I1786" s="112">
        <v>16100000</v>
      </c>
      <c r="J1786" s="99" t="s">
        <v>2519</v>
      </c>
      <c r="K1786" s="99" t="s">
        <v>127</v>
      </c>
    </row>
    <row r="1787" spans="2:11" x14ac:dyDescent="0.3">
      <c r="B1787" s="99" t="s">
        <v>1638</v>
      </c>
      <c r="C1787" s="100">
        <v>45986</v>
      </c>
      <c r="D1787" s="99" t="s">
        <v>40</v>
      </c>
      <c r="E1787" s="99" t="s">
        <v>41</v>
      </c>
      <c r="F1787" s="99" t="s">
        <v>16</v>
      </c>
      <c r="G1787" s="99">
        <v>5</v>
      </c>
      <c r="H1787" s="112">
        <v>950000</v>
      </c>
      <c r="I1787" s="112">
        <v>4750000</v>
      </c>
      <c r="J1787" s="99" t="s">
        <v>2676</v>
      </c>
      <c r="K1787" s="99" t="s">
        <v>69</v>
      </c>
    </row>
    <row r="1788" spans="2:11" x14ac:dyDescent="0.3">
      <c r="B1788" s="99" t="s">
        <v>1639</v>
      </c>
      <c r="C1788" s="100">
        <v>45986</v>
      </c>
      <c r="D1788" s="99" t="s">
        <v>44</v>
      </c>
      <c r="E1788" s="99" t="s">
        <v>45</v>
      </c>
      <c r="F1788" s="99" t="s">
        <v>16</v>
      </c>
      <c r="G1788" s="99">
        <v>22</v>
      </c>
      <c r="H1788" s="112">
        <v>250000</v>
      </c>
      <c r="I1788" s="112">
        <v>5500000</v>
      </c>
      <c r="J1788" s="99" t="s">
        <v>2805</v>
      </c>
      <c r="K1788" s="99" t="s">
        <v>8</v>
      </c>
    </row>
    <row r="1789" spans="2:11" x14ac:dyDescent="0.3">
      <c r="B1789" s="99" t="s">
        <v>1678</v>
      </c>
      <c r="C1789" s="100">
        <v>45986</v>
      </c>
      <c r="D1789" s="99" t="s">
        <v>44</v>
      </c>
      <c r="E1789" s="99" t="s">
        <v>45</v>
      </c>
      <c r="F1789" s="99" t="s">
        <v>16</v>
      </c>
      <c r="G1789" s="99">
        <v>21</v>
      </c>
      <c r="H1789" s="112">
        <v>250000</v>
      </c>
      <c r="I1789" s="112">
        <v>5250000</v>
      </c>
      <c r="J1789" s="99" t="s">
        <v>2416</v>
      </c>
      <c r="K1789" s="99" t="s">
        <v>69</v>
      </c>
    </row>
    <row r="1790" spans="2:11" x14ac:dyDescent="0.3">
      <c r="B1790" s="99" t="s">
        <v>1679</v>
      </c>
      <c r="C1790" s="100">
        <v>45986</v>
      </c>
      <c r="D1790" s="99" t="s">
        <v>22</v>
      </c>
      <c r="E1790" s="99" t="s">
        <v>23</v>
      </c>
      <c r="F1790" s="99" t="s">
        <v>12</v>
      </c>
      <c r="G1790" s="99">
        <v>37</v>
      </c>
      <c r="H1790" s="112">
        <v>25000</v>
      </c>
      <c r="I1790" s="112">
        <v>925000</v>
      </c>
      <c r="J1790" s="99" t="s">
        <v>2273</v>
      </c>
      <c r="K1790" s="99" t="s">
        <v>60</v>
      </c>
    </row>
    <row r="1791" spans="2:11" x14ac:dyDescent="0.3">
      <c r="B1791" s="99" t="s">
        <v>1680</v>
      </c>
      <c r="C1791" s="100">
        <v>45986</v>
      </c>
      <c r="D1791" s="99" t="s">
        <v>14</v>
      </c>
      <c r="E1791" s="99" t="s">
        <v>15</v>
      </c>
      <c r="F1791" s="99" t="s">
        <v>16</v>
      </c>
      <c r="G1791" s="99">
        <v>5</v>
      </c>
      <c r="H1791" s="112">
        <v>350000</v>
      </c>
      <c r="I1791" s="112">
        <v>1750000</v>
      </c>
      <c r="J1791" s="99" t="s">
        <v>274</v>
      </c>
      <c r="K1791" s="99" t="s">
        <v>8</v>
      </c>
    </row>
    <row r="1792" spans="2:11" x14ac:dyDescent="0.3">
      <c r="B1792" s="99" t="s">
        <v>1681</v>
      </c>
      <c r="C1792" s="100">
        <v>45987</v>
      </c>
      <c r="D1792" s="99" t="s">
        <v>31</v>
      </c>
      <c r="E1792" s="99" t="s">
        <v>32</v>
      </c>
      <c r="F1792" s="99" t="s">
        <v>20</v>
      </c>
      <c r="G1792" s="99">
        <v>49</v>
      </c>
      <c r="H1792" s="112">
        <v>180000</v>
      </c>
      <c r="I1792" s="112">
        <v>8820000</v>
      </c>
      <c r="J1792" s="99" t="s">
        <v>2595</v>
      </c>
      <c r="K1792" s="99" t="s">
        <v>127</v>
      </c>
    </row>
    <row r="1793" spans="2:11" x14ac:dyDescent="0.3">
      <c r="B1793" s="99" t="s">
        <v>1682</v>
      </c>
      <c r="C1793" s="100">
        <v>45987</v>
      </c>
      <c r="D1793" s="99" t="s">
        <v>22</v>
      </c>
      <c r="E1793" s="99" t="s">
        <v>23</v>
      </c>
      <c r="F1793" s="99" t="s">
        <v>12</v>
      </c>
      <c r="G1793" s="99">
        <v>25</v>
      </c>
      <c r="H1793" s="112">
        <v>25000</v>
      </c>
      <c r="I1793" s="112">
        <v>625000</v>
      </c>
      <c r="J1793" s="99" t="s">
        <v>2691</v>
      </c>
      <c r="K1793" s="99" t="s">
        <v>69</v>
      </c>
    </row>
    <row r="1794" spans="2:11" x14ac:dyDescent="0.3">
      <c r="B1794" s="99" t="s">
        <v>1710</v>
      </c>
      <c r="C1794" s="100">
        <v>45987</v>
      </c>
      <c r="D1794" s="99" t="s">
        <v>22</v>
      </c>
      <c r="E1794" s="99" t="s">
        <v>23</v>
      </c>
      <c r="F1794" s="99" t="s">
        <v>12</v>
      </c>
      <c r="G1794" s="99">
        <v>33</v>
      </c>
      <c r="H1794" s="112">
        <v>25000</v>
      </c>
      <c r="I1794" s="112">
        <v>825000</v>
      </c>
      <c r="J1794" s="99" t="s">
        <v>2679</v>
      </c>
      <c r="K1794" s="99" t="s">
        <v>69</v>
      </c>
    </row>
    <row r="1795" spans="2:11" x14ac:dyDescent="0.3">
      <c r="B1795" s="99" t="s">
        <v>1711</v>
      </c>
      <c r="C1795" s="100">
        <v>45987</v>
      </c>
      <c r="D1795" s="99" t="s">
        <v>10</v>
      </c>
      <c r="E1795" s="99" t="s">
        <v>11</v>
      </c>
      <c r="F1795" s="99" t="s">
        <v>12</v>
      </c>
      <c r="G1795" s="99">
        <v>370</v>
      </c>
      <c r="H1795" s="112">
        <v>120000</v>
      </c>
      <c r="I1795" s="112">
        <v>44400000</v>
      </c>
      <c r="J1795" s="99" t="s">
        <v>2233</v>
      </c>
      <c r="K1795" s="99" t="s">
        <v>8</v>
      </c>
    </row>
    <row r="1796" spans="2:11" x14ac:dyDescent="0.3">
      <c r="B1796" s="99" t="s">
        <v>1712</v>
      </c>
      <c r="C1796" s="100">
        <v>45987</v>
      </c>
      <c r="D1796" s="99" t="s">
        <v>42</v>
      </c>
      <c r="E1796" s="99" t="s">
        <v>43</v>
      </c>
      <c r="F1796" s="99" t="s">
        <v>16</v>
      </c>
      <c r="G1796" s="99">
        <v>100</v>
      </c>
      <c r="H1796" s="112">
        <v>1200000</v>
      </c>
      <c r="I1796" s="112">
        <v>120000000</v>
      </c>
      <c r="J1796" s="99" t="s">
        <v>2779</v>
      </c>
      <c r="K1796" s="99" t="s">
        <v>8</v>
      </c>
    </row>
    <row r="1797" spans="2:11" x14ac:dyDescent="0.3">
      <c r="B1797" s="99" t="s">
        <v>1713</v>
      </c>
      <c r="C1797" s="100">
        <v>45987</v>
      </c>
      <c r="D1797" s="99" t="s">
        <v>38</v>
      </c>
      <c r="E1797" s="99" t="s">
        <v>39</v>
      </c>
      <c r="F1797" s="99" t="s">
        <v>16</v>
      </c>
      <c r="G1797" s="99">
        <v>46</v>
      </c>
      <c r="H1797" s="112">
        <v>200000</v>
      </c>
      <c r="I1797" s="112">
        <v>9200000</v>
      </c>
      <c r="J1797" s="99" t="s">
        <v>2480</v>
      </c>
      <c r="K1797" s="99" t="s">
        <v>127</v>
      </c>
    </row>
    <row r="1798" spans="2:11" x14ac:dyDescent="0.3">
      <c r="B1798" s="99" t="s">
        <v>1714</v>
      </c>
      <c r="C1798" s="100">
        <v>45987</v>
      </c>
      <c r="D1798" s="99" t="s">
        <v>31</v>
      </c>
      <c r="E1798" s="99" t="s">
        <v>32</v>
      </c>
      <c r="F1798" s="99" t="s">
        <v>20</v>
      </c>
      <c r="G1798" s="99">
        <v>50</v>
      </c>
      <c r="H1798" s="112">
        <v>180000</v>
      </c>
      <c r="I1798" s="112">
        <v>9000000</v>
      </c>
      <c r="J1798" s="99" t="s">
        <v>2150</v>
      </c>
      <c r="K1798" s="99" t="s">
        <v>127</v>
      </c>
    </row>
    <row r="1799" spans="2:11" x14ac:dyDescent="0.3">
      <c r="B1799" s="99" t="s">
        <v>1715</v>
      </c>
      <c r="C1799" s="100">
        <v>45987</v>
      </c>
      <c r="D1799" s="99" t="s">
        <v>28</v>
      </c>
      <c r="E1799" s="99" t="s">
        <v>29</v>
      </c>
      <c r="F1799" s="99" t="s">
        <v>20</v>
      </c>
      <c r="G1799" s="99">
        <v>27</v>
      </c>
      <c r="H1799" s="112">
        <v>450000</v>
      </c>
      <c r="I1799" s="112">
        <v>12150000</v>
      </c>
      <c r="J1799" s="99" t="s">
        <v>2125</v>
      </c>
      <c r="K1799" s="99" t="s">
        <v>47</v>
      </c>
    </row>
    <row r="1800" spans="2:11" x14ac:dyDescent="0.3">
      <c r="B1800" s="99" t="s">
        <v>1748</v>
      </c>
      <c r="C1800" s="100">
        <v>45987</v>
      </c>
      <c r="D1800" s="99" t="s">
        <v>28</v>
      </c>
      <c r="E1800" s="99" t="s">
        <v>29</v>
      </c>
      <c r="F1800" s="99" t="s">
        <v>20</v>
      </c>
      <c r="G1800" s="99">
        <v>26</v>
      </c>
      <c r="H1800" s="112">
        <v>450000</v>
      </c>
      <c r="I1800" s="112">
        <v>11700000</v>
      </c>
      <c r="J1800" s="99" t="s">
        <v>2543</v>
      </c>
      <c r="K1800" s="99" t="s">
        <v>8</v>
      </c>
    </row>
    <row r="1801" spans="2:11" x14ac:dyDescent="0.3">
      <c r="B1801" s="99" t="s">
        <v>1749</v>
      </c>
      <c r="C1801" s="100">
        <v>45987</v>
      </c>
      <c r="D1801" s="99" t="s">
        <v>14</v>
      </c>
      <c r="E1801" s="99" t="s">
        <v>15</v>
      </c>
      <c r="F1801" s="99" t="s">
        <v>16</v>
      </c>
      <c r="G1801" s="99">
        <v>20</v>
      </c>
      <c r="H1801" s="112">
        <v>350000</v>
      </c>
      <c r="I1801" s="112">
        <v>7000000</v>
      </c>
      <c r="J1801" s="99" t="s">
        <v>2370</v>
      </c>
      <c r="K1801" s="99" t="s">
        <v>60</v>
      </c>
    </row>
    <row r="1802" spans="2:11" x14ac:dyDescent="0.3">
      <c r="B1802" s="99" t="s">
        <v>1750</v>
      </c>
      <c r="C1802" s="100">
        <v>45987</v>
      </c>
      <c r="D1802" s="99" t="s">
        <v>40</v>
      </c>
      <c r="E1802" s="99" t="s">
        <v>41</v>
      </c>
      <c r="F1802" s="99" t="s">
        <v>16</v>
      </c>
      <c r="G1802" s="99">
        <v>380</v>
      </c>
      <c r="H1802" s="112">
        <v>950000</v>
      </c>
      <c r="I1802" s="112">
        <v>361000000</v>
      </c>
      <c r="J1802" s="99" t="s">
        <v>2236</v>
      </c>
      <c r="K1802" s="99" t="s">
        <v>8</v>
      </c>
    </row>
    <row r="1803" spans="2:11" x14ac:dyDescent="0.3">
      <c r="B1803" s="99" t="s">
        <v>1751</v>
      </c>
      <c r="C1803" s="100">
        <v>45987</v>
      </c>
      <c r="D1803" s="99" t="s">
        <v>10</v>
      </c>
      <c r="E1803" s="99" t="s">
        <v>11</v>
      </c>
      <c r="F1803" s="99" t="s">
        <v>12</v>
      </c>
      <c r="G1803" s="99">
        <v>26</v>
      </c>
      <c r="H1803" s="112">
        <v>120000</v>
      </c>
      <c r="I1803" s="112">
        <v>3120000</v>
      </c>
      <c r="J1803" s="99" t="s">
        <v>2334</v>
      </c>
      <c r="K1803" s="99" t="s">
        <v>127</v>
      </c>
    </row>
    <row r="1804" spans="2:11" x14ac:dyDescent="0.3">
      <c r="B1804" s="99" t="s">
        <v>1752</v>
      </c>
      <c r="C1804" s="100">
        <v>45987</v>
      </c>
      <c r="D1804" s="99" t="s">
        <v>44</v>
      </c>
      <c r="E1804" s="99" t="s">
        <v>45</v>
      </c>
      <c r="F1804" s="99" t="s">
        <v>16</v>
      </c>
      <c r="G1804" s="99">
        <v>15</v>
      </c>
      <c r="H1804" s="112">
        <v>250000</v>
      </c>
      <c r="I1804" s="112">
        <v>3750000</v>
      </c>
      <c r="J1804" s="99" t="s">
        <v>2725</v>
      </c>
      <c r="K1804" s="99" t="s">
        <v>8</v>
      </c>
    </row>
    <row r="1805" spans="2:11" x14ac:dyDescent="0.3">
      <c r="B1805" s="99" t="s">
        <v>1753</v>
      </c>
      <c r="C1805" s="100">
        <v>45987</v>
      </c>
      <c r="D1805" s="99" t="s">
        <v>28</v>
      </c>
      <c r="E1805" s="99" t="s">
        <v>29</v>
      </c>
      <c r="F1805" s="99" t="s">
        <v>20</v>
      </c>
      <c r="G1805" s="99">
        <v>17</v>
      </c>
      <c r="H1805" s="112">
        <v>450000</v>
      </c>
      <c r="I1805" s="112">
        <v>7650000</v>
      </c>
      <c r="J1805" s="99" t="s">
        <v>2122</v>
      </c>
      <c r="K1805" s="99" t="s">
        <v>47</v>
      </c>
    </row>
    <row r="1806" spans="2:11" x14ac:dyDescent="0.3">
      <c r="B1806" s="99" t="s">
        <v>1754</v>
      </c>
      <c r="C1806" s="100">
        <v>45988</v>
      </c>
      <c r="D1806" s="99" t="s">
        <v>38</v>
      </c>
      <c r="E1806" s="99" t="s">
        <v>39</v>
      </c>
      <c r="F1806" s="99" t="s">
        <v>16</v>
      </c>
      <c r="G1806" s="99">
        <v>23</v>
      </c>
      <c r="H1806" s="112">
        <v>200000</v>
      </c>
      <c r="I1806" s="112">
        <v>4600000</v>
      </c>
      <c r="J1806" s="99" t="s">
        <v>2584</v>
      </c>
      <c r="K1806" s="99" t="s">
        <v>60</v>
      </c>
    </row>
    <row r="1807" spans="2:11" x14ac:dyDescent="0.3">
      <c r="B1807" s="99" t="s">
        <v>1755</v>
      </c>
      <c r="C1807" s="100">
        <v>45988</v>
      </c>
      <c r="D1807" s="99" t="s">
        <v>22</v>
      </c>
      <c r="E1807" s="99" t="s">
        <v>23</v>
      </c>
      <c r="F1807" s="99" t="s">
        <v>12</v>
      </c>
      <c r="G1807" s="99">
        <v>33</v>
      </c>
      <c r="H1807" s="112">
        <v>25000</v>
      </c>
      <c r="I1807" s="112">
        <v>825000</v>
      </c>
      <c r="J1807" s="99" t="s">
        <v>2818</v>
      </c>
      <c r="K1807" s="99" t="s">
        <v>127</v>
      </c>
    </row>
    <row r="1808" spans="2:11" x14ac:dyDescent="0.3">
      <c r="B1808" s="99" t="s">
        <v>1787</v>
      </c>
      <c r="C1808" s="100">
        <v>45988</v>
      </c>
      <c r="D1808" s="99" t="s">
        <v>44</v>
      </c>
      <c r="E1808" s="99" t="s">
        <v>45</v>
      </c>
      <c r="F1808" s="99" t="s">
        <v>16</v>
      </c>
      <c r="G1808" s="99">
        <v>44</v>
      </c>
      <c r="H1808" s="112">
        <v>250000</v>
      </c>
      <c r="I1808" s="112">
        <v>11000000</v>
      </c>
      <c r="J1808" s="99" t="s">
        <v>2727</v>
      </c>
      <c r="K1808" s="99" t="s">
        <v>69</v>
      </c>
    </row>
    <row r="1809" spans="2:11" x14ac:dyDescent="0.3">
      <c r="B1809" s="99" t="s">
        <v>1788</v>
      </c>
      <c r="C1809" s="100">
        <v>45988</v>
      </c>
      <c r="D1809" s="99" t="s">
        <v>10</v>
      </c>
      <c r="E1809" s="99" t="s">
        <v>11</v>
      </c>
      <c r="F1809" s="99" t="s">
        <v>12</v>
      </c>
      <c r="G1809" s="99">
        <v>13</v>
      </c>
      <c r="H1809" s="112">
        <v>120000</v>
      </c>
      <c r="I1809" s="112">
        <v>1560000</v>
      </c>
      <c r="J1809" s="99" t="s">
        <v>2061</v>
      </c>
      <c r="K1809" s="99" t="s">
        <v>127</v>
      </c>
    </row>
    <row r="1810" spans="2:11" x14ac:dyDescent="0.3">
      <c r="B1810" s="99" t="s">
        <v>1819</v>
      </c>
      <c r="C1810" s="100">
        <v>45988</v>
      </c>
      <c r="D1810" s="99" t="s">
        <v>42</v>
      </c>
      <c r="E1810" s="99" t="s">
        <v>43</v>
      </c>
      <c r="F1810" s="99" t="s">
        <v>16</v>
      </c>
      <c r="G1810" s="99">
        <v>470</v>
      </c>
      <c r="H1810" s="112">
        <v>1200000</v>
      </c>
      <c r="I1810" s="112">
        <v>564000000</v>
      </c>
      <c r="J1810" s="99" t="s">
        <v>2624</v>
      </c>
      <c r="K1810" s="99" t="s">
        <v>60</v>
      </c>
    </row>
    <row r="1811" spans="2:11" x14ac:dyDescent="0.3">
      <c r="B1811" s="99" t="s">
        <v>1820</v>
      </c>
      <c r="C1811" s="100">
        <v>45988</v>
      </c>
      <c r="D1811" s="99" t="s">
        <v>28</v>
      </c>
      <c r="E1811" s="99" t="s">
        <v>29</v>
      </c>
      <c r="F1811" s="99" t="s">
        <v>20</v>
      </c>
      <c r="G1811" s="99">
        <v>40</v>
      </c>
      <c r="H1811" s="112">
        <v>450000</v>
      </c>
      <c r="I1811" s="112">
        <v>18000000</v>
      </c>
      <c r="J1811" s="99" t="s">
        <v>2165</v>
      </c>
      <c r="K1811" s="99" t="s">
        <v>127</v>
      </c>
    </row>
    <row r="1812" spans="2:11" x14ac:dyDescent="0.3">
      <c r="B1812" s="99" t="s">
        <v>1821</v>
      </c>
      <c r="C1812" s="100">
        <v>45988</v>
      </c>
      <c r="D1812" s="99" t="s">
        <v>10</v>
      </c>
      <c r="E1812" s="99" t="s">
        <v>11</v>
      </c>
      <c r="F1812" s="99" t="s">
        <v>12</v>
      </c>
      <c r="G1812" s="99">
        <v>8</v>
      </c>
      <c r="H1812" s="112">
        <v>120000</v>
      </c>
      <c r="I1812" s="112">
        <v>960000</v>
      </c>
      <c r="J1812" s="99" t="s">
        <v>2139</v>
      </c>
      <c r="K1812" s="99" t="s">
        <v>8</v>
      </c>
    </row>
    <row r="1813" spans="2:11" x14ac:dyDescent="0.3">
      <c r="B1813" s="99" t="s">
        <v>1822</v>
      </c>
      <c r="C1813" s="100">
        <v>45988</v>
      </c>
      <c r="D1813" s="99" t="s">
        <v>10</v>
      </c>
      <c r="E1813" s="99" t="s">
        <v>11</v>
      </c>
      <c r="F1813" s="99" t="s">
        <v>12</v>
      </c>
      <c r="G1813" s="99">
        <v>20</v>
      </c>
      <c r="H1813" s="112">
        <v>120000</v>
      </c>
      <c r="I1813" s="112">
        <v>2400000</v>
      </c>
      <c r="J1813" s="99" t="s">
        <v>2306</v>
      </c>
      <c r="K1813" s="99" t="s">
        <v>47</v>
      </c>
    </row>
    <row r="1814" spans="2:11" x14ac:dyDescent="0.3">
      <c r="B1814" s="99" t="s">
        <v>1823</v>
      </c>
      <c r="C1814" s="100">
        <v>45988</v>
      </c>
      <c r="D1814" s="99" t="s">
        <v>31</v>
      </c>
      <c r="E1814" s="99" t="s">
        <v>32</v>
      </c>
      <c r="F1814" s="99" t="s">
        <v>20</v>
      </c>
      <c r="G1814" s="99">
        <v>28</v>
      </c>
      <c r="H1814" s="112">
        <v>180000</v>
      </c>
      <c r="I1814" s="112">
        <v>5040000</v>
      </c>
      <c r="J1814" s="99" t="s">
        <v>642</v>
      </c>
      <c r="K1814" s="99" t="s">
        <v>8</v>
      </c>
    </row>
    <row r="1815" spans="2:11" x14ac:dyDescent="0.3">
      <c r="B1815" s="99" t="s">
        <v>1824</v>
      </c>
      <c r="C1815" s="100">
        <v>45988</v>
      </c>
      <c r="D1815" s="99" t="s">
        <v>22</v>
      </c>
      <c r="E1815" s="99" t="s">
        <v>23</v>
      </c>
      <c r="F1815" s="99" t="s">
        <v>12</v>
      </c>
      <c r="G1815" s="99">
        <v>5</v>
      </c>
      <c r="H1815" s="112">
        <v>25000</v>
      </c>
      <c r="I1815" s="112">
        <v>125000</v>
      </c>
      <c r="J1815" s="99" t="s">
        <v>2310</v>
      </c>
      <c r="K1815" s="99" t="s">
        <v>8</v>
      </c>
    </row>
    <row r="1816" spans="2:11" x14ac:dyDescent="0.3">
      <c r="B1816" s="99" t="s">
        <v>1825</v>
      </c>
      <c r="C1816" s="100">
        <v>45992</v>
      </c>
      <c r="D1816" s="99" t="s">
        <v>40</v>
      </c>
      <c r="E1816" s="99" t="s">
        <v>41</v>
      </c>
      <c r="F1816" s="99" t="s">
        <v>16</v>
      </c>
      <c r="G1816" s="99">
        <v>80</v>
      </c>
      <c r="H1816" s="112">
        <v>950000</v>
      </c>
      <c r="I1816" s="112">
        <v>76000000</v>
      </c>
      <c r="J1816" s="99" t="s">
        <v>2824</v>
      </c>
      <c r="K1816" s="99" t="s">
        <v>127</v>
      </c>
    </row>
    <row r="1817" spans="2:11" x14ac:dyDescent="0.3">
      <c r="B1817" s="99" t="s">
        <v>1848</v>
      </c>
      <c r="C1817" s="100">
        <v>45992</v>
      </c>
      <c r="D1817" s="99" t="s">
        <v>22</v>
      </c>
      <c r="E1817" s="99" t="s">
        <v>23</v>
      </c>
      <c r="F1817" s="99" t="s">
        <v>12</v>
      </c>
      <c r="G1817" s="99">
        <v>37</v>
      </c>
      <c r="H1817" s="112">
        <v>25000</v>
      </c>
      <c r="I1817" s="112">
        <v>925000</v>
      </c>
      <c r="J1817" s="99" t="s">
        <v>2673</v>
      </c>
      <c r="K1817" s="99" t="s">
        <v>8</v>
      </c>
    </row>
    <row r="1818" spans="2:11" x14ac:dyDescent="0.3">
      <c r="B1818" s="99" t="s">
        <v>1849</v>
      </c>
      <c r="C1818" s="100">
        <v>45992</v>
      </c>
      <c r="D1818" s="99" t="s">
        <v>44</v>
      </c>
      <c r="E1818" s="99" t="s">
        <v>45</v>
      </c>
      <c r="F1818" s="99" t="s">
        <v>16</v>
      </c>
      <c r="G1818" s="99">
        <v>46</v>
      </c>
      <c r="H1818" s="112">
        <v>250000</v>
      </c>
      <c r="I1818" s="112">
        <v>11500000</v>
      </c>
      <c r="J1818" s="99" t="s">
        <v>2808</v>
      </c>
      <c r="K1818" s="99" t="s">
        <v>8</v>
      </c>
    </row>
    <row r="1819" spans="2:11" x14ac:dyDescent="0.3">
      <c r="B1819" s="99" t="s">
        <v>1850</v>
      </c>
      <c r="C1819" s="100">
        <v>45992</v>
      </c>
      <c r="D1819" s="99" t="s">
        <v>42</v>
      </c>
      <c r="E1819" s="99" t="s">
        <v>43</v>
      </c>
      <c r="F1819" s="99" t="s">
        <v>16</v>
      </c>
      <c r="G1819" s="99">
        <v>190</v>
      </c>
      <c r="H1819" s="112">
        <v>1200000</v>
      </c>
      <c r="I1819" s="112">
        <v>228000000</v>
      </c>
      <c r="J1819" s="99" t="s">
        <v>2169</v>
      </c>
      <c r="K1819" s="99" t="s">
        <v>127</v>
      </c>
    </row>
    <row r="1820" spans="2:11" x14ac:dyDescent="0.3">
      <c r="B1820" s="99" t="s">
        <v>1851</v>
      </c>
      <c r="C1820" s="100">
        <v>45992</v>
      </c>
      <c r="D1820" s="99" t="s">
        <v>38</v>
      </c>
      <c r="E1820" s="99" t="s">
        <v>39</v>
      </c>
      <c r="F1820" s="99" t="s">
        <v>16</v>
      </c>
      <c r="G1820" s="99">
        <v>17</v>
      </c>
      <c r="H1820" s="112">
        <v>200000</v>
      </c>
      <c r="I1820" s="112">
        <v>3400000</v>
      </c>
      <c r="J1820" s="99" t="s">
        <v>2576</v>
      </c>
      <c r="K1820" s="99" t="s">
        <v>69</v>
      </c>
    </row>
    <row r="1821" spans="2:11" x14ac:dyDescent="0.3">
      <c r="B1821" s="99" t="s">
        <v>1852</v>
      </c>
      <c r="C1821" s="100">
        <v>45992</v>
      </c>
      <c r="D1821" s="99" t="s">
        <v>44</v>
      </c>
      <c r="E1821" s="99" t="s">
        <v>45</v>
      </c>
      <c r="F1821" s="99" t="s">
        <v>16</v>
      </c>
      <c r="G1821" s="99">
        <v>34</v>
      </c>
      <c r="H1821" s="112">
        <v>250000</v>
      </c>
      <c r="I1821" s="112">
        <v>8500000</v>
      </c>
      <c r="J1821" s="99" t="s">
        <v>2663</v>
      </c>
      <c r="K1821" s="99" t="s">
        <v>8</v>
      </c>
    </row>
    <row r="1822" spans="2:11" x14ac:dyDescent="0.3">
      <c r="B1822" s="99" t="s">
        <v>1853</v>
      </c>
      <c r="C1822" s="100">
        <v>45992</v>
      </c>
      <c r="D1822" s="99" t="s">
        <v>31</v>
      </c>
      <c r="E1822" s="99" t="s">
        <v>32</v>
      </c>
      <c r="F1822" s="99" t="s">
        <v>20</v>
      </c>
      <c r="G1822" s="99">
        <v>22</v>
      </c>
      <c r="H1822" s="112">
        <v>180000</v>
      </c>
      <c r="I1822" s="112">
        <v>3960000</v>
      </c>
      <c r="J1822" s="99" t="s">
        <v>2738</v>
      </c>
      <c r="K1822" s="99" t="s">
        <v>8</v>
      </c>
    </row>
    <row r="1823" spans="2:11" x14ac:dyDescent="0.3">
      <c r="B1823" s="99" t="s">
        <v>1854</v>
      </c>
      <c r="C1823" s="100">
        <v>45992</v>
      </c>
      <c r="D1823" s="99" t="s">
        <v>10</v>
      </c>
      <c r="E1823" s="99" t="s">
        <v>11</v>
      </c>
      <c r="F1823" s="99" t="s">
        <v>12</v>
      </c>
      <c r="G1823" s="99">
        <v>11</v>
      </c>
      <c r="H1823" s="112">
        <v>120000</v>
      </c>
      <c r="I1823" s="112">
        <v>1320000</v>
      </c>
      <c r="J1823" s="99" t="s">
        <v>2181</v>
      </c>
      <c r="K1823" s="99" t="s">
        <v>69</v>
      </c>
    </row>
    <row r="1824" spans="2:11" x14ac:dyDescent="0.3">
      <c r="B1824" s="99" t="s">
        <v>1881</v>
      </c>
      <c r="C1824" s="100">
        <v>45992</v>
      </c>
      <c r="D1824" s="99" t="s">
        <v>22</v>
      </c>
      <c r="E1824" s="99" t="s">
        <v>23</v>
      </c>
      <c r="F1824" s="99" t="s">
        <v>12</v>
      </c>
      <c r="G1824" s="99">
        <v>24</v>
      </c>
      <c r="H1824" s="112">
        <v>25000</v>
      </c>
      <c r="I1824" s="112">
        <v>600000</v>
      </c>
      <c r="J1824" s="99" t="s">
        <v>2631</v>
      </c>
      <c r="K1824" s="99" t="s">
        <v>127</v>
      </c>
    </row>
    <row r="1825" spans="2:11" x14ac:dyDescent="0.3">
      <c r="B1825" s="99" t="s">
        <v>1882</v>
      </c>
      <c r="C1825" s="100">
        <v>45992</v>
      </c>
      <c r="D1825" s="99" t="s">
        <v>14</v>
      </c>
      <c r="E1825" s="99" t="s">
        <v>15</v>
      </c>
      <c r="F1825" s="99" t="s">
        <v>16</v>
      </c>
      <c r="G1825" s="99">
        <v>30</v>
      </c>
      <c r="H1825" s="112">
        <v>350000</v>
      </c>
      <c r="I1825" s="112">
        <v>10500000</v>
      </c>
      <c r="J1825" s="99" t="s">
        <v>2849</v>
      </c>
      <c r="K1825" s="99" t="s">
        <v>47</v>
      </c>
    </row>
    <row r="1826" spans="2:11" x14ac:dyDescent="0.3">
      <c r="B1826" s="99" t="s">
        <v>1883</v>
      </c>
      <c r="C1826" s="100">
        <v>45992</v>
      </c>
      <c r="D1826" s="99" t="s">
        <v>38</v>
      </c>
      <c r="E1826" s="99" t="s">
        <v>39</v>
      </c>
      <c r="F1826" s="99" t="s">
        <v>16</v>
      </c>
      <c r="G1826" s="99">
        <v>12</v>
      </c>
      <c r="H1826" s="112">
        <v>200000</v>
      </c>
      <c r="I1826" s="112">
        <v>2400000</v>
      </c>
      <c r="J1826" s="99" t="s">
        <v>2326</v>
      </c>
      <c r="K1826" s="99" t="s">
        <v>69</v>
      </c>
    </row>
    <row r="1827" spans="2:11" x14ac:dyDescent="0.3">
      <c r="B1827" s="99" t="s">
        <v>1884</v>
      </c>
      <c r="C1827" s="100">
        <v>45992</v>
      </c>
      <c r="D1827" s="99" t="s">
        <v>31</v>
      </c>
      <c r="E1827" s="99" t="s">
        <v>32</v>
      </c>
      <c r="F1827" s="99" t="s">
        <v>20</v>
      </c>
      <c r="G1827" s="99">
        <v>100</v>
      </c>
      <c r="H1827" s="112">
        <v>180000</v>
      </c>
      <c r="I1827" s="112">
        <v>18000000</v>
      </c>
      <c r="J1827" s="99" t="s">
        <v>2779</v>
      </c>
      <c r="K1827" s="99" t="s">
        <v>8</v>
      </c>
    </row>
    <row r="1828" spans="2:11" x14ac:dyDescent="0.3">
      <c r="B1828" s="99" t="s">
        <v>1897</v>
      </c>
      <c r="C1828" s="100">
        <v>45992</v>
      </c>
      <c r="D1828" s="99" t="s">
        <v>38</v>
      </c>
      <c r="E1828" s="99" t="s">
        <v>39</v>
      </c>
      <c r="F1828" s="99" t="s">
        <v>16</v>
      </c>
      <c r="G1828" s="99">
        <v>31</v>
      </c>
      <c r="H1828" s="112">
        <v>200000</v>
      </c>
      <c r="I1828" s="112">
        <v>6200000</v>
      </c>
      <c r="J1828" s="99" t="s">
        <v>2414</v>
      </c>
      <c r="K1828" s="99" t="s">
        <v>8</v>
      </c>
    </row>
    <row r="1829" spans="2:11" x14ac:dyDescent="0.3">
      <c r="B1829" s="99" t="s">
        <v>1898</v>
      </c>
      <c r="C1829" s="100">
        <v>45992</v>
      </c>
      <c r="D1829" s="99" t="s">
        <v>22</v>
      </c>
      <c r="E1829" s="99" t="s">
        <v>23</v>
      </c>
      <c r="F1829" s="99" t="s">
        <v>12</v>
      </c>
      <c r="G1829" s="99">
        <v>250</v>
      </c>
      <c r="H1829" s="112">
        <v>25000</v>
      </c>
      <c r="I1829" s="112">
        <v>6250000</v>
      </c>
      <c r="J1829" s="99" t="s">
        <v>2740</v>
      </c>
      <c r="K1829" s="99" t="s">
        <v>127</v>
      </c>
    </row>
    <row r="1830" spans="2:11" x14ac:dyDescent="0.3">
      <c r="B1830" s="99" t="s">
        <v>1912</v>
      </c>
      <c r="C1830" s="100">
        <v>45994</v>
      </c>
      <c r="D1830" s="99" t="s">
        <v>31</v>
      </c>
      <c r="E1830" s="99" t="s">
        <v>32</v>
      </c>
      <c r="F1830" s="99" t="s">
        <v>20</v>
      </c>
      <c r="G1830" s="99">
        <v>35</v>
      </c>
      <c r="H1830" s="112">
        <v>180000</v>
      </c>
      <c r="I1830" s="112">
        <v>6300000</v>
      </c>
      <c r="J1830" s="99" t="s">
        <v>2487</v>
      </c>
      <c r="K1830" s="99" t="s">
        <v>47</v>
      </c>
    </row>
    <row r="1831" spans="2:11" x14ac:dyDescent="0.3">
      <c r="B1831" s="99" t="s">
        <v>1923</v>
      </c>
      <c r="C1831" s="100">
        <v>45994</v>
      </c>
      <c r="D1831" s="99" t="s">
        <v>28</v>
      </c>
      <c r="E1831" s="99" t="s">
        <v>29</v>
      </c>
      <c r="F1831" s="99" t="s">
        <v>20</v>
      </c>
      <c r="G1831" s="99">
        <v>44</v>
      </c>
      <c r="H1831" s="112">
        <v>450000</v>
      </c>
      <c r="I1831" s="112">
        <v>19800000</v>
      </c>
      <c r="J1831" s="99" t="s">
        <v>2219</v>
      </c>
      <c r="K1831" s="99" t="s">
        <v>60</v>
      </c>
    </row>
    <row r="1832" spans="2:11" x14ac:dyDescent="0.3">
      <c r="B1832" s="99" t="s">
        <v>1924</v>
      </c>
      <c r="C1832" s="100">
        <v>45994</v>
      </c>
      <c r="D1832" s="99" t="s">
        <v>18</v>
      </c>
      <c r="E1832" s="99" t="s">
        <v>19</v>
      </c>
      <c r="F1832" s="99" t="s">
        <v>20</v>
      </c>
      <c r="G1832" s="99">
        <v>13</v>
      </c>
      <c r="H1832" s="112">
        <v>500000</v>
      </c>
      <c r="I1832" s="112">
        <v>6500000</v>
      </c>
      <c r="J1832" s="99" t="s">
        <v>2774</v>
      </c>
      <c r="K1832" s="99" t="s">
        <v>8</v>
      </c>
    </row>
    <row r="1833" spans="2:11" x14ac:dyDescent="0.3">
      <c r="B1833" s="99" t="s">
        <v>1925</v>
      </c>
      <c r="C1833" s="100">
        <v>45994</v>
      </c>
      <c r="D1833" s="99" t="s">
        <v>14</v>
      </c>
      <c r="E1833" s="99" t="s">
        <v>15</v>
      </c>
      <c r="F1833" s="99" t="s">
        <v>16</v>
      </c>
      <c r="G1833" s="99">
        <v>16</v>
      </c>
      <c r="H1833" s="112">
        <v>350000</v>
      </c>
      <c r="I1833" s="112">
        <v>5600000</v>
      </c>
      <c r="J1833" s="99" t="s">
        <v>2746</v>
      </c>
      <c r="K1833" s="99" t="s">
        <v>127</v>
      </c>
    </row>
    <row r="1834" spans="2:11" x14ac:dyDescent="0.3">
      <c r="B1834" s="99" t="s">
        <v>1936</v>
      </c>
      <c r="C1834" s="100">
        <v>45994</v>
      </c>
      <c r="D1834" s="99" t="s">
        <v>10</v>
      </c>
      <c r="E1834" s="99" t="s">
        <v>11</v>
      </c>
      <c r="F1834" s="99" t="s">
        <v>12</v>
      </c>
      <c r="G1834" s="99">
        <v>37</v>
      </c>
      <c r="H1834" s="112">
        <v>120000</v>
      </c>
      <c r="I1834" s="112">
        <v>4440000</v>
      </c>
      <c r="J1834" s="99" t="s">
        <v>2272</v>
      </c>
      <c r="K1834" s="99" t="s">
        <v>8</v>
      </c>
    </row>
    <row r="1835" spans="2:11" x14ac:dyDescent="0.3">
      <c r="B1835" s="99" t="s">
        <v>1937</v>
      </c>
      <c r="C1835" s="100">
        <v>45994</v>
      </c>
      <c r="D1835" s="99" t="s">
        <v>28</v>
      </c>
      <c r="E1835" s="99" t="s">
        <v>29</v>
      </c>
      <c r="F1835" s="99" t="s">
        <v>20</v>
      </c>
      <c r="G1835" s="99">
        <v>35</v>
      </c>
      <c r="H1835" s="112">
        <v>450000</v>
      </c>
      <c r="I1835" s="112">
        <v>15750000</v>
      </c>
      <c r="J1835" s="99" t="s">
        <v>2328</v>
      </c>
      <c r="K1835" s="99" t="s">
        <v>8</v>
      </c>
    </row>
    <row r="1836" spans="2:11" x14ac:dyDescent="0.3">
      <c r="B1836" s="99" t="s">
        <v>1938</v>
      </c>
      <c r="C1836" s="100">
        <v>45994</v>
      </c>
      <c r="D1836" s="99" t="s">
        <v>28</v>
      </c>
      <c r="E1836" s="99" t="s">
        <v>29</v>
      </c>
      <c r="F1836" s="99" t="s">
        <v>20</v>
      </c>
      <c r="G1836" s="99">
        <v>450</v>
      </c>
      <c r="H1836" s="112">
        <v>450000</v>
      </c>
      <c r="I1836" s="112">
        <v>202500000</v>
      </c>
      <c r="J1836" s="99" t="s">
        <v>2739</v>
      </c>
      <c r="K1836" s="99" t="s">
        <v>8</v>
      </c>
    </row>
    <row r="1837" spans="2:11" x14ac:dyDescent="0.3">
      <c r="B1837" s="99" t="s">
        <v>1947</v>
      </c>
      <c r="C1837" s="100">
        <v>45994</v>
      </c>
      <c r="D1837" s="99" t="s">
        <v>44</v>
      </c>
      <c r="E1837" s="99" t="s">
        <v>45</v>
      </c>
      <c r="F1837" s="99" t="s">
        <v>16</v>
      </c>
      <c r="G1837" s="99">
        <v>19</v>
      </c>
      <c r="H1837" s="112">
        <v>250000</v>
      </c>
      <c r="I1837" s="112">
        <v>4750000</v>
      </c>
      <c r="J1837" s="99" t="s">
        <v>2287</v>
      </c>
      <c r="K1837" s="99" t="s">
        <v>127</v>
      </c>
    </row>
    <row r="1838" spans="2:11" x14ac:dyDescent="0.3">
      <c r="B1838" s="99" t="s">
        <v>1948</v>
      </c>
      <c r="C1838" s="100">
        <v>45994</v>
      </c>
      <c r="D1838" s="99" t="s">
        <v>22</v>
      </c>
      <c r="E1838" s="99" t="s">
        <v>23</v>
      </c>
      <c r="F1838" s="99" t="s">
        <v>12</v>
      </c>
      <c r="G1838" s="99">
        <v>8</v>
      </c>
      <c r="H1838" s="112">
        <v>25000</v>
      </c>
      <c r="I1838" s="112">
        <v>200000</v>
      </c>
      <c r="J1838" s="99" t="s">
        <v>2719</v>
      </c>
      <c r="K1838" s="99" t="s">
        <v>69</v>
      </c>
    </row>
    <row r="1839" spans="2:11" x14ac:dyDescent="0.3">
      <c r="B1839" s="99" t="s">
        <v>1949</v>
      </c>
      <c r="C1839" s="100">
        <v>45994</v>
      </c>
      <c r="D1839" s="99" t="s">
        <v>40</v>
      </c>
      <c r="E1839" s="99" t="s">
        <v>41</v>
      </c>
      <c r="F1839" s="99" t="s">
        <v>16</v>
      </c>
      <c r="G1839" s="99">
        <v>13</v>
      </c>
      <c r="H1839" s="112">
        <v>950000</v>
      </c>
      <c r="I1839" s="112">
        <v>12350000</v>
      </c>
      <c r="J1839" s="99" t="s">
        <v>2632</v>
      </c>
      <c r="K1839" s="99" t="s">
        <v>60</v>
      </c>
    </row>
    <row r="1840" spans="2:11" x14ac:dyDescent="0.3">
      <c r="B1840" s="99" t="s">
        <v>1950</v>
      </c>
      <c r="C1840" s="100">
        <v>45994</v>
      </c>
      <c r="D1840" s="99" t="s">
        <v>18</v>
      </c>
      <c r="E1840" s="99" t="s">
        <v>19</v>
      </c>
      <c r="F1840" s="99" t="s">
        <v>20</v>
      </c>
      <c r="G1840" s="99">
        <v>19</v>
      </c>
      <c r="H1840" s="112">
        <v>500000</v>
      </c>
      <c r="I1840" s="112">
        <v>9500000</v>
      </c>
      <c r="J1840" s="99" t="s">
        <v>2568</v>
      </c>
      <c r="K1840" s="99" t="s">
        <v>8</v>
      </c>
    </row>
    <row r="1841" spans="2:11" x14ac:dyDescent="0.3">
      <c r="B1841" s="99" t="s">
        <v>1958</v>
      </c>
      <c r="C1841" s="100">
        <v>45994</v>
      </c>
      <c r="D1841" s="99" t="s">
        <v>31</v>
      </c>
      <c r="E1841" s="99" t="s">
        <v>32</v>
      </c>
      <c r="F1841" s="99" t="s">
        <v>20</v>
      </c>
      <c r="G1841" s="99">
        <v>49</v>
      </c>
      <c r="H1841" s="112">
        <v>180000</v>
      </c>
      <c r="I1841" s="112">
        <v>8820000</v>
      </c>
      <c r="J1841" s="99" t="s">
        <v>2370</v>
      </c>
      <c r="K1841" s="99" t="s">
        <v>60</v>
      </c>
    </row>
    <row r="1842" spans="2:11" x14ac:dyDescent="0.3">
      <c r="B1842" s="99" t="s">
        <v>1966</v>
      </c>
      <c r="C1842" s="100">
        <v>45994</v>
      </c>
      <c r="D1842" s="99" t="s">
        <v>28</v>
      </c>
      <c r="E1842" s="99" t="s">
        <v>29</v>
      </c>
      <c r="F1842" s="99" t="s">
        <v>20</v>
      </c>
      <c r="G1842" s="99">
        <v>10</v>
      </c>
      <c r="H1842" s="112">
        <v>450000</v>
      </c>
      <c r="I1842" s="112">
        <v>4500000</v>
      </c>
      <c r="J1842" s="99" t="s">
        <v>1584</v>
      </c>
      <c r="K1842" s="99" t="s">
        <v>127</v>
      </c>
    </row>
    <row r="1843" spans="2:11" x14ac:dyDescent="0.3">
      <c r="B1843" s="99" t="s">
        <v>1967</v>
      </c>
      <c r="C1843" s="100">
        <v>45994</v>
      </c>
      <c r="D1843" s="99" t="s">
        <v>10</v>
      </c>
      <c r="E1843" s="99" t="s">
        <v>11</v>
      </c>
      <c r="F1843" s="99" t="s">
        <v>12</v>
      </c>
      <c r="G1843" s="99">
        <v>47</v>
      </c>
      <c r="H1843" s="112">
        <v>120000</v>
      </c>
      <c r="I1843" s="112">
        <v>5640000</v>
      </c>
      <c r="J1843" s="99" t="s">
        <v>2844</v>
      </c>
      <c r="K1843" s="99" t="s">
        <v>47</v>
      </c>
    </row>
    <row r="1844" spans="2:11" x14ac:dyDescent="0.3">
      <c r="B1844" s="99" t="s">
        <v>1968</v>
      </c>
      <c r="C1844" s="100">
        <v>45994</v>
      </c>
      <c r="D1844" s="99" t="s">
        <v>31</v>
      </c>
      <c r="E1844" s="99" t="s">
        <v>32</v>
      </c>
      <c r="F1844" s="99" t="s">
        <v>20</v>
      </c>
      <c r="G1844" s="99">
        <v>39</v>
      </c>
      <c r="H1844" s="112">
        <v>180000</v>
      </c>
      <c r="I1844" s="112">
        <v>7020000</v>
      </c>
      <c r="J1844" s="99" t="s">
        <v>2815</v>
      </c>
      <c r="K1844" s="99" t="s">
        <v>127</v>
      </c>
    </row>
    <row r="1845" spans="2:11" x14ac:dyDescent="0.3">
      <c r="B1845" s="99" t="s">
        <v>1969</v>
      </c>
      <c r="C1845" s="100">
        <v>45994</v>
      </c>
      <c r="D1845" s="99" t="s">
        <v>44</v>
      </c>
      <c r="E1845" s="99" t="s">
        <v>45</v>
      </c>
      <c r="F1845" s="99" t="s">
        <v>16</v>
      </c>
      <c r="G1845" s="99">
        <v>19</v>
      </c>
      <c r="H1845" s="112">
        <v>250000</v>
      </c>
      <c r="I1845" s="112">
        <v>4750000</v>
      </c>
      <c r="J1845" s="99" t="s">
        <v>2478</v>
      </c>
      <c r="K1845" s="99" t="s">
        <v>69</v>
      </c>
    </row>
    <row r="1846" spans="2:11" x14ac:dyDescent="0.3">
      <c r="B1846" s="99" t="s">
        <v>1976</v>
      </c>
      <c r="C1846" s="100">
        <v>45995</v>
      </c>
      <c r="D1846" s="99" t="s">
        <v>31</v>
      </c>
      <c r="E1846" s="99" t="s">
        <v>32</v>
      </c>
      <c r="F1846" s="99" t="s">
        <v>20</v>
      </c>
      <c r="G1846" s="99">
        <v>39</v>
      </c>
      <c r="H1846" s="112">
        <v>180000</v>
      </c>
      <c r="I1846" s="112">
        <v>7020000</v>
      </c>
      <c r="J1846" s="99" t="s">
        <v>2528</v>
      </c>
      <c r="K1846" s="99" t="s">
        <v>8</v>
      </c>
    </row>
    <row r="1847" spans="2:11" x14ac:dyDescent="0.3">
      <c r="B1847" s="99" t="s">
        <v>1985</v>
      </c>
      <c r="C1847" s="100">
        <v>45995</v>
      </c>
      <c r="D1847" s="99" t="s">
        <v>28</v>
      </c>
      <c r="E1847" s="99" t="s">
        <v>29</v>
      </c>
      <c r="F1847" s="99" t="s">
        <v>20</v>
      </c>
      <c r="G1847" s="99">
        <v>18</v>
      </c>
      <c r="H1847" s="112">
        <v>450000</v>
      </c>
      <c r="I1847" s="112">
        <v>8100000</v>
      </c>
      <c r="J1847" s="99" t="s">
        <v>2538</v>
      </c>
      <c r="K1847" s="99" t="s">
        <v>127</v>
      </c>
    </row>
    <row r="1848" spans="2:11" x14ac:dyDescent="0.3">
      <c r="B1848" s="99" t="s">
        <v>2002</v>
      </c>
      <c r="C1848" s="100">
        <v>45995</v>
      </c>
      <c r="D1848" s="99" t="s">
        <v>40</v>
      </c>
      <c r="E1848" s="99" t="s">
        <v>41</v>
      </c>
      <c r="F1848" s="99" t="s">
        <v>16</v>
      </c>
      <c r="G1848" s="99">
        <v>21</v>
      </c>
      <c r="H1848" s="112">
        <v>950000</v>
      </c>
      <c r="I1848" s="112">
        <v>19950000</v>
      </c>
      <c r="J1848" s="99" t="s">
        <v>2825</v>
      </c>
      <c r="K1848" s="99" t="s">
        <v>127</v>
      </c>
    </row>
    <row r="1849" spans="2:11" x14ac:dyDescent="0.3">
      <c r="B1849" s="99" t="s">
        <v>2009</v>
      </c>
      <c r="C1849" s="100">
        <v>45995</v>
      </c>
      <c r="D1849" s="99" t="s">
        <v>44</v>
      </c>
      <c r="E1849" s="99" t="s">
        <v>45</v>
      </c>
      <c r="F1849" s="99" t="s">
        <v>16</v>
      </c>
      <c r="G1849" s="99">
        <v>25</v>
      </c>
      <c r="H1849" s="112">
        <v>250000</v>
      </c>
      <c r="I1849" s="112">
        <v>6250000</v>
      </c>
      <c r="J1849" s="99" t="s">
        <v>2744</v>
      </c>
      <c r="K1849" s="99" t="s">
        <v>127</v>
      </c>
    </row>
    <row r="1850" spans="2:11" x14ac:dyDescent="0.3">
      <c r="B1850" s="99" t="s">
        <v>2010</v>
      </c>
      <c r="C1850" s="100">
        <v>45995</v>
      </c>
      <c r="D1850" s="99" t="s">
        <v>44</v>
      </c>
      <c r="E1850" s="99" t="s">
        <v>45</v>
      </c>
      <c r="F1850" s="99" t="s">
        <v>16</v>
      </c>
      <c r="G1850" s="99">
        <v>22</v>
      </c>
      <c r="H1850" s="112">
        <v>250000</v>
      </c>
      <c r="I1850" s="112">
        <v>5500000</v>
      </c>
      <c r="J1850" s="99" t="s">
        <v>2257</v>
      </c>
      <c r="K1850" s="99" t="s">
        <v>127</v>
      </c>
    </row>
    <row r="1851" spans="2:11" x14ac:dyDescent="0.3">
      <c r="B1851" s="99" t="s">
        <v>2011</v>
      </c>
      <c r="C1851" s="100">
        <v>45995</v>
      </c>
      <c r="D1851" s="99" t="s">
        <v>31</v>
      </c>
      <c r="E1851" s="99" t="s">
        <v>32</v>
      </c>
      <c r="F1851" s="99" t="s">
        <v>20</v>
      </c>
      <c r="G1851" s="99">
        <v>15</v>
      </c>
      <c r="H1851" s="112">
        <v>180000</v>
      </c>
      <c r="I1851" s="112">
        <v>2700000</v>
      </c>
      <c r="J1851" s="99" t="s">
        <v>2413</v>
      </c>
      <c r="K1851" s="99" t="s">
        <v>8</v>
      </c>
    </row>
    <row r="1852" spans="2:11" x14ac:dyDescent="0.3">
      <c r="B1852" s="99" t="s">
        <v>2039</v>
      </c>
      <c r="C1852" s="100">
        <v>45995</v>
      </c>
      <c r="D1852" s="99" t="s">
        <v>28</v>
      </c>
      <c r="E1852" s="99" t="s">
        <v>29</v>
      </c>
      <c r="F1852" s="99" t="s">
        <v>20</v>
      </c>
      <c r="G1852" s="99">
        <v>10</v>
      </c>
      <c r="H1852" s="112">
        <v>450000</v>
      </c>
      <c r="I1852" s="112">
        <v>4500000</v>
      </c>
      <c r="J1852" s="99" t="s">
        <v>2164</v>
      </c>
      <c r="K1852" s="99" t="s">
        <v>127</v>
      </c>
    </row>
    <row r="1853" spans="2:11" x14ac:dyDescent="0.3">
      <c r="B1853" s="99" t="s">
        <v>2060</v>
      </c>
      <c r="C1853" s="100">
        <v>45995</v>
      </c>
      <c r="D1853" s="99" t="s">
        <v>14</v>
      </c>
      <c r="E1853" s="99" t="s">
        <v>15</v>
      </c>
      <c r="F1853" s="99" t="s">
        <v>16</v>
      </c>
      <c r="G1853" s="99">
        <v>39</v>
      </c>
      <c r="H1853" s="112">
        <v>350000</v>
      </c>
      <c r="I1853" s="112">
        <v>13650000</v>
      </c>
      <c r="J1853" s="99" t="s">
        <v>2167</v>
      </c>
      <c r="K1853" s="99" t="s">
        <v>69</v>
      </c>
    </row>
    <row r="1854" spans="2:11" x14ac:dyDescent="0.3">
      <c r="B1854" s="99" t="s">
        <v>2072</v>
      </c>
      <c r="C1854" s="100">
        <v>45996</v>
      </c>
      <c r="D1854" s="99" t="s">
        <v>18</v>
      </c>
      <c r="E1854" s="99" t="s">
        <v>19</v>
      </c>
      <c r="F1854" s="99" t="s">
        <v>20</v>
      </c>
      <c r="G1854" s="99">
        <v>20</v>
      </c>
      <c r="H1854" s="112">
        <v>500000</v>
      </c>
      <c r="I1854" s="112">
        <v>10000000</v>
      </c>
      <c r="J1854" s="99" t="s">
        <v>2327</v>
      </c>
      <c r="K1854" s="99" t="s">
        <v>127</v>
      </c>
    </row>
    <row r="1855" spans="2:11" x14ac:dyDescent="0.3">
      <c r="B1855" s="99" t="s">
        <v>2086</v>
      </c>
      <c r="C1855" s="100">
        <v>45996</v>
      </c>
      <c r="D1855" s="99" t="s">
        <v>31</v>
      </c>
      <c r="E1855" s="99" t="s">
        <v>32</v>
      </c>
      <c r="F1855" s="99" t="s">
        <v>20</v>
      </c>
      <c r="G1855" s="99">
        <v>12</v>
      </c>
      <c r="H1855" s="112">
        <v>180000</v>
      </c>
      <c r="I1855" s="112">
        <v>2160000</v>
      </c>
      <c r="J1855" s="99" t="s">
        <v>2550</v>
      </c>
      <c r="K1855" s="99" t="s">
        <v>60</v>
      </c>
    </row>
    <row r="1856" spans="2:11" x14ac:dyDescent="0.3">
      <c r="B1856" s="99" t="s">
        <v>2087</v>
      </c>
      <c r="C1856" s="100">
        <v>45996</v>
      </c>
      <c r="D1856" s="99" t="s">
        <v>10</v>
      </c>
      <c r="E1856" s="99" t="s">
        <v>11</v>
      </c>
      <c r="F1856" s="99" t="s">
        <v>12</v>
      </c>
      <c r="G1856" s="99">
        <v>45</v>
      </c>
      <c r="H1856" s="112">
        <v>120000</v>
      </c>
      <c r="I1856" s="112">
        <v>5400000</v>
      </c>
      <c r="J1856" s="99" t="s">
        <v>2282</v>
      </c>
      <c r="K1856" s="99" t="s">
        <v>69</v>
      </c>
    </row>
    <row r="1857" spans="2:11" x14ac:dyDescent="0.3">
      <c r="B1857" s="99" t="s">
        <v>2094</v>
      </c>
      <c r="C1857" s="100">
        <v>45996</v>
      </c>
      <c r="D1857" s="99" t="s">
        <v>22</v>
      </c>
      <c r="E1857" s="99" t="s">
        <v>23</v>
      </c>
      <c r="F1857" s="99" t="s">
        <v>12</v>
      </c>
      <c r="G1857" s="99">
        <v>5</v>
      </c>
      <c r="H1857" s="112">
        <v>25000</v>
      </c>
      <c r="I1857" s="112">
        <v>125000</v>
      </c>
      <c r="J1857" s="99" t="s">
        <v>2719</v>
      </c>
      <c r="K1857" s="99" t="s">
        <v>69</v>
      </c>
    </row>
    <row r="1858" spans="2:11" x14ac:dyDescent="0.3">
      <c r="B1858" s="99" t="s">
        <v>2102</v>
      </c>
      <c r="C1858" s="100">
        <v>45996</v>
      </c>
      <c r="D1858" s="99" t="s">
        <v>42</v>
      </c>
      <c r="E1858" s="99" t="s">
        <v>43</v>
      </c>
      <c r="F1858" s="99" t="s">
        <v>16</v>
      </c>
      <c r="G1858" s="99">
        <v>11</v>
      </c>
      <c r="H1858" s="112">
        <v>1200000</v>
      </c>
      <c r="I1858" s="112">
        <v>13200000</v>
      </c>
      <c r="J1858" s="99" t="s">
        <v>2632</v>
      </c>
      <c r="K1858" s="99" t="s">
        <v>60</v>
      </c>
    </row>
    <row r="1859" spans="2:11" x14ac:dyDescent="0.3">
      <c r="B1859" s="99" t="s">
        <v>34</v>
      </c>
      <c r="C1859" s="100">
        <v>45996</v>
      </c>
      <c r="D1859" s="99" t="s">
        <v>44</v>
      </c>
      <c r="E1859" s="99" t="s">
        <v>45</v>
      </c>
      <c r="F1859" s="99" t="s">
        <v>16</v>
      </c>
      <c r="G1859" s="99">
        <v>19</v>
      </c>
      <c r="H1859" s="112">
        <v>250000</v>
      </c>
      <c r="I1859" s="112">
        <v>4750000</v>
      </c>
      <c r="J1859" s="99" t="s">
        <v>2053</v>
      </c>
      <c r="K1859" s="99" t="s">
        <v>8</v>
      </c>
    </row>
    <row r="1860" spans="2:11" x14ac:dyDescent="0.3">
      <c r="B1860" s="99" t="s">
        <v>35</v>
      </c>
      <c r="C1860" s="100">
        <v>45996</v>
      </c>
      <c r="D1860" s="99" t="s">
        <v>31</v>
      </c>
      <c r="E1860" s="99" t="s">
        <v>32</v>
      </c>
      <c r="F1860" s="99" t="s">
        <v>20</v>
      </c>
      <c r="G1860" s="99">
        <v>28</v>
      </c>
      <c r="H1860" s="112">
        <v>180000</v>
      </c>
      <c r="I1860" s="112">
        <v>5040000</v>
      </c>
      <c r="J1860" s="99" t="s">
        <v>2708</v>
      </c>
      <c r="K1860" s="99" t="s">
        <v>60</v>
      </c>
    </row>
    <row r="1861" spans="2:11" x14ac:dyDescent="0.3">
      <c r="B1861" s="99" t="s">
        <v>36</v>
      </c>
      <c r="C1861" s="100">
        <v>45996</v>
      </c>
      <c r="D1861" s="99" t="s">
        <v>44</v>
      </c>
      <c r="E1861" s="99" t="s">
        <v>45</v>
      </c>
      <c r="F1861" s="99" t="s">
        <v>16</v>
      </c>
      <c r="G1861" s="99">
        <v>46</v>
      </c>
      <c r="H1861" s="112">
        <v>250000</v>
      </c>
      <c r="I1861" s="112">
        <v>11500000</v>
      </c>
      <c r="J1861" s="99" t="s">
        <v>2556</v>
      </c>
      <c r="K1861" s="99" t="s">
        <v>8</v>
      </c>
    </row>
    <row r="1862" spans="2:11" x14ac:dyDescent="0.3">
      <c r="B1862" s="99" t="s">
        <v>37</v>
      </c>
      <c r="C1862" s="100">
        <v>45996</v>
      </c>
      <c r="D1862" s="99" t="s">
        <v>40</v>
      </c>
      <c r="E1862" s="99" t="s">
        <v>41</v>
      </c>
      <c r="F1862" s="99" t="s">
        <v>16</v>
      </c>
      <c r="G1862" s="99">
        <v>22</v>
      </c>
      <c r="H1862" s="112">
        <v>950000</v>
      </c>
      <c r="I1862" s="112">
        <v>20900000</v>
      </c>
      <c r="J1862" s="99" t="s">
        <v>2792</v>
      </c>
      <c r="K1862" s="99" t="s">
        <v>69</v>
      </c>
    </row>
    <row r="1863" spans="2:11" x14ac:dyDescent="0.3">
      <c r="B1863" s="99" t="s">
        <v>59</v>
      </c>
      <c r="C1863" s="100">
        <v>45996</v>
      </c>
      <c r="D1863" s="99" t="s">
        <v>44</v>
      </c>
      <c r="E1863" s="99" t="s">
        <v>45</v>
      </c>
      <c r="F1863" s="99" t="s">
        <v>16</v>
      </c>
      <c r="G1863" s="99">
        <v>37</v>
      </c>
      <c r="H1863" s="112">
        <v>250000</v>
      </c>
      <c r="I1863" s="112">
        <v>9250000</v>
      </c>
      <c r="J1863" s="99" t="s">
        <v>2685</v>
      </c>
      <c r="K1863" s="99" t="s">
        <v>69</v>
      </c>
    </row>
    <row r="1864" spans="2:11" x14ac:dyDescent="0.3">
      <c r="B1864" s="99" t="s">
        <v>67</v>
      </c>
      <c r="C1864" s="100">
        <v>45999</v>
      </c>
      <c r="D1864" s="99" t="s">
        <v>22</v>
      </c>
      <c r="E1864" s="99" t="s">
        <v>23</v>
      </c>
      <c r="F1864" s="99" t="s">
        <v>12</v>
      </c>
      <c r="G1864" s="99">
        <v>38</v>
      </c>
      <c r="H1864" s="112">
        <v>25000</v>
      </c>
      <c r="I1864" s="112">
        <v>950000</v>
      </c>
      <c r="J1864" s="99" t="s">
        <v>2243</v>
      </c>
      <c r="K1864" s="99" t="s">
        <v>8</v>
      </c>
    </row>
    <row r="1865" spans="2:11" x14ac:dyDescent="0.3">
      <c r="B1865" s="99" t="s">
        <v>77</v>
      </c>
      <c r="C1865" s="100">
        <v>45999</v>
      </c>
      <c r="D1865" s="99" t="s">
        <v>14</v>
      </c>
      <c r="E1865" s="99" t="s">
        <v>15</v>
      </c>
      <c r="F1865" s="99" t="s">
        <v>16</v>
      </c>
      <c r="G1865" s="99">
        <v>36</v>
      </c>
      <c r="H1865" s="112">
        <v>350000</v>
      </c>
      <c r="I1865" s="112">
        <v>12600000</v>
      </c>
      <c r="J1865" s="99" t="s">
        <v>2673</v>
      </c>
      <c r="K1865" s="99" t="s">
        <v>8</v>
      </c>
    </row>
    <row r="1866" spans="2:11" x14ac:dyDescent="0.3">
      <c r="B1866" s="99" t="s">
        <v>87</v>
      </c>
      <c r="C1866" s="100">
        <v>45999</v>
      </c>
      <c r="D1866" s="99" t="s">
        <v>10</v>
      </c>
      <c r="E1866" s="99" t="s">
        <v>11</v>
      </c>
      <c r="F1866" s="99" t="s">
        <v>12</v>
      </c>
      <c r="G1866" s="99">
        <v>8</v>
      </c>
      <c r="H1866" s="112">
        <v>120000</v>
      </c>
      <c r="I1866" s="112">
        <v>960000</v>
      </c>
      <c r="J1866" s="99" t="s">
        <v>2232</v>
      </c>
      <c r="K1866" s="99" t="s">
        <v>60</v>
      </c>
    </row>
    <row r="1867" spans="2:11" x14ac:dyDescent="0.3">
      <c r="B1867" s="99" t="s">
        <v>88</v>
      </c>
      <c r="C1867" s="100">
        <v>45999</v>
      </c>
      <c r="D1867" s="99" t="s">
        <v>38</v>
      </c>
      <c r="E1867" s="99" t="s">
        <v>39</v>
      </c>
      <c r="F1867" s="99" t="s">
        <v>16</v>
      </c>
      <c r="G1867" s="99">
        <v>480</v>
      </c>
      <c r="H1867" s="112">
        <v>200000</v>
      </c>
      <c r="I1867" s="112">
        <v>96000000</v>
      </c>
      <c r="J1867" s="99" t="s">
        <v>2695</v>
      </c>
      <c r="K1867" s="99" t="s">
        <v>8</v>
      </c>
    </row>
    <row r="1868" spans="2:11" x14ac:dyDescent="0.3">
      <c r="B1868" s="99" t="s">
        <v>99</v>
      </c>
      <c r="C1868" s="100">
        <v>45999</v>
      </c>
      <c r="D1868" s="99" t="s">
        <v>38</v>
      </c>
      <c r="E1868" s="99" t="s">
        <v>39</v>
      </c>
      <c r="F1868" s="99" t="s">
        <v>16</v>
      </c>
      <c r="G1868" s="99">
        <v>14</v>
      </c>
      <c r="H1868" s="112">
        <v>200000</v>
      </c>
      <c r="I1868" s="112">
        <v>2800000</v>
      </c>
      <c r="J1868" s="99" t="s">
        <v>2263</v>
      </c>
      <c r="K1868" s="99" t="s">
        <v>8</v>
      </c>
    </row>
    <row r="1869" spans="2:11" x14ac:dyDescent="0.3">
      <c r="B1869" s="99" t="s">
        <v>113</v>
      </c>
      <c r="C1869" s="100">
        <v>45999</v>
      </c>
      <c r="D1869" s="99" t="s">
        <v>22</v>
      </c>
      <c r="E1869" s="99" t="s">
        <v>23</v>
      </c>
      <c r="F1869" s="99" t="s">
        <v>12</v>
      </c>
      <c r="G1869" s="99">
        <v>46</v>
      </c>
      <c r="H1869" s="112">
        <v>25000</v>
      </c>
      <c r="I1869" s="112">
        <v>1150000</v>
      </c>
      <c r="J1869" s="99" t="s">
        <v>2754</v>
      </c>
      <c r="K1869" s="99" t="s">
        <v>127</v>
      </c>
    </row>
    <row r="1870" spans="2:11" x14ac:dyDescent="0.3">
      <c r="B1870" s="99" t="s">
        <v>114</v>
      </c>
      <c r="C1870" s="100">
        <v>45999</v>
      </c>
      <c r="D1870" s="99" t="s">
        <v>40</v>
      </c>
      <c r="E1870" s="99" t="s">
        <v>41</v>
      </c>
      <c r="F1870" s="99" t="s">
        <v>16</v>
      </c>
      <c r="G1870" s="99">
        <v>160</v>
      </c>
      <c r="H1870" s="112">
        <v>950000</v>
      </c>
      <c r="I1870" s="112">
        <v>152000000</v>
      </c>
      <c r="J1870" s="99" t="s">
        <v>2837</v>
      </c>
      <c r="K1870" s="99" t="s">
        <v>47</v>
      </c>
    </row>
    <row r="1871" spans="2:11" x14ac:dyDescent="0.3">
      <c r="B1871" s="99" t="s">
        <v>115</v>
      </c>
      <c r="C1871" s="100">
        <v>45999</v>
      </c>
      <c r="D1871" s="99" t="s">
        <v>28</v>
      </c>
      <c r="E1871" s="99" t="s">
        <v>29</v>
      </c>
      <c r="F1871" s="99" t="s">
        <v>20</v>
      </c>
      <c r="G1871" s="99">
        <v>24</v>
      </c>
      <c r="H1871" s="112">
        <v>450000</v>
      </c>
      <c r="I1871" s="112">
        <v>10800000</v>
      </c>
      <c r="J1871" s="99" t="s">
        <v>2301</v>
      </c>
      <c r="K1871" s="99" t="s">
        <v>8</v>
      </c>
    </row>
    <row r="1872" spans="2:11" x14ac:dyDescent="0.3">
      <c r="B1872" s="99" t="s">
        <v>116</v>
      </c>
      <c r="C1872" s="100">
        <v>45999</v>
      </c>
      <c r="D1872" s="99" t="s">
        <v>10</v>
      </c>
      <c r="E1872" s="99" t="s">
        <v>11</v>
      </c>
      <c r="F1872" s="99" t="s">
        <v>12</v>
      </c>
      <c r="G1872" s="99">
        <v>25</v>
      </c>
      <c r="H1872" s="112">
        <v>120000</v>
      </c>
      <c r="I1872" s="112">
        <v>3000000</v>
      </c>
      <c r="J1872" s="99" t="s">
        <v>2550</v>
      </c>
      <c r="K1872" s="99" t="s">
        <v>60</v>
      </c>
    </row>
    <row r="1873" spans="2:11" x14ac:dyDescent="0.3">
      <c r="B1873" s="99" t="s">
        <v>125</v>
      </c>
      <c r="C1873" s="100">
        <v>45999</v>
      </c>
      <c r="D1873" s="99" t="s">
        <v>38</v>
      </c>
      <c r="E1873" s="99" t="s">
        <v>39</v>
      </c>
      <c r="F1873" s="99" t="s">
        <v>16</v>
      </c>
      <c r="G1873" s="99">
        <v>120</v>
      </c>
      <c r="H1873" s="112">
        <v>200000</v>
      </c>
      <c r="I1873" s="112">
        <v>24000000</v>
      </c>
      <c r="J1873" s="99" t="s">
        <v>2567</v>
      </c>
      <c r="K1873" s="99" t="s">
        <v>8</v>
      </c>
    </row>
    <row r="1874" spans="2:11" x14ac:dyDescent="0.3">
      <c r="B1874" s="99" t="s">
        <v>143</v>
      </c>
      <c r="C1874" s="100">
        <v>46000</v>
      </c>
      <c r="D1874" s="99" t="s">
        <v>31</v>
      </c>
      <c r="E1874" s="99" t="s">
        <v>32</v>
      </c>
      <c r="F1874" s="99" t="s">
        <v>20</v>
      </c>
      <c r="G1874" s="99">
        <v>26</v>
      </c>
      <c r="H1874" s="112">
        <v>180000</v>
      </c>
      <c r="I1874" s="112">
        <v>4680000</v>
      </c>
      <c r="J1874" s="99" t="s">
        <v>2598</v>
      </c>
      <c r="K1874" s="99" t="s">
        <v>127</v>
      </c>
    </row>
    <row r="1875" spans="2:11" x14ac:dyDescent="0.3">
      <c r="B1875" s="99" t="s">
        <v>144</v>
      </c>
      <c r="C1875" s="100">
        <v>46000</v>
      </c>
      <c r="D1875" s="99" t="s">
        <v>31</v>
      </c>
      <c r="E1875" s="99" t="s">
        <v>32</v>
      </c>
      <c r="F1875" s="99" t="s">
        <v>20</v>
      </c>
      <c r="G1875" s="99">
        <v>38</v>
      </c>
      <c r="H1875" s="112">
        <v>180000</v>
      </c>
      <c r="I1875" s="112">
        <v>6840000</v>
      </c>
      <c r="J1875" s="99" t="s">
        <v>2814</v>
      </c>
      <c r="K1875" s="99" t="s">
        <v>8</v>
      </c>
    </row>
    <row r="1876" spans="2:11" x14ac:dyDescent="0.3">
      <c r="B1876" s="99" t="s">
        <v>145</v>
      </c>
      <c r="C1876" s="100">
        <v>46000</v>
      </c>
      <c r="D1876" s="99" t="s">
        <v>38</v>
      </c>
      <c r="E1876" s="99" t="s">
        <v>39</v>
      </c>
      <c r="F1876" s="99" t="s">
        <v>16</v>
      </c>
      <c r="G1876" s="99">
        <v>18</v>
      </c>
      <c r="H1876" s="112">
        <v>200000</v>
      </c>
      <c r="I1876" s="112">
        <v>3600000</v>
      </c>
      <c r="J1876" s="99" t="s">
        <v>2155</v>
      </c>
      <c r="K1876" s="99" t="s">
        <v>69</v>
      </c>
    </row>
    <row r="1877" spans="2:11" x14ac:dyDescent="0.3">
      <c r="B1877" s="99" t="s">
        <v>180</v>
      </c>
      <c r="C1877" s="100">
        <v>46000</v>
      </c>
      <c r="D1877" s="99" t="s">
        <v>18</v>
      </c>
      <c r="E1877" s="99" t="s">
        <v>19</v>
      </c>
      <c r="F1877" s="99" t="s">
        <v>20</v>
      </c>
      <c r="G1877" s="99">
        <v>37</v>
      </c>
      <c r="H1877" s="112">
        <v>500000</v>
      </c>
      <c r="I1877" s="112">
        <v>18500000</v>
      </c>
      <c r="J1877" s="99" t="s">
        <v>2263</v>
      </c>
      <c r="K1877" s="99" t="s">
        <v>8</v>
      </c>
    </row>
    <row r="1878" spans="2:11" x14ac:dyDescent="0.3">
      <c r="B1878" s="99" t="s">
        <v>181</v>
      </c>
      <c r="C1878" s="100">
        <v>46000</v>
      </c>
      <c r="D1878" s="99" t="s">
        <v>40</v>
      </c>
      <c r="E1878" s="99" t="s">
        <v>41</v>
      </c>
      <c r="F1878" s="99" t="s">
        <v>16</v>
      </c>
      <c r="G1878" s="99">
        <v>29</v>
      </c>
      <c r="H1878" s="112">
        <v>950000</v>
      </c>
      <c r="I1878" s="112">
        <v>27550000</v>
      </c>
      <c r="J1878" s="99" t="s">
        <v>2215</v>
      </c>
      <c r="K1878" s="99" t="s">
        <v>60</v>
      </c>
    </row>
    <row r="1879" spans="2:11" x14ac:dyDescent="0.3">
      <c r="B1879" s="99" t="s">
        <v>182</v>
      </c>
      <c r="C1879" s="100">
        <v>46000</v>
      </c>
      <c r="D1879" s="99" t="s">
        <v>10</v>
      </c>
      <c r="E1879" s="99" t="s">
        <v>11</v>
      </c>
      <c r="F1879" s="99" t="s">
        <v>12</v>
      </c>
      <c r="G1879" s="99">
        <v>41</v>
      </c>
      <c r="H1879" s="112">
        <v>120000</v>
      </c>
      <c r="I1879" s="112">
        <v>4920000</v>
      </c>
      <c r="J1879" s="99" t="s">
        <v>2438</v>
      </c>
      <c r="K1879" s="99" t="s">
        <v>69</v>
      </c>
    </row>
    <row r="1880" spans="2:11" x14ac:dyDescent="0.3">
      <c r="B1880" s="99" t="s">
        <v>183</v>
      </c>
      <c r="C1880" s="100">
        <v>46000</v>
      </c>
      <c r="D1880" s="99" t="s">
        <v>28</v>
      </c>
      <c r="E1880" s="99" t="s">
        <v>29</v>
      </c>
      <c r="F1880" s="99" t="s">
        <v>20</v>
      </c>
      <c r="G1880" s="99">
        <v>25</v>
      </c>
      <c r="H1880" s="112">
        <v>450000</v>
      </c>
      <c r="I1880" s="112">
        <v>11250000</v>
      </c>
      <c r="J1880" s="99" t="s">
        <v>46</v>
      </c>
      <c r="K1880" s="99" t="s">
        <v>127</v>
      </c>
    </row>
    <row r="1881" spans="2:11" x14ac:dyDescent="0.3">
      <c r="B1881" s="99" t="s">
        <v>203</v>
      </c>
      <c r="C1881" s="100">
        <v>46000</v>
      </c>
      <c r="D1881" s="99" t="s">
        <v>18</v>
      </c>
      <c r="E1881" s="99" t="s">
        <v>19</v>
      </c>
      <c r="F1881" s="99" t="s">
        <v>20</v>
      </c>
      <c r="G1881" s="99">
        <v>29</v>
      </c>
      <c r="H1881" s="112">
        <v>500000</v>
      </c>
      <c r="I1881" s="112">
        <v>14500000</v>
      </c>
      <c r="J1881" s="99" t="s">
        <v>2602</v>
      </c>
      <c r="K1881" s="99" t="s">
        <v>8</v>
      </c>
    </row>
    <row r="1882" spans="2:11" x14ac:dyDescent="0.3">
      <c r="B1882" s="99" t="s">
        <v>213</v>
      </c>
      <c r="C1882" s="100">
        <v>46000</v>
      </c>
      <c r="D1882" s="99" t="s">
        <v>10</v>
      </c>
      <c r="E1882" s="99" t="s">
        <v>11</v>
      </c>
      <c r="F1882" s="99" t="s">
        <v>12</v>
      </c>
      <c r="G1882" s="99">
        <v>13</v>
      </c>
      <c r="H1882" s="112">
        <v>120000</v>
      </c>
      <c r="I1882" s="112">
        <v>1560000</v>
      </c>
      <c r="J1882" s="99" t="s">
        <v>2159</v>
      </c>
      <c r="K1882" s="99" t="s">
        <v>127</v>
      </c>
    </row>
    <row r="1883" spans="2:11" x14ac:dyDescent="0.3">
      <c r="B1883" s="99" t="s">
        <v>214</v>
      </c>
      <c r="C1883" s="100">
        <v>46000</v>
      </c>
      <c r="D1883" s="99" t="s">
        <v>42</v>
      </c>
      <c r="E1883" s="99" t="s">
        <v>43</v>
      </c>
      <c r="F1883" s="99" t="s">
        <v>16</v>
      </c>
      <c r="G1883" s="99">
        <v>40</v>
      </c>
      <c r="H1883" s="112">
        <v>1200000</v>
      </c>
      <c r="I1883" s="112">
        <v>48000000</v>
      </c>
      <c r="J1883" s="99" t="s">
        <v>2464</v>
      </c>
      <c r="K1883" s="99" t="s">
        <v>8</v>
      </c>
    </row>
    <row r="1884" spans="2:11" x14ac:dyDescent="0.3">
      <c r="B1884" s="99" t="s">
        <v>215</v>
      </c>
      <c r="C1884" s="100">
        <v>46000</v>
      </c>
      <c r="D1884" s="99" t="s">
        <v>44</v>
      </c>
      <c r="E1884" s="99" t="s">
        <v>45</v>
      </c>
      <c r="F1884" s="99" t="s">
        <v>16</v>
      </c>
      <c r="G1884" s="99">
        <v>18</v>
      </c>
      <c r="H1884" s="112">
        <v>250000</v>
      </c>
      <c r="I1884" s="112">
        <v>4500000</v>
      </c>
      <c r="J1884" s="99" t="s">
        <v>2494</v>
      </c>
      <c r="K1884" s="99" t="s">
        <v>8</v>
      </c>
    </row>
    <row r="1885" spans="2:11" x14ac:dyDescent="0.3">
      <c r="B1885" s="99" t="s">
        <v>228</v>
      </c>
      <c r="C1885" s="100">
        <v>46003</v>
      </c>
      <c r="D1885" s="99" t="s">
        <v>42</v>
      </c>
      <c r="E1885" s="99" t="s">
        <v>43</v>
      </c>
      <c r="F1885" s="99" t="s">
        <v>16</v>
      </c>
      <c r="G1885" s="99">
        <v>44</v>
      </c>
      <c r="H1885" s="112">
        <v>1200000</v>
      </c>
      <c r="I1885" s="112">
        <v>52800000</v>
      </c>
      <c r="J1885" s="99" t="s">
        <v>2424</v>
      </c>
      <c r="K1885" s="99" t="s">
        <v>60</v>
      </c>
    </row>
    <row r="1886" spans="2:11" x14ac:dyDescent="0.3">
      <c r="B1886" s="99" t="s">
        <v>237</v>
      </c>
      <c r="C1886" s="100">
        <v>46003</v>
      </c>
      <c r="D1886" s="99" t="s">
        <v>28</v>
      </c>
      <c r="E1886" s="99" t="s">
        <v>29</v>
      </c>
      <c r="F1886" s="99" t="s">
        <v>20</v>
      </c>
      <c r="G1886" s="99">
        <v>29</v>
      </c>
      <c r="H1886" s="112">
        <v>450000</v>
      </c>
      <c r="I1886" s="112">
        <v>13050000</v>
      </c>
      <c r="J1886" s="99" t="s">
        <v>2808</v>
      </c>
      <c r="K1886" s="99" t="s">
        <v>8</v>
      </c>
    </row>
    <row r="1887" spans="2:11" x14ac:dyDescent="0.3">
      <c r="B1887" s="99" t="s">
        <v>255</v>
      </c>
      <c r="C1887" s="100">
        <v>46003</v>
      </c>
      <c r="D1887" s="99" t="s">
        <v>14</v>
      </c>
      <c r="E1887" s="99" t="s">
        <v>15</v>
      </c>
      <c r="F1887" s="99" t="s">
        <v>16</v>
      </c>
      <c r="G1887" s="99">
        <v>45</v>
      </c>
      <c r="H1887" s="112">
        <v>350000</v>
      </c>
      <c r="I1887" s="112">
        <v>15750000</v>
      </c>
      <c r="J1887" s="99" t="s">
        <v>2263</v>
      </c>
      <c r="K1887" s="99" t="s">
        <v>8</v>
      </c>
    </row>
    <row r="1888" spans="2:11" x14ac:dyDescent="0.3">
      <c r="B1888" s="99" t="s">
        <v>256</v>
      </c>
      <c r="C1888" s="100">
        <v>46003</v>
      </c>
      <c r="D1888" s="99" t="s">
        <v>42</v>
      </c>
      <c r="E1888" s="99" t="s">
        <v>43</v>
      </c>
      <c r="F1888" s="99" t="s">
        <v>16</v>
      </c>
      <c r="G1888" s="99">
        <v>5</v>
      </c>
      <c r="H1888" s="112">
        <v>1200000</v>
      </c>
      <c r="I1888" s="112">
        <v>6000000</v>
      </c>
      <c r="J1888" s="99" t="s">
        <v>2129</v>
      </c>
      <c r="K1888" s="99" t="s">
        <v>8</v>
      </c>
    </row>
    <row r="1889" spans="2:11" x14ac:dyDescent="0.3">
      <c r="B1889" s="99" t="s">
        <v>257</v>
      </c>
      <c r="C1889" s="100">
        <v>46003</v>
      </c>
      <c r="D1889" s="99" t="s">
        <v>31</v>
      </c>
      <c r="E1889" s="99" t="s">
        <v>32</v>
      </c>
      <c r="F1889" s="99" t="s">
        <v>20</v>
      </c>
      <c r="G1889" s="99">
        <v>50</v>
      </c>
      <c r="H1889" s="112">
        <v>180000</v>
      </c>
      <c r="I1889" s="112">
        <v>9000000</v>
      </c>
      <c r="J1889" s="99" t="s">
        <v>2303</v>
      </c>
      <c r="K1889" s="99" t="s">
        <v>127</v>
      </c>
    </row>
    <row r="1890" spans="2:11" x14ac:dyDescent="0.3">
      <c r="B1890" s="99" t="s">
        <v>272</v>
      </c>
      <c r="C1890" s="100">
        <v>46003</v>
      </c>
      <c r="D1890" s="99" t="s">
        <v>10</v>
      </c>
      <c r="E1890" s="99" t="s">
        <v>11</v>
      </c>
      <c r="F1890" s="99" t="s">
        <v>12</v>
      </c>
      <c r="G1890" s="99">
        <v>12</v>
      </c>
      <c r="H1890" s="112">
        <v>120000</v>
      </c>
      <c r="I1890" s="112">
        <v>1440000</v>
      </c>
      <c r="J1890" s="99" t="s">
        <v>2409</v>
      </c>
      <c r="K1890" s="99" t="s">
        <v>69</v>
      </c>
    </row>
    <row r="1891" spans="2:11" x14ac:dyDescent="0.3">
      <c r="B1891" s="99" t="s">
        <v>273</v>
      </c>
      <c r="C1891" s="100">
        <v>46003</v>
      </c>
      <c r="D1891" s="99" t="s">
        <v>10</v>
      </c>
      <c r="E1891" s="99" t="s">
        <v>11</v>
      </c>
      <c r="F1891" s="99" t="s">
        <v>12</v>
      </c>
      <c r="G1891" s="99">
        <v>41</v>
      </c>
      <c r="H1891" s="112">
        <v>120000</v>
      </c>
      <c r="I1891" s="112">
        <v>4920000</v>
      </c>
      <c r="J1891" s="99" t="s">
        <v>2122</v>
      </c>
      <c r="K1891" s="99" t="s">
        <v>47</v>
      </c>
    </row>
    <row r="1892" spans="2:11" x14ac:dyDescent="0.3">
      <c r="B1892" s="99" t="s">
        <v>286</v>
      </c>
      <c r="C1892" s="100">
        <v>46003</v>
      </c>
      <c r="D1892" s="99" t="s">
        <v>42</v>
      </c>
      <c r="E1892" s="99" t="s">
        <v>43</v>
      </c>
      <c r="F1892" s="99" t="s">
        <v>16</v>
      </c>
      <c r="G1892" s="99">
        <v>6</v>
      </c>
      <c r="H1892" s="112">
        <v>1200000</v>
      </c>
      <c r="I1892" s="112">
        <v>7200000</v>
      </c>
      <c r="J1892" s="99" t="s">
        <v>2385</v>
      </c>
      <c r="K1892" s="99" t="s">
        <v>47</v>
      </c>
    </row>
    <row r="1893" spans="2:11" x14ac:dyDescent="0.3">
      <c r="B1893" s="99" t="s">
        <v>306</v>
      </c>
      <c r="C1893" s="100">
        <v>46003</v>
      </c>
      <c r="D1893" s="99" t="s">
        <v>10</v>
      </c>
      <c r="E1893" s="99" t="s">
        <v>11</v>
      </c>
      <c r="F1893" s="99" t="s">
        <v>12</v>
      </c>
      <c r="G1893" s="99">
        <v>29</v>
      </c>
      <c r="H1893" s="112">
        <v>120000</v>
      </c>
      <c r="I1893" s="112">
        <v>3480000</v>
      </c>
      <c r="J1893" s="99" t="s">
        <v>2366</v>
      </c>
      <c r="K1893" s="99" t="s">
        <v>8</v>
      </c>
    </row>
    <row r="1894" spans="2:11" x14ac:dyDescent="0.3">
      <c r="B1894" s="99" t="s">
        <v>323</v>
      </c>
      <c r="C1894" s="100">
        <v>46003</v>
      </c>
      <c r="D1894" s="99" t="s">
        <v>10</v>
      </c>
      <c r="E1894" s="99" t="s">
        <v>11</v>
      </c>
      <c r="F1894" s="99" t="s">
        <v>12</v>
      </c>
      <c r="G1894" s="99">
        <v>16</v>
      </c>
      <c r="H1894" s="112">
        <v>120000</v>
      </c>
      <c r="I1894" s="112">
        <v>1920000</v>
      </c>
      <c r="J1894" s="99" t="s">
        <v>2636</v>
      </c>
      <c r="K1894" s="99" t="s">
        <v>60</v>
      </c>
    </row>
    <row r="1895" spans="2:11" x14ac:dyDescent="0.3">
      <c r="B1895" s="99" t="s">
        <v>324</v>
      </c>
      <c r="C1895" s="100">
        <v>46003</v>
      </c>
      <c r="D1895" s="99" t="s">
        <v>10</v>
      </c>
      <c r="E1895" s="99" t="s">
        <v>11</v>
      </c>
      <c r="F1895" s="99" t="s">
        <v>12</v>
      </c>
      <c r="G1895" s="99">
        <v>44</v>
      </c>
      <c r="H1895" s="112">
        <v>120000</v>
      </c>
      <c r="I1895" s="112">
        <v>5280000</v>
      </c>
      <c r="J1895" s="99" t="s">
        <v>2401</v>
      </c>
      <c r="K1895" s="99" t="s">
        <v>47</v>
      </c>
    </row>
    <row r="1896" spans="2:11" x14ac:dyDescent="0.3">
      <c r="B1896" s="99" t="s">
        <v>336</v>
      </c>
      <c r="C1896" s="100">
        <v>46003</v>
      </c>
      <c r="D1896" s="99" t="s">
        <v>44</v>
      </c>
      <c r="E1896" s="99" t="s">
        <v>45</v>
      </c>
      <c r="F1896" s="99" t="s">
        <v>16</v>
      </c>
      <c r="G1896" s="99">
        <v>23</v>
      </c>
      <c r="H1896" s="112">
        <v>250000</v>
      </c>
      <c r="I1896" s="112">
        <v>5750000</v>
      </c>
      <c r="J1896" s="99" t="s">
        <v>2655</v>
      </c>
      <c r="K1896" s="99" t="s">
        <v>8</v>
      </c>
    </row>
    <row r="1897" spans="2:11" x14ac:dyDescent="0.3">
      <c r="B1897" s="99" t="s">
        <v>337</v>
      </c>
      <c r="C1897" s="100">
        <v>46007</v>
      </c>
      <c r="D1897" s="99" t="s">
        <v>42</v>
      </c>
      <c r="E1897" s="99" t="s">
        <v>43</v>
      </c>
      <c r="F1897" s="99" t="s">
        <v>16</v>
      </c>
      <c r="G1897" s="99">
        <v>7</v>
      </c>
      <c r="H1897" s="112">
        <v>1200000</v>
      </c>
      <c r="I1897" s="112">
        <v>8400000</v>
      </c>
      <c r="J1897" s="99" t="s">
        <v>2777</v>
      </c>
      <c r="K1897" s="99" t="s">
        <v>8</v>
      </c>
    </row>
    <row r="1898" spans="2:11" x14ac:dyDescent="0.3">
      <c r="B1898" s="99" t="s">
        <v>338</v>
      </c>
      <c r="C1898" s="100">
        <v>46007</v>
      </c>
      <c r="D1898" s="99" t="s">
        <v>40</v>
      </c>
      <c r="E1898" s="99" t="s">
        <v>41</v>
      </c>
      <c r="F1898" s="99" t="s">
        <v>16</v>
      </c>
      <c r="G1898" s="99">
        <v>33</v>
      </c>
      <c r="H1898" s="112">
        <v>950000</v>
      </c>
      <c r="I1898" s="112">
        <v>31350000</v>
      </c>
      <c r="J1898" s="99" t="s">
        <v>2153</v>
      </c>
      <c r="K1898" s="99" t="s">
        <v>127</v>
      </c>
    </row>
    <row r="1899" spans="2:11" x14ac:dyDescent="0.3">
      <c r="B1899" s="99" t="s">
        <v>354</v>
      </c>
      <c r="C1899" s="100">
        <v>46007</v>
      </c>
      <c r="D1899" s="99" t="s">
        <v>31</v>
      </c>
      <c r="E1899" s="99" t="s">
        <v>32</v>
      </c>
      <c r="F1899" s="99" t="s">
        <v>20</v>
      </c>
      <c r="G1899" s="99">
        <v>45</v>
      </c>
      <c r="H1899" s="112">
        <v>180000</v>
      </c>
      <c r="I1899" s="112">
        <v>8100000</v>
      </c>
      <c r="J1899" s="99" t="s">
        <v>2721</v>
      </c>
      <c r="K1899" s="99" t="s">
        <v>8</v>
      </c>
    </row>
    <row r="1900" spans="2:11" x14ac:dyDescent="0.3">
      <c r="B1900" s="99" t="s">
        <v>355</v>
      </c>
      <c r="C1900" s="100">
        <v>46007</v>
      </c>
      <c r="D1900" s="99" t="s">
        <v>22</v>
      </c>
      <c r="E1900" s="99" t="s">
        <v>23</v>
      </c>
      <c r="F1900" s="99" t="s">
        <v>12</v>
      </c>
      <c r="G1900" s="99">
        <v>19</v>
      </c>
      <c r="H1900" s="112">
        <v>25000</v>
      </c>
      <c r="I1900" s="112">
        <v>475000</v>
      </c>
      <c r="J1900" s="99" t="s">
        <v>2293</v>
      </c>
      <c r="K1900" s="99" t="s">
        <v>47</v>
      </c>
    </row>
    <row r="1901" spans="2:11" x14ac:dyDescent="0.3">
      <c r="B1901" s="99" t="s">
        <v>356</v>
      </c>
      <c r="C1901" s="100">
        <v>46007</v>
      </c>
      <c r="D1901" s="99" t="s">
        <v>40</v>
      </c>
      <c r="E1901" s="99" t="s">
        <v>41</v>
      </c>
      <c r="F1901" s="99" t="s">
        <v>16</v>
      </c>
      <c r="G1901" s="99">
        <v>125</v>
      </c>
      <c r="H1901" s="112">
        <v>950000</v>
      </c>
      <c r="I1901" s="112">
        <v>118750000</v>
      </c>
      <c r="J1901" s="99" t="s">
        <v>2776</v>
      </c>
      <c r="K1901" s="99" t="s">
        <v>8</v>
      </c>
    </row>
    <row r="1902" spans="2:11" x14ac:dyDescent="0.3">
      <c r="B1902" s="99" t="s">
        <v>357</v>
      </c>
      <c r="C1902" s="100">
        <v>46007</v>
      </c>
      <c r="D1902" s="99" t="s">
        <v>31</v>
      </c>
      <c r="E1902" s="99" t="s">
        <v>32</v>
      </c>
      <c r="F1902" s="99" t="s">
        <v>20</v>
      </c>
      <c r="G1902" s="99">
        <v>27</v>
      </c>
      <c r="H1902" s="112">
        <v>180000</v>
      </c>
      <c r="I1902" s="112">
        <v>4860000</v>
      </c>
      <c r="J1902" s="99" t="s">
        <v>2466</v>
      </c>
      <c r="K1902" s="99" t="s">
        <v>127</v>
      </c>
    </row>
    <row r="1903" spans="2:11" x14ac:dyDescent="0.3">
      <c r="B1903" s="99" t="s">
        <v>358</v>
      </c>
      <c r="C1903" s="100">
        <v>46007</v>
      </c>
      <c r="D1903" s="99" t="s">
        <v>40</v>
      </c>
      <c r="E1903" s="99" t="s">
        <v>41</v>
      </c>
      <c r="F1903" s="99" t="s">
        <v>16</v>
      </c>
      <c r="G1903" s="99">
        <v>10</v>
      </c>
      <c r="H1903" s="112">
        <v>950000</v>
      </c>
      <c r="I1903" s="112">
        <v>9500000</v>
      </c>
      <c r="J1903" s="99" t="s">
        <v>2544</v>
      </c>
      <c r="K1903" s="99" t="s">
        <v>60</v>
      </c>
    </row>
    <row r="1904" spans="2:11" x14ac:dyDescent="0.3">
      <c r="B1904" s="99" t="s">
        <v>376</v>
      </c>
      <c r="C1904" s="100">
        <v>46007</v>
      </c>
      <c r="D1904" s="99" t="s">
        <v>10</v>
      </c>
      <c r="E1904" s="99" t="s">
        <v>11</v>
      </c>
      <c r="F1904" s="99" t="s">
        <v>12</v>
      </c>
      <c r="G1904" s="99">
        <v>170</v>
      </c>
      <c r="H1904" s="112">
        <v>120000</v>
      </c>
      <c r="I1904" s="112">
        <v>20400000</v>
      </c>
      <c r="J1904" s="99" t="s">
        <v>2684</v>
      </c>
      <c r="K1904" s="99" t="s">
        <v>127</v>
      </c>
    </row>
    <row r="1905" spans="2:11" x14ac:dyDescent="0.3">
      <c r="B1905" s="99" t="s">
        <v>377</v>
      </c>
      <c r="C1905" s="100">
        <v>46007</v>
      </c>
      <c r="D1905" s="99" t="s">
        <v>22</v>
      </c>
      <c r="E1905" s="99" t="s">
        <v>23</v>
      </c>
      <c r="F1905" s="99" t="s">
        <v>12</v>
      </c>
      <c r="G1905" s="99">
        <v>24</v>
      </c>
      <c r="H1905" s="112">
        <v>25000</v>
      </c>
      <c r="I1905" s="112">
        <v>600000</v>
      </c>
      <c r="J1905" s="99" t="s">
        <v>2346</v>
      </c>
      <c r="K1905" s="99" t="s">
        <v>127</v>
      </c>
    </row>
    <row r="1906" spans="2:11" x14ac:dyDescent="0.3">
      <c r="B1906" s="99" t="s">
        <v>378</v>
      </c>
      <c r="C1906" s="100">
        <v>46007</v>
      </c>
      <c r="D1906" s="99" t="s">
        <v>40</v>
      </c>
      <c r="E1906" s="99" t="s">
        <v>41</v>
      </c>
      <c r="F1906" s="99" t="s">
        <v>16</v>
      </c>
      <c r="G1906" s="99">
        <v>150</v>
      </c>
      <c r="H1906" s="112">
        <v>950000</v>
      </c>
      <c r="I1906" s="112">
        <v>142500000</v>
      </c>
      <c r="J1906" s="99" t="s">
        <v>2686</v>
      </c>
      <c r="K1906" s="99" t="s">
        <v>8</v>
      </c>
    </row>
    <row r="1907" spans="2:11" x14ac:dyDescent="0.3">
      <c r="B1907" s="99" t="s">
        <v>396</v>
      </c>
      <c r="C1907" s="100">
        <v>46007</v>
      </c>
      <c r="D1907" s="99" t="s">
        <v>38</v>
      </c>
      <c r="E1907" s="99" t="s">
        <v>39</v>
      </c>
      <c r="F1907" s="99" t="s">
        <v>16</v>
      </c>
      <c r="G1907" s="99">
        <v>33</v>
      </c>
      <c r="H1907" s="112">
        <v>200000</v>
      </c>
      <c r="I1907" s="112">
        <v>6600000</v>
      </c>
      <c r="J1907" s="99" t="s">
        <v>2376</v>
      </c>
      <c r="K1907" s="99" t="s">
        <v>127</v>
      </c>
    </row>
    <row r="1908" spans="2:11" x14ac:dyDescent="0.3">
      <c r="B1908" s="99" t="s">
        <v>397</v>
      </c>
      <c r="C1908" s="100">
        <v>46007</v>
      </c>
      <c r="D1908" s="99" t="s">
        <v>28</v>
      </c>
      <c r="E1908" s="99" t="s">
        <v>29</v>
      </c>
      <c r="F1908" s="99" t="s">
        <v>20</v>
      </c>
      <c r="G1908" s="99">
        <v>36</v>
      </c>
      <c r="H1908" s="112">
        <v>450000</v>
      </c>
      <c r="I1908" s="112">
        <v>16200000</v>
      </c>
      <c r="J1908" s="99" t="s">
        <v>2538</v>
      </c>
      <c r="K1908" s="99" t="s">
        <v>127</v>
      </c>
    </row>
    <row r="1909" spans="2:11" x14ac:dyDescent="0.3">
      <c r="B1909" s="99" t="s">
        <v>398</v>
      </c>
      <c r="C1909" s="100">
        <v>46008</v>
      </c>
      <c r="D1909" s="99" t="s">
        <v>44</v>
      </c>
      <c r="E1909" s="99" t="s">
        <v>45</v>
      </c>
      <c r="F1909" s="99" t="s">
        <v>16</v>
      </c>
      <c r="G1909" s="99">
        <v>46</v>
      </c>
      <c r="H1909" s="112">
        <v>250000</v>
      </c>
      <c r="I1909" s="112">
        <v>11500000</v>
      </c>
      <c r="J1909" s="99" t="s">
        <v>2589</v>
      </c>
      <c r="K1909" s="99" t="s">
        <v>127</v>
      </c>
    </row>
    <row r="1910" spans="2:11" x14ac:dyDescent="0.3">
      <c r="B1910" s="99" t="s">
        <v>399</v>
      </c>
      <c r="C1910" s="100">
        <v>46008</v>
      </c>
      <c r="D1910" s="99" t="s">
        <v>44</v>
      </c>
      <c r="E1910" s="99" t="s">
        <v>45</v>
      </c>
      <c r="F1910" s="99" t="s">
        <v>16</v>
      </c>
      <c r="G1910" s="99">
        <v>47</v>
      </c>
      <c r="H1910" s="112">
        <v>250000</v>
      </c>
      <c r="I1910" s="112">
        <v>11750000</v>
      </c>
      <c r="J1910" s="99" t="s">
        <v>2708</v>
      </c>
      <c r="K1910" s="99" t="s">
        <v>60</v>
      </c>
    </row>
    <row r="1911" spans="2:11" x14ac:dyDescent="0.3">
      <c r="B1911" s="99" t="s">
        <v>400</v>
      </c>
      <c r="C1911" s="100">
        <v>46008</v>
      </c>
      <c r="D1911" s="99" t="s">
        <v>38</v>
      </c>
      <c r="E1911" s="99" t="s">
        <v>39</v>
      </c>
      <c r="F1911" s="99" t="s">
        <v>16</v>
      </c>
      <c r="G1911" s="99">
        <v>21</v>
      </c>
      <c r="H1911" s="112">
        <v>200000</v>
      </c>
      <c r="I1911" s="112">
        <v>4200000</v>
      </c>
      <c r="J1911" s="99" t="s">
        <v>2610</v>
      </c>
      <c r="K1911" s="99" t="s">
        <v>60</v>
      </c>
    </row>
    <row r="1912" spans="2:11" x14ac:dyDescent="0.3">
      <c r="B1912" s="99" t="s">
        <v>401</v>
      </c>
      <c r="C1912" s="100">
        <v>46008</v>
      </c>
      <c r="D1912" s="99" t="s">
        <v>18</v>
      </c>
      <c r="E1912" s="99" t="s">
        <v>19</v>
      </c>
      <c r="F1912" s="99" t="s">
        <v>20</v>
      </c>
      <c r="G1912" s="99">
        <v>18</v>
      </c>
      <c r="H1912" s="112">
        <v>500000</v>
      </c>
      <c r="I1912" s="112">
        <v>9000000</v>
      </c>
      <c r="J1912" s="99" t="s">
        <v>2282</v>
      </c>
      <c r="K1912" s="99" t="s">
        <v>69</v>
      </c>
    </row>
    <row r="1913" spans="2:11" x14ac:dyDescent="0.3">
      <c r="B1913" s="99" t="s">
        <v>416</v>
      </c>
      <c r="C1913" s="100">
        <v>46008</v>
      </c>
      <c r="D1913" s="99" t="s">
        <v>28</v>
      </c>
      <c r="E1913" s="99" t="s">
        <v>29</v>
      </c>
      <c r="F1913" s="99" t="s">
        <v>20</v>
      </c>
      <c r="G1913" s="99">
        <v>38</v>
      </c>
      <c r="H1913" s="112">
        <v>450000</v>
      </c>
      <c r="I1913" s="112">
        <v>17100000</v>
      </c>
      <c r="J1913" s="99" t="s">
        <v>2611</v>
      </c>
      <c r="K1913" s="99" t="s">
        <v>8</v>
      </c>
    </row>
    <row r="1914" spans="2:11" x14ac:dyDescent="0.3">
      <c r="B1914" s="99" t="s">
        <v>417</v>
      </c>
      <c r="C1914" s="100">
        <v>46008</v>
      </c>
      <c r="D1914" s="99" t="s">
        <v>28</v>
      </c>
      <c r="E1914" s="99" t="s">
        <v>29</v>
      </c>
      <c r="F1914" s="99" t="s">
        <v>20</v>
      </c>
      <c r="G1914" s="99">
        <v>41</v>
      </c>
      <c r="H1914" s="112">
        <v>450000</v>
      </c>
      <c r="I1914" s="112">
        <v>18450000</v>
      </c>
      <c r="J1914" s="99" t="s">
        <v>2808</v>
      </c>
      <c r="K1914" s="99" t="s">
        <v>8</v>
      </c>
    </row>
    <row r="1915" spans="2:11" x14ac:dyDescent="0.3">
      <c r="B1915" s="99" t="s">
        <v>432</v>
      </c>
      <c r="C1915" s="100">
        <v>46008</v>
      </c>
      <c r="D1915" s="99" t="s">
        <v>18</v>
      </c>
      <c r="E1915" s="99" t="s">
        <v>19</v>
      </c>
      <c r="F1915" s="99" t="s">
        <v>20</v>
      </c>
      <c r="G1915" s="99">
        <v>15</v>
      </c>
      <c r="H1915" s="112">
        <v>500000</v>
      </c>
      <c r="I1915" s="112">
        <v>7500000</v>
      </c>
      <c r="J1915" s="99" t="s">
        <v>2842</v>
      </c>
      <c r="K1915" s="99" t="s">
        <v>127</v>
      </c>
    </row>
    <row r="1916" spans="2:11" x14ac:dyDescent="0.3">
      <c r="B1916" s="99" t="s">
        <v>433</v>
      </c>
      <c r="C1916" s="100">
        <v>46010</v>
      </c>
      <c r="D1916" s="99" t="s">
        <v>40</v>
      </c>
      <c r="E1916" s="99" t="s">
        <v>41</v>
      </c>
      <c r="F1916" s="99" t="s">
        <v>16</v>
      </c>
      <c r="G1916" s="99">
        <v>8</v>
      </c>
      <c r="H1916" s="112">
        <v>950000</v>
      </c>
      <c r="I1916" s="112">
        <v>7600000</v>
      </c>
      <c r="J1916" s="99" t="s">
        <v>2669</v>
      </c>
      <c r="K1916" s="99" t="s">
        <v>8</v>
      </c>
    </row>
    <row r="1917" spans="2:11" x14ac:dyDescent="0.3">
      <c r="B1917" s="99" t="s">
        <v>434</v>
      </c>
      <c r="C1917" s="100">
        <v>46010</v>
      </c>
      <c r="D1917" s="99" t="s">
        <v>10</v>
      </c>
      <c r="E1917" s="99" t="s">
        <v>11</v>
      </c>
      <c r="F1917" s="99" t="s">
        <v>12</v>
      </c>
      <c r="G1917" s="99">
        <v>31</v>
      </c>
      <c r="H1917" s="112">
        <v>120000</v>
      </c>
      <c r="I1917" s="112">
        <v>3720000</v>
      </c>
      <c r="J1917" s="99" t="s">
        <v>2312</v>
      </c>
      <c r="K1917" s="99" t="s">
        <v>127</v>
      </c>
    </row>
    <row r="1918" spans="2:11" x14ac:dyDescent="0.3">
      <c r="B1918" s="99" t="s">
        <v>441</v>
      </c>
      <c r="C1918" s="100">
        <v>46010</v>
      </c>
      <c r="D1918" s="99" t="s">
        <v>22</v>
      </c>
      <c r="E1918" s="99" t="s">
        <v>23</v>
      </c>
      <c r="F1918" s="99" t="s">
        <v>12</v>
      </c>
      <c r="G1918" s="99">
        <v>16</v>
      </c>
      <c r="H1918" s="112">
        <v>25000</v>
      </c>
      <c r="I1918" s="112">
        <v>400000</v>
      </c>
      <c r="J1918" s="99" t="s">
        <v>2338</v>
      </c>
      <c r="K1918" s="99" t="s">
        <v>69</v>
      </c>
    </row>
    <row r="1919" spans="2:11" x14ac:dyDescent="0.3">
      <c r="B1919" s="99" t="s">
        <v>459</v>
      </c>
      <c r="C1919" s="100">
        <v>46010</v>
      </c>
      <c r="D1919" s="99" t="s">
        <v>14</v>
      </c>
      <c r="E1919" s="99" t="s">
        <v>15</v>
      </c>
      <c r="F1919" s="99" t="s">
        <v>16</v>
      </c>
      <c r="G1919" s="99">
        <v>290</v>
      </c>
      <c r="H1919" s="112">
        <v>350000</v>
      </c>
      <c r="I1919" s="112">
        <v>101500000</v>
      </c>
      <c r="J1919" s="99" t="s">
        <v>2245</v>
      </c>
      <c r="K1919" s="99" t="s">
        <v>127</v>
      </c>
    </row>
    <row r="1920" spans="2:11" x14ac:dyDescent="0.3">
      <c r="B1920" s="99" t="s">
        <v>460</v>
      </c>
      <c r="C1920" s="100">
        <v>46010</v>
      </c>
      <c r="D1920" s="99" t="s">
        <v>40</v>
      </c>
      <c r="E1920" s="99" t="s">
        <v>41</v>
      </c>
      <c r="F1920" s="99" t="s">
        <v>16</v>
      </c>
      <c r="G1920" s="99">
        <v>150</v>
      </c>
      <c r="H1920" s="112">
        <v>950000</v>
      </c>
      <c r="I1920" s="112">
        <v>142500000</v>
      </c>
      <c r="J1920" s="99" t="s">
        <v>2149</v>
      </c>
      <c r="K1920" s="99" t="s">
        <v>127</v>
      </c>
    </row>
    <row r="1921" spans="2:11" x14ac:dyDescent="0.3">
      <c r="B1921" s="99" t="s">
        <v>480</v>
      </c>
      <c r="C1921" s="100">
        <v>46010</v>
      </c>
      <c r="D1921" s="99" t="s">
        <v>22</v>
      </c>
      <c r="E1921" s="99" t="s">
        <v>23</v>
      </c>
      <c r="F1921" s="99" t="s">
        <v>12</v>
      </c>
      <c r="G1921" s="99">
        <v>19</v>
      </c>
      <c r="H1921" s="112">
        <v>25000</v>
      </c>
      <c r="I1921" s="112">
        <v>475000</v>
      </c>
      <c r="J1921" s="99" t="s">
        <v>2423</v>
      </c>
      <c r="K1921" s="99" t="s">
        <v>127</v>
      </c>
    </row>
    <row r="1922" spans="2:11" x14ac:dyDescent="0.3">
      <c r="B1922" s="99" t="s">
        <v>481</v>
      </c>
      <c r="C1922" s="100">
        <v>46010</v>
      </c>
      <c r="D1922" s="99" t="s">
        <v>44</v>
      </c>
      <c r="E1922" s="99" t="s">
        <v>45</v>
      </c>
      <c r="F1922" s="99" t="s">
        <v>16</v>
      </c>
      <c r="G1922" s="99">
        <v>26</v>
      </c>
      <c r="H1922" s="112">
        <v>250000</v>
      </c>
      <c r="I1922" s="112">
        <v>6500000</v>
      </c>
      <c r="J1922" s="99" t="s">
        <v>2592</v>
      </c>
      <c r="K1922" s="99" t="s">
        <v>8</v>
      </c>
    </row>
    <row r="1923" spans="2:11" x14ac:dyDescent="0.3">
      <c r="B1923" s="99" t="s">
        <v>482</v>
      </c>
      <c r="C1923" s="100">
        <v>46010</v>
      </c>
      <c r="D1923" s="99" t="s">
        <v>22</v>
      </c>
      <c r="E1923" s="99" t="s">
        <v>23</v>
      </c>
      <c r="F1923" s="99" t="s">
        <v>12</v>
      </c>
      <c r="G1923" s="99">
        <v>44</v>
      </c>
      <c r="H1923" s="112">
        <v>25000</v>
      </c>
      <c r="I1923" s="112">
        <v>1100000</v>
      </c>
      <c r="J1923" s="99" t="s">
        <v>2508</v>
      </c>
      <c r="K1923" s="99" t="s">
        <v>47</v>
      </c>
    </row>
    <row r="1924" spans="2:11" x14ac:dyDescent="0.3">
      <c r="B1924" s="99" t="s">
        <v>483</v>
      </c>
      <c r="C1924" s="100">
        <v>46010</v>
      </c>
      <c r="D1924" s="99" t="s">
        <v>14</v>
      </c>
      <c r="E1924" s="99" t="s">
        <v>15</v>
      </c>
      <c r="F1924" s="99" t="s">
        <v>16</v>
      </c>
      <c r="G1924" s="99">
        <v>9</v>
      </c>
      <c r="H1924" s="112">
        <v>350000</v>
      </c>
      <c r="I1924" s="112">
        <v>3150000</v>
      </c>
      <c r="J1924" s="99" t="s">
        <v>2122</v>
      </c>
      <c r="K1924" s="99" t="s">
        <v>47</v>
      </c>
    </row>
    <row r="1925" spans="2:11" x14ac:dyDescent="0.3">
      <c r="B1925" s="99" t="s">
        <v>484</v>
      </c>
      <c r="C1925" s="100">
        <v>46013</v>
      </c>
      <c r="D1925" s="99" t="s">
        <v>22</v>
      </c>
      <c r="E1925" s="99" t="s">
        <v>23</v>
      </c>
      <c r="F1925" s="99" t="s">
        <v>12</v>
      </c>
      <c r="G1925" s="99">
        <v>110</v>
      </c>
      <c r="H1925" s="112">
        <v>25000</v>
      </c>
      <c r="I1925" s="112">
        <v>2750000</v>
      </c>
      <c r="J1925" s="99" t="s">
        <v>2149</v>
      </c>
      <c r="K1925" s="99" t="s">
        <v>127</v>
      </c>
    </row>
    <row r="1926" spans="2:11" x14ac:dyDescent="0.3">
      <c r="B1926" s="99" t="s">
        <v>506</v>
      </c>
      <c r="C1926" s="100">
        <v>46013</v>
      </c>
      <c r="D1926" s="99" t="s">
        <v>18</v>
      </c>
      <c r="E1926" s="99" t="s">
        <v>19</v>
      </c>
      <c r="F1926" s="99" t="s">
        <v>20</v>
      </c>
      <c r="G1926" s="99">
        <v>14</v>
      </c>
      <c r="H1926" s="112">
        <v>500000</v>
      </c>
      <c r="I1926" s="112">
        <v>7000000</v>
      </c>
      <c r="J1926" s="99" t="s">
        <v>2752</v>
      </c>
      <c r="K1926" s="99" t="s">
        <v>127</v>
      </c>
    </row>
    <row r="1927" spans="2:11" x14ac:dyDescent="0.3">
      <c r="B1927" s="99" t="s">
        <v>507</v>
      </c>
      <c r="C1927" s="100">
        <v>46013</v>
      </c>
      <c r="D1927" s="99" t="s">
        <v>28</v>
      </c>
      <c r="E1927" s="99" t="s">
        <v>29</v>
      </c>
      <c r="F1927" s="99" t="s">
        <v>20</v>
      </c>
      <c r="G1927" s="99">
        <v>290</v>
      </c>
      <c r="H1927" s="112">
        <v>450000</v>
      </c>
      <c r="I1927" s="112">
        <v>130500000</v>
      </c>
      <c r="J1927" s="99" t="s">
        <v>2688</v>
      </c>
      <c r="K1927" s="99" t="s">
        <v>60</v>
      </c>
    </row>
    <row r="1928" spans="2:11" x14ac:dyDescent="0.3">
      <c r="B1928" s="99" t="s">
        <v>508</v>
      </c>
      <c r="C1928" s="100">
        <v>46013</v>
      </c>
      <c r="D1928" s="99" t="s">
        <v>44</v>
      </c>
      <c r="E1928" s="99" t="s">
        <v>45</v>
      </c>
      <c r="F1928" s="99" t="s">
        <v>16</v>
      </c>
      <c r="G1928" s="99">
        <v>29</v>
      </c>
      <c r="H1928" s="112">
        <v>250000</v>
      </c>
      <c r="I1928" s="112">
        <v>7250000</v>
      </c>
      <c r="J1928" s="99" t="s">
        <v>2828</v>
      </c>
      <c r="K1928" s="99" t="s">
        <v>127</v>
      </c>
    </row>
    <row r="1929" spans="2:11" x14ac:dyDescent="0.3">
      <c r="B1929" s="99" t="s">
        <v>509</v>
      </c>
      <c r="C1929" s="100">
        <v>46013</v>
      </c>
      <c r="D1929" s="99" t="s">
        <v>14</v>
      </c>
      <c r="E1929" s="99" t="s">
        <v>15</v>
      </c>
      <c r="F1929" s="99" t="s">
        <v>16</v>
      </c>
      <c r="G1929" s="99">
        <v>10</v>
      </c>
      <c r="H1929" s="112">
        <v>350000</v>
      </c>
      <c r="I1929" s="112">
        <v>3500000</v>
      </c>
      <c r="J1929" s="99" t="s">
        <v>2626</v>
      </c>
      <c r="K1929" s="99" t="s">
        <v>8</v>
      </c>
    </row>
    <row r="1930" spans="2:11" x14ac:dyDescent="0.3">
      <c r="B1930" s="99" t="s">
        <v>510</v>
      </c>
      <c r="C1930" s="100">
        <v>46013</v>
      </c>
      <c r="D1930" s="99" t="s">
        <v>38</v>
      </c>
      <c r="E1930" s="99" t="s">
        <v>39</v>
      </c>
      <c r="F1930" s="99" t="s">
        <v>16</v>
      </c>
      <c r="G1930" s="99">
        <v>43</v>
      </c>
      <c r="H1930" s="112">
        <v>200000</v>
      </c>
      <c r="I1930" s="112">
        <v>8600000</v>
      </c>
      <c r="J1930" s="99" t="s">
        <v>1899</v>
      </c>
      <c r="K1930" s="99" t="s">
        <v>127</v>
      </c>
    </row>
    <row r="1931" spans="2:11" x14ac:dyDescent="0.3">
      <c r="B1931" s="99" t="s">
        <v>511</v>
      </c>
      <c r="C1931" s="100">
        <v>46013</v>
      </c>
      <c r="D1931" s="99" t="s">
        <v>14</v>
      </c>
      <c r="E1931" s="99" t="s">
        <v>15</v>
      </c>
      <c r="F1931" s="99" t="s">
        <v>16</v>
      </c>
      <c r="G1931" s="99">
        <v>9</v>
      </c>
      <c r="H1931" s="112">
        <v>350000</v>
      </c>
      <c r="I1931" s="112">
        <v>3150000</v>
      </c>
      <c r="J1931" s="99" t="s">
        <v>2519</v>
      </c>
      <c r="K1931" s="99" t="s">
        <v>127</v>
      </c>
    </row>
    <row r="1932" spans="2:11" x14ac:dyDescent="0.3">
      <c r="B1932" s="99" t="s">
        <v>525</v>
      </c>
      <c r="C1932" s="100">
        <v>46013</v>
      </c>
      <c r="D1932" s="99" t="s">
        <v>10</v>
      </c>
      <c r="E1932" s="99" t="s">
        <v>11</v>
      </c>
      <c r="F1932" s="99" t="s">
        <v>12</v>
      </c>
      <c r="G1932" s="99">
        <v>45</v>
      </c>
      <c r="H1932" s="112">
        <v>120000</v>
      </c>
      <c r="I1932" s="112">
        <v>5400000</v>
      </c>
      <c r="J1932" s="99" t="s">
        <v>2484</v>
      </c>
      <c r="K1932" s="99" t="s">
        <v>60</v>
      </c>
    </row>
    <row r="1933" spans="2:11" x14ac:dyDescent="0.3">
      <c r="B1933" s="99" t="s">
        <v>526</v>
      </c>
      <c r="C1933" s="100">
        <v>46013</v>
      </c>
      <c r="D1933" s="99" t="s">
        <v>22</v>
      </c>
      <c r="E1933" s="99" t="s">
        <v>23</v>
      </c>
      <c r="F1933" s="99" t="s">
        <v>12</v>
      </c>
      <c r="G1933" s="99">
        <v>12</v>
      </c>
      <c r="H1933" s="112">
        <v>25000</v>
      </c>
      <c r="I1933" s="112">
        <v>300000</v>
      </c>
      <c r="J1933" s="99" t="s">
        <v>2570</v>
      </c>
      <c r="K1933" s="99" t="s">
        <v>8</v>
      </c>
    </row>
    <row r="1934" spans="2:11" x14ac:dyDescent="0.3">
      <c r="B1934" s="99" t="s">
        <v>527</v>
      </c>
      <c r="C1934" s="100">
        <v>46013</v>
      </c>
      <c r="D1934" s="99" t="s">
        <v>10</v>
      </c>
      <c r="E1934" s="99" t="s">
        <v>11</v>
      </c>
      <c r="F1934" s="99" t="s">
        <v>12</v>
      </c>
      <c r="G1934" s="99">
        <v>49</v>
      </c>
      <c r="H1934" s="112">
        <v>120000</v>
      </c>
      <c r="I1934" s="112">
        <v>5880000</v>
      </c>
      <c r="J1934" s="99" t="s">
        <v>2120</v>
      </c>
      <c r="K1934" s="99" t="s">
        <v>8</v>
      </c>
    </row>
    <row r="1935" spans="2:11" x14ac:dyDescent="0.3">
      <c r="B1935" s="99" t="s">
        <v>528</v>
      </c>
      <c r="C1935" s="100">
        <v>46013</v>
      </c>
      <c r="D1935" s="99" t="s">
        <v>40</v>
      </c>
      <c r="E1935" s="99" t="s">
        <v>41</v>
      </c>
      <c r="F1935" s="99" t="s">
        <v>16</v>
      </c>
      <c r="G1935" s="99">
        <v>15</v>
      </c>
      <c r="H1935" s="112">
        <v>950000</v>
      </c>
      <c r="I1935" s="112">
        <v>14250000</v>
      </c>
      <c r="J1935" s="99" t="s">
        <v>2247</v>
      </c>
      <c r="K1935" s="99" t="s">
        <v>8</v>
      </c>
    </row>
    <row r="1936" spans="2:11" x14ac:dyDescent="0.3">
      <c r="B1936" s="99" t="s">
        <v>529</v>
      </c>
      <c r="C1936" s="100">
        <v>46013</v>
      </c>
      <c r="D1936" s="99" t="s">
        <v>28</v>
      </c>
      <c r="E1936" s="99" t="s">
        <v>29</v>
      </c>
      <c r="F1936" s="99" t="s">
        <v>20</v>
      </c>
      <c r="G1936" s="99">
        <v>18</v>
      </c>
      <c r="H1936" s="112">
        <v>450000</v>
      </c>
      <c r="I1936" s="112">
        <v>8100000</v>
      </c>
      <c r="J1936" s="99" t="s">
        <v>2471</v>
      </c>
      <c r="K1936" s="99" t="s">
        <v>47</v>
      </c>
    </row>
    <row r="1937" spans="2:11" x14ac:dyDescent="0.3">
      <c r="B1937" s="99" t="s">
        <v>530</v>
      </c>
      <c r="C1937" s="100">
        <v>46013</v>
      </c>
      <c r="D1937" s="99" t="s">
        <v>31</v>
      </c>
      <c r="E1937" s="99" t="s">
        <v>32</v>
      </c>
      <c r="F1937" s="99" t="s">
        <v>20</v>
      </c>
      <c r="G1937" s="99">
        <v>450</v>
      </c>
      <c r="H1937" s="112">
        <v>180000</v>
      </c>
      <c r="I1937" s="112">
        <v>81000000</v>
      </c>
      <c r="J1937" s="99" t="s">
        <v>2695</v>
      </c>
      <c r="K1937" s="99" t="s">
        <v>8</v>
      </c>
    </row>
    <row r="1938" spans="2:11" x14ac:dyDescent="0.3">
      <c r="B1938" s="99" t="s">
        <v>531</v>
      </c>
      <c r="C1938" s="100">
        <v>46013</v>
      </c>
      <c r="D1938" s="99" t="s">
        <v>18</v>
      </c>
      <c r="E1938" s="99" t="s">
        <v>19</v>
      </c>
      <c r="F1938" s="99" t="s">
        <v>20</v>
      </c>
      <c r="G1938" s="99">
        <v>33</v>
      </c>
      <c r="H1938" s="112">
        <v>500000</v>
      </c>
      <c r="I1938" s="112">
        <v>16500000</v>
      </c>
      <c r="J1938" s="99" t="s">
        <v>2420</v>
      </c>
      <c r="K1938" s="99" t="s">
        <v>127</v>
      </c>
    </row>
    <row r="1939" spans="2:11" x14ac:dyDescent="0.3">
      <c r="B1939" s="99" t="s">
        <v>532</v>
      </c>
      <c r="C1939" s="100">
        <v>46014</v>
      </c>
      <c r="D1939" s="99" t="s">
        <v>40</v>
      </c>
      <c r="E1939" s="99" t="s">
        <v>41</v>
      </c>
      <c r="F1939" s="99" t="s">
        <v>16</v>
      </c>
      <c r="G1939" s="99">
        <v>37</v>
      </c>
      <c r="H1939" s="112">
        <v>950000</v>
      </c>
      <c r="I1939" s="112">
        <v>35150000</v>
      </c>
      <c r="J1939" s="99" t="s">
        <v>1756</v>
      </c>
      <c r="K1939" s="99" t="s">
        <v>8</v>
      </c>
    </row>
    <row r="1940" spans="2:11" x14ac:dyDescent="0.3">
      <c r="B1940" s="99" t="s">
        <v>554</v>
      </c>
      <c r="C1940" s="100">
        <v>46014</v>
      </c>
      <c r="D1940" s="99" t="s">
        <v>28</v>
      </c>
      <c r="E1940" s="99" t="s">
        <v>29</v>
      </c>
      <c r="F1940" s="99" t="s">
        <v>20</v>
      </c>
      <c r="G1940" s="99">
        <v>7</v>
      </c>
      <c r="H1940" s="112">
        <v>450000</v>
      </c>
      <c r="I1940" s="112">
        <v>3150000</v>
      </c>
      <c r="J1940" s="99" t="s">
        <v>2188</v>
      </c>
      <c r="K1940" s="99" t="s">
        <v>8</v>
      </c>
    </row>
    <row r="1941" spans="2:11" x14ac:dyDescent="0.3">
      <c r="B1941" s="99" t="s">
        <v>555</v>
      </c>
      <c r="C1941" s="100">
        <v>46014</v>
      </c>
      <c r="D1941" s="99" t="s">
        <v>22</v>
      </c>
      <c r="E1941" s="99" t="s">
        <v>23</v>
      </c>
      <c r="F1941" s="99" t="s">
        <v>12</v>
      </c>
      <c r="G1941" s="99">
        <v>22</v>
      </c>
      <c r="H1941" s="112">
        <v>25000</v>
      </c>
      <c r="I1941" s="112">
        <v>550000</v>
      </c>
      <c r="J1941" s="99" t="s">
        <v>2706</v>
      </c>
      <c r="K1941" s="99" t="s">
        <v>60</v>
      </c>
    </row>
    <row r="1942" spans="2:11" x14ac:dyDescent="0.3">
      <c r="B1942" s="99" t="s">
        <v>556</v>
      </c>
      <c r="C1942" s="100">
        <v>46014</v>
      </c>
      <c r="D1942" s="99" t="s">
        <v>40</v>
      </c>
      <c r="E1942" s="99" t="s">
        <v>41</v>
      </c>
      <c r="F1942" s="99" t="s">
        <v>16</v>
      </c>
      <c r="G1942" s="99">
        <v>25</v>
      </c>
      <c r="H1942" s="112">
        <v>950000</v>
      </c>
      <c r="I1942" s="112">
        <v>23750000</v>
      </c>
      <c r="J1942" s="99" t="s">
        <v>2663</v>
      </c>
      <c r="K1942" s="99" t="s">
        <v>8</v>
      </c>
    </row>
    <row r="1943" spans="2:11" x14ac:dyDescent="0.3">
      <c r="B1943" s="99" t="s">
        <v>571</v>
      </c>
      <c r="C1943" s="100">
        <v>46014</v>
      </c>
      <c r="D1943" s="99" t="s">
        <v>14</v>
      </c>
      <c r="E1943" s="99" t="s">
        <v>15</v>
      </c>
      <c r="F1943" s="99" t="s">
        <v>16</v>
      </c>
      <c r="G1943" s="99">
        <v>26</v>
      </c>
      <c r="H1943" s="112">
        <v>350000</v>
      </c>
      <c r="I1943" s="112">
        <v>9100000</v>
      </c>
      <c r="J1943" s="99" t="s">
        <v>2391</v>
      </c>
      <c r="K1943" s="99" t="s">
        <v>127</v>
      </c>
    </row>
    <row r="1944" spans="2:11" x14ac:dyDescent="0.3">
      <c r="B1944" s="99" t="s">
        <v>572</v>
      </c>
      <c r="C1944" s="100">
        <v>46014</v>
      </c>
      <c r="D1944" s="99" t="s">
        <v>14</v>
      </c>
      <c r="E1944" s="99" t="s">
        <v>15</v>
      </c>
      <c r="F1944" s="99" t="s">
        <v>16</v>
      </c>
      <c r="G1944" s="99">
        <v>42</v>
      </c>
      <c r="H1944" s="112">
        <v>350000</v>
      </c>
      <c r="I1944" s="112">
        <v>14700000</v>
      </c>
      <c r="J1944" s="99" t="s">
        <v>2359</v>
      </c>
      <c r="K1944" s="99" t="s">
        <v>127</v>
      </c>
    </row>
    <row r="1945" spans="2:11" x14ac:dyDescent="0.3">
      <c r="B1945" s="99" t="s">
        <v>595</v>
      </c>
      <c r="C1945" s="100">
        <v>46014</v>
      </c>
      <c r="D1945" s="99" t="s">
        <v>18</v>
      </c>
      <c r="E1945" s="99" t="s">
        <v>19</v>
      </c>
      <c r="F1945" s="99" t="s">
        <v>20</v>
      </c>
      <c r="G1945" s="99">
        <v>28</v>
      </c>
      <c r="H1945" s="112">
        <v>500000</v>
      </c>
      <c r="I1945" s="112">
        <v>14000000</v>
      </c>
      <c r="J1945" s="99" t="s">
        <v>2724</v>
      </c>
      <c r="K1945" s="99" t="s">
        <v>47</v>
      </c>
    </row>
    <row r="1946" spans="2:11" x14ac:dyDescent="0.3">
      <c r="B1946" s="99" t="s">
        <v>608</v>
      </c>
      <c r="C1946" s="100">
        <v>46014</v>
      </c>
      <c r="D1946" s="99" t="s">
        <v>31</v>
      </c>
      <c r="E1946" s="99" t="s">
        <v>32</v>
      </c>
      <c r="F1946" s="99" t="s">
        <v>20</v>
      </c>
      <c r="G1946" s="99">
        <v>7</v>
      </c>
      <c r="H1946" s="112">
        <v>180000</v>
      </c>
      <c r="I1946" s="112">
        <v>1260000</v>
      </c>
      <c r="J1946" s="99" t="s">
        <v>2844</v>
      </c>
      <c r="K1946" s="99" t="s">
        <v>47</v>
      </c>
    </row>
    <row r="1947" spans="2:11" x14ac:dyDescent="0.3">
      <c r="B1947" s="99" t="s">
        <v>609</v>
      </c>
      <c r="C1947" s="100">
        <v>46014</v>
      </c>
      <c r="D1947" s="99" t="s">
        <v>18</v>
      </c>
      <c r="E1947" s="99" t="s">
        <v>19</v>
      </c>
      <c r="F1947" s="99" t="s">
        <v>20</v>
      </c>
      <c r="G1947" s="99">
        <v>39</v>
      </c>
      <c r="H1947" s="112">
        <v>500000</v>
      </c>
      <c r="I1947" s="112">
        <v>19500000</v>
      </c>
      <c r="J1947" s="99" t="s">
        <v>2153</v>
      </c>
      <c r="K1947" s="99" t="s">
        <v>127</v>
      </c>
    </row>
    <row r="1948" spans="2:11" x14ac:dyDescent="0.3">
      <c r="B1948" s="99" t="s">
        <v>610</v>
      </c>
      <c r="C1948" s="100">
        <v>46014</v>
      </c>
      <c r="D1948" s="99" t="s">
        <v>31</v>
      </c>
      <c r="E1948" s="99" t="s">
        <v>32</v>
      </c>
      <c r="F1948" s="99" t="s">
        <v>20</v>
      </c>
      <c r="G1948" s="99">
        <v>48</v>
      </c>
      <c r="H1948" s="112">
        <v>180000</v>
      </c>
      <c r="I1948" s="112">
        <v>8640000</v>
      </c>
      <c r="J1948" s="99" t="s">
        <v>2575</v>
      </c>
      <c r="K1948" s="99" t="s">
        <v>8</v>
      </c>
    </row>
    <row r="1949" spans="2:11" x14ac:dyDescent="0.3">
      <c r="B1949" s="99" t="s">
        <v>611</v>
      </c>
      <c r="C1949" s="100">
        <v>46014</v>
      </c>
      <c r="D1949" s="99" t="s">
        <v>22</v>
      </c>
      <c r="E1949" s="99" t="s">
        <v>23</v>
      </c>
      <c r="F1949" s="99" t="s">
        <v>12</v>
      </c>
      <c r="G1949" s="99">
        <v>80</v>
      </c>
      <c r="H1949" s="112">
        <v>25000</v>
      </c>
      <c r="I1949" s="112">
        <v>2000000</v>
      </c>
      <c r="J1949" s="99" t="s">
        <v>2686</v>
      </c>
      <c r="K1949" s="99" t="s">
        <v>8</v>
      </c>
    </row>
    <row r="1950" spans="2:11" x14ac:dyDescent="0.3">
      <c r="B1950" s="99" t="s">
        <v>612</v>
      </c>
      <c r="C1950" s="100">
        <v>46014</v>
      </c>
      <c r="D1950" s="99" t="s">
        <v>14</v>
      </c>
      <c r="E1950" s="99" t="s">
        <v>15</v>
      </c>
      <c r="F1950" s="99" t="s">
        <v>16</v>
      </c>
      <c r="G1950" s="99">
        <v>25</v>
      </c>
      <c r="H1950" s="112">
        <v>350000</v>
      </c>
      <c r="I1950" s="112">
        <v>8750000</v>
      </c>
      <c r="J1950" s="99" t="s">
        <v>2347</v>
      </c>
      <c r="K1950" s="99" t="s">
        <v>69</v>
      </c>
    </row>
    <row r="1951" spans="2:11" x14ac:dyDescent="0.3">
      <c r="B1951" s="99" t="s">
        <v>613</v>
      </c>
      <c r="C1951" s="100">
        <v>46014</v>
      </c>
      <c r="D1951" s="99" t="s">
        <v>44</v>
      </c>
      <c r="E1951" s="99" t="s">
        <v>45</v>
      </c>
      <c r="F1951" s="99" t="s">
        <v>16</v>
      </c>
      <c r="G1951" s="99">
        <v>47</v>
      </c>
      <c r="H1951" s="112">
        <v>250000</v>
      </c>
      <c r="I1951" s="112">
        <v>11750000</v>
      </c>
      <c r="J1951" s="99" t="s">
        <v>2140</v>
      </c>
      <c r="K1951" s="99" t="s">
        <v>127</v>
      </c>
    </row>
    <row r="1952" spans="2:11" x14ac:dyDescent="0.3">
      <c r="B1952" s="99" t="s">
        <v>614</v>
      </c>
      <c r="C1952" s="100">
        <v>46015</v>
      </c>
      <c r="D1952" s="99" t="s">
        <v>18</v>
      </c>
      <c r="E1952" s="99" t="s">
        <v>19</v>
      </c>
      <c r="F1952" s="99" t="s">
        <v>20</v>
      </c>
      <c r="G1952" s="99">
        <v>12</v>
      </c>
      <c r="H1952" s="112">
        <v>500000</v>
      </c>
      <c r="I1952" s="112">
        <v>6000000</v>
      </c>
      <c r="J1952" s="99" t="s">
        <v>2820</v>
      </c>
      <c r="K1952" s="99" t="s">
        <v>127</v>
      </c>
    </row>
    <row r="1953" spans="2:11" x14ac:dyDescent="0.3">
      <c r="B1953" s="99" t="s">
        <v>637</v>
      </c>
      <c r="C1953" s="100">
        <v>46015</v>
      </c>
      <c r="D1953" s="99" t="s">
        <v>22</v>
      </c>
      <c r="E1953" s="99" t="s">
        <v>23</v>
      </c>
      <c r="F1953" s="99" t="s">
        <v>12</v>
      </c>
      <c r="G1953" s="99">
        <v>47</v>
      </c>
      <c r="H1953" s="112">
        <v>25000</v>
      </c>
      <c r="I1953" s="112">
        <v>1175000</v>
      </c>
      <c r="J1953" s="99" t="s">
        <v>2565</v>
      </c>
      <c r="K1953" s="99" t="s">
        <v>8</v>
      </c>
    </row>
    <row r="1954" spans="2:11" x14ac:dyDescent="0.3">
      <c r="B1954" s="99" t="s">
        <v>638</v>
      </c>
      <c r="C1954" s="100">
        <v>46015</v>
      </c>
      <c r="D1954" s="99" t="s">
        <v>44</v>
      </c>
      <c r="E1954" s="99" t="s">
        <v>45</v>
      </c>
      <c r="F1954" s="99" t="s">
        <v>16</v>
      </c>
      <c r="G1954" s="99">
        <v>27</v>
      </c>
      <c r="H1954" s="112">
        <v>250000</v>
      </c>
      <c r="I1954" s="112">
        <v>6750000</v>
      </c>
      <c r="J1954" s="99" t="s">
        <v>2756</v>
      </c>
      <c r="K1954" s="99" t="s">
        <v>47</v>
      </c>
    </row>
    <row r="1955" spans="2:11" x14ac:dyDescent="0.3">
      <c r="B1955" s="99" t="s">
        <v>639</v>
      </c>
      <c r="C1955" s="100">
        <v>46015</v>
      </c>
      <c r="D1955" s="99" t="s">
        <v>28</v>
      </c>
      <c r="E1955" s="99" t="s">
        <v>29</v>
      </c>
      <c r="F1955" s="99" t="s">
        <v>20</v>
      </c>
      <c r="G1955" s="99">
        <v>26</v>
      </c>
      <c r="H1955" s="112">
        <v>450000</v>
      </c>
      <c r="I1955" s="112">
        <v>11700000</v>
      </c>
      <c r="J1955" s="99" t="s">
        <v>2606</v>
      </c>
      <c r="K1955" s="99" t="s">
        <v>47</v>
      </c>
    </row>
    <row r="1956" spans="2:11" x14ac:dyDescent="0.3">
      <c r="B1956" s="99" t="s">
        <v>640</v>
      </c>
      <c r="C1956" s="100">
        <v>46015</v>
      </c>
      <c r="D1956" s="99" t="s">
        <v>28</v>
      </c>
      <c r="E1956" s="99" t="s">
        <v>29</v>
      </c>
      <c r="F1956" s="99" t="s">
        <v>20</v>
      </c>
      <c r="G1956" s="99">
        <v>43</v>
      </c>
      <c r="H1956" s="112">
        <v>450000</v>
      </c>
      <c r="I1956" s="112">
        <v>19350000</v>
      </c>
      <c r="J1956" s="99" t="s">
        <v>2698</v>
      </c>
      <c r="K1956" s="99" t="s">
        <v>8</v>
      </c>
    </row>
    <row r="1957" spans="2:11" x14ac:dyDescent="0.3">
      <c r="B1957" s="99" t="s">
        <v>641</v>
      </c>
      <c r="C1957" s="100">
        <v>46015</v>
      </c>
      <c r="D1957" s="99" t="s">
        <v>31</v>
      </c>
      <c r="E1957" s="99" t="s">
        <v>32</v>
      </c>
      <c r="F1957" s="99" t="s">
        <v>20</v>
      </c>
      <c r="G1957" s="99">
        <v>38</v>
      </c>
      <c r="H1957" s="112">
        <v>180000</v>
      </c>
      <c r="I1957" s="112">
        <v>6840000</v>
      </c>
      <c r="J1957" s="99" t="s">
        <v>2462</v>
      </c>
      <c r="K1957" s="99" t="s">
        <v>60</v>
      </c>
    </row>
    <row r="1958" spans="2:11" x14ac:dyDescent="0.3">
      <c r="B1958" s="99" t="s">
        <v>667</v>
      </c>
      <c r="C1958" s="100">
        <v>46015</v>
      </c>
      <c r="D1958" s="99" t="s">
        <v>22</v>
      </c>
      <c r="E1958" s="99" t="s">
        <v>23</v>
      </c>
      <c r="F1958" s="99" t="s">
        <v>12</v>
      </c>
      <c r="G1958" s="99">
        <v>46</v>
      </c>
      <c r="H1958" s="112">
        <v>25000</v>
      </c>
      <c r="I1958" s="112">
        <v>1150000</v>
      </c>
      <c r="J1958" s="99" t="s">
        <v>287</v>
      </c>
      <c r="K1958" s="99" t="s">
        <v>69</v>
      </c>
    </row>
    <row r="1959" spans="2:11" x14ac:dyDescent="0.3">
      <c r="B1959" s="99" t="s">
        <v>668</v>
      </c>
      <c r="C1959" s="100">
        <v>46015</v>
      </c>
      <c r="D1959" s="99" t="s">
        <v>42</v>
      </c>
      <c r="E1959" s="99" t="s">
        <v>43</v>
      </c>
      <c r="F1959" s="99" t="s">
        <v>16</v>
      </c>
      <c r="G1959" s="99">
        <v>230</v>
      </c>
      <c r="H1959" s="112">
        <v>1200000</v>
      </c>
      <c r="I1959" s="112">
        <v>276000000</v>
      </c>
      <c r="J1959" s="99" t="s">
        <v>2577</v>
      </c>
      <c r="K1959" s="99" t="s">
        <v>47</v>
      </c>
    </row>
    <row r="1960" spans="2:11" x14ac:dyDescent="0.3">
      <c r="B1960" s="99" t="s">
        <v>669</v>
      </c>
      <c r="C1960" s="100">
        <v>46015</v>
      </c>
      <c r="D1960" s="99" t="s">
        <v>14</v>
      </c>
      <c r="E1960" s="99" t="s">
        <v>15</v>
      </c>
      <c r="F1960" s="99" t="s">
        <v>16</v>
      </c>
      <c r="G1960" s="99">
        <v>30</v>
      </c>
      <c r="H1960" s="112">
        <v>350000</v>
      </c>
      <c r="I1960" s="112">
        <v>10500000</v>
      </c>
      <c r="J1960" s="99" t="s">
        <v>2746</v>
      </c>
      <c r="K1960" s="99" t="s">
        <v>127</v>
      </c>
    </row>
    <row r="1961" spans="2:11" x14ac:dyDescent="0.3">
      <c r="B1961" s="99" t="s">
        <v>705</v>
      </c>
      <c r="C1961" s="100">
        <v>46015</v>
      </c>
      <c r="D1961" s="99" t="s">
        <v>31</v>
      </c>
      <c r="E1961" s="99" t="s">
        <v>32</v>
      </c>
      <c r="F1961" s="99" t="s">
        <v>20</v>
      </c>
      <c r="G1961" s="99">
        <v>16</v>
      </c>
      <c r="H1961" s="112">
        <v>180000</v>
      </c>
      <c r="I1961" s="112">
        <v>2880000</v>
      </c>
      <c r="J1961" s="99" t="s">
        <v>2155</v>
      </c>
      <c r="K1961" s="99" t="s">
        <v>69</v>
      </c>
    </row>
    <row r="1962" spans="2:11" x14ac:dyDescent="0.3">
      <c r="B1962" s="99" t="s">
        <v>706</v>
      </c>
      <c r="C1962" s="100">
        <v>46015</v>
      </c>
      <c r="D1962" s="99" t="s">
        <v>31</v>
      </c>
      <c r="E1962" s="99" t="s">
        <v>32</v>
      </c>
      <c r="F1962" s="99" t="s">
        <v>20</v>
      </c>
      <c r="G1962" s="99">
        <v>7</v>
      </c>
      <c r="H1962" s="112">
        <v>180000</v>
      </c>
      <c r="I1962" s="112">
        <v>1260000</v>
      </c>
      <c r="J1962" s="99" t="s">
        <v>2781</v>
      </c>
      <c r="K1962" s="99" t="s">
        <v>127</v>
      </c>
    </row>
    <row r="1963" spans="2:11" x14ac:dyDescent="0.3">
      <c r="B1963" s="99" t="s">
        <v>707</v>
      </c>
      <c r="C1963" s="100">
        <v>46015</v>
      </c>
      <c r="D1963" s="99" t="s">
        <v>22</v>
      </c>
      <c r="E1963" s="99" t="s">
        <v>23</v>
      </c>
      <c r="F1963" s="99" t="s">
        <v>12</v>
      </c>
      <c r="G1963" s="99">
        <v>34</v>
      </c>
      <c r="H1963" s="112">
        <v>25000</v>
      </c>
      <c r="I1963" s="112">
        <v>850000</v>
      </c>
      <c r="J1963" s="99" t="s">
        <v>2732</v>
      </c>
      <c r="K1963" s="99" t="s">
        <v>60</v>
      </c>
    </row>
    <row r="1964" spans="2:11" x14ac:dyDescent="0.3">
      <c r="B1964" s="99" t="s">
        <v>708</v>
      </c>
      <c r="C1964" s="100">
        <v>46016</v>
      </c>
      <c r="D1964" s="99" t="s">
        <v>40</v>
      </c>
      <c r="E1964" s="99" t="s">
        <v>41</v>
      </c>
      <c r="F1964" s="99" t="s">
        <v>16</v>
      </c>
      <c r="G1964" s="99">
        <v>7</v>
      </c>
      <c r="H1964" s="112">
        <v>950000</v>
      </c>
      <c r="I1964" s="112">
        <v>6650000</v>
      </c>
      <c r="J1964" s="99" t="s">
        <v>2710</v>
      </c>
      <c r="K1964" s="99" t="s">
        <v>47</v>
      </c>
    </row>
    <row r="1965" spans="2:11" x14ac:dyDescent="0.3">
      <c r="B1965" s="99" t="s">
        <v>747</v>
      </c>
      <c r="C1965" s="100">
        <v>46016</v>
      </c>
      <c r="D1965" s="99" t="s">
        <v>18</v>
      </c>
      <c r="E1965" s="99" t="s">
        <v>19</v>
      </c>
      <c r="F1965" s="99" t="s">
        <v>20</v>
      </c>
      <c r="G1965" s="99">
        <v>26</v>
      </c>
      <c r="H1965" s="112">
        <v>500000</v>
      </c>
      <c r="I1965" s="112">
        <v>13000000</v>
      </c>
      <c r="J1965" s="99" t="s">
        <v>2612</v>
      </c>
      <c r="K1965" s="99" t="s">
        <v>60</v>
      </c>
    </row>
    <row r="1966" spans="2:11" x14ac:dyDescent="0.3">
      <c r="B1966" s="99" t="s">
        <v>748</v>
      </c>
      <c r="C1966" s="100">
        <v>46016</v>
      </c>
      <c r="D1966" s="99" t="s">
        <v>44</v>
      </c>
      <c r="E1966" s="99" t="s">
        <v>45</v>
      </c>
      <c r="F1966" s="99" t="s">
        <v>16</v>
      </c>
      <c r="G1966" s="99">
        <v>21</v>
      </c>
      <c r="H1966" s="112">
        <v>250000</v>
      </c>
      <c r="I1966" s="112">
        <v>5250000</v>
      </c>
      <c r="J1966" s="99" t="s">
        <v>46</v>
      </c>
      <c r="K1966" s="99" t="s">
        <v>127</v>
      </c>
    </row>
    <row r="1967" spans="2:11" x14ac:dyDescent="0.3">
      <c r="B1967" s="99" t="s">
        <v>766</v>
      </c>
      <c r="C1967" s="100">
        <v>46016</v>
      </c>
      <c r="D1967" s="99" t="s">
        <v>22</v>
      </c>
      <c r="E1967" s="99" t="s">
        <v>23</v>
      </c>
      <c r="F1967" s="99" t="s">
        <v>12</v>
      </c>
      <c r="G1967" s="99">
        <v>30</v>
      </c>
      <c r="H1967" s="112">
        <v>25000</v>
      </c>
      <c r="I1967" s="112">
        <v>750000</v>
      </c>
      <c r="J1967" s="99" t="s">
        <v>2761</v>
      </c>
      <c r="K1967" s="99" t="s">
        <v>69</v>
      </c>
    </row>
    <row r="1968" spans="2:11" x14ac:dyDescent="0.3">
      <c r="B1968" s="99" t="s">
        <v>767</v>
      </c>
      <c r="C1968" s="100">
        <v>46016</v>
      </c>
      <c r="D1968" s="99" t="s">
        <v>38</v>
      </c>
      <c r="E1968" s="99" t="s">
        <v>39</v>
      </c>
      <c r="F1968" s="99" t="s">
        <v>16</v>
      </c>
      <c r="G1968" s="99">
        <v>21</v>
      </c>
      <c r="H1968" s="112">
        <v>200000</v>
      </c>
      <c r="I1968" s="112">
        <v>4200000</v>
      </c>
      <c r="J1968" s="99" t="s">
        <v>2829</v>
      </c>
      <c r="K1968" s="99" t="s">
        <v>69</v>
      </c>
    </row>
    <row r="1969" spans="2:11" x14ac:dyDescent="0.3">
      <c r="B1969" s="99" t="s">
        <v>768</v>
      </c>
      <c r="C1969" s="100">
        <v>46016</v>
      </c>
      <c r="D1969" s="99" t="s">
        <v>38</v>
      </c>
      <c r="E1969" s="99" t="s">
        <v>39</v>
      </c>
      <c r="F1969" s="99" t="s">
        <v>16</v>
      </c>
      <c r="G1969" s="99">
        <v>440</v>
      </c>
      <c r="H1969" s="112">
        <v>200000</v>
      </c>
      <c r="I1969" s="112">
        <v>88000000</v>
      </c>
      <c r="J1969" s="99" t="s">
        <v>2149</v>
      </c>
      <c r="K1969" s="99" t="s">
        <v>127</v>
      </c>
    </row>
    <row r="1970" spans="2:11" x14ac:dyDescent="0.3">
      <c r="B1970" s="99" t="s">
        <v>769</v>
      </c>
      <c r="C1970" s="100">
        <v>46016</v>
      </c>
      <c r="D1970" s="99" t="s">
        <v>40</v>
      </c>
      <c r="E1970" s="99" t="s">
        <v>41</v>
      </c>
      <c r="F1970" s="99" t="s">
        <v>16</v>
      </c>
      <c r="G1970" s="99">
        <v>460</v>
      </c>
      <c r="H1970" s="112">
        <v>950000</v>
      </c>
      <c r="I1970" s="112">
        <v>437000000</v>
      </c>
      <c r="J1970" s="99" t="s">
        <v>2496</v>
      </c>
      <c r="K1970" s="99" t="s">
        <v>60</v>
      </c>
    </row>
    <row r="1971" spans="2:11" x14ac:dyDescent="0.3">
      <c r="B1971" s="99" t="s">
        <v>770</v>
      </c>
      <c r="C1971" s="100">
        <v>46016</v>
      </c>
      <c r="D1971" s="99" t="s">
        <v>40</v>
      </c>
      <c r="E1971" s="99" t="s">
        <v>41</v>
      </c>
      <c r="F1971" s="99" t="s">
        <v>16</v>
      </c>
      <c r="G1971" s="99">
        <v>11</v>
      </c>
      <c r="H1971" s="112">
        <v>950000</v>
      </c>
      <c r="I1971" s="112">
        <v>10450000</v>
      </c>
      <c r="J1971" s="99" t="s">
        <v>2391</v>
      </c>
      <c r="K1971" s="99" t="s">
        <v>127</v>
      </c>
    </row>
    <row r="1972" spans="2:11" x14ac:dyDescent="0.3">
      <c r="B1972" s="99" t="s">
        <v>791</v>
      </c>
      <c r="C1972" s="100">
        <v>46016</v>
      </c>
      <c r="D1972" s="99" t="s">
        <v>42</v>
      </c>
      <c r="E1972" s="99" t="s">
        <v>43</v>
      </c>
      <c r="F1972" s="99" t="s">
        <v>16</v>
      </c>
      <c r="G1972" s="99">
        <v>18</v>
      </c>
      <c r="H1972" s="112">
        <v>1200000</v>
      </c>
      <c r="I1972" s="112">
        <v>21600000</v>
      </c>
      <c r="J1972" s="99" t="s">
        <v>2128</v>
      </c>
      <c r="K1972" s="99" t="s">
        <v>69</v>
      </c>
    </row>
    <row r="1973" spans="2:11" x14ac:dyDescent="0.3">
      <c r="B1973" s="99" t="s">
        <v>807</v>
      </c>
      <c r="C1973" s="100">
        <v>46016</v>
      </c>
      <c r="D1973" s="99" t="s">
        <v>40</v>
      </c>
      <c r="E1973" s="99" t="s">
        <v>41</v>
      </c>
      <c r="F1973" s="99" t="s">
        <v>16</v>
      </c>
      <c r="G1973" s="99">
        <v>39</v>
      </c>
      <c r="H1973" s="112">
        <v>950000</v>
      </c>
      <c r="I1973" s="112">
        <v>37050000</v>
      </c>
      <c r="J1973" s="99" t="s">
        <v>2126</v>
      </c>
      <c r="K1973" s="99" t="s">
        <v>127</v>
      </c>
    </row>
    <row r="1974" spans="2:11" x14ac:dyDescent="0.3">
      <c r="B1974" s="99" t="s">
        <v>808</v>
      </c>
      <c r="C1974" s="100">
        <v>46017</v>
      </c>
      <c r="D1974" s="99" t="s">
        <v>14</v>
      </c>
      <c r="E1974" s="99" t="s">
        <v>15</v>
      </c>
      <c r="F1974" s="99" t="s">
        <v>16</v>
      </c>
      <c r="G1974" s="99">
        <v>32</v>
      </c>
      <c r="H1974" s="112">
        <v>350000</v>
      </c>
      <c r="I1974" s="112">
        <v>11200000</v>
      </c>
      <c r="J1974" s="99" t="s">
        <v>2630</v>
      </c>
      <c r="K1974" s="99" t="s">
        <v>8</v>
      </c>
    </row>
    <row r="1975" spans="2:11" x14ac:dyDescent="0.3">
      <c r="B1975" s="99" t="s">
        <v>809</v>
      </c>
      <c r="C1975" s="100">
        <v>46017</v>
      </c>
      <c r="D1975" s="99" t="s">
        <v>18</v>
      </c>
      <c r="E1975" s="99" t="s">
        <v>19</v>
      </c>
      <c r="F1975" s="99" t="s">
        <v>20</v>
      </c>
      <c r="G1975" s="99">
        <v>430</v>
      </c>
      <c r="H1975" s="112">
        <v>500000</v>
      </c>
      <c r="I1975" s="112">
        <v>215000000</v>
      </c>
      <c r="J1975" s="99" t="s">
        <v>2688</v>
      </c>
      <c r="K1975" s="99" t="s">
        <v>60</v>
      </c>
    </row>
    <row r="1976" spans="2:11" x14ac:dyDescent="0.3">
      <c r="B1976" s="99" t="s">
        <v>821</v>
      </c>
      <c r="C1976" s="100">
        <v>46017</v>
      </c>
      <c r="D1976" s="99" t="s">
        <v>31</v>
      </c>
      <c r="E1976" s="99" t="s">
        <v>32</v>
      </c>
      <c r="F1976" s="99" t="s">
        <v>20</v>
      </c>
      <c r="G1976" s="99">
        <v>21</v>
      </c>
      <c r="H1976" s="112">
        <v>180000</v>
      </c>
      <c r="I1976" s="112">
        <v>3780000</v>
      </c>
      <c r="J1976" s="99" t="s">
        <v>2344</v>
      </c>
      <c r="K1976" s="99" t="s">
        <v>47</v>
      </c>
    </row>
    <row r="1977" spans="2:11" x14ac:dyDescent="0.3">
      <c r="B1977" s="99" t="s">
        <v>822</v>
      </c>
      <c r="C1977" s="100">
        <v>46017</v>
      </c>
      <c r="D1977" s="99" t="s">
        <v>28</v>
      </c>
      <c r="E1977" s="99" t="s">
        <v>29</v>
      </c>
      <c r="F1977" s="99" t="s">
        <v>20</v>
      </c>
      <c r="G1977" s="99">
        <v>370</v>
      </c>
      <c r="H1977" s="112">
        <v>450000</v>
      </c>
      <c r="I1977" s="112">
        <v>166500000</v>
      </c>
      <c r="J1977" s="99" t="s">
        <v>2291</v>
      </c>
      <c r="K1977" s="99" t="s">
        <v>127</v>
      </c>
    </row>
    <row r="1978" spans="2:11" x14ac:dyDescent="0.3">
      <c r="B1978" s="99" t="s">
        <v>823</v>
      </c>
      <c r="C1978" s="100">
        <v>46017</v>
      </c>
      <c r="D1978" s="99" t="s">
        <v>10</v>
      </c>
      <c r="E1978" s="99" t="s">
        <v>11</v>
      </c>
      <c r="F1978" s="99" t="s">
        <v>12</v>
      </c>
      <c r="G1978" s="99">
        <v>30</v>
      </c>
      <c r="H1978" s="112">
        <v>120000</v>
      </c>
      <c r="I1978" s="112">
        <v>3600000</v>
      </c>
      <c r="J1978" s="99" t="s">
        <v>2250</v>
      </c>
      <c r="K1978" s="99" t="s">
        <v>69</v>
      </c>
    </row>
    <row r="1979" spans="2:11" x14ac:dyDescent="0.3">
      <c r="B1979" s="99" t="s">
        <v>836</v>
      </c>
      <c r="C1979" s="100">
        <v>46017</v>
      </c>
      <c r="D1979" s="99" t="s">
        <v>31</v>
      </c>
      <c r="E1979" s="99" t="s">
        <v>32</v>
      </c>
      <c r="F1979" s="99" t="s">
        <v>20</v>
      </c>
      <c r="G1979" s="99">
        <v>360</v>
      </c>
      <c r="H1979" s="112">
        <v>180000</v>
      </c>
      <c r="I1979" s="112">
        <v>64800000</v>
      </c>
      <c r="J1979" s="99" t="s">
        <v>2197</v>
      </c>
      <c r="K1979" s="99" t="s">
        <v>8</v>
      </c>
    </row>
    <row r="1980" spans="2:11" x14ac:dyDescent="0.3">
      <c r="B1980" s="99" t="s">
        <v>837</v>
      </c>
      <c r="C1980" s="100">
        <v>46017</v>
      </c>
      <c r="D1980" s="99" t="s">
        <v>14</v>
      </c>
      <c r="E1980" s="99" t="s">
        <v>15</v>
      </c>
      <c r="F1980" s="99" t="s">
        <v>16</v>
      </c>
      <c r="G1980" s="99">
        <v>8</v>
      </c>
      <c r="H1980" s="112">
        <v>350000</v>
      </c>
      <c r="I1980" s="112">
        <v>2800000</v>
      </c>
      <c r="J1980" s="99" t="s">
        <v>2612</v>
      </c>
      <c r="K1980" s="99" t="s">
        <v>60</v>
      </c>
    </row>
    <row r="1981" spans="2:11" x14ac:dyDescent="0.3">
      <c r="B1981" s="99" t="s">
        <v>838</v>
      </c>
      <c r="C1981" s="100">
        <v>46017</v>
      </c>
      <c r="D1981" s="99" t="s">
        <v>22</v>
      </c>
      <c r="E1981" s="99" t="s">
        <v>23</v>
      </c>
      <c r="F1981" s="99" t="s">
        <v>12</v>
      </c>
      <c r="G1981" s="99">
        <v>48</v>
      </c>
      <c r="H1981" s="112">
        <v>25000</v>
      </c>
      <c r="I1981" s="112">
        <v>1200000</v>
      </c>
      <c r="J1981" s="99" t="s">
        <v>2656</v>
      </c>
      <c r="K1981" s="99" t="s">
        <v>127</v>
      </c>
    </row>
    <row r="1982" spans="2:11" x14ac:dyDescent="0.3">
      <c r="B1982" s="99" t="s">
        <v>839</v>
      </c>
      <c r="C1982" s="100">
        <v>46017</v>
      </c>
      <c r="D1982" s="99" t="s">
        <v>42</v>
      </c>
      <c r="E1982" s="99" t="s">
        <v>43</v>
      </c>
      <c r="F1982" s="99" t="s">
        <v>16</v>
      </c>
      <c r="G1982" s="99">
        <v>29</v>
      </c>
      <c r="H1982" s="112">
        <v>1200000</v>
      </c>
      <c r="I1982" s="112">
        <v>34800000</v>
      </c>
      <c r="J1982" s="99" t="s">
        <v>2705</v>
      </c>
      <c r="K1982" s="99" t="s">
        <v>69</v>
      </c>
    </row>
    <row r="1983" spans="2:11" x14ac:dyDescent="0.3">
      <c r="B1983" s="99" t="s">
        <v>849</v>
      </c>
      <c r="C1983" s="100">
        <v>46021</v>
      </c>
      <c r="D1983" s="99" t="s">
        <v>18</v>
      </c>
      <c r="E1983" s="99" t="s">
        <v>19</v>
      </c>
      <c r="F1983" s="99" t="s">
        <v>20</v>
      </c>
      <c r="G1983" s="99">
        <v>15</v>
      </c>
      <c r="H1983" s="112">
        <v>500000</v>
      </c>
      <c r="I1983" s="112">
        <v>7500000</v>
      </c>
      <c r="J1983" s="99" t="s">
        <v>2497</v>
      </c>
      <c r="K1983" s="99" t="s">
        <v>127</v>
      </c>
    </row>
    <row r="1984" spans="2:11" x14ac:dyDescent="0.3">
      <c r="B1984" s="99" t="s">
        <v>850</v>
      </c>
      <c r="C1984" s="100">
        <v>46021</v>
      </c>
      <c r="D1984" s="99" t="s">
        <v>38</v>
      </c>
      <c r="E1984" s="99" t="s">
        <v>39</v>
      </c>
      <c r="F1984" s="99" t="s">
        <v>16</v>
      </c>
      <c r="G1984" s="99">
        <v>39</v>
      </c>
      <c r="H1984" s="112">
        <v>200000</v>
      </c>
      <c r="I1984" s="112">
        <v>7800000</v>
      </c>
      <c r="J1984" s="99" t="s">
        <v>2616</v>
      </c>
      <c r="K1984" s="99" t="s">
        <v>60</v>
      </c>
    </row>
    <row r="1985" spans="2:11" x14ac:dyDescent="0.3">
      <c r="B1985" s="99" t="s">
        <v>851</v>
      </c>
      <c r="C1985" s="100">
        <v>46021</v>
      </c>
      <c r="D1985" s="99" t="s">
        <v>22</v>
      </c>
      <c r="E1985" s="99" t="s">
        <v>23</v>
      </c>
      <c r="F1985" s="99" t="s">
        <v>12</v>
      </c>
      <c r="G1985" s="99">
        <v>26</v>
      </c>
      <c r="H1985" s="112">
        <v>25000</v>
      </c>
      <c r="I1985" s="112">
        <v>650000</v>
      </c>
      <c r="J1985" s="99" t="s">
        <v>2175</v>
      </c>
      <c r="K1985" s="99" t="s">
        <v>127</v>
      </c>
    </row>
    <row r="1986" spans="2:11" x14ac:dyDescent="0.3">
      <c r="B1986" s="99" t="s">
        <v>852</v>
      </c>
      <c r="C1986" s="100">
        <v>46021</v>
      </c>
      <c r="D1986" s="99" t="s">
        <v>42</v>
      </c>
      <c r="E1986" s="99" t="s">
        <v>43</v>
      </c>
      <c r="F1986" s="99" t="s">
        <v>16</v>
      </c>
      <c r="G1986" s="99">
        <v>34</v>
      </c>
      <c r="H1986" s="112">
        <v>1200000</v>
      </c>
      <c r="I1986" s="112">
        <v>40800000</v>
      </c>
      <c r="J1986" s="99" t="s">
        <v>2681</v>
      </c>
      <c r="K1986" s="99" t="s">
        <v>47</v>
      </c>
    </row>
    <row r="1987" spans="2:11" x14ac:dyDescent="0.3">
      <c r="B1987" s="99" t="s">
        <v>862</v>
      </c>
      <c r="C1987" s="100">
        <v>46021</v>
      </c>
      <c r="D1987" s="99" t="s">
        <v>42</v>
      </c>
      <c r="E1987" s="99" t="s">
        <v>43</v>
      </c>
      <c r="F1987" s="99" t="s">
        <v>16</v>
      </c>
      <c r="G1987" s="99">
        <v>42</v>
      </c>
      <c r="H1987" s="112">
        <v>1200000</v>
      </c>
      <c r="I1987" s="112">
        <v>50400000</v>
      </c>
      <c r="J1987" s="99" t="s">
        <v>2378</v>
      </c>
      <c r="K1987" s="99" t="s">
        <v>60</v>
      </c>
    </row>
    <row r="1988" spans="2:11" x14ac:dyDescent="0.3">
      <c r="B1988" s="99" t="s">
        <v>876</v>
      </c>
      <c r="C1988" s="100">
        <v>46021</v>
      </c>
      <c r="D1988" s="99" t="s">
        <v>40</v>
      </c>
      <c r="E1988" s="99" t="s">
        <v>41</v>
      </c>
      <c r="F1988" s="99" t="s">
        <v>16</v>
      </c>
      <c r="G1988" s="99">
        <v>42</v>
      </c>
      <c r="H1988" s="112">
        <v>950000</v>
      </c>
      <c r="I1988" s="112">
        <v>39900000</v>
      </c>
      <c r="J1988" s="99" t="s">
        <v>2157</v>
      </c>
      <c r="K1988" s="99" t="s">
        <v>60</v>
      </c>
    </row>
    <row r="1989" spans="2:11" x14ac:dyDescent="0.3">
      <c r="B1989" s="99" t="s">
        <v>877</v>
      </c>
      <c r="C1989" s="100">
        <v>46021</v>
      </c>
      <c r="D1989" s="99" t="s">
        <v>31</v>
      </c>
      <c r="E1989" s="99" t="s">
        <v>32</v>
      </c>
      <c r="F1989" s="99" t="s">
        <v>20</v>
      </c>
      <c r="G1989" s="99">
        <v>25</v>
      </c>
      <c r="H1989" s="112">
        <v>180000</v>
      </c>
      <c r="I1989" s="112">
        <v>4500000</v>
      </c>
      <c r="J1989" s="99" t="s">
        <v>359</v>
      </c>
      <c r="K1989" s="99" t="s">
        <v>60</v>
      </c>
    </row>
    <row r="1990" spans="2:11" x14ac:dyDescent="0.3">
      <c r="B1990" s="99" t="s">
        <v>895</v>
      </c>
      <c r="C1990" s="100">
        <v>46021</v>
      </c>
      <c r="D1990" s="99" t="s">
        <v>10</v>
      </c>
      <c r="E1990" s="99" t="s">
        <v>11</v>
      </c>
      <c r="F1990" s="99" t="s">
        <v>12</v>
      </c>
      <c r="G1990" s="99">
        <v>420</v>
      </c>
      <c r="H1990" s="112">
        <v>120000</v>
      </c>
      <c r="I1990" s="112">
        <v>50400000</v>
      </c>
      <c r="J1990" s="99" t="s">
        <v>2266</v>
      </c>
      <c r="K1990" s="99" t="s">
        <v>8</v>
      </c>
    </row>
    <row r="1991" spans="2:11" x14ac:dyDescent="0.3">
      <c r="B1991" s="99" t="s">
        <v>896</v>
      </c>
      <c r="C1991" s="100">
        <v>46021</v>
      </c>
      <c r="D1991" s="99" t="s">
        <v>44</v>
      </c>
      <c r="E1991" s="99" t="s">
        <v>45</v>
      </c>
      <c r="F1991" s="99" t="s">
        <v>16</v>
      </c>
      <c r="G1991" s="99">
        <v>49</v>
      </c>
      <c r="H1991" s="112">
        <v>250000</v>
      </c>
      <c r="I1991" s="112">
        <v>12250000</v>
      </c>
      <c r="J1991" s="99" t="s">
        <v>2222</v>
      </c>
      <c r="K1991" s="99" t="s">
        <v>60</v>
      </c>
    </row>
    <row r="1992" spans="2:11" x14ac:dyDescent="0.3">
      <c r="B1992" s="99" t="s">
        <v>921</v>
      </c>
      <c r="C1992" s="100">
        <v>46021</v>
      </c>
      <c r="D1992" s="99" t="s">
        <v>22</v>
      </c>
      <c r="E1992" s="99" t="s">
        <v>23</v>
      </c>
      <c r="F1992" s="99" t="s">
        <v>12</v>
      </c>
      <c r="G1992" s="99">
        <v>17</v>
      </c>
      <c r="H1992" s="112">
        <v>25000</v>
      </c>
      <c r="I1992" s="112">
        <v>425000</v>
      </c>
      <c r="J1992" s="99" t="s">
        <v>840</v>
      </c>
      <c r="K1992" s="99" t="s">
        <v>127</v>
      </c>
    </row>
    <row r="1993" spans="2:11" x14ac:dyDescent="0.3">
      <c r="B1993" s="99" t="s">
        <v>922</v>
      </c>
      <c r="C1993" s="100">
        <v>46022</v>
      </c>
      <c r="D1993" s="99" t="s">
        <v>31</v>
      </c>
      <c r="E1993" s="99" t="s">
        <v>32</v>
      </c>
      <c r="F1993" s="99" t="s">
        <v>20</v>
      </c>
      <c r="G1993" s="99">
        <v>20</v>
      </c>
      <c r="H1993" s="112">
        <v>180000</v>
      </c>
      <c r="I1993" s="112">
        <v>3600000</v>
      </c>
      <c r="J1993" s="99" t="s">
        <v>2329</v>
      </c>
      <c r="K1993" s="99" t="s">
        <v>69</v>
      </c>
    </row>
    <row r="1994" spans="2:11" x14ac:dyDescent="0.3">
      <c r="B1994" s="99" t="s">
        <v>923</v>
      </c>
      <c r="C1994" s="100">
        <v>46022</v>
      </c>
      <c r="D1994" s="99" t="s">
        <v>38</v>
      </c>
      <c r="E1994" s="99" t="s">
        <v>39</v>
      </c>
      <c r="F1994" s="99" t="s">
        <v>16</v>
      </c>
      <c r="G1994" s="99">
        <v>14</v>
      </c>
      <c r="H1994" s="112">
        <v>200000</v>
      </c>
      <c r="I1994" s="112">
        <v>2800000</v>
      </c>
      <c r="J1994" s="99" t="s">
        <v>2669</v>
      </c>
      <c r="K1994" s="99" t="s">
        <v>8</v>
      </c>
    </row>
    <row r="1995" spans="2:11" x14ac:dyDescent="0.3">
      <c r="B1995" s="99" t="s">
        <v>957</v>
      </c>
      <c r="C1995" s="100">
        <v>46022</v>
      </c>
      <c r="D1995" s="99" t="s">
        <v>14</v>
      </c>
      <c r="E1995" s="99" t="s">
        <v>15</v>
      </c>
      <c r="F1995" s="99" t="s">
        <v>16</v>
      </c>
      <c r="G1995" s="99">
        <v>6</v>
      </c>
      <c r="H1995" s="112">
        <v>350000</v>
      </c>
      <c r="I1995" s="112">
        <v>2100000</v>
      </c>
      <c r="J1995" s="99" t="s">
        <v>2696</v>
      </c>
      <c r="K1995" s="99" t="s">
        <v>60</v>
      </c>
    </row>
    <row r="1996" spans="2:11" x14ac:dyDescent="0.3">
      <c r="B1996" s="99" t="s">
        <v>958</v>
      </c>
      <c r="C1996" s="100">
        <v>46022</v>
      </c>
      <c r="D1996" s="99" t="s">
        <v>44</v>
      </c>
      <c r="E1996" s="99" t="s">
        <v>45</v>
      </c>
      <c r="F1996" s="99" t="s">
        <v>16</v>
      </c>
      <c r="G1996" s="99">
        <v>45</v>
      </c>
      <c r="H1996" s="112">
        <v>250000</v>
      </c>
      <c r="I1996" s="112">
        <v>11250000</v>
      </c>
      <c r="J1996" s="99" t="s">
        <v>2772</v>
      </c>
      <c r="K1996" s="99" t="s">
        <v>47</v>
      </c>
    </row>
    <row r="1997" spans="2:11" x14ac:dyDescent="0.3">
      <c r="B1997" s="99" t="s">
        <v>959</v>
      </c>
      <c r="C1997" s="100">
        <v>46022</v>
      </c>
      <c r="D1997" s="99" t="s">
        <v>10</v>
      </c>
      <c r="E1997" s="99" t="s">
        <v>11</v>
      </c>
      <c r="F1997" s="99" t="s">
        <v>12</v>
      </c>
      <c r="G1997" s="99">
        <v>40</v>
      </c>
      <c r="H1997" s="112">
        <v>120000</v>
      </c>
      <c r="I1997" s="112">
        <v>4800000</v>
      </c>
      <c r="J1997" s="99" t="s">
        <v>2750</v>
      </c>
      <c r="K1997" s="99" t="s">
        <v>127</v>
      </c>
    </row>
    <row r="1998" spans="2:11" x14ac:dyDescent="0.3">
      <c r="B1998" s="99" t="s">
        <v>960</v>
      </c>
      <c r="C1998" s="100">
        <v>46022</v>
      </c>
      <c r="D1998" s="99" t="s">
        <v>40</v>
      </c>
      <c r="E1998" s="99" t="s">
        <v>41</v>
      </c>
      <c r="F1998" s="99" t="s">
        <v>16</v>
      </c>
      <c r="G1998" s="99">
        <v>44</v>
      </c>
      <c r="H1998" s="112">
        <v>950000</v>
      </c>
      <c r="I1998" s="112">
        <v>41800000</v>
      </c>
      <c r="J1998" s="99" t="s">
        <v>2485</v>
      </c>
      <c r="K1998" s="99" t="s">
        <v>127</v>
      </c>
    </row>
    <row r="1999" spans="2:11" x14ac:dyDescent="0.3">
      <c r="B1999" s="99" t="s">
        <v>961</v>
      </c>
      <c r="C1999" s="100">
        <v>46022</v>
      </c>
      <c r="D1999" s="99" t="s">
        <v>28</v>
      </c>
      <c r="E1999" s="99" t="s">
        <v>29</v>
      </c>
      <c r="F1999" s="99" t="s">
        <v>20</v>
      </c>
      <c r="G1999" s="99">
        <v>43</v>
      </c>
      <c r="H1999" s="112">
        <v>450000</v>
      </c>
      <c r="I1999" s="112">
        <v>19350000</v>
      </c>
      <c r="J1999" s="99" t="s">
        <v>2354</v>
      </c>
      <c r="K1999" s="99" t="s">
        <v>47</v>
      </c>
    </row>
    <row r="2000" spans="2:11" x14ac:dyDescent="0.3">
      <c r="B2000" s="99" t="s">
        <v>962</v>
      </c>
      <c r="C2000" s="100">
        <v>46022</v>
      </c>
      <c r="D2000" s="99" t="s">
        <v>31</v>
      </c>
      <c r="E2000" s="99" t="s">
        <v>32</v>
      </c>
      <c r="F2000" s="99" t="s">
        <v>20</v>
      </c>
      <c r="G2000" s="99">
        <v>25</v>
      </c>
      <c r="H2000" s="112">
        <v>180000</v>
      </c>
      <c r="I2000" s="112">
        <v>4500000</v>
      </c>
      <c r="J2000" s="99" t="s">
        <v>2823</v>
      </c>
      <c r="K2000" s="99" t="s">
        <v>69</v>
      </c>
    </row>
    <row r="2001" spans="2:11" x14ac:dyDescent="0.3">
      <c r="B2001" s="99" t="s">
        <v>963</v>
      </c>
      <c r="C2001" s="100">
        <v>46022</v>
      </c>
      <c r="D2001" s="99" t="s">
        <v>10</v>
      </c>
      <c r="E2001" s="99" t="s">
        <v>11</v>
      </c>
      <c r="F2001" s="99" t="s">
        <v>12</v>
      </c>
      <c r="G2001" s="99">
        <v>39</v>
      </c>
      <c r="H2001" s="112">
        <v>120000</v>
      </c>
      <c r="I2001" s="112">
        <v>4680000</v>
      </c>
      <c r="J2001" s="99" t="s">
        <v>2285</v>
      </c>
      <c r="K2001" s="99" t="s">
        <v>69</v>
      </c>
    </row>
    <row r="2002" spans="2:11" x14ac:dyDescent="0.3">
      <c r="B2002" s="99" t="s">
        <v>964</v>
      </c>
      <c r="C2002" s="100">
        <v>46022</v>
      </c>
      <c r="D2002" s="99" t="s">
        <v>18</v>
      </c>
      <c r="E2002" s="99" t="s">
        <v>19</v>
      </c>
      <c r="F2002" s="99" t="s">
        <v>20</v>
      </c>
      <c r="G2002" s="99">
        <v>19</v>
      </c>
      <c r="H2002" s="112">
        <v>500000</v>
      </c>
      <c r="I2002" s="112">
        <v>9500000</v>
      </c>
      <c r="J2002" s="99" t="s">
        <v>2532</v>
      </c>
      <c r="K2002" s="99" t="s">
        <v>47</v>
      </c>
    </row>
    <row r="2003" spans="2:11" x14ac:dyDescent="0.3">
      <c r="B2003" s="99" t="s">
        <v>965</v>
      </c>
      <c r="C2003" s="100">
        <v>46022</v>
      </c>
      <c r="D2003" s="99" t="s">
        <v>44</v>
      </c>
      <c r="E2003" s="99" t="s">
        <v>45</v>
      </c>
      <c r="F2003" s="99" t="s">
        <v>16</v>
      </c>
      <c r="G2003" s="99">
        <v>21</v>
      </c>
      <c r="H2003" s="112">
        <v>250000</v>
      </c>
      <c r="I2003" s="112">
        <v>5250000</v>
      </c>
      <c r="J2003" s="99" t="s">
        <v>2319</v>
      </c>
      <c r="K2003" s="99" t="s">
        <v>60</v>
      </c>
    </row>
    <row r="2004" spans="2:11" x14ac:dyDescent="0.3">
      <c r="B2004" s="99" t="s">
        <v>966</v>
      </c>
      <c r="C2004" s="100">
        <v>46022</v>
      </c>
      <c r="D2004" s="99" t="s">
        <v>22</v>
      </c>
      <c r="E2004" s="99" t="s">
        <v>23</v>
      </c>
      <c r="F2004" s="99" t="s">
        <v>12</v>
      </c>
      <c r="G2004" s="99">
        <v>6</v>
      </c>
      <c r="H2004" s="112">
        <v>25000</v>
      </c>
      <c r="I2004" s="112">
        <v>150000</v>
      </c>
      <c r="J2004" s="99" t="s">
        <v>2326</v>
      </c>
      <c r="K2004" s="99" t="s">
        <v>69</v>
      </c>
    </row>
    <row r="2005" spans="2:11" x14ac:dyDescent="0.3">
      <c r="B2005" s="99" t="s">
        <v>967</v>
      </c>
      <c r="C2005" s="100">
        <v>46022</v>
      </c>
      <c r="D2005" s="99" t="s">
        <v>44</v>
      </c>
      <c r="E2005" s="99" t="s">
        <v>45</v>
      </c>
      <c r="F2005" s="99" t="s">
        <v>16</v>
      </c>
      <c r="G2005" s="99">
        <v>11</v>
      </c>
      <c r="H2005" s="112">
        <v>250000</v>
      </c>
      <c r="I2005" s="112">
        <v>2750000</v>
      </c>
      <c r="J2005" s="99" t="s">
        <v>2141</v>
      </c>
      <c r="K2005" s="99" t="s">
        <v>8</v>
      </c>
    </row>
  </sheetData>
  <autoFilter ref="N5:Y817" xr:uid="{B01C227E-9767-4625-ACFC-9546A6BB46F2}"/>
  <sortState xmlns:xlrd2="http://schemas.microsoft.com/office/spreadsheetml/2017/richdata2" ref="N6:O817">
    <sortCondition ref="N6:N81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2D4D-F104-4775-80CB-5454C2E1711A}">
  <sheetPr>
    <tabColor theme="1" tint="4.9989318521683403E-2"/>
  </sheetPr>
  <dimension ref="A1:W2006"/>
  <sheetViews>
    <sheetView showGridLines="0" zoomScale="80" zoomScaleNormal="80" workbookViewId="0">
      <selection activeCell="H15" sqref="H15"/>
    </sheetView>
  </sheetViews>
  <sheetFormatPr defaultColWidth="8.77734375" defaultRowHeight="15.6" x14ac:dyDescent="0.3"/>
  <cols>
    <col min="1" max="1" width="21.77734375" style="91" customWidth="1"/>
    <col min="2" max="2" width="16.21875" style="92" bestFit="1" customWidth="1"/>
    <col min="3" max="3" width="3.88671875" style="92" customWidth="1"/>
    <col min="4" max="4" width="14.88671875" style="92" bestFit="1" customWidth="1"/>
    <col min="5" max="5" width="11.5546875" style="92" bestFit="1" customWidth="1"/>
    <col min="6" max="6" width="24.5546875" style="92" bestFit="1" customWidth="1"/>
    <col min="7" max="7" width="18.109375" style="92" bestFit="1" customWidth="1"/>
    <col min="8" max="8" width="38.5546875" style="92" bestFit="1" customWidth="1"/>
    <col min="9" max="10" width="4.6640625" style="92" customWidth="1"/>
    <col min="11" max="11" width="15" style="92" bestFit="1" customWidth="1"/>
    <col min="12" max="12" width="16.33203125" style="92" customWidth="1"/>
    <col min="13" max="13" width="18.44140625" style="92" bestFit="1" customWidth="1"/>
    <col min="14" max="14" width="9.21875" style="92" customWidth="1"/>
    <col min="15" max="15" width="16.21875" style="92" bestFit="1" customWidth="1"/>
    <col min="16" max="16" width="8.6640625" style="92" customWidth="1"/>
    <col min="17" max="18" width="3.88671875" style="92" customWidth="1"/>
    <col min="19" max="19" width="16.21875" style="92" bestFit="1" customWidth="1"/>
    <col min="20" max="20" width="10.6640625" style="92" bestFit="1" customWidth="1"/>
    <col min="21" max="21" width="19.77734375" style="92" bestFit="1" customWidth="1"/>
    <col min="22" max="22" width="20.109375" style="92" customWidth="1"/>
    <col min="23" max="23" width="8.88671875" style="92" bestFit="1" customWidth="1"/>
    <col min="24" max="16384" width="8.77734375" style="92"/>
  </cols>
  <sheetData>
    <row r="1" spans="1:23" s="87" customFormat="1" x14ac:dyDescent="0.3">
      <c r="A1" s="86" t="s">
        <v>2920</v>
      </c>
    </row>
    <row r="2" spans="1:23" s="89" customFormat="1" x14ac:dyDescent="0.3">
      <c r="A2" s="88" t="s">
        <v>2921</v>
      </c>
    </row>
    <row r="3" spans="1:23" s="89" customFormat="1" x14ac:dyDescent="0.3">
      <c r="A3" s="90" t="s">
        <v>3103</v>
      </c>
    </row>
    <row r="4" spans="1:23" x14ac:dyDescent="0.3">
      <c r="H4" s="92" t="s">
        <v>2858</v>
      </c>
    </row>
    <row r="5" spans="1:23" x14ac:dyDescent="0.3">
      <c r="F5" s="93" t="s">
        <v>3094</v>
      </c>
      <c r="G5" s="93" t="s">
        <v>3095</v>
      </c>
      <c r="H5" s="93" t="s">
        <v>3096</v>
      </c>
      <c r="L5" s="92" t="s">
        <v>2860</v>
      </c>
      <c r="V5" s="92" t="s">
        <v>2866</v>
      </c>
    </row>
    <row r="6" spans="1:23" x14ac:dyDescent="0.3">
      <c r="A6" s="94" t="s">
        <v>2854</v>
      </c>
      <c r="D6" s="95" t="s">
        <v>2116</v>
      </c>
      <c r="E6" s="94" t="s">
        <v>1</v>
      </c>
      <c r="F6" s="94" t="s">
        <v>2855</v>
      </c>
      <c r="G6" s="94" t="s">
        <v>2856</v>
      </c>
      <c r="H6" s="94" t="s">
        <v>2857</v>
      </c>
      <c r="K6" s="96" t="s">
        <v>2116</v>
      </c>
      <c r="L6" s="96" t="s">
        <v>2859</v>
      </c>
      <c r="M6" s="96" t="s">
        <v>2861</v>
      </c>
      <c r="N6" s="96" t="s">
        <v>2853</v>
      </c>
      <c r="O6" s="96" t="s">
        <v>2862</v>
      </c>
      <c r="P6" s="97" t="s">
        <v>2871</v>
      </c>
      <c r="S6" s="96" t="s">
        <v>2862</v>
      </c>
      <c r="T6" s="95" t="s">
        <v>2864</v>
      </c>
      <c r="U6" s="95" t="s">
        <v>2865</v>
      </c>
      <c r="V6" s="95" t="s">
        <v>2863</v>
      </c>
      <c r="W6" s="95" t="s">
        <v>3054</v>
      </c>
    </row>
    <row r="7" spans="1:23" x14ac:dyDescent="0.3">
      <c r="A7" s="98">
        <v>46023</v>
      </c>
      <c r="D7" s="99" t="s">
        <v>46</v>
      </c>
      <c r="E7" s="100">
        <v>45771</v>
      </c>
      <c r="F7" s="100">
        <f>IF(D7=D8,E8,"")</f>
        <v>46000</v>
      </c>
      <c r="G7" s="101">
        <f>IF(F7="","",F7-E7)</f>
        <v>229</v>
      </c>
      <c r="H7" s="102">
        <f>IF(G7="","",IF(G7&lt;=return_window,1,0))</f>
        <v>0</v>
      </c>
      <c r="K7" s="99" t="s">
        <v>46</v>
      </c>
      <c r="L7" s="102">
        <f>IF(SUMIFS($H$6:$H$2006,$D$6:$D$2006,K7),1,0)</f>
        <v>1</v>
      </c>
      <c r="M7" s="100">
        <v>46016</v>
      </c>
      <c r="N7" s="101">
        <v>7</v>
      </c>
      <c r="O7" s="101" t="str">
        <f>VLOOKUP(N7,$A$15:$B$19,2,TRUE)</f>
        <v>0-30</v>
      </c>
      <c r="P7" s="101" t="str">
        <f>IF(N7&lt;=recency_threshold,"High","Low")</f>
        <v>High</v>
      </c>
      <c r="S7" s="101" t="s">
        <v>3097</v>
      </c>
      <c r="T7" s="99">
        <f>COUNTIFS(O$7:O$818,S7)</f>
        <v>153</v>
      </c>
      <c r="U7" s="99">
        <f>COUNTIFS($O$7:$O$818,S7,$L$7:$L$818,1)</f>
        <v>61</v>
      </c>
      <c r="V7" s="103">
        <f>U7/T7</f>
        <v>0.39869281045751637</v>
      </c>
      <c r="W7" s="103"/>
    </row>
    <row r="8" spans="1:23" x14ac:dyDescent="0.3">
      <c r="D8" s="99" t="s">
        <v>46</v>
      </c>
      <c r="E8" s="100">
        <v>46000</v>
      </c>
      <c r="F8" s="100">
        <f>IF(D8=D9,E9,"")</f>
        <v>46016</v>
      </c>
      <c r="G8" s="101">
        <f>IF(F8="","",F8-E8)</f>
        <v>16</v>
      </c>
      <c r="H8" s="102">
        <f>IF(G8="","",IF(G8&lt;=return_window,1,0))</f>
        <v>1</v>
      </c>
      <c r="K8" s="99" t="s">
        <v>68</v>
      </c>
      <c r="L8" s="102">
        <f t="shared" ref="L8:L71" si="0">IF(SUMIFS($H$6:$H$2006,$D$6:$D$2006,K8),1,0)</f>
        <v>1</v>
      </c>
      <c r="M8" s="100">
        <v>45965</v>
      </c>
      <c r="N8" s="101">
        <v>58</v>
      </c>
      <c r="O8" s="101" t="str">
        <f t="shared" ref="O8:O71" si="1">VLOOKUP(N8,$A$15:$B$19,2,TRUE)</f>
        <v>31-60</v>
      </c>
      <c r="P8" s="101" t="str">
        <f t="shared" ref="P8:P70" si="2">IF(N8&lt;=recency_threshold,"High","Low")</f>
        <v>High</v>
      </c>
      <c r="S8" s="101" t="s">
        <v>3098</v>
      </c>
      <c r="T8" s="99">
        <f t="shared" ref="T8:T10" si="3">COUNTIFS(O$7:O$818,S8)</f>
        <v>127</v>
      </c>
      <c r="U8" s="99">
        <f t="shared" ref="U8:U10" si="4">COUNTIFS($O$7:$O$818,S8,$L$7:$L$818,1)</f>
        <v>51</v>
      </c>
      <c r="V8" s="103">
        <f t="shared" ref="V8:V9" si="5">U8/T8</f>
        <v>0.40157480314960631</v>
      </c>
      <c r="W8" s="103">
        <f>V8-V7</f>
        <v>2.8819926920899408E-3</v>
      </c>
    </row>
    <row r="9" spans="1:23" x14ac:dyDescent="0.3">
      <c r="A9" s="94" t="s">
        <v>3053</v>
      </c>
      <c r="D9" s="99" t="s">
        <v>46</v>
      </c>
      <c r="E9" s="100">
        <v>46016</v>
      </c>
      <c r="F9" s="100" t="str">
        <f>IF(D9=D10,E10,"")</f>
        <v/>
      </c>
      <c r="G9" s="101" t="str">
        <f t="shared" ref="G9:G71" si="6">IF(F9="","",F9-E9)</f>
        <v/>
      </c>
      <c r="H9" s="102" t="str">
        <f t="shared" ref="H9:H70" si="7">IF(G9="","",IF(G9&lt;=return_window,1,0))</f>
        <v/>
      </c>
      <c r="K9" s="99" t="s">
        <v>78</v>
      </c>
      <c r="L9" s="102">
        <f t="shared" si="0"/>
        <v>0</v>
      </c>
      <c r="M9" s="100">
        <v>45922</v>
      </c>
      <c r="N9" s="101">
        <v>101</v>
      </c>
      <c r="O9" s="101" t="str">
        <f t="shared" si="1"/>
        <v>90+</v>
      </c>
      <c r="P9" s="101" t="str">
        <f t="shared" si="2"/>
        <v>Low</v>
      </c>
      <c r="S9" s="101" t="s">
        <v>3099</v>
      </c>
      <c r="T9" s="99">
        <f t="shared" si="3"/>
        <v>109</v>
      </c>
      <c r="U9" s="99">
        <f t="shared" si="4"/>
        <v>30</v>
      </c>
      <c r="V9" s="103">
        <f t="shared" si="5"/>
        <v>0.27522935779816515</v>
      </c>
      <c r="W9" s="103">
        <f t="shared" ref="W9:W10" si="8">V9-V8</f>
        <v>-0.12634544535144115</v>
      </c>
    </row>
    <row r="10" spans="1:23" x14ac:dyDescent="0.3">
      <c r="A10" s="104">
        <v>30</v>
      </c>
      <c r="D10" s="99" t="s">
        <v>68</v>
      </c>
      <c r="E10" s="100">
        <v>45782</v>
      </c>
      <c r="F10" s="100">
        <f t="shared" ref="F10:F71" si="9">IF(D10=D11,E11,"")</f>
        <v>45825</v>
      </c>
      <c r="G10" s="101">
        <f t="shared" si="6"/>
        <v>43</v>
      </c>
      <c r="H10" s="102">
        <f t="shared" si="7"/>
        <v>0</v>
      </c>
      <c r="K10" s="99" t="s">
        <v>89</v>
      </c>
      <c r="L10" s="102">
        <f t="shared" si="0"/>
        <v>0</v>
      </c>
      <c r="M10" s="100">
        <v>45722</v>
      </c>
      <c r="N10" s="101">
        <v>301</v>
      </c>
      <c r="O10" s="101" t="str">
        <f t="shared" si="1"/>
        <v>90+</v>
      </c>
      <c r="P10" s="101" t="str">
        <f t="shared" si="2"/>
        <v>Low</v>
      </c>
      <c r="S10" s="101" t="s">
        <v>3100</v>
      </c>
      <c r="T10" s="99">
        <f t="shared" si="3"/>
        <v>423</v>
      </c>
      <c r="U10" s="99">
        <f t="shared" si="4"/>
        <v>86</v>
      </c>
      <c r="V10" s="103">
        <f>U10/T10</f>
        <v>0.20330969267139479</v>
      </c>
      <c r="W10" s="103">
        <f t="shared" si="8"/>
        <v>-7.1919665126770366E-2</v>
      </c>
    </row>
    <row r="11" spans="1:23" x14ac:dyDescent="0.3">
      <c r="D11" s="99" t="s">
        <v>68</v>
      </c>
      <c r="E11" s="100">
        <v>45825</v>
      </c>
      <c r="F11" s="100">
        <f t="shared" si="9"/>
        <v>45909</v>
      </c>
      <c r="G11" s="101">
        <f t="shared" si="6"/>
        <v>84</v>
      </c>
      <c r="H11" s="102">
        <f t="shared" si="7"/>
        <v>0</v>
      </c>
      <c r="K11" s="99" t="s">
        <v>100</v>
      </c>
      <c r="L11" s="102">
        <f t="shared" si="0"/>
        <v>0</v>
      </c>
      <c r="M11" s="100">
        <v>45834</v>
      </c>
      <c r="N11" s="101">
        <v>189</v>
      </c>
      <c r="O11" s="101" t="str">
        <f t="shared" si="1"/>
        <v>90+</v>
      </c>
      <c r="P11" s="101" t="str">
        <f t="shared" si="2"/>
        <v>Low</v>
      </c>
    </row>
    <row r="12" spans="1:23" x14ac:dyDescent="0.3">
      <c r="A12" s="105" t="s">
        <v>2873</v>
      </c>
      <c r="D12" s="99" t="s">
        <v>68</v>
      </c>
      <c r="E12" s="100">
        <v>45909</v>
      </c>
      <c r="F12" s="100">
        <f t="shared" si="9"/>
        <v>45923</v>
      </c>
      <c r="G12" s="101">
        <f t="shared" si="6"/>
        <v>14</v>
      </c>
      <c r="H12" s="102">
        <f t="shared" si="7"/>
        <v>1</v>
      </c>
      <c r="K12" s="99" t="s">
        <v>117</v>
      </c>
      <c r="L12" s="102">
        <f t="shared" si="0"/>
        <v>0</v>
      </c>
      <c r="M12" s="100">
        <v>45727</v>
      </c>
      <c r="N12" s="101">
        <v>296</v>
      </c>
      <c r="O12" s="101" t="str">
        <f t="shared" si="1"/>
        <v>90+</v>
      </c>
      <c r="P12" s="101" t="str">
        <f t="shared" si="2"/>
        <v>Low</v>
      </c>
    </row>
    <row r="13" spans="1:23" x14ac:dyDescent="0.3">
      <c r="A13" s="104">
        <v>60</v>
      </c>
      <c r="D13" s="99" t="s">
        <v>68</v>
      </c>
      <c r="E13" s="100">
        <v>45923</v>
      </c>
      <c r="F13" s="100">
        <f t="shared" si="9"/>
        <v>45965</v>
      </c>
      <c r="G13" s="101">
        <f t="shared" si="6"/>
        <v>42</v>
      </c>
      <c r="H13" s="102">
        <f t="shared" si="7"/>
        <v>0</v>
      </c>
      <c r="K13" s="99" t="s">
        <v>126</v>
      </c>
      <c r="L13" s="102">
        <f t="shared" si="0"/>
        <v>1</v>
      </c>
      <c r="M13" s="100">
        <v>45768</v>
      </c>
      <c r="N13" s="101">
        <v>255</v>
      </c>
      <c r="O13" s="101" t="str">
        <f t="shared" si="1"/>
        <v>90+</v>
      </c>
      <c r="P13" s="101" t="str">
        <f t="shared" si="2"/>
        <v>Low</v>
      </c>
    </row>
    <row r="14" spans="1:23" x14ac:dyDescent="0.3">
      <c r="D14" s="99" t="s">
        <v>68</v>
      </c>
      <c r="E14" s="100">
        <v>45965</v>
      </c>
      <c r="F14" s="100" t="str">
        <f t="shared" si="9"/>
        <v/>
      </c>
      <c r="G14" s="101" t="str">
        <f t="shared" si="6"/>
        <v/>
      </c>
      <c r="H14" s="102" t="str">
        <f t="shared" si="7"/>
        <v/>
      </c>
      <c r="K14" s="99" t="s">
        <v>152</v>
      </c>
      <c r="L14" s="102">
        <f t="shared" si="0"/>
        <v>0</v>
      </c>
      <c r="M14" s="100">
        <v>45950</v>
      </c>
      <c r="N14" s="101">
        <v>73</v>
      </c>
      <c r="O14" s="101" t="str">
        <f t="shared" si="1"/>
        <v>61-90</v>
      </c>
      <c r="P14" s="101" t="str">
        <f t="shared" si="2"/>
        <v>Low</v>
      </c>
      <c r="S14" s="106"/>
    </row>
    <row r="15" spans="1:23" x14ac:dyDescent="0.3">
      <c r="A15" s="94" t="s">
        <v>3016</v>
      </c>
      <c r="B15" s="96" t="s">
        <v>2862</v>
      </c>
      <c r="D15" s="99" t="s">
        <v>78</v>
      </c>
      <c r="E15" s="100">
        <v>45848</v>
      </c>
      <c r="F15" s="100">
        <f t="shared" si="9"/>
        <v>45922</v>
      </c>
      <c r="G15" s="101">
        <f t="shared" si="6"/>
        <v>74</v>
      </c>
      <c r="H15" s="102">
        <f t="shared" si="7"/>
        <v>0</v>
      </c>
      <c r="K15" s="99" t="s">
        <v>164</v>
      </c>
      <c r="L15" s="102">
        <f t="shared" si="0"/>
        <v>0</v>
      </c>
      <c r="M15" s="100">
        <v>45978</v>
      </c>
      <c r="N15" s="101">
        <v>45</v>
      </c>
      <c r="O15" s="101" t="str">
        <f t="shared" si="1"/>
        <v>31-60</v>
      </c>
      <c r="P15" s="101" t="str">
        <f t="shared" si="2"/>
        <v>High</v>
      </c>
    </row>
    <row r="16" spans="1:23" x14ac:dyDescent="0.3">
      <c r="A16" s="107">
        <v>0</v>
      </c>
      <c r="B16" s="107" t="s">
        <v>3097</v>
      </c>
      <c r="D16" s="99" t="s">
        <v>78</v>
      </c>
      <c r="E16" s="100">
        <v>45922</v>
      </c>
      <c r="F16" s="100" t="str">
        <f t="shared" si="9"/>
        <v/>
      </c>
      <c r="G16" s="101" t="str">
        <f t="shared" si="6"/>
        <v/>
      </c>
      <c r="H16" s="102" t="str">
        <f t="shared" si="7"/>
        <v/>
      </c>
      <c r="K16" s="99" t="s">
        <v>184</v>
      </c>
      <c r="L16" s="102">
        <f t="shared" si="0"/>
        <v>0</v>
      </c>
      <c r="M16" s="100">
        <v>45924</v>
      </c>
      <c r="N16" s="101">
        <v>99</v>
      </c>
      <c r="O16" s="101" t="str">
        <f t="shared" si="1"/>
        <v>90+</v>
      </c>
      <c r="P16" s="101" t="str">
        <f t="shared" si="2"/>
        <v>Low</v>
      </c>
    </row>
    <row r="17" spans="1:16" x14ac:dyDescent="0.3">
      <c r="A17" s="107">
        <v>31</v>
      </c>
      <c r="B17" s="107" t="s">
        <v>3098</v>
      </c>
      <c r="D17" s="99" t="s">
        <v>89</v>
      </c>
      <c r="E17" s="100">
        <v>45722</v>
      </c>
      <c r="F17" s="100" t="str">
        <f t="shared" si="9"/>
        <v/>
      </c>
      <c r="G17" s="101" t="str">
        <f t="shared" si="6"/>
        <v/>
      </c>
      <c r="H17" s="102" t="str">
        <f t="shared" si="7"/>
        <v/>
      </c>
      <c r="K17" s="99" t="s">
        <v>204</v>
      </c>
      <c r="L17" s="102">
        <f t="shared" si="0"/>
        <v>0</v>
      </c>
      <c r="M17" s="100">
        <v>45854</v>
      </c>
      <c r="N17" s="101">
        <v>169</v>
      </c>
      <c r="O17" s="101" t="str">
        <f t="shared" si="1"/>
        <v>90+</v>
      </c>
      <c r="P17" s="101" t="str">
        <f t="shared" si="2"/>
        <v>Low</v>
      </c>
    </row>
    <row r="18" spans="1:16" x14ac:dyDescent="0.3">
      <c r="A18" s="107">
        <v>61</v>
      </c>
      <c r="B18" s="107" t="s">
        <v>3099</v>
      </c>
      <c r="D18" s="99" t="s">
        <v>100</v>
      </c>
      <c r="E18" s="100">
        <v>45834</v>
      </c>
      <c r="F18" s="100" t="str">
        <f t="shared" si="9"/>
        <v/>
      </c>
      <c r="G18" s="101" t="str">
        <f t="shared" si="6"/>
        <v/>
      </c>
      <c r="H18" s="102" t="str">
        <f t="shared" si="7"/>
        <v/>
      </c>
      <c r="K18" s="99" t="s">
        <v>216</v>
      </c>
      <c r="L18" s="102">
        <f t="shared" si="0"/>
        <v>0</v>
      </c>
      <c r="M18" s="100">
        <v>45904</v>
      </c>
      <c r="N18" s="101">
        <v>119</v>
      </c>
      <c r="O18" s="101" t="str">
        <f t="shared" si="1"/>
        <v>90+</v>
      </c>
      <c r="P18" s="101" t="str">
        <f t="shared" si="2"/>
        <v>Low</v>
      </c>
    </row>
    <row r="19" spans="1:16" x14ac:dyDescent="0.3">
      <c r="A19" s="107">
        <v>91</v>
      </c>
      <c r="B19" s="107" t="s">
        <v>3100</v>
      </c>
      <c r="D19" s="99" t="s">
        <v>117</v>
      </c>
      <c r="E19" s="100">
        <v>45727</v>
      </c>
      <c r="F19" s="100" t="str">
        <f>IF(D19=D20,E20,"")</f>
        <v/>
      </c>
      <c r="G19" s="101" t="str">
        <f t="shared" si="6"/>
        <v/>
      </c>
      <c r="H19" s="102" t="str">
        <f t="shared" si="7"/>
        <v/>
      </c>
      <c r="K19" s="99" t="s">
        <v>229</v>
      </c>
      <c r="L19" s="102">
        <f t="shared" si="0"/>
        <v>0</v>
      </c>
      <c r="M19" s="100">
        <v>45790</v>
      </c>
      <c r="N19" s="101">
        <v>233</v>
      </c>
      <c r="O19" s="101" t="str">
        <f t="shared" si="1"/>
        <v>90+</v>
      </c>
      <c r="P19" s="101" t="str">
        <f t="shared" si="2"/>
        <v>Low</v>
      </c>
    </row>
    <row r="20" spans="1:16" x14ac:dyDescent="0.3">
      <c r="D20" s="99" t="s">
        <v>126</v>
      </c>
      <c r="E20" s="100">
        <v>45754</v>
      </c>
      <c r="F20" s="100">
        <f t="shared" si="9"/>
        <v>45768</v>
      </c>
      <c r="G20" s="101">
        <f t="shared" si="6"/>
        <v>14</v>
      </c>
      <c r="H20" s="102">
        <f t="shared" si="7"/>
        <v>1</v>
      </c>
      <c r="K20" s="99" t="s">
        <v>258</v>
      </c>
      <c r="L20" s="102">
        <f t="shared" si="0"/>
        <v>1</v>
      </c>
      <c r="M20" s="100">
        <v>45940</v>
      </c>
      <c r="N20" s="101">
        <v>83</v>
      </c>
      <c r="O20" s="101" t="str">
        <f t="shared" si="1"/>
        <v>61-90</v>
      </c>
      <c r="P20" s="101" t="str">
        <f t="shared" si="2"/>
        <v>Low</v>
      </c>
    </row>
    <row r="21" spans="1:16" x14ac:dyDescent="0.3">
      <c r="D21" s="99" t="s">
        <v>126</v>
      </c>
      <c r="E21" s="100">
        <v>45768</v>
      </c>
      <c r="F21" s="100" t="str">
        <f t="shared" si="9"/>
        <v/>
      </c>
      <c r="G21" s="101" t="str">
        <f t="shared" si="6"/>
        <v/>
      </c>
      <c r="H21" s="102" t="str">
        <f t="shared" si="7"/>
        <v/>
      </c>
      <c r="K21" s="99" t="s">
        <v>274</v>
      </c>
      <c r="L21" s="102">
        <f t="shared" si="0"/>
        <v>1</v>
      </c>
      <c r="M21" s="100">
        <v>45986</v>
      </c>
      <c r="N21" s="101">
        <v>37</v>
      </c>
      <c r="O21" s="101" t="str">
        <f t="shared" si="1"/>
        <v>31-60</v>
      </c>
      <c r="P21" s="101" t="str">
        <f t="shared" si="2"/>
        <v>High</v>
      </c>
    </row>
    <row r="22" spans="1:16" x14ac:dyDescent="0.3">
      <c r="D22" s="99" t="s">
        <v>152</v>
      </c>
      <c r="E22" s="100">
        <v>45741</v>
      </c>
      <c r="F22" s="100">
        <f t="shared" si="9"/>
        <v>45896</v>
      </c>
      <c r="G22" s="101">
        <f t="shared" si="6"/>
        <v>155</v>
      </c>
      <c r="H22" s="102">
        <f>IF(G22="","",IF(G22&lt;=return_window,1,0))</f>
        <v>0</v>
      </c>
      <c r="K22" s="99" t="s">
        <v>287</v>
      </c>
      <c r="L22" s="102">
        <f t="shared" si="0"/>
        <v>0</v>
      </c>
      <c r="M22" s="100">
        <v>46015</v>
      </c>
      <c r="N22" s="101">
        <v>8</v>
      </c>
      <c r="O22" s="101" t="str">
        <f t="shared" si="1"/>
        <v>0-30</v>
      </c>
      <c r="P22" s="101" t="str">
        <f t="shared" si="2"/>
        <v>High</v>
      </c>
    </row>
    <row r="23" spans="1:16" x14ac:dyDescent="0.3">
      <c r="D23" s="99" t="s">
        <v>152</v>
      </c>
      <c r="E23" s="100">
        <v>45896</v>
      </c>
      <c r="F23" s="100">
        <f t="shared" si="9"/>
        <v>45950</v>
      </c>
      <c r="G23" s="101">
        <f>IF(F23="","",F23-E23)</f>
        <v>54</v>
      </c>
      <c r="H23" s="102">
        <f t="shared" si="7"/>
        <v>0</v>
      </c>
      <c r="K23" s="99" t="s">
        <v>307</v>
      </c>
      <c r="L23" s="102">
        <f t="shared" si="0"/>
        <v>1</v>
      </c>
      <c r="M23" s="100">
        <v>45937</v>
      </c>
      <c r="N23" s="101">
        <v>86</v>
      </c>
      <c r="O23" s="101" t="str">
        <f t="shared" si="1"/>
        <v>61-90</v>
      </c>
      <c r="P23" s="101" t="str">
        <f t="shared" si="2"/>
        <v>Low</v>
      </c>
    </row>
    <row r="24" spans="1:16" x14ac:dyDescent="0.3">
      <c r="D24" s="99" t="s">
        <v>152</v>
      </c>
      <c r="E24" s="100">
        <v>45950</v>
      </c>
      <c r="F24" s="100" t="str">
        <f t="shared" si="9"/>
        <v/>
      </c>
      <c r="G24" s="101" t="str">
        <f t="shared" si="6"/>
        <v/>
      </c>
      <c r="H24" s="102" t="str">
        <f t="shared" si="7"/>
        <v/>
      </c>
      <c r="K24" s="99" t="s">
        <v>325</v>
      </c>
      <c r="L24" s="102">
        <f t="shared" si="0"/>
        <v>0</v>
      </c>
      <c r="M24" s="100">
        <v>45943</v>
      </c>
      <c r="N24" s="101">
        <v>80</v>
      </c>
      <c r="O24" s="101" t="str">
        <f t="shared" si="1"/>
        <v>61-90</v>
      </c>
      <c r="P24" s="101" t="str">
        <f t="shared" si="2"/>
        <v>Low</v>
      </c>
    </row>
    <row r="25" spans="1:16" x14ac:dyDescent="0.3">
      <c r="D25" s="99" t="s">
        <v>164</v>
      </c>
      <c r="E25" s="100">
        <v>45693</v>
      </c>
      <c r="F25" s="100">
        <f t="shared" si="9"/>
        <v>45744</v>
      </c>
      <c r="G25" s="101">
        <f t="shared" si="6"/>
        <v>51</v>
      </c>
      <c r="H25" s="102">
        <f t="shared" si="7"/>
        <v>0</v>
      </c>
      <c r="K25" s="99" t="s">
        <v>339</v>
      </c>
      <c r="L25" s="102">
        <f t="shared" si="0"/>
        <v>0</v>
      </c>
      <c r="M25" s="100">
        <v>45673</v>
      </c>
      <c r="N25" s="101">
        <v>350</v>
      </c>
      <c r="O25" s="101" t="str">
        <f t="shared" si="1"/>
        <v>90+</v>
      </c>
      <c r="P25" s="101" t="str">
        <f t="shared" si="2"/>
        <v>Low</v>
      </c>
    </row>
    <row r="26" spans="1:16" x14ac:dyDescent="0.3">
      <c r="D26" s="99" t="s">
        <v>164</v>
      </c>
      <c r="E26" s="100">
        <v>45744</v>
      </c>
      <c r="F26" s="100">
        <f t="shared" si="9"/>
        <v>45978</v>
      </c>
      <c r="G26" s="101">
        <f t="shared" si="6"/>
        <v>234</v>
      </c>
      <c r="H26" s="102">
        <f t="shared" si="7"/>
        <v>0</v>
      </c>
      <c r="K26" s="99" t="s">
        <v>359</v>
      </c>
      <c r="L26" s="102">
        <f t="shared" si="0"/>
        <v>1</v>
      </c>
      <c r="M26" s="100">
        <v>46021</v>
      </c>
      <c r="N26" s="101">
        <v>2</v>
      </c>
      <c r="O26" s="101" t="str">
        <f t="shared" si="1"/>
        <v>0-30</v>
      </c>
      <c r="P26" s="101" t="str">
        <f t="shared" si="2"/>
        <v>High</v>
      </c>
    </row>
    <row r="27" spans="1:16" x14ac:dyDescent="0.3">
      <c r="D27" s="99" t="s">
        <v>164</v>
      </c>
      <c r="E27" s="100">
        <v>45978</v>
      </c>
      <c r="F27" s="100" t="str">
        <f t="shared" si="9"/>
        <v/>
      </c>
      <c r="G27" s="101" t="str">
        <f t="shared" si="6"/>
        <v/>
      </c>
      <c r="H27" s="102" t="str">
        <f t="shared" si="7"/>
        <v/>
      </c>
      <c r="K27" s="99" t="s">
        <v>379</v>
      </c>
      <c r="L27" s="102">
        <f t="shared" si="0"/>
        <v>0</v>
      </c>
      <c r="M27" s="100">
        <v>45744</v>
      </c>
      <c r="N27" s="101">
        <v>279</v>
      </c>
      <c r="O27" s="101" t="str">
        <f t="shared" si="1"/>
        <v>90+</v>
      </c>
      <c r="P27" s="101" t="str">
        <f t="shared" si="2"/>
        <v>Low</v>
      </c>
    </row>
    <row r="28" spans="1:16" x14ac:dyDescent="0.3">
      <c r="D28" s="99" t="s">
        <v>184</v>
      </c>
      <c r="E28" s="100">
        <v>45924</v>
      </c>
      <c r="F28" s="100" t="str">
        <f t="shared" si="9"/>
        <v/>
      </c>
      <c r="G28" s="101" t="str">
        <f t="shared" si="6"/>
        <v/>
      </c>
      <c r="H28" s="102" t="str">
        <f t="shared" si="7"/>
        <v/>
      </c>
      <c r="K28" s="99" t="s">
        <v>402</v>
      </c>
      <c r="L28" s="102">
        <f t="shared" si="0"/>
        <v>0</v>
      </c>
      <c r="M28" s="100">
        <v>45733</v>
      </c>
      <c r="N28" s="101">
        <v>290</v>
      </c>
      <c r="O28" s="101" t="str">
        <f t="shared" si="1"/>
        <v>90+</v>
      </c>
      <c r="P28" s="101" t="str">
        <f t="shared" si="2"/>
        <v>Low</v>
      </c>
    </row>
    <row r="29" spans="1:16" x14ac:dyDescent="0.3">
      <c r="D29" s="99" t="s">
        <v>204</v>
      </c>
      <c r="E29" s="100">
        <v>45854</v>
      </c>
      <c r="F29" s="100" t="str">
        <f t="shared" si="9"/>
        <v/>
      </c>
      <c r="G29" s="101" t="str">
        <f t="shared" si="6"/>
        <v/>
      </c>
      <c r="H29" s="102" t="str">
        <f t="shared" si="7"/>
        <v/>
      </c>
      <c r="K29" s="99" t="s">
        <v>418</v>
      </c>
      <c r="L29" s="102">
        <f t="shared" si="0"/>
        <v>0</v>
      </c>
      <c r="M29" s="100">
        <v>45954</v>
      </c>
      <c r="N29" s="101">
        <v>69</v>
      </c>
      <c r="O29" s="101" t="str">
        <f t="shared" si="1"/>
        <v>61-90</v>
      </c>
      <c r="P29" s="101" t="str">
        <f t="shared" si="2"/>
        <v>Low</v>
      </c>
    </row>
    <row r="30" spans="1:16" x14ac:dyDescent="0.3">
      <c r="D30" s="99" t="s">
        <v>216</v>
      </c>
      <c r="E30" s="100">
        <v>45727</v>
      </c>
      <c r="F30" s="100">
        <f t="shared" si="9"/>
        <v>45770</v>
      </c>
      <c r="G30" s="101">
        <f t="shared" si="6"/>
        <v>43</v>
      </c>
      <c r="H30" s="102">
        <f t="shared" si="7"/>
        <v>0</v>
      </c>
      <c r="K30" s="99" t="s">
        <v>442</v>
      </c>
      <c r="L30" s="102">
        <f t="shared" si="0"/>
        <v>1</v>
      </c>
      <c r="M30" s="100">
        <v>45896</v>
      </c>
      <c r="N30" s="101">
        <v>127</v>
      </c>
      <c r="O30" s="101" t="str">
        <f t="shared" si="1"/>
        <v>90+</v>
      </c>
      <c r="P30" s="101" t="str">
        <f t="shared" si="2"/>
        <v>Low</v>
      </c>
    </row>
    <row r="31" spans="1:16" x14ac:dyDescent="0.3">
      <c r="D31" s="99" t="s">
        <v>216</v>
      </c>
      <c r="E31" s="100">
        <v>45770</v>
      </c>
      <c r="F31" s="100">
        <f t="shared" si="9"/>
        <v>45904</v>
      </c>
      <c r="G31" s="101">
        <f t="shared" si="6"/>
        <v>134</v>
      </c>
      <c r="H31" s="102">
        <f t="shared" si="7"/>
        <v>0</v>
      </c>
      <c r="K31" s="99" t="s">
        <v>461</v>
      </c>
      <c r="L31" s="102">
        <f t="shared" si="0"/>
        <v>0</v>
      </c>
      <c r="M31" s="100">
        <v>45961</v>
      </c>
      <c r="N31" s="101">
        <v>62</v>
      </c>
      <c r="O31" s="101" t="str">
        <f t="shared" si="1"/>
        <v>61-90</v>
      </c>
      <c r="P31" s="101" t="str">
        <f t="shared" si="2"/>
        <v>Low</v>
      </c>
    </row>
    <row r="32" spans="1:16" x14ac:dyDescent="0.3">
      <c r="D32" s="99" t="s">
        <v>216</v>
      </c>
      <c r="E32" s="100">
        <v>45904</v>
      </c>
      <c r="F32" s="100" t="str">
        <f t="shared" si="9"/>
        <v/>
      </c>
      <c r="G32" s="101" t="str">
        <f t="shared" si="6"/>
        <v/>
      </c>
      <c r="H32" s="102" t="str">
        <f t="shared" si="7"/>
        <v/>
      </c>
      <c r="K32" s="99" t="s">
        <v>485</v>
      </c>
      <c r="L32" s="102">
        <f t="shared" si="0"/>
        <v>0</v>
      </c>
      <c r="M32" s="100">
        <v>45863</v>
      </c>
      <c r="N32" s="101">
        <v>160</v>
      </c>
      <c r="O32" s="101" t="str">
        <f t="shared" si="1"/>
        <v>90+</v>
      </c>
      <c r="P32" s="101" t="str">
        <f t="shared" si="2"/>
        <v>Low</v>
      </c>
    </row>
    <row r="33" spans="4:16" x14ac:dyDescent="0.3">
      <c r="D33" s="99" t="s">
        <v>229</v>
      </c>
      <c r="E33" s="100">
        <v>45727</v>
      </c>
      <c r="F33" s="100">
        <f t="shared" si="9"/>
        <v>45758</v>
      </c>
      <c r="G33" s="101">
        <f t="shared" si="6"/>
        <v>31</v>
      </c>
      <c r="H33" s="102">
        <f t="shared" si="7"/>
        <v>0</v>
      </c>
      <c r="K33" s="99" t="s">
        <v>533</v>
      </c>
      <c r="L33" s="102">
        <f t="shared" si="0"/>
        <v>0</v>
      </c>
      <c r="M33" s="100">
        <v>45929</v>
      </c>
      <c r="N33" s="101">
        <v>94</v>
      </c>
      <c r="O33" s="101" t="str">
        <f t="shared" si="1"/>
        <v>90+</v>
      </c>
      <c r="P33" s="101" t="str">
        <f t="shared" si="2"/>
        <v>Low</v>
      </c>
    </row>
    <row r="34" spans="4:16" x14ac:dyDescent="0.3">
      <c r="D34" s="99" t="s">
        <v>229</v>
      </c>
      <c r="E34" s="100">
        <v>45758</v>
      </c>
      <c r="F34" s="100">
        <f t="shared" si="9"/>
        <v>45790</v>
      </c>
      <c r="G34" s="101">
        <f t="shared" si="6"/>
        <v>32</v>
      </c>
      <c r="H34" s="102">
        <f t="shared" si="7"/>
        <v>0</v>
      </c>
      <c r="K34" s="99" t="s">
        <v>573</v>
      </c>
      <c r="L34" s="102">
        <f t="shared" si="0"/>
        <v>1</v>
      </c>
      <c r="M34" s="100">
        <v>45884</v>
      </c>
      <c r="N34" s="101">
        <v>139</v>
      </c>
      <c r="O34" s="101" t="str">
        <f t="shared" si="1"/>
        <v>90+</v>
      </c>
      <c r="P34" s="101" t="str">
        <f t="shared" si="2"/>
        <v>Low</v>
      </c>
    </row>
    <row r="35" spans="4:16" x14ac:dyDescent="0.3">
      <c r="D35" s="99" t="s">
        <v>229</v>
      </c>
      <c r="E35" s="100">
        <v>45790</v>
      </c>
      <c r="F35" s="100" t="str">
        <f t="shared" si="9"/>
        <v/>
      </c>
      <c r="G35" s="101" t="str">
        <f t="shared" si="6"/>
        <v/>
      </c>
      <c r="H35" s="102" t="str">
        <f t="shared" si="7"/>
        <v/>
      </c>
      <c r="K35" s="99" t="s">
        <v>596</v>
      </c>
      <c r="L35" s="102">
        <f t="shared" si="0"/>
        <v>0</v>
      </c>
      <c r="M35" s="100">
        <v>45793</v>
      </c>
      <c r="N35" s="101">
        <v>230</v>
      </c>
      <c r="O35" s="101" t="str">
        <f t="shared" si="1"/>
        <v>90+</v>
      </c>
      <c r="P35" s="101" t="str">
        <f t="shared" si="2"/>
        <v>Low</v>
      </c>
    </row>
    <row r="36" spans="4:16" x14ac:dyDescent="0.3">
      <c r="D36" s="99" t="s">
        <v>258</v>
      </c>
      <c r="E36" s="100">
        <v>45789</v>
      </c>
      <c r="F36" s="100">
        <f t="shared" si="9"/>
        <v>45922</v>
      </c>
      <c r="G36" s="101">
        <f t="shared" si="6"/>
        <v>133</v>
      </c>
      <c r="H36" s="102">
        <f t="shared" si="7"/>
        <v>0</v>
      </c>
      <c r="K36" s="99" t="s">
        <v>642</v>
      </c>
      <c r="L36" s="102">
        <f t="shared" si="0"/>
        <v>1</v>
      </c>
      <c r="M36" s="100">
        <v>45988</v>
      </c>
      <c r="N36" s="101">
        <v>35</v>
      </c>
      <c r="O36" s="101" t="str">
        <f t="shared" si="1"/>
        <v>31-60</v>
      </c>
      <c r="P36" s="101" t="str">
        <f t="shared" si="2"/>
        <v>High</v>
      </c>
    </row>
    <row r="37" spans="4:16" x14ac:dyDescent="0.3">
      <c r="D37" s="99" t="s">
        <v>258</v>
      </c>
      <c r="E37" s="100">
        <v>45922</v>
      </c>
      <c r="F37" s="100">
        <f t="shared" si="9"/>
        <v>45940</v>
      </c>
      <c r="G37" s="101">
        <f t="shared" si="6"/>
        <v>18</v>
      </c>
      <c r="H37" s="102">
        <f t="shared" si="7"/>
        <v>1</v>
      </c>
      <c r="K37" s="99" t="s">
        <v>670</v>
      </c>
      <c r="L37" s="102">
        <f t="shared" si="0"/>
        <v>0</v>
      </c>
      <c r="M37" s="100">
        <v>45685</v>
      </c>
      <c r="N37" s="101">
        <v>338</v>
      </c>
      <c r="O37" s="101" t="str">
        <f t="shared" si="1"/>
        <v>90+</v>
      </c>
      <c r="P37" s="101" t="str">
        <f t="shared" si="2"/>
        <v>Low</v>
      </c>
    </row>
    <row r="38" spans="4:16" x14ac:dyDescent="0.3">
      <c r="D38" s="99" t="s">
        <v>258</v>
      </c>
      <c r="E38" s="100">
        <v>45940</v>
      </c>
      <c r="F38" s="100" t="str">
        <f t="shared" si="9"/>
        <v/>
      </c>
      <c r="G38" s="101" t="str">
        <f t="shared" si="6"/>
        <v/>
      </c>
      <c r="H38" s="102" t="str">
        <f t="shared" si="7"/>
        <v/>
      </c>
      <c r="K38" s="99" t="s">
        <v>692</v>
      </c>
      <c r="L38" s="102">
        <f t="shared" si="0"/>
        <v>1</v>
      </c>
      <c r="M38" s="100">
        <v>45673</v>
      </c>
      <c r="N38" s="101">
        <v>350</v>
      </c>
      <c r="O38" s="101" t="str">
        <f t="shared" si="1"/>
        <v>90+</v>
      </c>
      <c r="P38" s="101" t="str">
        <f t="shared" si="2"/>
        <v>Low</v>
      </c>
    </row>
    <row r="39" spans="4:16" x14ac:dyDescent="0.3">
      <c r="D39" s="99" t="s">
        <v>274</v>
      </c>
      <c r="E39" s="100">
        <v>45666</v>
      </c>
      <c r="F39" s="100">
        <f t="shared" si="9"/>
        <v>45792</v>
      </c>
      <c r="G39" s="101">
        <f t="shared" si="6"/>
        <v>126</v>
      </c>
      <c r="H39" s="102">
        <f t="shared" si="7"/>
        <v>0</v>
      </c>
      <c r="K39" s="99" t="s">
        <v>709</v>
      </c>
      <c r="L39" s="102">
        <f t="shared" si="0"/>
        <v>0</v>
      </c>
      <c r="M39" s="100">
        <v>45967</v>
      </c>
      <c r="N39" s="101">
        <v>56</v>
      </c>
      <c r="O39" s="101" t="str">
        <f t="shared" si="1"/>
        <v>31-60</v>
      </c>
      <c r="P39" s="101" t="str">
        <f t="shared" si="2"/>
        <v>High</v>
      </c>
    </row>
    <row r="40" spans="4:16" x14ac:dyDescent="0.3">
      <c r="D40" s="99" t="s">
        <v>274</v>
      </c>
      <c r="E40" s="100">
        <v>45792</v>
      </c>
      <c r="F40" s="100">
        <f t="shared" si="9"/>
        <v>45947</v>
      </c>
      <c r="G40" s="101">
        <f t="shared" si="6"/>
        <v>155</v>
      </c>
      <c r="H40" s="102">
        <f t="shared" si="7"/>
        <v>0</v>
      </c>
      <c r="K40" s="99" t="s">
        <v>728</v>
      </c>
      <c r="L40" s="102">
        <f t="shared" si="0"/>
        <v>0</v>
      </c>
      <c r="M40" s="100">
        <v>45951</v>
      </c>
      <c r="N40" s="101">
        <v>72</v>
      </c>
      <c r="O40" s="101" t="str">
        <f t="shared" si="1"/>
        <v>61-90</v>
      </c>
      <c r="P40" s="101" t="str">
        <f t="shared" si="2"/>
        <v>Low</v>
      </c>
    </row>
    <row r="41" spans="4:16" x14ac:dyDescent="0.3">
      <c r="D41" s="99" t="s">
        <v>274</v>
      </c>
      <c r="E41" s="100">
        <v>45947</v>
      </c>
      <c r="F41" s="100">
        <f t="shared" si="9"/>
        <v>45978</v>
      </c>
      <c r="G41" s="101">
        <f t="shared" si="6"/>
        <v>31</v>
      </c>
      <c r="H41" s="102">
        <f t="shared" si="7"/>
        <v>0</v>
      </c>
      <c r="K41" s="99" t="s">
        <v>771</v>
      </c>
      <c r="L41" s="102">
        <f t="shared" si="0"/>
        <v>0</v>
      </c>
      <c r="M41" s="100">
        <v>45820</v>
      </c>
      <c r="N41" s="101">
        <v>203</v>
      </c>
      <c r="O41" s="101" t="str">
        <f t="shared" si="1"/>
        <v>90+</v>
      </c>
      <c r="P41" s="101" t="str">
        <f t="shared" si="2"/>
        <v>Low</v>
      </c>
    </row>
    <row r="42" spans="4:16" x14ac:dyDescent="0.3">
      <c r="D42" s="99" t="s">
        <v>274</v>
      </c>
      <c r="E42" s="100">
        <v>45978</v>
      </c>
      <c r="F42" s="100">
        <f t="shared" si="9"/>
        <v>45986</v>
      </c>
      <c r="G42" s="101">
        <f t="shared" si="6"/>
        <v>8</v>
      </c>
      <c r="H42" s="102">
        <f t="shared" si="7"/>
        <v>1</v>
      </c>
      <c r="K42" s="99" t="s">
        <v>792</v>
      </c>
      <c r="L42" s="102">
        <f t="shared" si="0"/>
        <v>0</v>
      </c>
      <c r="M42" s="100">
        <v>45812</v>
      </c>
      <c r="N42" s="101">
        <v>211</v>
      </c>
      <c r="O42" s="101" t="str">
        <f t="shared" si="1"/>
        <v>90+</v>
      </c>
      <c r="P42" s="101" t="str">
        <f t="shared" si="2"/>
        <v>Low</v>
      </c>
    </row>
    <row r="43" spans="4:16" x14ac:dyDescent="0.3">
      <c r="D43" s="99" t="s">
        <v>274</v>
      </c>
      <c r="E43" s="100">
        <v>45986</v>
      </c>
      <c r="F43" s="100" t="str">
        <f t="shared" si="9"/>
        <v/>
      </c>
      <c r="G43" s="101" t="str">
        <f t="shared" si="6"/>
        <v/>
      </c>
      <c r="H43" s="102" t="str">
        <f t="shared" si="7"/>
        <v/>
      </c>
      <c r="K43" s="99" t="s">
        <v>824</v>
      </c>
      <c r="L43" s="102">
        <f t="shared" si="0"/>
        <v>0</v>
      </c>
      <c r="M43" s="100">
        <v>45965</v>
      </c>
      <c r="N43" s="101">
        <v>58</v>
      </c>
      <c r="O43" s="101" t="str">
        <f t="shared" si="1"/>
        <v>31-60</v>
      </c>
      <c r="P43" s="101" t="str">
        <f t="shared" si="2"/>
        <v>High</v>
      </c>
    </row>
    <row r="44" spans="4:16" x14ac:dyDescent="0.3">
      <c r="D44" s="99" t="s">
        <v>287</v>
      </c>
      <c r="E44" s="100">
        <v>45729</v>
      </c>
      <c r="F44" s="100">
        <f t="shared" si="9"/>
        <v>46015</v>
      </c>
      <c r="G44" s="101">
        <f t="shared" si="6"/>
        <v>286</v>
      </c>
      <c r="H44" s="102">
        <f t="shared" si="7"/>
        <v>0</v>
      </c>
      <c r="K44" s="99" t="s">
        <v>840</v>
      </c>
      <c r="L44" s="102">
        <f t="shared" si="0"/>
        <v>0</v>
      </c>
      <c r="M44" s="100">
        <v>46021</v>
      </c>
      <c r="N44" s="101">
        <v>2</v>
      </c>
      <c r="O44" s="101" t="str">
        <f t="shared" si="1"/>
        <v>0-30</v>
      </c>
      <c r="P44" s="101" t="str">
        <f t="shared" si="2"/>
        <v>High</v>
      </c>
    </row>
    <row r="45" spans="4:16" x14ac:dyDescent="0.3">
      <c r="D45" s="99" t="s">
        <v>287</v>
      </c>
      <c r="E45" s="100">
        <v>46015</v>
      </c>
      <c r="F45" s="100" t="str">
        <f t="shared" si="9"/>
        <v/>
      </c>
      <c r="G45" s="101" t="str">
        <f t="shared" si="6"/>
        <v/>
      </c>
      <c r="H45" s="102" t="str">
        <f t="shared" si="7"/>
        <v/>
      </c>
      <c r="K45" s="99" t="s">
        <v>853</v>
      </c>
      <c r="L45" s="102">
        <f t="shared" si="0"/>
        <v>1</v>
      </c>
      <c r="M45" s="100">
        <v>45979</v>
      </c>
      <c r="N45" s="101">
        <v>44</v>
      </c>
      <c r="O45" s="101" t="str">
        <f t="shared" si="1"/>
        <v>31-60</v>
      </c>
      <c r="P45" s="101" t="str">
        <f t="shared" si="2"/>
        <v>High</v>
      </c>
    </row>
    <row r="46" spans="4:16" x14ac:dyDescent="0.3">
      <c r="D46" s="99" t="s">
        <v>307</v>
      </c>
      <c r="E46" s="100">
        <v>45915</v>
      </c>
      <c r="F46" s="100">
        <f t="shared" si="9"/>
        <v>45918</v>
      </c>
      <c r="G46" s="101">
        <f t="shared" si="6"/>
        <v>3</v>
      </c>
      <c r="H46" s="102">
        <f t="shared" si="7"/>
        <v>1</v>
      </c>
      <c r="K46" s="99" t="s">
        <v>863</v>
      </c>
      <c r="L46" s="102">
        <f t="shared" si="0"/>
        <v>0</v>
      </c>
      <c r="M46" s="100">
        <v>45729</v>
      </c>
      <c r="N46" s="101">
        <v>294</v>
      </c>
      <c r="O46" s="101" t="str">
        <f t="shared" si="1"/>
        <v>90+</v>
      </c>
      <c r="P46" s="101" t="str">
        <f t="shared" si="2"/>
        <v>Low</v>
      </c>
    </row>
    <row r="47" spans="4:16" x14ac:dyDescent="0.3">
      <c r="D47" s="99" t="s">
        <v>307</v>
      </c>
      <c r="E47" s="100">
        <v>45918</v>
      </c>
      <c r="F47" s="100">
        <f t="shared" si="9"/>
        <v>45937</v>
      </c>
      <c r="G47" s="101">
        <f t="shared" si="6"/>
        <v>19</v>
      </c>
      <c r="H47" s="102">
        <f t="shared" si="7"/>
        <v>1</v>
      </c>
      <c r="K47" s="99" t="s">
        <v>878</v>
      </c>
      <c r="L47" s="102">
        <f t="shared" si="0"/>
        <v>1</v>
      </c>
      <c r="M47" s="100">
        <v>45908</v>
      </c>
      <c r="N47" s="101">
        <v>115</v>
      </c>
      <c r="O47" s="101" t="str">
        <f t="shared" si="1"/>
        <v>90+</v>
      </c>
      <c r="P47" s="101" t="str">
        <f t="shared" si="2"/>
        <v>Low</v>
      </c>
    </row>
    <row r="48" spans="4:16" x14ac:dyDescent="0.3">
      <c r="D48" s="99" t="s">
        <v>307</v>
      </c>
      <c r="E48" s="100">
        <v>45937</v>
      </c>
      <c r="F48" s="100" t="str">
        <f t="shared" si="9"/>
        <v/>
      </c>
      <c r="G48" s="101" t="str">
        <f t="shared" si="6"/>
        <v/>
      </c>
      <c r="H48" s="102" t="str">
        <f t="shared" si="7"/>
        <v/>
      </c>
      <c r="K48" s="99" t="s">
        <v>897</v>
      </c>
      <c r="L48" s="102">
        <f t="shared" si="0"/>
        <v>0</v>
      </c>
      <c r="M48" s="100">
        <v>45660</v>
      </c>
      <c r="N48" s="101">
        <v>363</v>
      </c>
      <c r="O48" s="101" t="str">
        <f t="shared" si="1"/>
        <v>90+</v>
      </c>
      <c r="P48" s="101" t="str">
        <f t="shared" si="2"/>
        <v>Low</v>
      </c>
    </row>
    <row r="49" spans="4:16" x14ac:dyDescent="0.3">
      <c r="D49" s="99" t="s">
        <v>325</v>
      </c>
      <c r="E49" s="100">
        <v>45754</v>
      </c>
      <c r="F49" s="100">
        <f t="shared" si="9"/>
        <v>45943</v>
      </c>
      <c r="G49" s="101">
        <f t="shared" si="6"/>
        <v>189</v>
      </c>
      <c r="H49" s="102">
        <f t="shared" si="7"/>
        <v>0</v>
      </c>
      <c r="K49" s="99" t="s">
        <v>924</v>
      </c>
      <c r="L49" s="102">
        <f t="shared" si="0"/>
        <v>0</v>
      </c>
      <c r="M49" s="100">
        <v>45905</v>
      </c>
      <c r="N49" s="101">
        <v>118</v>
      </c>
      <c r="O49" s="101" t="str">
        <f t="shared" si="1"/>
        <v>90+</v>
      </c>
      <c r="P49" s="101" t="str">
        <f t="shared" si="2"/>
        <v>Low</v>
      </c>
    </row>
    <row r="50" spans="4:16" x14ac:dyDescent="0.3">
      <c r="D50" s="99" t="s">
        <v>325</v>
      </c>
      <c r="E50" s="100">
        <v>45943</v>
      </c>
      <c r="F50" s="100" t="str">
        <f t="shared" si="9"/>
        <v/>
      </c>
      <c r="G50" s="101" t="str">
        <f t="shared" si="6"/>
        <v/>
      </c>
      <c r="H50" s="102" t="str">
        <f t="shared" si="7"/>
        <v/>
      </c>
      <c r="K50" s="99" t="s">
        <v>968</v>
      </c>
      <c r="L50" s="102">
        <f t="shared" si="0"/>
        <v>0</v>
      </c>
      <c r="M50" s="100">
        <v>45931</v>
      </c>
      <c r="N50" s="101">
        <v>92</v>
      </c>
      <c r="O50" s="101" t="str">
        <f t="shared" si="1"/>
        <v>90+</v>
      </c>
      <c r="P50" s="101" t="str">
        <f t="shared" si="2"/>
        <v>Low</v>
      </c>
    </row>
    <row r="51" spans="4:16" x14ac:dyDescent="0.3">
      <c r="D51" s="99" t="s">
        <v>339</v>
      </c>
      <c r="E51" s="100">
        <v>45673</v>
      </c>
      <c r="F51" s="100" t="str">
        <f t="shared" si="9"/>
        <v/>
      </c>
      <c r="G51" s="101" t="str">
        <f t="shared" si="6"/>
        <v/>
      </c>
      <c r="H51" s="102" t="str">
        <f t="shared" si="7"/>
        <v/>
      </c>
      <c r="K51" s="99" t="s">
        <v>1037</v>
      </c>
      <c r="L51" s="102">
        <f t="shared" si="0"/>
        <v>0</v>
      </c>
      <c r="M51" s="100">
        <v>45930</v>
      </c>
      <c r="N51" s="101">
        <v>93</v>
      </c>
      <c r="O51" s="101" t="str">
        <f t="shared" si="1"/>
        <v>90+</v>
      </c>
      <c r="P51" s="101" t="str">
        <f t="shared" si="2"/>
        <v>Low</v>
      </c>
    </row>
    <row r="52" spans="4:16" x14ac:dyDescent="0.3">
      <c r="D52" s="99" t="s">
        <v>359</v>
      </c>
      <c r="E52" s="100">
        <v>45721</v>
      </c>
      <c r="F52" s="100">
        <f t="shared" si="9"/>
        <v>45730</v>
      </c>
      <c r="G52" s="101">
        <f t="shared" si="6"/>
        <v>9</v>
      </c>
      <c r="H52" s="102">
        <f t="shared" si="7"/>
        <v>1</v>
      </c>
      <c r="K52" s="99" t="s">
        <v>1164</v>
      </c>
      <c r="L52" s="102">
        <f t="shared" si="0"/>
        <v>0</v>
      </c>
      <c r="M52" s="100">
        <v>45895</v>
      </c>
      <c r="N52" s="101">
        <v>128</v>
      </c>
      <c r="O52" s="101" t="str">
        <f t="shared" si="1"/>
        <v>90+</v>
      </c>
      <c r="P52" s="101" t="str">
        <f t="shared" si="2"/>
        <v>Low</v>
      </c>
    </row>
    <row r="53" spans="4:16" x14ac:dyDescent="0.3">
      <c r="D53" s="99" t="s">
        <v>359</v>
      </c>
      <c r="E53" s="100">
        <v>45730</v>
      </c>
      <c r="F53" s="100">
        <f t="shared" si="9"/>
        <v>46021</v>
      </c>
      <c r="G53" s="101">
        <f t="shared" si="6"/>
        <v>291</v>
      </c>
      <c r="H53" s="102">
        <f t="shared" si="7"/>
        <v>0</v>
      </c>
      <c r="K53" s="99" t="s">
        <v>1195</v>
      </c>
      <c r="L53" s="102">
        <f t="shared" si="0"/>
        <v>0</v>
      </c>
      <c r="M53" s="100">
        <v>45874</v>
      </c>
      <c r="N53" s="101">
        <v>149</v>
      </c>
      <c r="O53" s="101" t="str">
        <f t="shared" si="1"/>
        <v>90+</v>
      </c>
      <c r="P53" s="101" t="str">
        <f t="shared" si="2"/>
        <v>Low</v>
      </c>
    </row>
    <row r="54" spans="4:16" x14ac:dyDescent="0.3">
      <c r="D54" s="99" t="s">
        <v>359</v>
      </c>
      <c r="E54" s="100">
        <v>46021</v>
      </c>
      <c r="F54" s="100" t="str">
        <f t="shared" si="9"/>
        <v/>
      </c>
      <c r="G54" s="101" t="str">
        <f t="shared" si="6"/>
        <v/>
      </c>
      <c r="H54" s="102" t="str">
        <f t="shared" si="7"/>
        <v/>
      </c>
      <c r="K54" s="99" t="s">
        <v>1242</v>
      </c>
      <c r="L54" s="102">
        <f t="shared" si="0"/>
        <v>1</v>
      </c>
      <c r="M54" s="100">
        <v>45863</v>
      </c>
      <c r="N54" s="101">
        <v>160</v>
      </c>
      <c r="O54" s="101" t="str">
        <f t="shared" si="1"/>
        <v>90+</v>
      </c>
      <c r="P54" s="101" t="str">
        <f t="shared" si="2"/>
        <v>Low</v>
      </c>
    </row>
    <row r="55" spans="4:16" x14ac:dyDescent="0.3">
      <c r="D55" s="99" t="s">
        <v>379</v>
      </c>
      <c r="E55" s="100">
        <v>45744</v>
      </c>
      <c r="F55" s="100" t="str">
        <f t="shared" si="9"/>
        <v/>
      </c>
      <c r="G55" s="101" t="str">
        <f t="shared" si="6"/>
        <v/>
      </c>
      <c r="H55" s="102" t="str">
        <f t="shared" si="7"/>
        <v/>
      </c>
      <c r="K55" s="99" t="s">
        <v>1280</v>
      </c>
      <c r="L55" s="102">
        <f t="shared" si="0"/>
        <v>1</v>
      </c>
      <c r="M55" s="100">
        <v>45863</v>
      </c>
      <c r="N55" s="101">
        <v>160</v>
      </c>
      <c r="O55" s="101" t="str">
        <f t="shared" si="1"/>
        <v>90+</v>
      </c>
      <c r="P55" s="101" t="str">
        <f t="shared" si="2"/>
        <v>Low</v>
      </c>
    </row>
    <row r="56" spans="4:16" x14ac:dyDescent="0.3">
      <c r="D56" s="99" t="s">
        <v>402</v>
      </c>
      <c r="E56" s="100">
        <v>45685</v>
      </c>
      <c r="F56" s="100">
        <f t="shared" si="9"/>
        <v>45733</v>
      </c>
      <c r="G56" s="101">
        <f t="shared" si="6"/>
        <v>48</v>
      </c>
      <c r="H56" s="102">
        <f t="shared" si="7"/>
        <v>0</v>
      </c>
      <c r="K56" s="99" t="s">
        <v>1320</v>
      </c>
      <c r="L56" s="102">
        <f t="shared" si="0"/>
        <v>0</v>
      </c>
      <c r="M56" s="100">
        <v>45889</v>
      </c>
      <c r="N56" s="101">
        <v>134</v>
      </c>
      <c r="O56" s="101" t="str">
        <f t="shared" si="1"/>
        <v>90+</v>
      </c>
      <c r="P56" s="101" t="str">
        <f t="shared" si="2"/>
        <v>Low</v>
      </c>
    </row>
    <row r="57" spans="4:16" x14ac:dyDescent="0.3">
      <c r="D57" s="99" t="s">
        <v>402</v>
      </c>
      <c r="E57" s="100">
        <v>45733</v>
      </c>
      <c r="F57" s="100" t="str">
        <f t="shared" si="9"/>
        <v/>
      </c>
      <c r="G57" s="101" t="str">
        <f t="shared" si="6"/>
        <v/>
      </c>
      <c r="H57" s="102" t="str">
        <f t="shared" si="7"/>
        <v/>
      </c>
      <c r="K57" s="99" t="s">
        <v>1358</v>
      </c>
      <c r="L57" s="102">
        <f t="shared" si="0"/>
        <v>0</v>
      </c>
      <c r="M57" s="100">
        <v>45985</v>
      </c>
      <c r="N57" s="101">
        <v>38</v>
      </c>
      <c r="O57" s="101" t="str">
        <f t="shared" si="1"/>
        <v>31-60</v>
      </c>
      <c r="P57" s="101" t="str">
        <f t="shared" si="2"/>
        <v>High</v>
      </c>
    </row>
    <row r="58" spans="4:16" x14ac:dyDescent="0.3">
      <c r="D58" s="99" t="s">
        <v>418</v>
      </c>
      <c r="E58" s="100">
        <v>45954</v>
      </c>
      <c r="F58" s="100" t="str">
        <f t="shared" si="9"/>
        <v/>
      </c>
      <c r="G58" s="101" t="str">
        <f t="shared" si="6"/>
        <v/>
      </c>
      <c r="H58" s="102" t="str">
        <f t="shared" si="7"/>
        <v/>
      </c>
      <c r="K58" s="99" t="s">
        <v>1398</v>
      </c>
      <c r="L58" s="102">
        <f t="shared" si="0"/>
        <v>0</v>
      </c>
      <c r="M58" s="100">
        <v>45918</v>
      </c>
      <c r="N58" s="101">
        <v>105</v>
      </c>
      <c r="O58" s="101" t="str">
        <f t="shared" si="1"/>
        <v>90+</v>
      </c>
      <c r="P58" s="101" t="str">
        <f t="shared" si="2"/>
        <v>Low</v>
      </c>
    </row>
    <row r="59" spans="4:16" x14ac:dyDescent="0.3">
      <c r="D59" s="99" t="s">
        <v>442</v>
      </c>
      <c r="E59" s="100">
        <v>45876</v>
      </c>
      <c r="F59" s="100">
        <f t="shared" si="9"/>
        <v>45896</v>
      </c>
      <c r="G59" s="101">
        <f t="shared" si="6"/>
        <v>20</v>
      </c>
      <c r="H59" s="102">
        <f t="shared" si="7"/>
        <v>1</v>
      </c>
      <c r="K59" s="99" t="s">
        <v>1431</v>
      </c>
      <c r="L59" s="102">
        <f t="shared" si="0"/>
        <v>0</v>
      </c>
      <c r="M59" s="100">
        <v>45807</v>
      </c>
      <c r="N59" s="101">
        <v>216</v>
      </c>
      <c r="O59" s="101" t="str">
        <f t="shared" si="1"/>
        <v>90+</v>
      </c>
      <c r="P59" s="101" t="str">
        <f t="shared" si="2"/>
        <v>Low</v>
      </c>
    </row>
    <row r="60" spans="4:16" x14ac:dyDescent="0.3">
      <c r="D60" s="99" t="s">
        <v>442</v>
      </c>
      <c r="E60" s="100">
        <v>45896</v>
      </c>
      <c r="F60" s="100" t="str">
        <f t="shared" si="9"/>
        <v/>
      </c>
      <c r="G60" s="101" t="str">
        <f t="shared" si="6"/>
        <v/>
      </c>
      <c r="H60" s="102" t="str">
        <f t="shared" si="7"/>
        <v/>
      </c>
      <c r="K60" s="99" t="s">
        <v>1470</v>
      </c>
      <c r="L60" s="102">
        <f t="shared" si="0"/>
        <v>0</v>
      </c>
      <c r="M60" s="100">
        <v>45764</v>
      </c>
      <c r="N60" s="101">
        <v>259</v>
      </c>
      <c r="O60" s="101" t="str">
        <f t="shared" si="1"/>
        <v>90+</v>
      </c>
      <c r="P60" s="101" t="str">
        <f t="shared" si="2"/>
        <v>Low</v>
      </c>
    </row>
    <row r="61" spans="4:16" x14ac:dyDescent="0.3">
      <c r="D61" s="99" t="s">
        <v>461</v>
      </c>
      <c r="E61" s="100">
        <v>45778</v>
      </c>
      <c r="F61" s="100">
        <f t="shared" si="9"/>
        <v>45861</v>
      </c>
      <c r="G61" s="101">
        <f t="shared" si="6"/>
        <v>83</v>
      </c>
      <c r="H61" s="102">
        <f t="shared" si="7"/>
        <v>0</v>
      </c>
      <c r="K61" s="99" t="s">
        <v>1554</v>
      </c>
      <c r="L61" s="102">
        <f t="shared" si="0"/>
        <v>0</v>
      </c>
      <c r="M61" s="100">
        <v>45939</v>
      </c>
      <c r="N61" s="101">
        <v>84</v>
      </c>
      <c r="O61" s="101" t="str">
        <f t="shared" si="1"/>
        <v>61-90</v>
      </c>
      <c r="P61" s="101" t="str">
        <f t="shared" si="2"/>
        <v>Low</v>
      </c>
    </row>
    <row r="62" spans="4:16" x14ac:dyDescent="0.3">
      <c r="D62" s="99" t="s">
        <v>461</v>
      </c>
      <c r="E62" s="100">
        <v>45861</v>
      </c>
      <c r="F62" s="100">
        <f t="shared" si="9"/>
        <v>45909</v>
      </c>
      <c r="G62" s="101">
        <f t="shared" si="6"/>
        <v>48</v>
      </c>
      <c r="H62" s="102">
        <f t="shared" si="7"/>
        <v>0</v>
      </c>
      <c r="K62" s="99" t="s">
        <v>1584</v>
      </c>
      <c r="L62" s="102">
        <f t="shared" si="0"/>
        <v>1</v>
      </c>
      <c r="M62" s="100">
        <v>45994</v>
      </c>
      <c r="N62" s="101">
        <v>29</v>
      </c>
      <c r="O62" s="101" t="str">
        <f t="shared" si="1"/>
        <v>0-30</v>
      </c>
      <c r="P62" s="101" t="str">
        <f t="shared" si="2"/>
        <v>High</v>
      </c>
    </row>
    <row r="63" spans="4:16" x14ac:dyDescent="0.3">
      <c r="D63" s="99" t="s">
        <v>461</v>
      </c>
      <c r="E63" s="100">
        <v>45909</v>
      </c>
      <c r="F63" s="100">
        <f t="shared" si="9"/>
        <v>45961</v>
      </c>
      <c r="G63" s="101">
        <f t="shared" si="6"/>
        <v>52</v>
      </c>
      <c r="H63" s="102">
        <f t="shared" si="7"/>
        <v>0</v>
      </c>
      <c r="K63" s="99" t="s">
        <v>1640</v>
      </c>
      <c r="L63" s="102">
        <f t="shared" si="0"/>
        <v>1</v>
      </c>
      <c r="M63" s="100">
        <v>45881</v>
      </c>
      <c r="N63" s="101">
        <v>142</v>
      </c>
      <c r="O63" s="101" t="str">
        <f t="shared" si="1"/>
        <v>90+</v>
      </c>
      <c r="P63" s="101" t="str">
        <f t="shared" si="2"/>
        <v>Low</v>
      </c>
    </row>
    <row r="64" spans="4:16" x14ac:dyDescent="0.3">
      <c r="D64" s="99" t="s">
        <v>461</v>
      </c>
      <c r="E64" s="100">
        <v>45961</v>
      </c>
      <c r="F64" s="100" t="str">
        <f t="shared" si="9"/>
        <v/>
      </c>
      <c r="G64" s="101" t="str">
        <f t="shared" si="6"/>
        <v/>
      </c>
      <c r="H64" s="102" t="str">
        <f t="shared" si="7"/>
        <v/>
      </c>
      <c r="K64" s="99" t="s">
        <v>1683</v>
      </c>
      <c r="L64" s="102">
        <f t="shared" si="0"/>
        <v>0</v>
      </c>
      <c r="M64" s="100">
        <v>45716</v>
      </c>
      <c r="N64" s="101">
        <v>307</v>
      </c>
      <c r="O64" s="101" t="str">
        <f t="shared" si="1"/>
        <v>90+</v>
      </c>
      <c r="P64" s="101" t="str">
        <f t="shared" si="2"/>
        <v>Low</v>
      </c>
    </row>
    <row r="65" spans="4:16" x14ac:dyDescent="0.3">
      <c r="D65" s="99" t="s">
        <v>485</v>
      </c>
      <c r="E65" s="100">
        <v>45698</v>
      </c>
      <c r="F65" s="100">
        <f t="shared" si="9"/>
        <v>45863</v>
      </c>
      <c r="G65" s="101">
        <f t="shared" si="6"/>
        <v>165</v>
      </c>
      <c r="H65" s="102">
        <f t="shared" si="7"/>
        <v>0</v>
      </c>
      <c r="K65" s="99" t="s">
        <v>1716</v>
      </c>
      <c r="L65" s="102">
        <f t="shared" si="0"/>
        <v>0</v>
      </c>
      <c r="M65" s="100">
        <v>45912</v>
      </c>
      <c r="N65" s="101">
        <v>111</v>
      </c>
      <c r="O65" s="101" t="str">
        <f t="shared" si="1"/>
        <v>90+</v>
      </c>
      <c r="P65" s="101" t="str">
        <f t="shared" si="2"/>
        <v>Low</v>
      </c>
    </row>
    <row r="66" spans="4:16" x14ac:dyDescent="0.3">
      <c r="D66" s="99" t="s">
        <v>485</v>
      </c>
      <c r="E66" s="100">
        <v>45863</v>
      </c>
      <c r="F66" s="100" t="str">
        <f t="shared" si="9"/>
        <v/>
      </c>
      <c r="G66" s="101" t="str">
        <f t="shared" si="6"/>
        <v/>
      </c>
      <c r="H66" s="102" t="str">
        <f t="shared" si="7"/>
        <v/>
      </c>
      <c r="K66" s="99" t="s">
        <v>1756</v>
      </c>
      <c r="L66" s="102">
        <f t="shared" si="0"/>
        <v>0</v>
      </c>
      <c r="M66" s="100">
        <v>46014</v>
      </c>
      <c r="N66" s="101">
        <v>9</v>
      </c>
      <c r="O66" s="101" t="str">
        <f t="shared" si="1"/>
        <v>0-30</v>
      </c>
      <c r="P66" s="101" t="str">
        <f t="shared" si="2"/>
        <v>High</v>
      </c>
    </row>
    <row r="67" spans="4:16" x14ac:dyDescent="0.3">
      <c r="D67" s="99" t="s">
        <v>533</v>
      </c>
      <c r="E67" s="100">
        <v>45687</v>
      </c>
      <c r="F67" s="100">
        <f t="shared" si="9"/>
        <v>45778</v>
      </c>
      <c r="G67" s="101">
        <f t="shared" si="6"/>
        <v>91</v>
      </c>
      <c r="H67" s="102">
        <f t="shared" si="7"/>
        <v>0</v>
      </c>
      <c r="K67" s="99" t="s">
        <v>1789</v>
      </c>
      <c r="L67" s="102">
        <f t="shared" si="0"/>
        <v>1</v>
      </c>
      <c r="M67" s="100">
        <v>45986</v>
      </c>
      <c r="N67" s="101">
        <v>37</v>
      </c>
      <c r="O67" s="101" t="str">
        <f t="shared" si="1"/>
        <v>31-60</v>
      </c>
      <c r="P67" s="101" t="str">
        <f t="shared" si="2"/>
        <v>High</v>
      </c>
    </row>
    <row r="68" spans="4:16" x14ac:dyDescent="0.3">
      <c r="D68" s="99" t="s">
        <v>533</v>
      </c>
      <c r="E68" s="100">
        <v>45778</v>
      </c>
      <c r="F68" s="100">
        <f t="shared" si="9"/>
        <v>45929</v>
      </c>
      <c r="G68" s="101">
        <f t="shared" si="6"/>
        <v>151</v>
      </c>
      <c r="H68" s="102">
        <f t="shared" si="7"/>
        <v>0</v>
      </c>
      <c r="K68" s="99" t="s">
        <v>1855</v>
      </c>
      <c r="L68" s="102">
        <f t="shared" si="0"/>
        <v>0</v>
      </c>
      <c r="M68" s="100">
        <v>45883</v>
      </c>
      <c r="N68" s="101">
        <v>140</v>
      </c>
      <c r="O68" s="101" t="str">
        <f t="shared" si="1"/>
        <v>90+</v>
      </c>
      <c r="P68" s="101" t="str">
        <f t="shared" si="2"/>
        <v>Low</v>
      </c>
    </row>
    <row r="69" spans="4:16" x14ac:dyDescent="0.3">
      <c r="D69" s="99" t="s">
        <v>533</v>
      </c>
      <c r="E69" s="100">
        <v>45929</v>
      </c>
      <c r="F69" s="100" t="str">
        <f t="shared" si="9"/>
        <v/>
      </c>
      <c r="G69" s="101" t="str">
        <f t="shared" si="6"/>
        <v/>
      </c>
      <c r="H69" s="102" t="str">
        <f t="shared" si="7"/>
        <v/>
      </c>
      <c r="K69" s="99" t="s">
        <v>1885</v>
      </c>
      <c r="L69" s="102">
        <f t="shared" si="0"/>
        <v>0</v>
      </c>
      <c r="M69" s="100">
        <v>45768</v>
      </c>
      <c r="N69" s="101">
        <v>255</v>
      </c>
      <c r="O69" s="101" t="str">
        <f t="shared" si="1"/>
        <v>90+</v>
      </c>
      <c r="P69" s="101" t="str">
        <f t="shared" si="2"/>
        <v>Low</v>
      </c>
    </row>
    <row r="70" spans="4:16" x14ac:dyDescent="0.3">
      <c r="D70" s="99" t="s">
        <v>573</v>
      </c>
      <c r="E70" s="100">
        <v>45789</v>
      </c>
      <c r="F70" s="100">
        <f t="shared" si="9"/>
        <v>45796</v>
      </c>
      <c r="G70" s="101">
        <f t="shared" si="6"/>
        <v>7</v>
      </c>
      <c r="H70" s="102">
        <f t="shared" si="7"/>
        <v>1</v>
      </c>
      <c r="K70" s="99" t="s">
        <v>1899</v>
      </c>
      <c r="L70" s="102">
        <f t="shared" si="0"/>
        <v>0</v>
      </c>
      <c r="M70" s="100">
        <v>46013</v>
      </c>
      <c r="N70" s="101">
        <v>10</v>
      </c>
      <c r="O70" s="101" t="str">
        <f t="shared" si="1"/>
        <v>0-30</v>
      </c>
      <c r="P70" s="101" t="str">
        <f t="shared" si="2"/>
        <v>High</v>
      </c>
    </row>
    <row r="71" spans="4:16" x14ac:dyDescent="0.3">
      <c r="D71" s="99" t="s">
        <v>573</v>
      </c>
      <c r="E71" s="100">
        <v>45796</v>
      </c>
      <c r="F71" s="100">
        <f t="shared" si="9"/>
        <v>45884</v>
      </c>
      <c r="G71" s="101">
        <f t="shared" si="6"/>
        <v>88</v>
      </c>
      <c r="H71" s="102">
        <f t="shared" ref="H71:H134" si="10">IF(G71="","",IF(G71&lt;=return_window,1,0))</f>
        <v>0</v>
      </c>
      <c r="K71" s="99" t="s">
        <v>1913</v>
      </c>
      <c r="L71" s="102">
        <f t="shared" si="0"/>
        <v>0</v>
      </c>
      <c r="M71" s="100">
        <v>45665</v>
      </c>
      <c r="N71" s="101">
        <v>358</v>
      </c>
      <c r="O71" s="101" t="str">
        <f t="shared" si="1"/>
        <v>90+</v>
      </c>
      <c r="P71" s="101" t="str">
        <f t="shared" ref="P71:P134" si="11">IF(N71&lt;=recency_threshold,"High","Low")</f>
        <v>Low</v>
      </c>
    </row>
    <row r="72" spans="4:16" x14ac:dyDescent="0.3">
      <c r="D72" s="99" t="s">
        <v>573</v>
      </c>
      <c r="E72" s="100">
        <v>45884</v>
      </c>
      <c r="F72" s="100" t="str">
        <f t="shared" ref="F72:F135" si="12">IF(D72=D73,E73,"")</f>
        <v/>
      </c>
      <c r="G72" s="101" t="str">
        <f t="shared" ref="G72:G135" si="13">IF(F72="","",F72-E72)</f>
        <v/>
      </c>
      <c r="H72" s="102" t="str">
        <f t="shared" si="10"/>
        <v/>
      </c>
      <c r="K72" s="99" t="s">
        <v>1926</v>
      </c>
      <c r="L72" s="102">
        <f t="shared" ref="L72:L135" si="14">IF(SUMIFS($H$6:$H$2006,$D$6:$D$2006,K72),1,0)</f>
        <v>0</v>
      </c>
      <c r="M72" s="100">
        <v>45874</v>
      </c>
      <c r="N72" s="101">
        <v>149</v>
      </c>
      <c r="O72" s="101" t="str">
        <f t="shared" ref="O72:O135" si="15">VLOOKUP(N72,$A$15:$B$19,2,TRUE)</f>
        <v>90+</v>
      </c>
      <c r="P72" s="101" t="str">
        <f t="shared" si="11"/>
        <v>Low</v>
      </c>
    </row>
    <row r="73" spans="4:16" x14ac:dyDescent="0.3">
      <c r="D73" s="99" t="s">
        <v>596</v>
      </c>
      <c r="E73" s="100">
        <v>45699</v>
      </c>
      <c r="F73" s="100">
        <f t="shared" si="12"/>
        <v>45793</v>
      </c>
      <c r="G73" s="101">
        <f t="shared" si="13"/>
        <v>94</v>
      </c>
      <c r="H73" s="102">
        <f t="shared" si="10"/>
        <v>0</v>
      </c>
      <c r="K73" s="99" t="s">
        <v>1939</v>
      </c>
      <c r="L73" s="102">
        <f t="shared" si="14"/>
        <v>0</v>
      </c>
      <c r="M73" s="100">
        <v>45840</v>
      </c>
      <c r="N73" s="101">
        <v>183</v>
      </c>
      <c r="O73" s="101" t="str">
        <f t="shared" si="15"/>
        <v>90+</v>
      </c>
      <c r="P73" s="101" t="str">
        <f t="shared" si="11"/>
        <v>Low</v>
      </c>
    </row>
    <row r="74" spans="4:16" x14ac:dyDescent="0.3">
      <c r="D74" s="99" t="s">
        <v>596</v>
      </c>
      <c r="E74" s="100">
        <v>45793</v>
      </c>
      <c r="F74" s="100" t="str">
        <f t="shared" si="12"/>
        <v/>
      </c>
      <c r="G74" s="101" t="str">
        <f t="shared" si="13"/>
        <v/>
      </c>
      <c r="H74" s="102" t="str">
        <f t="shared" si="10"/>
        <v/>
      </c>
      <c r="K74" s="99" t="s">
        <v>1951</v>
      </c>
      <c r="L74" s="102">
        <f t="shared" si="14"/>
        <v>0</v>
      </c>
      <c r="M74" s="100">
        <v>45863</v>
      </c>
      <c r="N74" s="101">
        <v>160</v>
      </c>
      <c r="O74" s="101" t="str">
        <f t="shared" si="15"/>
        <v>90+</v>
      </c>
      <c r="P74" s="101" t="str">
        <f t="shared" si="11"/>
        <v>Low</v>
      </c>
    </row>
    <row r="75" spans="4:16" x14ac:dyDescent="0.3">
      <c r="D75" s="99" t="s">
        <v>642</v>
      </c>
      <c r="E75" s="100">
        <v>45664</v>
      </c>
      <c r="F75" s="100">
        <f t="shared" si="12"/>
        <v>45854</v>
      </c>
      <c r="G75" s="101">
        <f t="shared" si="13"/>
        <v>190</v>
      </c>
      <c r="H75" s="102">
        <f t="shared" si="10"/>
        <v>0</v>
      </c>
      <c r="K75" s="99" t="s">
        <v>1959</v>
      </c>
      <c r="L75" s="102">
        <f t="shared" si="14"/>
        <v>0</v>
      </c>
      <c r="M75" s="100">
        <v>45763</v>
      </c>
      <c r="N75" s="101">
        <v>260</v>
      </c>
      <c r="O75" s="101" t="str">
        <f t="shared" si="15"/>
        <v>90+</v>
      </c>
      <c r="P75" s="101" t="str">
        <f t="shared" si="11"/>
        <v>Low</v>
      </c>
    </row>
    <row r="76" spans="4:16" x14ac:dyDescent="0.3">
      <c r="D76" s="99" t="s">
        <v>642</v>
      </c>
      <c r="E76" s="100">
        <v>45854</v>
      </c>
      <c r="F76" s="100">
        <f t="shared" si="12"/>
        <v>45876</v>
      </c>
      <c r="G76" s="101">
        <f t="shared" si="13"/>
        <v>22</v>
      </c>
      <c r="H76" s="102">
        <f t="shared" si="10"/>
        <v>1</v>
      </c>
      <c r="K76" s="99" t="s">
        <v>1970</v>
      </c>
      <c r="L76" s="102">
        <f t="shared" si="14"/>
        <v>0</v>
      </c>
      <c r="M76" s="100">
        <v>45943</v>
      </c>
      <c r="N76" s="101">
        <v>80</v>
      </c>
      <c r="O76" s="101" t="str">
        <f t="shared" si="15"/>
        <v>61-90</v>
      </c>
      <c r="P76" s="101" t="str">
        <f t="shared" si="11"/>
        <v>Low</v>
      </c>
    </row>
    <row r="77" spans="4:16" x14ac:dyDescent="0.3">
      <c r="D77" s="99" t="s">
        <v>642</v>
      </c>
      <c r="E77" s="100">
        <v>45876</v>
      </c>
      <c r="F77" s="100">
        <f t="shared" si="12"/>
        <v>45922</v>
      </c>
      <c r="G77" s="101">
        <f t="shared" si="13"/>
        <v>46</v>
      </c>
      <c r="H77" s="102">
        <f t="shared" si="10"/>
        <v>0</v>
      </c>
      <c r="K77" s="99" t="s">
        <v>1977</v>
      </c>
      <c r="L77" s="102">
        <f t="shared" si="14"/>
        <v>0</v>
      </c>
      <c r="M77" s="100">
        <v>45912</v>
      </c>
      <c r="N77" s="101">
        <v>111</v>
      </c>
      <c r="O77" s="101" t="str">
        <f t="shared" si="15"/>
        <v>90+</v>
      </c>
      <c r="P77" s="101" t="str">
        <f t="shared" si="11"/>
        <v>Low</v>
      </c>
    </row>
    <row r="78" spans="4:16" x14ac:dyDescent="0.3">
      <c r="D78" s="99" t="s">
        <v>642</v>
      </c>
      <c r="E78" s="100">
        <v>45922</v>
      </c>
      <c r="F78" s="100">
        <f t="shared" si="12"/>
        <v>45988</v>
      </c>
      <c r="G78" s="101">
        <f t="shared" si="13"/>
        <v>66</v>
      </c>
      <c r="H78" s="102">
        <f t="shared" si="10"/>
        <v>0</v>
      </c>
      <c r="K78" s="99" t="s">
        <v>1986</v>
      </c>
      <c r="L78" s="102">
        <f t="shared" si="14"/>
        <v>0</v>
      </c>
      <c r="M78" s="100">
        <v>45834</v>
      </c>
      <c r="N78" s="101">
        <v>189</v>
      </c>
      <c r="O78" s="101" t="str">
        <f t="shared" si="15"/>
        <v>90+</v>
      </c>
      <c r="P78" s="101" t="str">
        <f t="shared" si="11"/>
        <v>Low</v>
      </c>
    </row>
    <row r="79" spans="4:16" x14ac:dyDescent="0.3">
      <c r="D79" s="99" t="s">
        <v>642</v>
      </c>
      <c r="E79" s="100">
        <v>45988</v>
      </c>
      <c r="F79" s="100" t="str">
        <f t="shared" si="12"/>
        <v/>
      </c>
      <c r="G79" s="101" t="str">
        <f t="shared" si="13"/>
        <v/>
      </c>
      <c r="H79" s="102" t="str">
        <f t="shared" si="10"/>
        <v/>
      </c>
      <c r="K79" s="99" t="s">
        <v>2003</v>
      </c>
      <c r="L79" s="102">
        <f t="shared" si="14"/>
        <v>0</v>
      </c>
      <c r="M79" s="100">
        <v>45667</v>
      </c>
      <c r="N79" s="101">
        <v>356</v>
      </c>
      <c r="O79" s="101" t="str">
        <f t="shared" si="15"/>
        <v>90+</v>
      </c>
      <c r="P79" s="101" t="str">
        <f t="shared" si="11"/>
        <v>Low</v>
      </c>
    </row>
    <row r="80" spans="4:16" x14ac:dyDescent="0.3">
      <c r="D80" s="99" t="s">
        <v>670</v>
      </c>
      <c r="E80" s="100">
        <v>45685</v>
      </c>
      <c r="F80" s="100" t="str">
        <f t="shared" si="12"/>
        <v/>
      </c>
      <c r="G80" s="101" t="str">
        <f t="shared" si="13"/>
        <v/>
      </c>
      <c r="H80" s="102" t="str">
        <f t="shared" si="10"/>
        <v/>
      </c>
      <c r="K80" s="99" t="s">
        <v>2012</v>
      </c>
      <c r="L80" s="102">
        <f t="shared" si="14"/>
        <v>0</v>
      </c>
      <c r="M80" s="100">
        <v>45947</v>
      </c>
      <c r="N80" s="101">
        <v>76</v>
      </c>
      <c r="O80" s="101" t="str">
        <f t="shared" si="15"/>
        <v>61-90</v>
      </c>
      <c r="P80" s="101" t="str">
        <f t="shared" si="11"/>
        <v>Low</v>
      </c>
    </row>
    <row r="81" spans="4:16" x14ac:dyDescent="0.3">
      <c r="D81" s="99" t="s">
        <v>692</v>
      </c>
      <c r="E81" s="100">
        <v>45666</v>
      </c>
      <c r="F81" s="100">
        <f t="shared" si="12"/>
        <v>45673</v>
      </c>
      <c r="G81" s="101">
        <f t="shared" si="13"/>
        <v>7</v>
      </c>
      <c r="H81" s="102">
        <f t="shared" si="10"/>
        <v>1</v>
      </c>
      <c r="K81" s="99" t="s">
        <v>2026</v>
      </c>
      <c r="L81" s="102">
        <f t="shared" si="14"/>
        <v>0</v>
      </c>
      <c r="M81" s="100">
        <v>45817</v>
      </c>
      <c r="N81" s="101">
        <v>206</v>
      </c>
      <c r="O81" s="101" t="str">
        <f t="shared" si="15"/>
        <v>90+</v>
      </c>
      <c r="P81" s="101" t="str">
        <f t="shared" si="11"/>
        <v>Low</v>
      </c>
    </row>
    <row r="82" spans="4:16" x14ac:dyDescent="0.3">
      <c r="D82" s="99" t="s">
        <v>692</v>
      </c>
      <c r="E82" s="100">
        <v>45673</v>
      </c>
      <c r="F82" s="100" t="str">
        <f t="shared" si="12"/>
        <v/>
      </c>
      <c r="G82" s="101" t="str">
        <f t="shared" si="13"/>
        <v/>
      </c>
      <c r="H82" s="102" t="str">
        <f t="shared" si="10"/>
        <v/>
      </c>
      <c r="K82" s="99" t="s">
        <v>2040</v>
      </c>
      <c r="L82" s="102">
        <f t="shared" si="14"/>
        <v>0</v>
      </c>
      <c r="M82" s="100">
        <v>45939</v>
      </c>
      <c r="N82" s="101">
        <v>84</v>
      </c>
      <c r="O82" s="101" t="str">
        <f t="shared" si="15"/>
        <v>61-90</v>
      </c>
      <c r="P82" s="101" t="str">
        <f t="shared" si="11"/>
        <v>Low</v>
      </c>
    </row>
    <row r="83" spans="4:16" x14ac:dyDescent="0.3">
      <c r="D83" s="99" t="s">
        <v>709</v>
      </c>
      <c r="E83" s="100">
        <v>45831</v>
      </c>
      <c r="F83" s="100">
        <f t="shared" si="12"/>
        <v>45967</v>
      </c>
      <c r="G83" s="101">
        <f t="shared" si="13"/>
        <v>136</v>
      </c>
      <c r="H83" s="102">
        <f t="shared" si="10"/>
        <v>0</v>
      </c>
      <c r="K83" s="99" t="s">
        <v>2053</v>
      </c>
      <c r="L83" s="102">
        <f t="shared" si="14"/>
        <v>0</v>
      </c>
      <c r="M83" s="100">
        <v>45996</v>
      </c>
      <c r="N83" s="101">
        <v>27</v>
      </c>
      <c r="O83" s="101" t="str">
        <f t="shared" si="15"/>
        <v>0-30</v>
      </c>
      <c r="P83" s="101" t="str">
        <f t="shared" si="11"/>
        <v>High</v>
      </c>
    </row>
    <row r="84" spans="4:16" x14ac:dyDescent="0.3">
      <c r="D84" s="99" t="s">
        <v>709</v>
      </c>
      <c r="E84" s="100">
        <v>45967</v>
      </c>
      <c r="F84" s="100" t="str">
        <f t="shared" si="12"/>
        <v/>
      </c>
      <c r="G84" s="101" t="str">
        <f t="shared" si="13"/>
        <v/>
      </c>
      <c r="H84" s="102" t="str">
        <f t="shared" si="10"/>
        <v/>
      </c>
      <c r="K84" s="99" t="s">
        <v>2061</v>
      </c>
      <c r="L84" s="102">
        <f t="shared" si="14"/>
        <v>0</v>
      </c>
      <c r="M84" s="100">
        <v>45988</v>
      </c>
      <c r="N84" s="101">
        <v>35</v>
      </c>
      <c r="O84" s="101" t="str">
        <f t="shared" si="15"/>
        <v>31-60</v>
      </c>
      <c r="P84" s="101" t="str">
        <f t="shared" si="11"/>
        <v>High</v>
      </c>
    </row>
    <row r="85" spans="4:16" x14ac:dyDescent="0.3">
      <c r="D85" s="99" t="s">
        <v>728</v>
      </c>
      <c r="E85" s="100">
        <v>45721</v>
      </c>
      <c r="F85" s="100">
        <f t="shared" si="12"/>
        <v>45764</v>
      </c>
      <c r="G85" s="101">
        <f t="shared" si="13"/>
        <v>43</v>
      </c>
      <c r="H85" s="102">
        <f t="shared" si="10"/>
        <v>0</v>
      </c>
      <c r="K85" s="99" t="s">
        <v>2073</v>
      </c>
      <c r="L85" s="102">
        <f t="shared" si="14"/>
        <v>0</v>
      </c>
      <c r="M85" s="100">
        <v>45790</v>
      </c>
      <c r="N85" s="101">
        <v>233</v>
      </c>
      <c r="O85" s="101" t="str">
        <f t="shared" si="15"/>
        <v>90+</v>
      </c>
      <c r="P85" s="101" t="str">
        <f t="shared" si="11"/>
        <v>Low</v>
      </c>
    </row>
    <row r="86" spans="4:16" x14ac:dyDescent="0.3">
      <c r="D86" s="99" t="s">
        <v>728</v>
      </c>
      <c r="E86" s="100">
        <v>45764</v>
      </c>
      <c r="F86" s="100">
        <f t="shared" si="12"/>
        <v>45813</v>
      </c>
      <c r="G86" s="101">
        <f t="shared" si="13"/>
        <v>49</v>
      </c>
      <c r="H86" s="102">
        <f t="shared" si="10"/>
        <v>0</v>
      </c>
      <c r="K86" s="99" t="s">
        <v>2095</v>
      </c>
      <c r="L86" s="102">
        <f t="shared" si="14"/>
        <v>1</v>
      </c>
      <c r="M86" s="100">
        <v>45798</v>
      </c>
      <c r="N86" s="101">
        <v>225</v>
      </c>
      <c r="O86" s="101" t="str">
        <f t="shared" si="15"/>
        <v>90+</v>
      </c>
      <c r="P86" s="101" t="str">
        <f t="shared" si="11"/>
        <v>Low</v>
      </c>
    </row>
    <row r="87" spans="4:16" x14ac:dyDescent="0.3">
      <c r="D87" s="99" t="s">
        <v>728</v>
      </c>
      <c r="E87" s="100">
        <v>45813</v>
      </c>
      <c r="F87" s="100">
        <f t="shared" si="12"/>
        <v>45951</v>
      </c>
      <c r="G87" s="101">
        <f t="shared" si="13"/>
        <v>138</v>
      </c>
      <c r="H87" s="102">
        <f t="shared" si="10"/>
        <v>0</v>
      </c>
      <c r="K87" s="99" t="s">
        <v>2849</v>
      </c>
      <c r="L87" s="102">
        <f t="shared" si="14"/>
        <v>0</v>
      </c>
      <c r="M87" s="100">
        <v>45992</v>
      </c>
      <c r="N87" s="101">
        <v>31</v>
      </c>
      <c r="O87" s="101" t="str">
        <f t="shared" si="15"/>
        <v>31-60</v>
      </c>
      <c r="P87" s="101" t="str">
        <f t="shared" si="11"/>
        <v>High</v>
      </c>
    </row>
    <row r="88" spans="4:16" x14ac:dyDescent="0.3">
      <c r="D88" s="99" t="s">
        <v>728</v>
      </c>
      <c r="E88" s="100">
        <v>45951</v>
      </c>
      <c r="F88" s="100" t="str">
        <f t="shared" si="12"/>
        <v/>
      </c>
      <c r="G88" s="101" t="str">
        <f t="shared" si="13"/>
        <v/>
      </c>
      <c r="H88" s="102" t="str">
        <f t="shared" si="10"/>
        <v/>
      </c>
      <c r="K88" s="99" t="s">
        <v>2118</v>
      </c>
      <c r="L88" s="102">
        <f t="shared" si="14"/>
        <v>1</v>
      </c>
      <c r="M88" s="100">
        <v>45925</v>
      </c>
      <c r="N88" s="101">
        <v>98</v>
      </c>
      <c r="O88" s="101" t="str">
        <f t="shared" si="15"/>
        <v>90+</v>
      </c>
      <c r="P88" s="101" t="str">
        <f t="shared" si="11"/>
        <v>Low</v>
      </c>
    </row>
    <row r="89" spans="4:16" x14ac:dyDescent="0.3">
      <c r="D89" s="99" t="s">
        <v>771</v>
      </c>
      <c r="E89" s="100">
        <v>45820</v>
      </c>
      <c r="F89" s="100" t="str">
        <f t="shared" si="12"/>
        <v/>
      </c>
      <c r="G89" s="101" t="str">
        <f t="shared" si="13"/>
        <v/>
      </c>
      <c r="H89" s="102" t="str">
        <f t="shared" si="10"/>
        <v/>
      </c>
      <c r="K89" s="99" t="s">
        <v>2119</v>
      </c>
      <c r="L89" s="102">
        <f t="shared" si="14"/>
        <v>1</v>
      </c>
      <c r="M89" s="100">
        <v>45980</v>
      </c>
      <c r="N89" s="101">
        <v>43</v>
      </c>
      <c r="O89" s="101" t="str">
        <f t="shared" si="15"/>
        <v>31-60</v>
      </c>
      <c r="P89" s="101" t="str">
        <f t="shared" si="11"/>
        <v>High</v>
      </c>
    </row>
    <row r="90" spans="4:16" x14ac:dyDescent="0.3">
      <c r="D90" s="99" t="s">
        <v>792</v>
      </c>
      <c r="E90" s="100">
        <v>45812</v>
      </c>
      <c r="F90" s="100" t="str">
        <f t="shared" si="12"/>
        <v/>
      </c>
      <c r="G90" s="101" t="str">
        <f t="shared" si="13"/>
        <v/>
      </c>
      <c r="H90" s="102" t="str">
        <f t="shared" si="10"/>
        <v/>
      </c>
      <c r="K90" s="99" t="s">
        <v>2120</v>
      </c>
      <c r="L90" s="102">
        <f t="shared" si="14"/>
        <v>0</v>
      </c>
      <c r="M90" s="100">
        <v>46013</v>
      </c>
      <c r="N90" s="101">
        <v>10</v>
      </c>
      <c r="O90" s="101" t="str">
        <f t="shared" si="15"/>
        <v>0-30</v>
      </c>
      <c r="P90" s="101" t="str">
        <f t="shared" si="11"/>
        <v>High</v>
      </c>
    </row>
    <row r="91" spans="4:16" x14ac:dyDescent="0.3">
      <c r="D91" s="99" t="s">
        <v>824</v>
      </c>
      <c r="E91" s="100">
        <v>45715</v>
      </c>
      <c r="F91" s="100">
        <f t="shared" si="12"/>
        <v>45965</v>
      </c>
      <c r="G91" s="101">
        <f t="shared" si="13"/>
        <v>250</v>
      </c>
      <c r="H91" s="102">
        <f t="shared" si="10"/>
        <v>0</v>
      </c>
      <c r="K91" s="99" t="s">
        <v>2121</v>
      </c>
      <c r="L91" s="102">
        <f t="shared" si="14"/>
        <v>0</v>
      </c>
      <c r="M91" s="100">
        <v>45861</v>
      </c>
      <c r="N91" s="101">
        <v>162</v>
      </c>
      <c r="O91" s="101" t="str">
        <f t="shared" si="15"/>
        <v>90+</v>
      </c>
      <c r="P91" s="101" t="str">
        <f t="shared" si="11"/>
        <v>Low</v>
      </c>
    </row>
    <row r="92" spans="4:16" x14ac:dyDescent="0.3">
      <c r="D92" s="99" t="s">
        <v>824</v>
      </c>
      <c r="E92" s="100">
        <v>45965</v>
      </c>
      <c r="F92" s="100" t="str">
        <f t="shared" si="12"/>
        <v/>
      </c>
      <c r="G92" s="101" t="str">
        <f t="shared" si="13"/>
        <v/>
      </c>
      <c r="H92" s="102" t="str">
        <f t="shared" si="10"/>
        <v/>
      </c>
      <c r="K92" s="99" t="s">
        <v>2122</v>
      </c>
      <c r="L92" s="102">
        <f t="shared" si="14"/>
        <v>1</v>
      </c>
      <c r="M92" s="100">
        <v>46010</v>
      </c>
      <c r="N92" s="101">
        <v>13</v>
      </c>
      <c r="O92" s="101" t="str">
        <f t="shared" si="15"/>
        <v>0-30</v>
      </c>
      <c r="P92" s="101" t="str">
        <f t="shared" si="11"/>
        <v>High</v>
      </c>
    </row>
    <row r="93" spans="4:16" x14ac:dyDescent="0.3">
      <c r="D93" s="99" t="s">
        <v>840</v>
      </c>
      <c r="E93" s="100">
        <v>45685</v>
      </c>
      <c r="F93" s="100">
        <f t="shared" si="12"/>
        <v>46021</v>
      </c>
      <c r="G93" s="101">
        <f t="shared" si="13"/>
        <v>336</v>
      </c>
      <c r="H93" s="102">
        <f t="shared" si="10"/>
        <v>0</v>
      </c>
      <c r="K93" s="99" t="s">
        <v>2123</v>
      </c>
      <c r="L93" s="102">
        <f t="shared" si="14"/>
        <v>0</v>
      </c>
      <c r="M93" s="100">
        <v>45884</v>
      </c>
      <c r="N93" s="101">
        <v>139</v>
      </c>
      <c r="O93" s="101" t="str">
        <f t="shared" si="15"/>
        <v>90+</v>
      </c>
      <c r="P93" s="101" t="str">
        <f t="shared" si="11"/>
        <v>Low</v>
      </c>
    </row>
    <row r="94" spans="4:16" x14ac:dyDescent="0.3">
      <c r="D94" s="99" t="s">
        <v>840</v>
      </c>
      <c r="E94" s="100">
        <v>46021</v>
      </c>
      <c r="F94" s="100" t="str">
        <f t="shared" si="12"/>
        <v/>
      </c>
      <c r="G94" s="101" t="str">
        <f t="shared" si="13"/>
        <v/>
      </c>
      <c r="H94" s="102" t="str">
        <f t="shared" si="10"/>
        <v/>
      </c>
      <c r="K94" s="99" t="s">
        <v>2124</v>
      </c>
      <c r="L94" s="102">
        <f t="shared" si="14"/>
        <v>0</v>
      </c>
      <c r="M94" s="100">
        <v>45938</v>
      </c>
      <c r="N94" s="101">
        <v>85</v>
      </c>
      <c r="O94" s="101" t="str">
        <f t="shared" si="15"/>
        <v>61-90</v>
      </c>
      <c r="P94" s="101" t="str">
        <f t="shared" si="11"/>
        <v>Low</v>
      </c>
    </row>
    <row r="95" spans="4:16" x14ac:dyDescent="0.3">
      <c r="D95" s="99" t="s">
        <v>853</v>
      </c>
      <c r="E95" s="100">
        <v>45664</v>
      </c>
      <c r="F95" s="100">
        <f t="shared" si="12"/>
        <v>45720</v>
      </c>
      <c r="G95" s="101">
        <f t="shared" si="13"/>
        <v>56</v>
      </c>
      <c r="H95" s="102">
        <f t="shared" si="10"/>
        <v>0</v>
      </c>
      <c r="K95" s="99" t="s">
        <v>2125</v>
      </c>
      <c r="L95" s="102">
        <f t="shared" si="14"/>
        <v>0</v>
      </c>
      <c r="M95" s="100">
        <v>45987</v>
      </c>
      <c r="N95" s="101">
        <v>36</v>
      </c>
      <c r="O95" s="101" t="str">
        <f t="shared" si="15"/>
        <v>31-60</v>
      </c>
      <c r="P95" s="101" t="str">
        <f t="shared" si="11"/>
        <v>High</v>
      </c>
    </row>
    <row r="96" spans="4:16" x14ac:dyDescent="0.3">
      <c r="D96" s="99" t="s">
        <v>853</v>
      </c>
      <c r="E96" s="100">
        <v>45720</v>
      </c>
      <c r="F96" s="100">
        <f t="shared" si="12"/>
        <v>45854</v>
      </c>
      <c r="G96" s="101">
        <f t="shared" si="13"/>
        <v>134</v>
      </c>
      <c r="H96" s="102">
        <f t="shared" si="10"/>
        <v>0</v>
      </c>
      <c r="K96" s="99" t="s">
        <v>2126</v>
      </c>
      <c r="L96" s="102">
        <f t="shared" si="14"/>
        <v>0</v>
      </c>
      <c r="M96" s="100">
        <v>46016</v>
      </c>
      <c r="N96" s="101">
        <v>7</v>
      </c>
      <c r="O96" s="101" t="str">
        <f t="shared" si="15"/>
        <v>0-30</v>
      </c>
      <c r="P96" s="101" t="str">
        <f t="shared" si="11"/>
        <v>High</v>
      </c>
    </row>
    <row r="97" spans="4:16" x14ac:dyDescent="0.3">
      <c r="D97" s="99" t="s">
        <v>853</v>
      </c>
      <c r="E97" s="100">
        <v>45854</v>
      </c>
      <c r="F97" s="100">
        <f t="shared" si="12"/>
        <v>45881</v>
      </c>
      <c r="G97" s="101">
        <f t="shared" si="13"/>
        <v>27</v>
      </c>
      <c r="H97" s="102">
        <f t="shared" si="10"/>
        <v>1</v>
      </c>
      <c r="K97" s="99" t="s">
        <v>2127</v>
      </c>
      <c r="L97" s="102">
        <f t="shared" si="14"/>
        <v>1</v>
      </c>
      <c r="M97" s="100">
        <v>45924</v>
      </c>
      <c r="N97" s="101">
        <v>99</v>
      </c>
      <c r="O97" s="101" t="str">
        <f t="shared" si="15"/>
        <v>90+</v>
      </c>
      <c r="P97" s="101" t="str">
        <f t="shared" si="11"/>
        <v>Low</v>
      </c>
    </row>
    <row r="98" spans="4:16" x14ac:dyDescent="0.3">
      <c r="D98" s="99" t="s">
        <v>853</v>
      </c>
      <c r="E98" s="100">
        <v>45881</v>
      </c>
      <c r="F98" s="100">
        <f t="shared" si="12"/>
        <v>45979</v>
      </c>
      <c r="G98" s="101">
        <f t="shared" si="13"/>
        <v>98</v>
      </c>
      <c r="H98" s="102">
        <f t="shared" si="10"/>
        <v>0</v>
      </c>
      <c r="K98" s="99" t="s">
        <v>2128</v>
      </c>
      <c r="L98" s="102">
        <f t="shared" si="14"/>
        <v>0</v>
      </c>
      <c r="M98" s="100">
        <v>46016</v>
      </c>
      <c r="N98" s="101">
        <v>7</v>
      </c>
      <c r="O98" s="101" t="str">
        <f t="shared" si="15"/>
        <v>0-30</v>
      </c>
      <c r="P98" s="101" t="str">
        <f t="shared" si="11"/>
        <v>High</v>
      </c>
    </row>
    <row r="99" spans="4:16" x14ac:dyDescent="0.3">
      <c r="D99" s="99" t="s">
        <v>853</v>
      </c>
      <c r="E99" s="100">
        <v>45979</v>
      </c>
      <c r="F99" s="100" t="str">
        <f t="shared" si="12"/>
        <v/>
      </c>
      <c r="G99" s="101" t="str">
        <f t="shared" si="13"/>
        <v/>
      </c>
      <c r="H99" s="102" t="str">
        <f t="shared" si="10"/>
        <v/>
      </c>
      <c r="K99" s="99" t="s">
        <v>2129</v>
      </c>
      <c r="L99" s="102">
        <f t="shared" si="14"/>
        <v>1</v>
      </c>
      <c r="M99" s="100">
        <v>46003</v>
      </c>
      <c r="N99" s="101">
        <v>20</v>
      </c>
      <c r="O99" s="101" t="str">
        <f t="shared" si="15"/>
        <v>0-30</v>
      </c>
      <c r="P99" s="101" t="str">
        <f t="shared" si="11"/>
        <v>High</v>
      </c>
    </row>
    <row r="100" spans="4:16" x14ac:dyDescent="0.3">
      <c r="D100" s="99" t="s">
        <v>863</v>
      </c>
      <c r="E100" s="100">
        <v>45665</v>
      </c>
      <c r="F100" s="100">
        <f t="shared" si="12"/>
        <v>45729</v>
      </c>
      <c r="G100" s="101">
        <f t="shared" si="13"/>
        <v>64</v>
      </c>
      <c r="H100" s="102">
        <f t="shared" si="10"/>
        <v>0</v>
      </c>
      <c r="K100" s="99" t="s">
        <v>2130</v>
      </c>
      <c r="L100" s="102">
        <f t="shared" si="14"/>
        <v>0</v>
      </c>
      <c r="M100" s="100">
        <v>45894</v>
      </c>
      <c r="N100" s="101">
        <v>129</v>
      </c>
      <c r="O100" s="101" t="str">
        <f t="shared" si="15"/>
        <v>90+</v>
      </c>
      <c r="P100" s="101" t="str">
        <f t="shared" si="11"/>
        <v>Low</v>
      </c>
    </row>
    <row r="101" spans="4:16" x14ac:dyDescent="0.3">
      <c r="D101" s="99" t="s">
        <v>863</v>
      </c>
      <c r="E101" s="100">
        <v>45729</v>
      </c>
      <c r="F101" s="100" t="str">
        <f t="shared" si="12"/>
        <v/>
      </c>
      <c r="G101" s="101" t="str">
        <f t="shared" si="13"/>
        <v/>
      </c>
      <c r="H101" s="102" t="str">
        <f t="shared" si="10"/>
        <v/>
      </c>
      <c r="K101" s="99" t="s">
        <v>2131</v>
      </c>
      <c r="L101" s="102">
        <f t="shared" si="14"/>
        <v>1</v>
      </c>
      <c r="M101" s="100">
        <v>45968</v>
      </c>
      <c r="N101" s="101">
        <v>55</v>
      </c>
      <c r="O101" s="101" t="str">
        <f t="shared" si="15"/>
        <v>31-60</v>
      </c>
      <c r="P101" s="101" t="str">
        <f t="shared" si="11"/>
        <v>High</v>
      </c>
    </row>
    <row r="102" spans="4:16" x14ac:dyDescent="0.3">
      <c r="D102" s="99" t="s">
        <v>878</v>
      </c>
      <c r="E102" s="100">
        <v>45817</v>
      </c>
      <c r="F102" s="100">
        <f t="shared" si="12"/>
        <v>45831</v>
      </c>
      <c r="G102" s="101">
        <f t="shared" si="13"/>
        <v>14</v>
      </c>
      <c r="H102" s="102">
        <f t="shared" si="10"/>
        <v>1</v>
      </c>
      <c r="K102" s="99" t="s">
        <v>2132</v>
      </c>
      <c r="L102" s="102">
        <f t="shared" si="14"/>
        <v>0</v>
      </c>
      <c r="M102" s="100">
        <v>45960</v>
      </c>
      <c r="N102" s="101">
        <v>63</v>
      </c>
      <c r="O102" s="101" t="str">
        <f t="shared" si="15"/>
        <v>61-90</v>
      </c>
      <c r="P102" s="101" t="str">
        <f t="shared" si="11"/>
        <v>Low</v>
      </c>
    </row>
    <row r="103" spans="4:16" x14ac:dyDescent="0.3">
      <c r="D103" s="99" t="s">
        <v>878</v>
      </c>
      <c r="E103" s="100">
        <v>45831</v>
      </c>
      <c r="F103" s="100">
        <f t="shared" si="12"/>
        <v>45908</v>
      </c>
      <c r="G103" s="101">
        <f t="shared" si="13"/>
        <v>77</v>
      </c>
      <c r="H103" s="102">
        <f t="shared" si="10"/>
        <v>0</v>
      </c>
      <c r="K103" s="99" t="s">
        <v>2133</v>
      </c>
      <c r="L103" s="102">
        <f t="shared" si="14"/>
        <v>1</v>
      </c>
      <c r="M103" s="100">
        <v>45894</v>
      </c>
      <c r="N103" s="101">
        <v>129</v>
      </c>
      <c r="O103" s="101" t="str">
        <f t="shared" si="15"/>
        <v>90+</v>
      </c>
      <c r="P103" s="101" t="str">
        <f t="shared" si="11"/>
        <v>Low</v>
      </c>
    </row>
    <row r="104" spans="4:16" x14ac:dyDescent="0.3">
      <c r="D104" s="99" t="s">
        <v>878</v>
      </c>
      <c r="E104" s="100">
        <v>45908</v>
      </c>
      <c r="F104" s="100" t="str">
        <f t="shared" si="12"/>
        <v/>
      </c>
      <c r="G104" s="101" t="str">
        <f t="shared" si="13"/>
        <v/>
      </c>
      <c r="H104" s="102" t="str">
        <f t="shared" si="10"/>
        <v/>
      </c>
      <c r="K104" s="99" t="s">
        <v>2134</v>
      </c>
      <c r="L104" s="102">
        <f t="shared" si="14"/>
        <v>0</v>
      </c>
      <c r="M104" s="100">
        <v>45943</v>
      </c>
      <c r="N104" s="101">
        <v>80</v>
      </c>
      <c r="O104" s="101" t="str">
        <f t="shared" si="15"/>
        <v>61-90</v>
      </c>
      <c r="P104" s="101" t="str">
        <f t="shared" si="11"/>
        <v>Low</v>
      </c>
    </row>
    <row r="105" spans="4:16" x14ac:dyDescent="0.3">
      <c r="D105" s="99" t="s">
        <v>897</v>
      </c>
      <c r="E105" s="100">
        <v>45660</v>
      </c>
      <c r="F105" s="100" t="str">
        <f t="shared" si="12"/>
        <v/>
      </c>
      <c r="G105" s="101" t="str">
        <f t="shared" si="13"/>
        <v/>
      </c>
      <c r="H105" s="102" t="str">
        <f t="shared" si="10"/>
        <v/>
      </c>
      <c r="K105" s="99" t="s">
        <v>2135</v>
      </c>
      <c r="L105" s="102">
        <f t="shared" si="14"/>
        <v>1</v>
      </c>
      <c r="M105" s="100">
        <v>45938</v>
      </c>
      <c r="N105" s="101">
        <v>85</v>
      </c>
      <c r="O105" s="101" t="str">
        <f t="shared" si="15"/>
        <v>61-90</v>
      </c>
      <c r="P105" s="101" t="str">
        <f t="shared" si="11"/>
        <v>Low</v>
      </c>
    </row>
    <row r="106" spans="4:16" x14ac:dyDescent="0.3">
      <c r="D106" s="99" t="s">
        <v>924</v>
      </c>
      <c r="E106" s="100">
        <v>45905</v>
      </c>
      <c r="F106" s="100" t="str">
        <f t="shared" si="12"/>
        <v/>
      </c>
      <c r="G106" s="101" t="str">
        <f t="shared" si="13"/>
        <v/>
      </c>
      <c r="H106" s="102" t="str">
        <f t="shared" si="10"/>
        <v/>
      </c>
      <c r="K106" s="99" t="s">
        <v>2136</v>
      </c>
      <c r="L106" s="102">
        <f t="shared" si="14"/>
        <v>0</v>
      </c>
      <c r="M106" s="100">
        <v>45952</v>
      </c>
      <c r="N106" s="101">
        <v>71</v>
      </c>
      <c r="O106" s="101" t="str">
        <f t="shared" si="15"/>
        <v>61-90</v>
      </c>
      <c r="P106" s="101" t="str">
        <f t="shared" si="11"/>
        <v>Low</v>
      </c>
    </row>
    <row r="107" spans="4:16" x14ac:dyDescent="0.3">
      <c r="D107" s="99" t="s">
        <v>968</v>
      </c>
      <c r="E107" s="100">
        <v>45931</v>
      </c>
      <c r="F107" s="100" t="str">
        <f t="shared" si="12"/>
        <v/>
      </c>
      <c r="G107" s="101" t="str">
        <f t="shared" si="13"/>
        <v/>
      </c>
      <c r="H107" s="102" t="str">
        <f t="shared" si="10"/>
        <v/>
      </c>
      <c r="K107" s="99" t="s">
        <v>2137</v>
      </c>
      <c r="L107" s="102">
        <f t="shared" si="14"/>
        <v>0</v>
      </c>
      <c r="M107" s="100">
        <v>45771</v>
      </c>
      <c r="N107" s="101">
        <v>252</v>
      </c>
      <c r="O107" s="101" t="str">
        <f t="shared" si="15"/>
        <v>90+</v>
      </c>
      <c r="P107" s="101" t="str">
        <f t="shared" si="11"/>
        <v>Low</v>
      </c>
    </row>
    <row r="108" spans="4:16" x14ac:dyDescent="0.3">
      <c r="D108" s="99" t="s">
        <v>1037</v>
      </c>
      <c r="E108" s="100">
        <v>45930</v>
      </c>
      <c r="F108" s="100" t="str">
        <f t="shared" si="12"/>
        <v/>
      </c>
      <c r="G108" s="101" t="str">
        <f t="shared" si="13"/>
        <v/>
      </c>
      <c r="H108" s="102" t="str">
        <f t="shared" si="10"/>
        <v/>
      </c>
      <c r="K108" s="99" t="s">
        <v>2138</v>
      </c>
      <c r="L108" s="102">
        <f t="shared" si="14"/>
        <v>0</v>
      </c>
      <c r="M108" s="100">
        <v>45890</v>
      </c>
      <c r="N108" s="101">
        <v>133</v>
      </c>
      <c r="O108" s="101" t="str">
        <f t="shared" si="15"/>
        <v>90+</v>
      </c>
      <c r="P108" s="101" t="str">
        <f t="shared" si="11"/>
        <v>Low</v>
      </c>
    </row>
    <row r="109" spans="4:16" x14ac:dyDescent="0.3">
      <c r="D109" s="99" t="s">
        <v>1164</v>
      </c>
      <c r="E109" s="100">
        <v>45895</v>
      </c>
      <c r="F109" s="100" t="str">
        <f t="shared" si="12"/>
        <v/>
      </c>
      <c r="G109" s="101" t="str">
        <f t="shared" si="13"/>
        <v/>
      </c>
      <c r="H109" s="102" t="str">
        <f t="shared" si="10"/>
        <v/>
      </c>
      <c r="K109" s="99" t="s">
        <v>2139</v>
      </c>
      <c r="L109" s="102">
        <f t="shared" si="14"/>
        <v>0</v>
      </c>
      <c r="M109" s="100">
        <v>45988</v>
      </c>
      <c r="N109" s="101">
        <v>35</v>
      </c>
      <c r="O109" s="101" t="str">
        <f t="shared" si="15"/>
        <v>31-60</v>
      </c>
      <c r="P109" s="101" t="str">
        <f t="shared" si="11"/>
        <v>High</v>
      </c>
    </row>
    <row r="110" spans="4:16" x14ac:dyDescent="0.3">
      <c r="D110" s="99" t="s">
        <v>1195</v>
      </c>
      <c r="E110" s="100">
        <v>45874</v>
      </c>
      <c r="F110" s="100" t="str">
        <f t="shared" si="12"/>
        <v/>
      </c>
      <c r="G110" s="101" t="str">
        <f t="shared" si="13"/>
        <v/>
      </c>
      <c r="H110" s="102" t="str">
        <f t="shared" si="10"/>
        <v/>
      </c>
      <c r="K110" s="99" t="s">
        <v>2140</v>
      </c>
      <c r="L110" s="102">
        <f t="shared" si="14"/>
        <v>0</v>
      </c>
      <c r="M110" s="100">
        <v>46014</v>
      </c>
      <c r="N110" s="101">
        <v>9</v>
      </c>
      <c r="O110" s="101" t="str">
        <f t="shared" si="15"/>
        <v>0-30</v>
      </c>
      <c r="P110" s="101" t="str">
        <f t="shared" si="11"/>
        <v>High</v>
      </c>
    </row>
    <row r="111" spans="4:16" x14ac:dyDescent="0.3">
      <c r="D111" s="99" t="s">
        <v>1242</v>
      </c>
      <c r="E111" s="100">
        <v>45685</v>
      </c>
      <c r="F111" s="100">
        <f t="shared" si="12"/>
        <v>45699</v>
      </c>
      <c r="G111" s="101">
        <f t="shared" si="13"/>
        <v>14</v>
      </c>
      <c r="H111" s="102">
        <f t="shared" si="10"/>
        <v>1</v>
      </c>
      <c r="K111" s="99" t="s">
        <v>2141</v>
      </c>
      <c r="L111" s="102">
        <f t="shared" si="14"/>
        <v>0</v>
      </c>
      <c r="M111" s="100">
        <v>46022</v>
      </c>
      <c r="N111" s="101">
        <v>1</v>
      </c>
      <c r="O111" s="101" t="str">
        <f t="shared" si="15"/>
        <v>0-30</v>
      </c>
      <c r="P111" s="101" t="str">
        <f t="shared" si="11"/>
        <v>High</v>
      </c>
    </row>
    <row r="112" spans="4:16" x14ac:dyDescent="0.3">
      <c r="D112" s="99" t="s">
        <v>1242</v>
      </c>
      <c r="E112" s="100">
        <v>45699</v>
      </c>
      <c r="F112" s="100">
        <f t="shared" si="12"/>
        <v>45762</v>
      </c>
      <c r="G112" s="101">
        <f t="shared" si="13"/>
        <v>63</v>
      </c>
      <c r="H112" s="102">
        <f t="shared" si="10"/>
        <v>0</v>
      </c>
      <c r="K112" s="99" t="s">
        <v>2142</v>
      </c>
      <c r="L112" s="102">
        <f t="shared" si="14"/>
        <v>1</v>
      </c>
      <c r="M112" s="100">
        <v>45943</v>
      </c>
      <c r="N112" s="101">
        <v>80</v>
      </c>
      <c r="O112" s="101" t="str">
        <f t="shared" si="15"/>
        <v>61-90</v>
      </c>
      <c r="P112" s="101" t="str">
        <f t="shared" si="11"/>
        <v>Low</v>
      </c>
    </row>
    <row r="113" spans="4:16" x14ac:dyDescent="0.3">
      <c r="D113" s="99" t="s">
        <v>1242</v>
      </c>
      <c r="E113" s="100">
        <v>45762</v>
      </c>
      <c r="F113" s="100">
        <f t="shared" si="12"/>
        <v>45782</v>
      </c>
      <c r="G113" s="101">
        <f t="shared" si="13"/>
        <v>20</v>
      </c>
      <c r="H113" s="102">
        <f t="shared" si="10"/>
        <v>1</v>
      </c>
      <c r="K113" s="99" t="s">
        <v>2143</v>
      </c>
      <c r="L113" s="102">
        <f t="shared" si="14"/>
        <v>0</v>
      </c>
      <c r="M113" s="100">
        <v>45972</v>
      </c>
      <c r="N113" s="101">
        <v>51</v>
      </c>
      <c r="O113" s="101" t="str">
        <f t="shared" si="15"/>
        <v>31-60</v>
      </c>
      <c r="P113" s="101" t="str">
        <f t="shared" si="11"/>
        <v>High</v>
      </c>
    </row>
    <row r="114" spans="4:16" x14ac:dyDescent="0.3">
      <c r="D114" s="99" t="s">
        <v>1242</v>
      </c>
      <c r="E114" s="100">
        <v>45782</v>
      </c>
      <c r="F114" s="100">
        <f t="shared" si="12"/>
        <v>45840</v>
      </c>
      <c r="G114" s="101">
        <f t="shared" si="13"/>
        <v>58</v>
      </c>
      <c r="H114" s="102">
        <f t="shared" si="10"/>
        <v>0</v>
      </c>
      <c r="K114" s="99" t="s">
        <v>2144</v>
      </c>
      <c r="L114" s="102">
        <f t="shared" si="14"/>
        <v>0</v>
      </c>
      <c r="M114" s="100">
        <v>45835</v>
      </c>
      <c r="N114" s="101">
        <v>188</v>
      </c>
      <c r="O114" s="101" t="str">
        <f t="shared" si="15"/>
        <v>90+</v>
      </c>
      <c r="P114" s="101" t="str">
        <f t="shared" si="11"/>
        <v>Low</v>
      </c>
    </row>
    <row r="115" spans="4:16" x14ac:dyDescent="0.3">
      <c r="D115" s="99" t="s">
        <v>1242</v>
      </c>
      <c r="E115" s="100">
        <v>45840</v>
      </c>
      <c r="F115" s="100">
        <f t="shared" si="12"/>
        <v>45863</v>
      </c>
      <c r="G115" s="101">
        <f t="shared" si="13"/>
        <v>23</v>
      </c>
      <c r="H115" s="102">
        <f t="shared" si="10"/>
        <v>1</v>
      </c>
      <c r="K115" s="99" t="s">
        <v>2145</v>
      </c>
      <c r="L115" s="102">
        <f t="shared" si="14"/>
        <v>0</v>
      </c>
      <c r="M115" s="100">
        <v>45687</v>
      </c>
      <c r="N115" s="101">
        <v>336</v>
      </c>
      <c r="O115" s="101" t="str">
        <f t="shared" si="15"/>
        <v>90+</v>
      </c>
      <c r="P115" s="101" t="str">
        <f t="shared" si="11"/>
        <v>Low</v>
      </c>
    </row>
    <row r="116" spans="4:16" x14ac:dyDescent="0.3">
      <c r="D116" s="99" t="s">
        <v>1242</v>
      </c>
      <c r="E116" s="100">
        <v>45863</v>
      </c>
      <c r="F116" s="100" t="str">
        <f t="shared" si="12"/>
        <v/>
      </c>
      <c r="G116" s="101" t="str">
        <f t="shared" si="13"/>
        <v/>
      </c>
      <c r="H116" s="102" t="str">
        <f t="shared" si="10"/>
        <v/>
      </c>
      <c r="K116" s="99" t="s">
        <v>2146</v>
      </c>
      <c r="L116" s="102">
        <f t="shared" si="14"/>
        <v>0</v>
      </c>
      <c r="M116" s="100">
        <v>45982</v>
      </c>
      <c r="N116" s="101">
        <v>41</v>
      </c>
      <c r="O116" s="101" t="str">
        <f t="shared" si="15"/>
        <v>31-60</v>
      </c>
      <c r="P116" s="101" t="str">
        <f t="shared" si="11"/>
        <v>High</v>
      </c>
    </row>
    <row r="117" spans="4:16" x14ac:dyDescent="0.3">
      <c r="D117" s="99" t="s">
        <v>1280</v>
      </c>
      <c r="E117" s="100">
        <v>45790</v>
      </c>
      <c r="F117" s="100">
        <f t="shared" si="12"/>
        <v>45854</v>
      </c>
      <c r="G117" s="101">
        <f t="shared" si="13"/>
        <v>64</v>
      </c>
      <c r="H117" s="102">
        <f t="shared" si="10"/>
        <v>0</v>
      </c>
      <c r="K117" s="99" t="s">
        <v>2147</v>
      </c>
      <c r="L117" s="102">
        <f t="shared" si="14"/>
        <v>0</v>
      </c>
      <c r="M117" s="100">
        <v>45931</v>
      </c>
      <c r="N117" s="101">
        <v>92</v>
      </c>
      <c r="O117" s="101" t="str">
        <f t="shared" si="15"/>
        <v>90+</v>
      </c>
      <c r="P117" s="101" t="str">
        <f t="shared" si="11"/>
        <v>Low</v>
      </c>
    </row>
    <row r="118" spans="4:16" x14ac:dyDescent="0.3">
      <c r="D118" s="99" t="s">
        <v>1280</v>
      </c>
      <c r="E118" s="100">
        <v>45854</v>
      </c>
      <c r="F118" s="100">
        <f t="shared" si="12"/>
        <v>45863</v>
      </c>
      <c r="G118" s="101">
        <f t="shared" si="13"/>
        <v>9</v>
      </c>
      <c r="H118" s="102">
        <f t="shared" si="10"/>
        <v>1</v>
      </c>
      <c r="K118" s="99" t="s">
        <v>2148</v>
      </c>
      <c r="L118" s="102">
        <f t="shared" si="14"/>
        <v>1</v>
      </c>
      <c r="M118" s="100">
        <v>45875</v>
      </c>
      <c r="N118" s="101">
        <v>148</v>
      </c>
      <c r="O118" s="101" t="str">
        <f t="shared" si="15"/>
        <v>90+</v>
      </c>
      <c r="P118" s="101" t="str">
        <f t="shared" si="11"/>
        <v>Low</v>
      </c>
    </row>
    <row r="119" spans="4:16" x14ac:dyDescent="0.3">
      <c r="D119" s="99" t="s">
        <v>1280</v>
      </c>
      <c r="E119" s="100">
        <v>45863</v>
      </c>
      <c r="F119" s="100" t="str">
        <f t="shared" si="12"/>
        <v/>
      </c>
      <c r="G119" s="101" t="str">
        <f t="shared" si="13"/>
        <v/>
      </c>
      <c r="H119" s="102" t="str">
        <f t="shared" si="10"/>
        <v/>
      </c>
      <c r="K119" s="99" t="s">
        <v>2149</v>
      </c>
      <c r="L119" s="102">
        <f t="shared" si="14"/>
        <v>1</v>
      </c>
      <c r="M119" s="100">
        <v>46016</v>
      </c>
      <c r="N119" s="101">
        <v>7</v>
      </c>
      <c r="O119" s="101" t="str">
        <f t="shared" si="15"/>
        <v>0-30</v>
      </c>
      <c r="P119" s="101" t="str">
        <f t="shared" si="11"/>
        <v>High</v>
      </c>
    </row>
    <row r="120" spans="4:16" x14ac:dyDescent="0.3">
      <c r="D120" s="99" t="s">
        <v>1320</v>
      </c>
      <c r="E120" s="100">
        <v>45744</v>
      </c>
      <c r="F120" s="100">
        <f t="shared" si="12"/>
        <v>45821</v>
      </c>
      <c r="G120" s="101">
        <f t="shared" si="13"/>
        <v>77</v>
      </c>
      <c r="H120" s="102">
        <f t="shared" si="10"/>
        <v>0</v>
      </c>
      <c r="K120" s="99" t="s">
        <v>2150</v>
      </c>
      <c r="L120" s="102">
        <f t="shared" si="14"/>
        <v>0</v>
      </c>
      <c r="M120" s="100">
        <v>45987</v>
      </c>
      <c r="N120" s="101">
        <v>36</v>
      </c>
      <c r="O120" s="101" t="str">
        <f t="shared" si="15"/>
        <v>31-60</v>
      </c>
      <c r="P120" s="101" t="str">
        <f t="shared" si="11"/>
        <v>High</v>
      </c>
    </row>
    <row r="121" spans="4:16" x14ac:dyDescent="0.3">
      <c r="D121" s="99" t="s">
        <v>1320</v>
      </c>
      <c r="E121" s="100">
        <v>45821</v>
      </c>
      <c r="F121" s="100">
        <f t="shared" si="12"/>
        <v>45889</v>
      </c>
      <c r="G121" s="101">
        <f t="shared" si="13"/>
        <v>68</v>
      </c>
      <c r="H121" s="102">
        <f t="shared" si="10"/>
        <v>0</v>
      </c>
      <c r="K121" s="99" t="s">
        <v>2151</v>
      </c>
      <c r="L121" s="102">
        <f t="shared" si="14"/>
        <v>0</v>
      </c>
      <c r="M121" s="100">
        <v>45883</v>
      </c>
      <c r="N121" s="101">
        <v>140</v>
      </c>
      <c r="O121" s="101" t="str">
        <f t="shared" si="15"/>
        <v>90+</v>
      </c>
      <c r="P121" s="101" t="str">
        <f t="shared" si="11"/>
        <v>Low</v>
      </c>
    </row>
    <row r="122" spans="4:16" x14ac:dyDescent="0.3">
      <c r="D122" s="99" t="s">
        <v>1320</v>
      </c>
      <c r="E122" s="100">
        <v>45889</v>
      </c>
      <c r="F122" s="100" t="str">
        <f t="shared" si="12"/>
        <v/>
      </c>
      <c r="G122" s="101" t="str">
        <f t="shared" si="13"/>
        <v/>
      </c>
      <c r="H122" s="102" t="str">
        <f t="shared" si="10"/>
        <v/>
      </c>
      <c r="K122" s="99" t="s">
        <v>2152</v>
      </c>
      <c r="L122" s="102">
        <f t="shared" si="14"/>
        <v>1</v>
      </c>
      <c r="M122" s="100">
        <v>45945</v>
      </c>
      <c r="N122" s="101">
        <v>78</v>
      </c>
      <c r="O122" s="101" t="str">
        <f t="shared" si="15"/>
        <v>61-90</v>
      </c>
      <c r="P122" s="101" t="str">
        <f t="shared" si="11"/>
        <v>Low</v>
      </c>
    </row>
    <row r="123" spans="4:16" x14ac:dyDescent="0.3">
      <c r="D123" s="99" t="s">
        <v>1358</v>
      </c>
      <c r="E123" s="100">
        <v>45751</v>
      </c>
      <c r="F123" s="100">
        <f t="shared" si="12"/>
        <v>45985</v>
      </c>
      <c r="G123" s="101">
        <f t="shared" si="13"/>
        <v>234</v>
      </c>
      <c r="H123" s="102">
        <f t="shared" si="10"/>
        <v>0</v>
      </c>
      <c r="K123" s="99" t="s">
        <v>2153</v>
      </c>
      <c r="L123" s="102">
        <f t="shared" si="14"/>
        <v>1</v>
      </c>
      <c r="M123" s="100">
        <v>46014</v>
      </c>
      <c r="N123" s="101">
        <v>9</v>
      </c>
      <c r="O123" s="101" t="str">
        <f t="shared" si="15"/>
        <v>0-30</v>
      </c>
      <c r="P123" s="101" t="str">
        <f t="shared" si="11"/>
        <v>High</v>
      </c>
    </row>
    <row r="124" spans="4:16" x14ac:dyDescent="0.3">
      <c r="D124" s="99" t="s">
        <v>1358</v>
      </c>
      <c r="E124" s="100">
        <v>45985</v>
      </c>
      <c r="F124" s="100" t="str">
        <f t="shared" si="12"/>
        <v/>
      </c>
      <c r="G124" s="101" t="str">
        <f t="shared" si="13"/>
        <v/>
      </c>
      <c r="H124" s="102" t="str">
        <f t="shared" si="10"/>
        <v/>
      </c>
      <c r="K124" s="99" t="s">
        <v>2154</v>
      </c>
      <c r="L124" s="102">
        <f t="shared" si="14"/>
        <v>0</v>
      </c>
      <c r="M124" s="100">
        <v>45849</v>
      </c>
      <c r="N124" s="101">
        <v>174</v>
      </c>
      <c r="O124" s="101" t="str">
        <f t="shared" si="15"/>
        <v>90+</v>
      </c>
      <c r="P124" s="101" t="str">
        <f t="shared" si="11"/>
        <v>Low</v>
      </c>
    </row>
    <row r="125" spans="4:16" x14ac:dyDescent="0.3">
      <c r="D125" s="99" t="s">
        <v>1398</v>
      </c>
      <c r="E125" s="100">
        <v>45918</v>
      </c>
      <c r="F125" s="100" t="str">
        <f t="shared" si="12"/>
        <v/>
      </c>
      <c r="G125" s="101" t="str">
        <f t="shared" si="13"/>
        <v/>
      </c>
      <c r="H125" s="102" t="str">
        <f t="shared" si="10"/>
        <v/>
      </c>
      <c r="K125" s="99" t="s">
        <v>2155</v>
      </c>
      <c r="L125" s="102">
        <f t="shared" si="14"/>
        <v>1</v>
      </c>
      <c r="M125" s="100">
        <v>46015</v>
      </c>
      <c r="N125" s="101">
        <v>8</v>
      </c>
      <c r="O125" s="101" t="str">
        <f t="shared" si="15"/>
        <v>0-30</v>
      </c>
      <c r="P125" s="101" t="str">
        <f t="shared" si="11"/>
        <v>High</v>
      </c>
    </row>
    <row r="126" spans="4:16" x14ac:dyDescent="0.3">
      <c r="D126" s="99" t="s">
        <v>1431</v>
      </c>
      <c r="E126" s="100">
        <v>45694</v>
      </c>
      <c r="F126" s="100">
        <f t="shared" si="12"/>
        <v>45807</v>
      </c>
      <c r="G126" s="101">
        <f t="shared" si="13"/>
        <v>113</v>
      </c>
      <c r="H126" s="102">
        <f t="shared" si="10"/>
        <v>0</v>
      </c>
      <c r="K126" s="99" t="s">
        <v>2156</v>
      </c>
      <c r="L126" s="102">
        <f t="shared" si="14"/>
        <v>0</v>
      </c>
      <c r="M126" s="100">
        <v>45831</v>
      </c>
      <c r="N126" s="101">
        <v>192</v>
      </c>
      <c r="O126" s="101" t="str">
        <f t="shared" si="15"/>
        <v>90+</v>
      </c>
      <c r="P126" s="101" t="str">
        <f t="shared" si="11"/>
        <v>Low</v>
      </c>
    </row>
    <row r="127" spans="4:16" x14ac:dyDescent="0.3">
      <c r="D127" s="99" t="s">
        <v>1431</v>
      </c>
      <c r="E127" s="100">
        <v>45807</v>
      </c>
      <c r="F127" s="100" t="str">
        <f t="shared" si="12"/>
        <v/>
      </c>
      <c r="G127" s="101" t="str">
        <f t="shared" si="13"/>
        <v/>
      </c>
      <c r="H127" s="102" t="str">
        <f t="shared" si="10"/>
        <v/>
      </c>
      <c r="K127" s="99" t="s">
        <v>2157</v>
      </c>
      <c r="L127" s="102">
        <f t="shared" si="14"/>
        <v>0</v>
      </c>
      <c r="M127" s="100">
        <v>46021</v>
      </c>
      <c r="N127" s="101">
        <v>2</v>
      </c>
      <c r="O127" s="101" t="str">
        <f t="shared" si="15"/>
        <v>0-30</v>
      </c>
      <c r="P127" s="101" t="str">
        <f t="shared" si="11"/>
        <v>High</v>
      </c>
    </row>
    <row r="128" spans="4:16" x14ac:dyDescent="0.3">
      <c r="D128" s="99" t="s">
        <v>1470</v>
      </c>
      <c r="E128" s="100">
        <v>45716</v>
      </c>
      <c r="F128" s="100">
        <f t="shared" si="12"/>
        <v>45764</v>
      </c>
      <c r="G128" s="101">
        <f t="shared" si="13"/>
        <v>48</v>
      </c>
      <c r="H128" s="102">
        <f t="shared" si="10"/>
        <v>0</v>
      </c>
      <c r="K128" s="99" t="s">
        <v>2158</v>
      </c>
      <c r="L128" s="102">
        <f t="shared" si="14"/>
        <v>0</v>
      </c>
      <c r="M128" s="100">
        <v>45805</v>
      </c>
      <c r="N128" s="101">
        <v>218</v>
      </c>
      <c r="O128" s="101" t="str">
        <f t="shared" si="15"/>
        <v>90+</v>
      </c>
      <c r="P128" s="101" t="str">
        <f t="shared" si="11"/>
        <v>Low</v>
      </c>
    </row>
    <row r="129" spans="4:16" x14ac:dyDescent="0.3">
      <c r="D129" s="99" t="s">
        <v>1470</v>
      </c>
      <c r="E129" s="100">
        <v>45764</v>
      </c>
      <c r="F129" s="100" t="str">
        <f t="shared" si="12"/>
        <v/>
      </c>
      <c r="G129" s="101" t="str">
        <f t="shared" si="13"/>
        <v/>
      </c>
      <c r="H129" s="102" t="str">
        <f t="shared" si="10"/>
        <v/>
      </c>
      <c r="K129" s="99" t="s">
        <v>2159</v>
      </c>
      <c r="L129" s="102">
        <f t="shared" si="14"/>
        <v>0</v>
      </c>
      <c r="M129" s="100">
        <v>46000</v>
      </c>
      <c r="N129" s="101">
        <v>23</v>
      </c>
      <c r="O129" s="101" t="str">
        <f t="shared" si="15"/>
        <v>0-30</v>
      </c>
      <c r="P129" s="101" t="str">
        <f t="shared" si="11"/>
        <v>High</v>
      </c>
    </row>
    <row r="130" spans="4:16" x14ac:dyDescent="0.3">
      <c r="D130" s="99" t="s">
        <v>1554</v>
      </c>
      <c r="E130" s="100">
        <v>45939</v>
      </c>
      <c r="F130" s="100" t="str">
        <f t="shared" si="12"/>
        <v/>
      </c>
      <c r="G130" s="101" t="str">
        <f t="shared" si="13"/>
        <v/>
      </c>
      <c r="H130" s="102" t="str">
        <f t="shared" si="10"/>
        <v/>
      </c>
      <c r="K130" s="99" t="s">
        <v>2160</v>
      </c>
      <c r="L130" s="102">
        <f t="shared" si="14"/>
        <v>1</v>
      </c>
      <c r="M130" s="100">
        <v>45967</v>
      </c>
      <c r="N130" s="101">
        <v>56</v>
      </c>
      <c r="O130" s="101" t="str">
        <f t="shared" si="15"/>
        <v>31-60</v>
      </c>
      <c r="P130" s="101" t="str">
        <f t="shared" si="11"/>
        <v>High</v>
      </c>
    </row>
    <row r="131" spans="4:16" x14ac:dyDescent="0.3">
      <c r="D131" s="99" t="s">
        <v>1584</v>
      </c>
      <c r="E131" s="100">
        <v>45666</v>
      </c>
      <c r="F131" s="100">
        <f t="shared" si="12"/>
        <v>45721</v>
      </c>
      <c r="G131" s="101">
        <f t="shared" si="13"/>
        <v>55</v>
      </c>
      <c r="H131" s="102">
        <f t="shared" si="10"/>
        <v>0</v>
      </c>
      <c r="K131" s="99" t="s">
        <v>2161</v>
      </c>
      <c r="L131" s="102">
        <f t="shared" si="14"/>
        <v>0</v>
      </c>
      <c r="M131" s="100">
        <v>45768</v>
      </c>
      <c r="N131" s="101">
        <v>255</v>
      </c>
      <c r="O131" s="101" t="str">
        <f t="shared" si="15"/>
        <v>90+</v>
      </c>
      <c r="P131" s="101" t="str">
        <f t="shared" si="11"/>
        <v>Low</v>
      </c>
    </row>
    <row r="132" spans="4:16" x14ac:dyDescent="0.3">
      <c r="D132" s="99" t="s">
        <v>1584</v>
      </c>
      <c r="E132" s="100">
        <v>45721</v>
      </c>
      <c r="F132" s="100">
        <f t="shared" si="12"/>
        <v>45758</v>
      </c>
      <c r="G132" s="101">
        <f t="shared" si="13"/>
        <v>37</v>
      </c>
      <c r="H132" s="102">
        <f t="shared" si="10"/>
        <v>0</v>
      </c>
      <c r="K132" s="99" t="s">
        <v>2162</v>
      </c>
      <c r="L132" s="102">
        <f t="shared" si="14"/>
        <v>1</v>
      </c>
      <c r="M132" s="100">
        <v>45912</v>
      </c>
      <c r="N132" s="101">
        <v>111</v>
      </c>
      <c r="O132" s="101" t="str">
        <f t="shared" si="15"/>
        <v>90+</v>
      </c>
      <c r="P132" s="101" t="str">
        <f t="shared" si="11"/>
        <v>Low</v>
      </c>
    </row>
    <row r="133" spans="4:16" x14ac:dyDescent="0.3">
      <c r="D133" s="99" t="s">
        <v>1584</v>
      </c>
      <c r="E133" s="100">
        <v>45758</v>
      </c>
      <c r="F133" s="100">
        <f t="shared" si="12"/>
        <v>45817</v>
      </c>
      <c r="G133" s="101">
        <f t="shared" si="13"/>
        <v>59</v>
      </c>
      <c r="H133" s="102">
        <f t="shared" si="10"/>
        <v>0</v>
      </c>
      <c r="K133" s="99" t="s">
        <v>2163</v>
      </c>
      <c r="L133" s="102">
        <f t="shared" si="14"/>
        <v>1</v>
      </c>
      <c r="M133" s="100">
        <v>45674</v>
      </c>
      <c r="N133" s="101">
        <v>349</v>
      </c>
      <c r="O133" s="101" t="str">
        <f t="shared" si="15"/>
        <v>90+</v>
      </c>
      <c r="P133" s="101" t="str">
        <f t="shared" si="11"/>
        <v>Low</v>
      </c>
    </row>
    <row r="134" spans="4:16" x14ac:dyDescent="0.3">
      <c r="D134" s="99" t="s">
        <v>1584</v>
      </c>
      <c r="E134" s="100">
        <v>45817</v>
      </c>
      <c r="F134" s="100">
        <f t="shared" si="12"/>
        <v>45951</v>
      </c>
      <c r="G134" s="101">
        <f t="shared" si="13"/>
        <v>134</v>
      </c>
      <c r="H134" s="102">
        <f t="shared" si="10"/>
        <v>0</v>
      </c>
      <c r="K134" s="99" t="s">
        <v>2164</v>
      </c>
      <c r="L134" s="102">
        <f t="shared" si="14"/>
        <v>0</v>
      </c>
      <c r="M134" s="100">
        <v>45995</v>
      </c>
      <c r="N134" s="101">
        <v>28</v>
      </c>
      <c r="O134" s="101" t="str">
        <f t="shared" si="15"/>
        <v>0-30</v>
      </c>
      <c r="P134" s="101" t="str">
        <f t="shared" si="11"/>
        <v>High</v>
      </c>
    </row>
    <row r="135" spans="4:16" x14ac:dyDescent="0.3">
      <c r="D135" s="99" t="s">
        <v>1584</v>
      </c>
      <c r="E135" s="100">
        <v>45951</v>
      </c>
      <c r="F135" s="100">
        <f t="shared" si="12"/>
        <v>45968</v>
      </c>
      <c r="G135" s="101">
        <f t="shared" si="13"/>
        <v>17</v>
      </c>
      <c r="H135" s="102">
        <f t="shared" ref="H135:H198" si="16">IF(G135="","",IF(G135&lt;=return_window,1,0))</f>
        <v>1</v>
      </c>
      <c r="K135" s="99" t="s">
        <v>2165</v>
      </c>
      <c r="L135" s="102">
        <f t="shared" si="14"/>
        <v>0</v>
      </c>
      <c r="M135" s="100">
        <v>45988</v>
      </c>
      <c r="N135" s="101">
        <v>35</v>
      </c>
      <c r="O135" s="101" t="str">
        <f t="shared" si="15"/>
        <v>31-60</v>
      </c>
      <c r="P135" s="101" t="str">
        <f t="shared" ref="P135:P198" si="17">IF(N135&lt;=recency_threshold,"High","Low")</f>
        <v>High</v>
      </c>
    </row>
    <row r="136" spans="4:16" x14ac:dyDescent="0.3">
      <c r="D136" s="99" t="s">
        <v>1584</v>
      </c>
      <c r="E136" s="100">
        <v>45968</v>
      </c>
      <c r="F136" s="100">
        <f t="shared" ref="F136:F199" si="18">IF(D136=D137,E137,"")</f>
        <v>45994</v>
      </c>
      <c r="G136" s="101">
        <f t="shared" ref="G136:G199" si="19">IF(F136="","",F136-E136)</f>
        <v>26</v>
      </c>
      <c r="H136" s="102">
        <f t="shared" si="16"/>
        <v>1</v>
      </c>
      <c r="K136" s="99" t="s">
        <v>2166</v>
      </c>
      <c r="L136" s="102">
        <f t="shared" ref="L136:L199" si="20">IF(SUMIFS($H$6:$H$2006,$D$6:$D$2006,K136),1,0)</f>
        <v>0</v>
      </c>
      <c r="M136" s="100">
        <v>45925</v>
      </c>
      <c r="N136" s="101">
        <v>98</v>
      </c>
      <c r="O136" s="101" t="str">
        <f t="shared" ref="O136:O199" si="21">VLOOKUP(N136,$A$15:$B$19,2,TRUE)</f>
        <v>90+</v>
      </c>
      <c r="P136" s="101" t="str">
        <f t="shared" si="17"/>
        <v>Low</v>
      </c>
    </row>
    <row r="137" spans="4:16" x14ac:dyDescent="0.3">
      <c r="D137" s="99" t="s">
        <v>1584</v>
      </c>
      <c r="E137" s="100">
        <v>45994</v>
      </c>
      <c r="F137" s="100" t="str">
        <f t="shared" si="18"/>
        <v/>
      </c>
      <c r="G137" s="101" t="str">
        <f t="shared" si="19"/>
        <v/>
      </c>
      <c r="H137" s="102" t="str">
        <f t="shared" si="16"/>
        <v/>
      </c>
      <c r="K137" s="99" t="s">
        <v>2167</v>
      </c>
      <c r="L137" s="102">
        <f t="shared" si="20"/>
        <v>0</v>
      </c>
      <c r="M137" s="100">
        <v>45995</v>
      </c>
      <c r="N137" s="101">
        <v>28</v>
      </c>
      <c r="O137" s="101" t="str">
        <f t="shared" si="21"/>
        <v>0-30</v>
      </c>
      <c r="P137" s="101" t="str">
        <f t="shared" si="17"/>
        <v>High</v>
      </c>
    </row>
    <row r="138" spans="4:16" x14ac:dyDescent="0.3">
      <c r="D138" s="99" t="s">
        <v>1640</v>
      </c>
      <c r="E138" s="100">
        <v>45771</v>
      </c>
      <c r="F138" s="100">
        <f t="shared" si="18"/>
        <v>45874</v>
      </c>
      <c r="G138" s="101">
        <f t="shared" si="19"/>
        <v>103</v>
      </c>
      <c r="H138" s="102">
        <f t="shared" si="16"/>
        <v>0</v>
      </c>
      <c r="K138" s="99" t="s">
        <v>2168</v>
      </c>
      <c r="L138" s="102">
        <f t="shared" si="20"/>
        <v>0</v>
      </c>
      <c r="M138" s="100">
        <v>45911</v>
      </c>
      <c r="N138" s="101">
        <v>112</v>
      </c>
      <c r="O138" s="101" t="str">
        <f t="shared" si="21"/>
        <v>90+</v>
      </c>
      <c r="P138" s="101" t="str">
        <f t="shared" si="17"/>
        <v>Low</v>
      </c>
    </row>
    <row r="139" spans="4:16" x14ac:dyDescent="0.3">
      <c r="D139" s="99" t="s">
        <v>1640</v>
      </c>
      <c r="E139" s="100">
        <v>45874</v>
      </c>
      <c r="F139" s="100">
        <f t="shared" si="18"/>
        <v>45881</v>
      </c>
      <c r="G139" s="101">
        <f t="shared" si="19"/>
        <v>7</v>
      </c>
      <c r="H139" s="102">
        <f t="shared" si="16"/>
        <v>1</v>
      </c>
      <c r="K139" s="99" t="s">
        <v>2169</v>
      </c>
      <c r="L139" s="102">
        <f t="shared" si="20"/>
        <v>1</v>
      </c>
      <c r="M139" s="100">
        <v>45992</v>
      </c>
      <c r="N139" s="101">
        <v>31</v>
      </c>
      <c r="O139" s="101" t="str">
        <f t="shared" si="21"/>
        <v>31-60</v>
      </c>
      <c r="P139" s="101" t="str">
        <f t="shared" si="17"/>
        <v>High</v>
      </c>
    </row>
    <row r="140" spans="4:16" x14ac:dyDescent="0.3">
      <c r="D140" s="99" t="s">
        <v>1640</v>
      </c>
      <c r="E140" s="100">
        <v>45881</v>
      </c>
      <c r="F140" s="100" t="str">
        <f t="shared" si="18"/>
        <v/>
      </c>
      <c r="G140" s="101" t="str">
        <f t="shared" si="19"/>
        <v/>
      </c>
      <c r="H140" s="102" t="str">
        <f t="shared" si="16"/>
        <v/>
      </c>
      <c r="K140" s="99" t="s">
        <v>2170</v>
      </c>
      <c r="L140" s="102">
        <f t="shared" si="20"/>
        <v>0</v>
      </c>
      <c r="M140" s="100">
        <v>45798</v>
      </c>
      <c r="N140" s="101">
        <v>225</v>
      </c>
      <c r="O140" s="101" t="str">
        <f t="shared" si="21"/>
        <v>90+</v>
      </c>
      <c r="P140" s="101" t="str">
        <f t="shared" si="17"/>
        <v>Low</v>
      </c>
    </row>
    <row r="141" spans="4:16" x14ac:dyDescent="0.3">
      <c r="D141" s="99" t="s">
        <v>1683</v>
      </c>
      <c r="E141" s="100">
        <v>45716</v>
      </c>
      <c r="F141" s="100" t="str">
        <f t="shared" si="18"/>
        <v/>
      </c>
      <c r="G141" s="101" t="str">
        <f t="shared" si="19"/>
        <v/>
      </c>
      <c r="H141" s="102" t="str">
        <f t="shared" si="16"/>
        <v/>
      </c>
      <c r="K141" s="99" t="s">
        <v>2171</v>
      </c>
      <c r="L141" s="102">
        <f t="shared" si="20"/>
        <v>0</v>
      </c>
      <c r="M141" s="100">
        <v>45764</v>
      </c>
      <c r="N141" s="101">
        <v>259</v>
      </c>
      <c r="O141" s="101" t="str">
        <f t="shared" si="21"/>
        <v>90+</v>
      </c>
      <c r="P141" s="101" t="str">
        <f t="shared" si="17"/>
        <v>Low</v>
      </c>
    </row>
    <row r="142" spans="4:16" x14ac:dyDescent="0.3">
      <c r="D142" s="99" t="s">
        <v>1716</v>
      </c>
      <c r="E142" s="100">
        <v>45779</v>
      </c>
      <c r="F142" s="100">
        <f t="shared" si="18"/>
        <v>45912</v>
      </c>
      <c r="G142" s="101">
        <f t="shared" si="19"/>
        <v>133</v>
      </c>
      <c r="H142" s="102">
        <f t="shared" si="16"/>
        <v>0</v>
      </c>
      <c r="K142" s="99" t="s">
        <v>2172</v>
      </c>
      <c r="L142" s="102">
        <f t="shared" si="20"/>
        <v>0</v>
      </c>
      <c r="M142" s="100">
        <v>45758</v>
      </c>
      <c r="N142" s="101">
        <v>265</v>
      </c>
      <c r="O142" s="101" t="str">
        <f t="shared" si="21"/>
        <v>90+</v>
      </c>
      <c r="P142" s="101" t="str">
        <f t="shared" si="17"/>
        <v>Low</v>
      </c>
    </row>
    <row r="143" spans="4:16" x14ac:dyDescent="0.3">
      <c r="D143" s="99" t="s">
        <v>1716</v>
      </c>
      <c r="E143" s="100">
        <v>45912</v>
      </c>
      <c r="F143" s="100" t="str">
        <f t="shared" si="18"/>
        <v/>
      </c>
      <c r="G143" s="101" t="str">
        <f t="shared" si="19"/>
        <v/>
      </c>
      <c r="H143" s="102" t="str">
        <f t="shared" si="16"/>
        <v/>
      </c>
      <c r="K143" s="99" t="s">
        <v>2173</v>
      </c>
      <c r="L143" s="102">
        <f t="shared" si="20"/>
        <v>1</v>
      </c>
      <c r="M143" s="100">
        <v>45764</v>
      </c>
      <c r="N143" s="101">
        <v>259</v>
      </c>
      <c r="O143" s="101" t="str">
        <f t="shared" si="21"/>
        <v>90+</v>
      </c>
      <c r="P143" s="101" t="str">
        <f t="shared" si="17"/>
        <v>Low</v>
      </c>
    </row>
    <row r="144" spans="4:16" x14ac:dyDescent="0.3">
      <c r="D144" s="99" t="s">
        <v>1756</v>
      </c>
      <c r="E144" s="100">
        <v>46014</v>
      </c>
      <c r="F144" s="100" t="str">
        <f t="shared" si="18"/>
        <v/>
      </c>
      <c r="G144" s="101" t="str">
        <f t="shared" si="19"/>
        <v/>
      </c>
      <c r="H144" s="102" t="str">
        <f t="shared" si="16"/>
        <v/>
      </c>
      <c r="K144" s="99" t="s">
        <v>2174</v>
      </c>
      <c r="L144" s="102">
        <f t="shared" si="20"/>
        <v>0</v>
      </c>
      <c r="M144" s="100">
        <v>45824</v>
      </c>
      <c r="N144" s="101">
        <v>199</v>
      </c>
      <c r="O144" s="101" t="str">
        <f t="shared" si="21"/>
        <v>90+</v>
      </c>
      <c r="P144" s="101" t="str">
        <f t="shared" si="17"/>
        <v>Low</v>
      </c>
    </row>
    <row r="145" spans="4:16" x14ac:dyDescent="0.3">
      <c r="D145" s="99" t="s">
        <v>1789</v>
      </c>
      <c r="E145" s="100">
        <v>45680</v>
      </c>
      <c r="F145" s="100">
        <f t="shared" si="18"/>
        <v>45790</v>
      </c>
      <c r="G145" s="101">
        <f t="shared" si="19"/>
        <v>110</v>
      </c>
      <c r="H145" s="102">
        <f t="shared" si="16"/>
        <v>0</v>
      </c>
      <c r="K145" s="99" t="s">
        <v>2175</v>
      </c>
      <c r="L145" s="102">
        <f t="shared" si="20"/>
        <v>0</v>
      </c>
      <c r="M145" s="100">
        <v>46021</v>
      </c>
      <c r="N145" s="101">
        <v>2</v>
      </c>
      <c r="O145" s="101" t="str">
        <f t="shared" si="21"/>
        <v>0-30</v>
      </c>
      <c r="P145" s="101" t="str">
        <f t="shared" si="17"/>
        <v>High</v>
      </c>
    </row>
    <row r="146" spans="4:16" x14ac:dyDescent="0.3">
      <c r="D146" s="99" t="s">
        <v>1789</v>
      </c>
      <c r="E146" s="100">
        <v>45790</v>
      </c>
      <c r="F146" s="100">
        <f t="shared" si="18"/>
        <v>45840</v>
      </c>
      <c r="G146" s="101">
        <f t="shared" si="19"/>
        <v>50</v>
      </c>
      <c r="H146" s="102">
        <f t="shared" si="16"/>
        <v>0</v>
      </c>
      <c r="K146" s="99" t="s">
        <v>2176</v>
      </c>
      <c r="L146" s="102">
        <f t="shared" si="20"/>
        <v>1</v>
      </c>
      <c r="M146" s="100">
        <v>45961</v>
      </c>
      <c r="N146" s="101">
        <v>62</v>
      </c>
      <c r="O146" s="101" t="str">
        <f t="shared" si="21"/>
        <v>61-90</v>
      </c>
      <c r="P146" s="101" t="str">
        <f t="shared" si="17"/>
        <v>Low</v>
      </c>
    </row>
    <row r="147" spans="4:16" x14ac:dyDescent="0.3">
      <c r="D147" s="99" t="s">
        <v>1789</v>
      </c>
      <c r="E147" s="100">
        <v>45840</v>
      </c>
      <c r="F147" s="100">
        <f t="shared" si="18"/>
        <v>45974</v>
      </c>
      <c r="G147" s="101">
        <f t="shared" si="19"/>
        <v>134</v>
      </c>
      <c r="H147" s="102">
        <f t="shared" si="16"/>
        <v>0</v>
      </c>
      <c r="K147" s="99" t="s">
        <v>2177</v>
      </c>
      <c r="L147" s="102">
        <f t="shared" si="20"/>
        <v>0</v>
      </c>
      <c r="M147" s="100">
        <v>45687</v>
      </c>
      <c r="N147" s="101">
        <v>336</v>
      </c>
      <c r="O147" s="101" t="str">
        <f t="shared" si="21"/>
        <v>90+</v>
      </c>
      <c r="P147" s="101" t="str">
        <f t="shared" si="17"/>
        <v>Low</v>
      </c>
    </row>
    <row r="148" spans="4:16" x14ac:dyDescent="0.3">
      <c r="D148" s="99" t="s">
        <v>1789</v>
      </c>
      <c r="E148" s="100">
        <v>45974</v>
      </c>
      <c r="F148" s="100">
        <f t="shared" si="18"/>
        <v>45986</v>
      </c>
      <c r="G148" s="101">
        <f t="shared" si="19"/>
        <v>12</v>
      </c>
      <c r="H148" s="102">
        <f t="shared" si="16"/>
        <v>1</v>
      </c>
      <c r="K148" s="99" t="s">
        <v>2178</v>
      </c>
      <c r="L148" s="102">
        <f t="shared" si="20"/>
        <v>0</v>
      </c>
      <c r="M148" s="100">
        <v>45966</v>
      </c>
      <c r="N148" s="101">
        <v>57</v>
      </c>
      <c r="O148" s="101" t="str">
        <f t="shared" si="21"/>
        <v>31-60</v>
      </c>
      <c r="P148" s="101" t="str">
        <f t="shared" si="17"/>
        <v>High</v>
      </c>
    </row>
    <row r="149" spans="4:16" x14ac:dyDescent="0.3">
      <c r="D149" s="99" t="s">
        <v>1789</v>
      </c>
      <c r="E149" s="100">
        <v>45986</v>
      </c>
      <c r="F149" s="100" t="str">
        <f t="shared" si="18"/>
        <v/>
      </c>
      <c r="G149" s="101" t="str">
        <f t="shared" si="19"/>
        <v/>
      </c>
      <c r="H149" s="102" t="str">
        <f t="shared" si="16"/>
        <v/>
      </c>
      <c r="K149" s="99" t="s">
        <v>2179</v>
      </c>
      <c r="L149" s="102">
        <f t="shared" si="20"/>
        <v>1</v>
      </c>
      <c r="M149" s="100">
        <v>45982</v>
      </c>
      <c r="N149" s="101">
        <v>41</v>
      </c>
      <c r="O149" s="101" t="str">
        <f t="shared" si="21"/>
        <v>31-60</v>
      </c>
      <c r="P149" s="101" t="str">
        <f t="shared" si="17"/>
        <v>High</v>
      </c>
    </row>
    <row r="150" spans="4:16" x14ac:dyDescent="0.3">
      <c r="D150" s="99" t="s">
        <v>1855</v>
      </c>
      <c r="E150" s="100">
        <v>45755</v>
      </c>
      <c r="F150" s="100">
        <f t="shared" si="18"/>
        <v>45883</v>
      </c>
      <c r="G150" s="101">
        <f t="shared" si="19"/>
        <v>128</v>
      </c>
      <c r="H150" s="102">
        <f t="shared" si="16"/>
        <v>0</v>
      </c>
      <c r="K150" s="99" t="s">
        <v>2180</v>
      </c>
      <c r="L150" s="102">
        <f t="shared" si="20"/>
        <v>0</v>
      </c>
      <c r="M150" s="100">
        <v>45790</v>
      </c>
      <c r="N150" s="101">
        <v>233</v>
      </c>
      <c r="O150" s="101" t="str">
        <f t="shared" si="21"/>
        <v>90+</v>
      </c>
      <c r="P150" s="101" t="str">
        <f t="shared" si="17"/>
        <v>Low</v>
      </c>
    </row>
    <row r="151" spans="4:16" x14ac:dyDescent="0.3">
      <c r="D151" s="99" t="s">
        <v>1855</v>
      </c>
      <c r="E151" s="100">
        <v>45883</v>
      </c>
      <c r="F151" s="100" t="str">
        <f t="shared" si="18"/>
        <v/>
      </c>
      <c r="G151" s="101" t="str">
        <f t="shared" si="19"/>
        <v/>
      </c>
      <c r="H151" s="102" t="str">
        <f t="shared" si="16"/>
        <v/>
      </c>
      <c r="K151" s="99" t="s">
        <v>2181</v>
      </c>
      <c r="L151" s="102">
        <f t="shared" si="20"/>
        <v>0</v>
      </c>
      <c r="M151" s="100">
        <v>45992</v>
      </c>
      <c r="N151" s="101">
        <v>31</v>
      </c>
      <c r="O151" s="101" t="str">
        <f t="shared" si="21"/>
        <v>31-60</v>
      </c>
      <c r="P151" s="101" t="str">
        <f t="shared" si="17"/>
        <v>High</v>
      </c>
    </row>
    <row r="152" spans="4:16" x14ac:dyDescent="0.3">
      <c r="D152" s="99" t="s">
        <v>1885</v>
      </c>
      <c r="E152" s="100">
        <v>45768</v>
      </c>
      <c r="F152" s="100" t="str">
        <f t="shared" si="18"/>
        <v/>
      </c>
      <c r="G152" s="101" t="str">
        <f t="shared" si="19"/>
        <v/>
      </c>
      <c r="H152" s="102" t="str">
        <f t="shared" si="16"/>
        <v/>
      </c>
      <c r="K152" s="99" t="s">
        <v>2182</v>
      </c>
      <c r="L152" s="102">
        <f t="shared" si="20"/>
        <v>1</v>
      </c>
      <c r="M152" s="100">
        <v>45982</v>
      </c>
      <c r="N152" s="101">
        <v>41</v>
      </c>
      <c r="O152" s="101" t="str">
        <f t="shared" si="21"/>
        <v>31-60</v>
      </c>
      <c r="P152" s="101" t="str">
        <f t="shared" si="17"/>
        <v>High</v>
      </c>
    </row>
    <row r="153" spans="4:16" x14ac:dyDescent="0.3">
      <c r="D153" s="99" t="s">
        <v>1899</v>
      </c>
      <c r="E153" s="100">
        <v>46013</v>
      </c>
      <c r="F153" s="100" t="str">
        <f t="shared" si="18"/>
        <v/>
      </c>
      <c r="G153" s="101" t="str">
        <f t="shared" si="19"/>
        <v/>
      </c>
      <c r="H153" s="102" t="str">
        <f t="shared" si="16"/>
        <v/>
      </c>
      <c r="K153" s="99" t="s">
        <v>2183</v>
      </c>
      <c r="L153" s="102">
        <f t="shared" si="20"/>
        <v>1</v>
      </c>
      <c r="M153" s="100">
        <v>45952</v>
      </c>
      <c r="N153" s="101">
        <v>71</v>
      </c>
      <c r="O153" s="101" t="str">
        <f t="shared" si="21"/>
        <v>61-90</v>
      </c>
      <c r="P153" s="101" t="str">
        <f t="shared" si="17"/>
        <v>Low</v>
      </c>
    </row>
    <row r="154" spans="4:16" x14ac:dyDescent="0.3">
      <c r="D154" s="99" t="s">
        <v>1913</v>
      </c>
      <c r="E154" s="100">
        <v>45665</v>
      </c>
      <c r="F154" s="100" t="str">
        <f t="shared" si="18"/>
        <v/>
      </c>
      <c r="G154" s="101" t="str">
        <f t="shared" si="19"/>
        <v/>
      </c>
      <c r="H154" s="102" t="str">
        <f t="shared" si="16"/>
        <v/>
      </c>
      <c r="K154" s="99" t="s">
        <v>2184</v>
      </c>
      <c r="L154" s="102">
        <f t="shared" si="20"/>
        <v>1</v>
      </c>
      <c r="M154" s="100">
        <v>45849</v>
      </c>
      <c r="N154" s="101">
        <v>174</v>
      </c>
      <c r="O154" s="101" t="str">
        <f t="shared" si="21"/>
        <v>90+</v>
      </c>
      <c r="P154" s="101" t="str">
        <f t="shared" si="17"/>
        <v>Low</v>
      </c>
    </row>
    <row r="155" spans="4:16" x14ac:dyDescent="0.3">
      <c r="D155" s="99" t="s">
        <v>1926</v>
      </c>
      <c r="E155" s="100">
        <v>45874</v>
      </c>
      <c r="F155" s="100" t="str">
        <f t="shared" si="18"/>
        <v/>
      </c>
      <c r="G155" s="101" t="str">
        <f t="shared" si="19"/>
        <v/>
      </c>
      <c r="H155" s="102" t="str">
        <f t="shared" si="16"/>
        <v/>
      </c>
      <c r="K155" s="99" t="s">
        <v>2185</v>
      </c>
      <c r="L155" s="102">
        <f t="shared" si="20"/>
        <v>0</v>
      </c>
      <c r="M155" s="100">
        <v>45952</v>
      </c>
      <c r="N155" s="101">
        <v>71</v>
      </c>
      <c r="O155" s="101" t="str">
        <f t="shared" si="21"/>
        <v>61-90</v>
      </c>
      <c r="P155" s="101" t="str">
        <f t="shared" si="17"/>
        <v>Low</v>
      </c>
    </row>
    <row r="156" spans="4:16" x14ac:dyDescent="0.3">
      <c r="D156" s="99" t="s">
        <v>1939</v>
      </c>
      <c r="E156" s="100">
        <v>45687</v>
      </c>
      <c r="F156" s="100">
        <f t="shared" si="18"/>
        <v>45799</v>
      </c>
      <c r="G156" s="101">
        <f t="shared" si="19"/>
        <v>112</v>
      </c>
      <c r="H156" s="102">
        <f t="shared" si="16"/>
        <v>0</v>
      </c>
      <c r="K156" s="99" t="s">
        <v>2186</v>
      </c>
      <c r="L156" s="102">
        <f t="shared" si="20"/>
        <v>0</v>
      </c>
      <c r="M156" s="100">
        <v>45819</v>
      </c>
      <c r="N156" s="101">
        <v>204</v>
      </c>
      <c r="O156" s="101" t="str">
        <f t="shared" si="21"/>
        <v>90+</v>
      </c>
      <c r="P156" s="101" t="str">
        <f t="shared" si="17"/>
        <v>Low</v>
      </c>
    </row>
    <row r="157" spans="4:16" x14ac:dyDescent="0.3">
      <c r="D157" s="99" t="s">
        <v>1939</v>
      </c>
      <c r="E157" s="100">
        <v>45799</v>
      </c>
      <c r="F157" s="100">
        <f t="shared" si="18"/>
        <v>45840</v>
      </c>
      <c r="G157" s="101">
        <f t="shared" si="19"/>
        <v>41</v>
      </c>
      <c r="H157" s="102">
        <f t="shared" si="16"/>
        <v>0</v>
      </c>
      <c r="K157" s="99" t="s">
        <v>2187</v>
      </c>
      <c r="L157" s="102">
        <f t="shared" si="20"/>
        <v>1</v>
      </c>
      <c r="M157" s="100">
        <v>45951</v>
      </c>
      <c r="N157" s="101">
        <v>72</v>
      </c>
      <c r="O157" s="101" t="str">
        <f t="shared" si="21"/>
        <v>61-90</v>
      </c>
      <c r="P157" s="101" t="str">
        <f t="shared" si="17"/>
        <v>Low</v>
      </c>
    </row>
    <row r="158" spans="4:16" x14ac:dyDescent="0.3">
      <c r="D158" s="99" t="s">
        <v>1939</v>
      </c>
      <c r="E158" s="100">
        <v>45840</v>
      </c>
      <c r="F158" s="100" t="str">
        <f t="shared" si="18"/>
        <v/>
      </c>
      <c r="G158" s="101" t="str">
        <f t="shared" si="19"/>
        <v/>
      </c>
      <c r="H158" s="102" t="str">
        <f t="shared" si="16"/>
        <v/>
      </c>
      <c r="K158" s="99" t="s">
        <v>2188</v>
      </c>
      <c r="L158" s="102">
        <f t="shared" si="20"/>
        <v>0</v>
      </c>
      <c r="M158" s="100">
        <v>46014</v>
      </c>
      <c r="N158" s="101">
        <v>9</v>
      </c>
      <c r="O158" s="101" t="str">
        <f t="shared" si="21"/>
        <v>0-30</v>
      </c>
      <c r="P158" s="101" t="str">
        <f t="shared" si="17"/>
        <v>High</v>
      </c>
    </row>
    <row r="159" spans="4:16" x14ac:dyDescent="0.3">
      <c r="D159" s="99" t="s">
        <v>1951</v>
      </c>
      <c r="E159" s="100">
        <v>45863</v>
      </c>
      <c r="F159" s="100" t="str">
        <f t="shared" si="18"/>
        <v/>
      </c>
      <c r="G159" s="101" t="str">
        <f t="shared" si="19"/>
        <v/>
      </c>
      <c r="H159" s="102" t="str">
        <f t="shared" si="16"/>
        <v/>
      </c>
      <c r="K159" s="99" t="s">
        <v>2189</v>
      </c>
      <c r="L159" s="102">
        <f t="shared" si="20"/>
        <v>0</v>
      </c>
      <c r="M159" s="100">
        <v>45960</v>
      </c>
      <c r="N159" s="101">
        <v>63</v>
      </c>
      <c r="O159" s="101" t="str">
        <f t="shared" si="21"/>
        <v>61-90</v>
      </c>
      <c r="P159" s="101" t="str">
        <f t="shared" si="17"/>
        <v>Low</v>
      </c>
    </row>
    <row r="160" spans="4:16" x14ac:dyDescent="0.3">
      <c r="D160" s="99" t="s">
        <v>1959</v>
      </c>
      <c r="E160" s="100">
        <v>45763</v>
      </c>
      <c r="F160" s="100" t="str">
        <f t="shared" si="18"/>
        <v/>
      </c>
      <c r="G160" s="101" t="str">
        <f t="shared" si="19"/>
        <v/>
      </c>
      <c r="H160" s="102" t="str">
        <f t="shared" si="16"/>
        <v/>
      </c>
      <c r="K160" s="99" t="s">
        <v>2190</v>
      </c>
      <c r="L160" s="102">
        <f t="shared" si="20"/>
        <v>1</v>
      </c>
      <c r="M160" s="100">
        <v>45960</v>
      </c>
      <c r="N160" s="101">
        <v>63</v>
      </c>
      <c r="O160" s="101" t="str">
        <f t="shared" si="21"/>
        <v>61-90</v>
      </c>
      <c r="P160" s="101" t="str">
        <f t="shared" si="17"/>
        <v>Low</v>
      </c>
    </row>
    <row r="161" spans="4:16" x14ac:dyDescent="0.3">
      <c r="D161" s="99" t="s">
        <v>1970</v>
      </c>
      <c r="E161" s="100">
        <v>45821</v>
      </c>
      <c r="F161" s="100">
        <f t="shared" si="18"/>
        <v>45912</v>
      </c>
      <c r="G161" s="101">
        <f t="shared" si="19"/>
        <v>91</v>
      </c>
      <c r="H161" s="102">
        <f t="shared" si="16"/>
        <v>0</v>
      </c>
      <c r="K161" s="99" t="s">
        <v>2191</v>
      </c>
      <c r="L161" s="102">
        <f t="shared" si="20"/>
        <v>1</v>
      </c>
      <c r="M161" s="100">
        <v>45882</v>
      </c>
      <c r="N161" s="101">
        <v>141</v>
      </c>
      <c r="O161" s="101" t="str">
        <f t="shared" si="21"/>
        <v>90+</v>
      </c>
      <c r="P161" s="101" t="str">
        <f t="shared" si="17"/>
        <v>Low</v>
      </c>
    </row>
    <row r="162" spans="4:16" x14ac:dyDescent="0.3">
      <c r="D162" s="99" t="s">
        <v>1970</v>
      </c>
      <c r="E162" s="100">
        <v>45912</v>
      </c>
      <c r="F162" s="100">
        <f t="shared" si="18"/>
        <v>45943</v>
      </c>
      <c r="G162" s="101">
        <f t="shared" si="19"/>
        <v>31</v>
      </c>
      <c r="H162" s="102">
        <f t="shared" si="16"/>
        <v>0</v>
      </c>
      <c r="K162" s="99" t="s">
        <v>2192</v>
      </c>
      <c r="L162" s="102">
        <f t="shared" si="20"/>
        <v>0</v>
      </c>
      <c r="M162" s="100">
        <v>45912</v>
      </c>
      <c r="N162" s="101">
        <v>111</v>
      </c>
      <c r="O162" s="101" t="str">
        <f t="shared" si="21"/>
        <v>90+</v>
      </c>
      <c r="P162" s="101" t="str">
        <f t="shared" si="17"/>
        <v>Low</v>
      </c>
    </row>
    <row r="163" spans="4:16" x14ac:dyDescent="0.3">
      <c r="D163" s="99" t="s">
        <v>1970</v>
      </c>
      <c r="E163" s="100">
        <v>45943</v>
      </c>
      <c r="F163" s="100" t="str">
        <f t="shared" si="18"/>
        <v/>
      </c>
      <c r="G163" s="101" t="str">
        <f t="shared" si="19"/>
        <v/>
      </c>
      <c r="H163" s="102" t="str">
        <f t="shared" si="16"/>
        <v/>
      </c>
      <c r="K163" s="99" t="s">
        <v>2193</v>
      </c>
      <c r="L163" s="102">
        <f t="shared" si="20"/>
        <v>1</v>
      </c>
      <c r="M163" s="100">
        <v>45945</v>
      </c>
      <c r="N163" s="101">
        <v>78</v>
      </c>
      <c r="O163" s="101" t="str">
        <f t="shared" si="21"/>
        <v>61-90</v>
      </c>
      <c r="P163" s="101" t="str">
        <f t="shared" si="17"/>
        <v>Low</v>
      </c>
    </row>
    <row r="164" spans="4:16" x14ac:dyDescent="0.3">
      <c r="D164" s="99" t="s">
        <v>1977</v>
      </c>
      <c r="E164" s="100">
        <v>45912</v>
      </c>
      <c r="F164" s="100" t="str">
        <f t="shared" si="18"/>
        <v/>
      </c>
      <c r="G164" s="101" t="str">
        <f t="shared" si="19"/>
        <v/>
      </c>
      <c r="H164" s="102" t="str">
        <f t="shared" si="16"/>
        <v/>
      </c>
      <c r="K164" s="99" t="s">
        <v>2194</v>
      </c>
      <c r="L164" s="102">
        <f t="shared" si="20"/>
        <v>0</v>
      </c>
      <c r="M164" s="100">
        <v>45894</v>
      </c>
      <c r="N164" s="101">
        <v>129</v>
      </c>
      <c r="O164" s="101" t="str">
        <f t="shared" si="21"/>
        <v>90+</v>
      </c>
      <c r="P164" s="101" t="str">
        <f t="shared" si="17"/>
        <v>Low</v>
      </c>
    </row>
    <row r="165" spans="4:16" x14ac:dyDescent="0.3">
      <c r="D165" s="99" t="s">
        <v>1986</v>
      </c>
      <c r="E165" s="100">
        <v>45834</v>
      </c>
      <c r="F165" s="100" t="str">
        <f t="shared" si="18"/>
        <v/>
      </c>
      <c r="G165" s="101" t="str">
        <f t="shared" si="19"/>
        <v/>
      </c>
      <c r="H165" s="102" t="str">
        <f t="shared" si="16"/>
        <v/>
      </c>
      <c r="K165" s="99" t="s">
        <v>2195</v>
      </c>
      <c r="L165" s="102">
        <f t="shared" si="20"/>
        <v>0</v>
      </c>
      <c r="M165" s="100">
        <v>45884</v>
      </c>
      <c r="N165" s="101">
        <v>139</v>
      </c>
      <c r="O165" s="101" t="str">
        <f t="shared" si="21"/>
        <v>90+</v>
      </c>
      <c r="P165" s="101" t="str">
        <f t="shared" si="17"/>
        <v>Low</v>
      </c>
    </row>
    <row r="166" spans="4:16" x14ac:dyDescent="0.3">
      <c r="D166" s="99" t="s">
        <v>2003</v>
      </c>
      <c r="E166" s="100">
        <v>45667</v>
      </c>
      <c r="F166" s="100" t="str">
        <f t="shared" si="18"/>
        <v/>
      </c>
      <c r="G166" s="101" t="str">
        <f t="shared" si="19"/>
        <v/>
      </c>
      <c r="H166" s="102" t="str">
        <f t="shared" si="16"/>
        <v/>
      </c>
      <c r="K166" s="99" t="s">
        <v>2196</v>
      </c>
      <c r="L166" s="102">
        <f t="shared" si="20"/>
        <v>0</v>
      </c>
      <c r="M166" s="100">
        <v>45825</v>
      </c>
      <c r="N166" s="101">
        <v>198</v>
      </c>
      <c r="O166" s="101" t="str">
        <f t="shared" si="21"/>
        <v>90+</v>
      </c>
      <c r="P166" s="101" t="str">
        <f t="shared" si="17"/>
        <v>Low</v>
      </c>
    </row>
    <row r="167" spans="4:16" x14ac:dyDescent="0.3">
      <c r="D167" s="99" t="s">
        <v>2012</v>
      </c>
      <c r="E167" s="100">
        <v>45663</v>
      </c>
      <c r="F167" s="100">
        <f t="shared" si="18"/>
        <v>45947</v>
      </c>
      <c r="G167" s="101">
        <f t="shared" si="19"/>
        <v>284</v>
      </c>
      <c r="H167" s="102">
        <f t="shared" si="16"/>
        <v>0</v>
      </c>
      <c r="K167" s="99" t="s">
        <v>2197</v>
      </c>
      <c r="L167" s="102">
        <f t="shared" si="20"/>
        <v>1</v>
      </c>
      <c r="M167" s="100">
        <v>46017</v>
      </c>
      <c r="N167" s="101">
        <v>6</v>
      </c>
      <c r="O167" s="101" t="str">
        <f t="shared" si="21"/>
        <v>0-30</v>
      </c>
      <c r="P167" s="101" t="str">
        <f t="shared" si="17"/>
        <v>High</v>
      </c>
    </row>
    <row r="168" spans="4:16" x14ac:dyDescent="0.3">
      <c r="D168" s="99" t="s">
        <v>2012</v>
      </c>
      <c r="E168" s="100">
        <v>45947</v>
      </c>
      <c r="F168" s="100" t="str">
        <f t="shared" si="18"/>
        <v/>
      </c>
      <c r="G168" s="101" t="str">
        <f t="shared" si="19"/>
        <v/>
      </c>
      <c r="H168" s="102" t="str">
        <f t="shared" si="16"/>
        <v/>
      </c>
      <c r="K168" s="99" t="s">
        <v>2198</v>
      </c>
      <c r="L168" s="102">
        <f t="shared" si="20"/>
        <v>1</v>
      </c>
      <c r="M168" s="100">
        <v>45950</v>
      </c>
      <c r="N168" s="101">
        <v>73</v>
      </c>
      <c r="O168" s="101" t="str">
        <f t="shared" si="21"/>
        <v>61-90</v>
      </c>
      <c r="P168" s="101" t="str">
        <f t="shared" si="17"/>
        <v>Low</v>
      </c>
    </row>
    <row r="169" spans="4:16" x14ac:dyDescent="0.3">
      <c r="D169" s="99" t="s">
        <v>2026</v>
      </c>
      <c r="E169" s="100">
        <v>45817</v>
      </c>
      <c r="F169" s="100" t="str">
        <f t="shared" si="18"/>
        <v/>
      </c>
      <c r="G169" s="101" t="str">
        <f t="shared" si="19"/>
        <v/>
      </c>
      <c r="H169" s="102" t="str">
        <f t="shared" si="16"/>
        <v/>
      </c>
      <c r="K169" s="99" t="s">
        <v>2199</v>
      </c>
      <c r="L169" s="102">
        <f t="shared" si="20"/>
        <v>0</v>
      </c>
      <c r="M169" s="100">
        <v>45693</v>
      </c>
      <c r="N169" s="101">
        <v>330</v>
      </c>
      <c r="O169" s="101" t="str">
        <f t="shared" si="21"/>
        <v>90+</v>
      </c>
      <c r="P169" s="101" t="str">
        <f t="shared" si="17"/>
        <v>Low</v>
      </c>
    </row>
    <row r="170" spans="4:16" x14ac:dyDescent="0.3">
      <c r="D170" s="99" t="s">
        <v>2040</v>
      </c>
      <c r="E170" s="100">
        <v>45939</v>
      </c>
      <c r="F170" s="100" t="str">
        <f t="shared" si="18"/>
        <v/>
      </c>
      <c r="G170" s="101" t="str">
        <f t="shared" si="19"/>
        <v/>
      </c>
      <c r="H170" s="102" t="str">
        <f t="shared" si="16"/>
        <v/>
      </c>
      <c r="K170" s="99" t="s">
        <v>2200</v>
      </c>
      <c r="L170" s="102">
        <f t="shared" si="20"/>
        <v>0</v>
      </c>
      <c r="M170" s="100">
        <v>45741</v>
      </c>
      <c r="N170" s="101">
        <v>282</v>
      </c>
      <c r="O170" s="101" t="str">
        <f t="shared" si="21"/>
        <v>90+</v>
      </c>
      <c r="P170" s="101" t="str">
        <f t="shared" si="17"/>
        <v>Low</v>
      </c>
    </row>
    <row r="171" spans="4:16" x14ac:dyDescent="0.3">
      <c r="D171" s="99" t="s">
        <v>2053</v>
      </c>
      <c r="E171" s="100">
        <v>45663</v>
      </c>
      <c r="F171" s="100">
        <f t="shared" si="18"/>
        <v>45728</v>
      </c>
      <c r="G171" s="101">
        <f t="shared" si="19"/>
        <v>65</v>
      </c>
      <c r="H171" s="102">
        <f t="shared" si="16"/>
        <v>0</v>
      </c>
      <c r="K171" s="99" t="s">
        <v>2201</v>
      </c>
      <c r="L171" s="102">
        <f t="shared" si="20"/>
        <v>0</v>
      </c>
      <c r="M171" s="100">
        <v>45827</v>
      </c>
      <c r="N171" s="101">
        <v>196</v>
      </c>
      <c r="O171" s="101" t="str">
        <f t="shared" si="21"/>
        <v>90+</v>
      </c>
      <c r="P171" s="101" t="str">
        <f t="shared" si="17"/>
        <v>Low</v>
      </c>
    </row>
    <row r="172" spans="4:16" x14ac:dyDescent="0.3">
      <c r="D172" s="99" t="s">
        <v>2053</v>
      </c>
      <c r="E172" s="100">
        <v>45728</v>
      </c>
      <c r="F172" s="100">
        <f t="shared" si="18"/>
        <v>45812</v>
      </c>
      <c r="G172" s="101">
        <f t="shared" si="19"/>
        <v>84</v>
      </c>
      <c r="H172" s="102">
        <f t="shared" si="16"/>
        <v>0</v>
      </c>
      <c r="K172" s="99" t="s">
        <v>2202</v>
      </c>
      <c r="L172" s="102">
        <f t="shared" si="20"/>
        <v>1</v>
      </c>
      <c r="M172" s="100">
        <v>45817</v>
      </c>
      <c r="N172" s="101">
        <v>206</v>
      </c>
      <c r="O172" s="101" t="str">
        <f t="shared" si="21"/>
        <v>90+</v>
      </c>
      <c r="P172" s="101" t="str">
        <f t="shared" si="17"/>
        <v>Low</v>
      </c>
    </row>
    <row r="173" spans="4:16" x14ac:dyDescent="0.3">
      <c r="D173" s="99" t="s">
        <v>2053</v>
      </c>
      <c r="E173" s="100">
        <v>45812</v>
      </c>
      <c r="F173" s="100">
        <f t="shared" si="18"/>
        <v>45996</v>
      </c>
      <c r="G173" s="101">
        <f t="shared" si="19"/>
        <v>184</v>
      </c>
      <c r="H173" s="102">
        <f t="shared" si="16"/>
        <v>0</v>
      </c>
      <c r="K173" s="99" t="s">
        <v>2203</v>
      </c>
      <c r="L173" s="102">
        <f t="shared" si="20"/>
        <v>0</v>
      </c>
      <c r="M173" s="100">
        <v>45889</v>
      </c>
      <c r="N173" s="101">
        <v>134</v>
      </c>
      <c r="O173" s="101" t="str">
        <f t="shared" si="21"/>
        <v>90+</v>
      </c>
      <c r="P173" s="101" t="str">
        <f t="shared" si="17"/>
        <v>Low</v>
      </c>
    </row>
    <row r="174" spans="4:16" x14ac:dyDescent="0.3">
      <c r="D174" s="99" t="s">
        <v>2053</v>
      </c>
      <c r="E174" s="100">
        <v>45996</v>
      </c>
      <c r="F174" s="100" t="str">
        <f t="shared" si="18"/>
        <v/>
      </c>
      <c r="G174" s="101" t="str">
        <f t="shared" si="19"/>
        <v/>
      </c>
      <c r="H174" s="102" t="str">
        <f t="shared" si="16"/>
        <v/>
      </c>
      <c r="K174" s="99" t="s">
        <v>2204</v>
      </c>
      <c r="L174" s="102">
        <f t="shared" si="20"/>
        <v>1</v>
      </c>
      <c r="M174" s="100">
        <v>45855</v>
      </c>
      <c r="N174" s="101">
        <v>168</v>
      </c>
      <c r="O174" s="101" t="str">
        <f t="shared" si="21"/>
        <v>90+</v>
      </c>
      <c r="P174" s="101" t="str">
        <f t="shared" si="17"/>
        <v>Low</v>
      </c>
    </row>
    <row r="175" spans="4:16" x14ac:dyDescent="0.3">
      <c r="D175" s="99" t="s">
        <v>2061</v>
      </c>
      <c r="E175" s="100">
        <v>45988</v>
      </c>
      <c r="F175" s="100" t="str">
        <f t="shared" si="18"/>
        <v/>
      </c>
      <c r="G175" s="101" t="str">
        <f t="shared" si="19"/>
        <v/>
      </c>
      <c r="H175" s="102" t="str">
        <f t="shared" si="16"/>
        <v/>
      </c>
      <c r="K175" s="99" t="s">
        <v>2205</v>
      </c>
      <c r="L175" s="102">
        <f t="shared" si="20"/>
        <v>0</v>
      </c>
      <c r="M175" s="100">
        <v>45951</v>
      </c>
      <c r="N175" s="101">
        <v>72</v>
      </c>
      <c r="O175" s="101" t="str">
        <f t="shared" si="21"/>
        <v>61-90</v>
      </c>
      <c r="P175" s="101" t="str">
        <f t="shared" si="17"/>
        <v>Low</v>
      </c>
    </row>
    <row r="176" spans="4:16" x14ac:dyDescent="0.3">
      <c r="D176" s="99" t="s">
        <v>2073</v>
      </c>
      <c r="E176" s="100">
        <v>45790</v>
      </c>
      <c r="F176" s="100" t="str">
        <f t="shared" si="18"/>
        <v/>
      </c>
      <c r="G176" s="101" t="str">
        <f t="shared" si="19"/>
        <v/>
      </c>
      <c r="H176" s="102" t="str">
        <f t="shared" si="16"/>
        <v/>
      </c>
      <c r="K176" s="99" t="s">
        <v>2206</v>
      </c>
      <c r="L176" s="102">
        <f t="shared" si="20"/>
        <v>0</v>
      </c>
      <c r="M176" s="100">
        <v>45894</v>
      </c>
      <c r="N176" s="101">
        <v>129</v>
      </c>
      <c r="O176" s="101" t="str">
        <f t="shared" si="21"/>
        <v>90+</v>
      </c>
      <c r="P176" s="101" t="str">
        <f t="shared" si="17"/>
        <v>Low</v>
      </c>
    </row>
    <row r="177" spans="4:16" x14ac:dyDescent="0.3">
      <c r="D177" s="99" t="s">
        <v>2095</v>
      </c>
      <c r="E177" s="100">
        <v>45674</v>
      </c>
      <c r="F177" s="100">
        <f t="shared" si="18"/>
        <v>45677</v>
      </c>
      <c r="G177" s="101">
        <f t="shared" si="19"/>
        <v>3</v>
      </c>
      <c r="H177" s="102">
        <f t="shared" si="16"/>
        <v>1</v>
      </c>
      <c r="K177" s="99" t="s">
        <v>2207</v>
      </c>
      <c r="L177" s="102">
        <f t="shared" si="20"/>
        <v>0</v>
      </c>
      <c r="M177" s="100">
        <v>45812</v>
      </c>
      <c r="N177" s="101">
        <v>211</v>
      </c>
      <c r="O177" s="101" t="str">
        <f t="shared" si="21"/>
        <v>90+</v>
      </c>
      <c r="P177" s="101" t="str">
        <f t="shared" si="17"/>
        <v>Low</v>
      </c>
    </row>
    <row r="178" spans="4:16" x14ac:dyDescent="0.3">
      <c r="D178" s="99" t="s">
        <v>2095</v>
      </c>
      <c r="E178" s="100">
        <v>45677</v>
      </c>
      <c r="F178" s="100">
        <f t="shared" si="18"/>
        <v>45798</v>
      </c>
      <c r="G178" s="101">
        <f t="shared" si="19"/>
        <v>121</v>
      </c>
      <c r="H178" s="102">
        <f t="shared" si="16"/>
        <v>0</v>
      </c>
      <c r="K178" s="99" t="s">
        <v>2208</v>
      </c>
      <c r="L178" s="102">
        <f t="shared" si="20"/>
        <v>0</v>
      </c>
      <c r="M178" s="100">
        <v>45716</v>
      </c>
      <c r="N178" s="101">
        <v>307</v>
      </c>
      <c r="O178" s="101" t="str">
        <f t="shared" si="21"/>
        <v>90+</v>
      </c>
      <c r="P178" s="101" t="str">
        <f t="shared" si="17"/>
        <v>Low</v>
      </c>
    </row>
    <row r="179" spans="4:16" x14ac:dyDescent="0.3">
      <c r="D179" s="99" t="s">
        <v>2095</v>
      </c>
      <c r="E179" s="100">
        <v>45798</v>
      </c>
      <c r="F179" s="100" t="str">
        <f t="shared" si="18"/>
        <v/>
      </c>
      <c r="G179" s="101" t="str">
        <f t="shared" si="19"/>
        <v/>
      </c>
      <c r="H179" s="102" t="str">
        <f t="shared" si="16"/>
        <v/>
      </c>
      <c r="K179" s="99" t="s">
        <v>2209</v>
      </c>
      <c r="L179" s="102">
        <f t="shared" si="20"/>
        <v>0</v>
      </c>
      <c r="M179" s="100">
        <v>45750</v>
      </c>
      <c r="N179" s="101">
        <v>273</v>
      </c>
      <c r="O179" s="101" t="str">
        <f t="shared" si="21"/>
        <v>90+</v>
      </c>
      <c r="P179" s="101" t="str">
        <f t="shared" si="17"/>
        <v>Low</v>
      </c>
    </row>
    <row r="180" spans="4:16" x14ac:dyDescent="0.3">
      <c r="D180" s="99" t="s">
        <v>2849</v>
      </c>
      <c r="E180" s="100">
        <v>45992</v>
      </c>
      <c r="F180" s="100" t="str">
        <f t="shared" si="18"/>
        <v/>
      </c>
      <c r="G180" s="101" t="str">
        <f t="shared" si="19"/>
        <v/>
      </c>
      <c r="H180" s="102" t="str">
        <f t="shared" si="16"/>
        <v/>
      </c>
      <c r="K180" s="99" t="s">
        <v>2210</v>
      </c>
      <c r="L180" s="102">
        <f t="shared" si="20"/>
        <v>0</v>
      </c>
      <c r="M180" s="100">
        <v>45812</v>
      </c>
      <c r="N180" s="101">
        <v>211</v>
      </c>
      <c r="O180" s="101" t="str">
        <f t="shared" si="21"/>
        <v>90+</v>
      </c>
      <c r="P180" s="101" t="str">
        <f t="shared" si="17"/>
        <v>Low</v>
      </c>
    </row>
    <row r="181" spans="4:16" x14ac:dyDescent="0.3">
      <c r="D181" s="99" t="s">
        <v>2118</v>
      </c>
      <c r="E181" s="100">
        <v>45863</v>
      </c>
      <c r="F181" s="100">
        <f t="shared" si="18"/>
        <v>45896</v>
      </c>
      <c r="G181" s="101">
        <f t="shared" si="19"/>
        <v>33</v>
      </c>
      <c r="H181" s="102">
        <f t="shared" si="16"/>
        <v>0</v>
      </c>
      <c r="K181" s="99" t="s">
        <v>2211</v>
      </c>
      <c r="L181" s="102">
        <f t="shared" si="20"/>
        <v>0</v>
      </c>
      <c r="M181" s="100">
        <v>45798</v>
      </c>
      <c r="N181" s="101">
        <v>225</v>
      </c>
      <c r="O181" s="101" t="str">
        <f t="shared" si="21"/>
        <v>90+</v>
      </c>
      <c r="P181" s="101" t="str">
        <f t="shared" si="17"/>
        <v>Low</v>
      </c>
    </row>
    <row r="182" spans="4:16" x14ac:dyDescent="0.3">
      <c r="D182" s="99" t="s">
        <v>2118</v>
      </c>
      <c r="E182" s="100">
        <v>45896</v>
      </c>
      <c r="F182" s="100">
        <f t="shared" si="18"/>
        <v>45925</v>
      </c>
      <c r="G182" s="101">
        <f t="shared" si="19"/>
        <v>29</v>
      </c>
      <c r="H182" s="102">
        <f t="shared" si="16"/>
        <v>1</v>
      </c>
      <c r="K182" s="99" t="s">
        <v>2212</v>
      </c>
      <c r="L182" s="102">
        <f t="shared" si="20"/>
        <v>0</v>
      </c>
      <c r="M182" s="100">
        <v>45930</v>
      </c>
      <c r="N182" s="101">
        <v>93</v>
      </c>
      <c r="O182" s="101" t="str">
        <f t="shared" si="21"/>
        <v>90+</v>
      </c>
      <c r="P182" s="101" t="str">
        <f t="shared" si="17"/>
        <v>Low</v>
      </c>
    </row>
    <row r="183" spans="4:16" x14ac:dyDescent="0.3">
      <c r="D183" s="99" t="s">
        <v>2118</v>
      </c>
      <c r="E183" s="100">
        <v>45925</v>
      </c>
      <c r="F183" s="100" t="str">
        <f t="shared" si="18"/>
        <v/>
      </c>
      <c r="G183" s="101" t="str">
        <f t="shared" si="19"/>
        <v/>
      </c>
      <c r="H183" s="102" t="str">
        <f t="shared" si="16"/>
        <v/>
      </c>
      <c r="K183" s="99" t="s">
        <v>2213</v>
      </c>
      <c r="L183" s="102">
        <f t="shared" si="20"/>
        <v>0</v>
      </c>
      <c r="M183" s="100">
        <v>45833</v>
      </c>
      <c r="N183" s="101">
        <v>190</v>
      </c>
      <c r="O183" s="101" t="str">
        <f t="shared" si="21"/>
        <v>90+</v>
      </c>
      <c r="P183" s="101" t="str">
        <f t="shared" si="17"/>
        <v>Low</v>
      </c>
    </row>
    <row r="184" spans="4:16" x14ac:dyDescent="0.3">
      <c r="D184" s="99" t="s">
        <v>2119</v>
      </c>
      <c r="E184" s="100">
        <v>45667</v>
      </c>
      <c r="F184" s="100">
        <f t="shared" si="18"/>
        <v>45693</v>
      </c>
      <c r="G184" s="101">
        <f t="shared" si="19"/>
        <v>26</v>
      </c>
      <c r="H184" s="102">
        <f t="shared" si="16"/>
        <v>1</v>
      </c>
      <c r="K184" s="99" t="s">
        <v>2214</v>
      </c>
      <c r="L184" s="102">
        <f t="shared" si="20"/>
        <v>0</v>
      </c>
      <c r="M184" s="100">
        <v>45768</v>
      </c>
      <c r="N184" s="101">
        <v>255</v>
      </c>
      <c r="O184" s="101" t="str">
        <f t="shared" si="21"/>
        <v>90+</v>
      </c>
      <c r="P184" s="101" t="str">
        <f t="shared" si="17"/>
        <v>Low</v>
      </c>
    </row>
    <row r="185" spans="4:16" x14ac:dyDescent="0.3">
      <c r="D185" s="99" t="s">
        <v>2119</v>
      </c>
      <c r="E185" s="100">
        <v>45693</v>
      </c>
      <c r="F185" s="100">
        <f t="shared" si="18"/>
        <v>45930</v>
      </c>
      <c r="G185" s="101">
        <f t="shared" si="19"/>
        <v>237</v>
      </c>
      <c r="H185" s="102">
        <f t="shared" si="16"/>
        <v>0</v>
      </c>
      <c r="K185" s="99" t="s">
        <v>2215</v>
      </c>
      <c r="L185" s="102">
        <f t="shared" si="20"/>
        <v>0</v>
      </c>
      <c r="M185" s="100">
        <v>46000</v>
      </c>
      <c r="N185" s="101">
        <v>23</v>
      </c>
      <c r="O185" s="101" t="str">
        <f t="shared" si="21"/>
        <v>0-30</v>
      </c>
      <c r="P185" s="101" t="str">
        <f t="shared" si="17"/>
        <v>High</v>
      </c>
    </row>
    <row r="186" spans="4:16" x14ac:dyDescent="0.3">
      <c r="D186" s="99" t="s">
        <v>2119</v>
      </c>
      <c r="E186" s="100">
        <v>45930</v>
      </c>
      <c r="F186" s="100">
        <f t="shared" si="18"/>
        <v>45980</v>
      </c>
      <c r="G186" s="101">
        <f t="shared" si="19"/>
        <v>50</v>
      </c>
      <c r="H186" s="102">
        <f t="shared" si="16"/>
        <v>0</v>
      </c>
      <c r="K186" s="99" t="s">
        <v>2216</v>
      </c>
      <c r="L186" s="102">
        <f t="shared" si="20"/>
        <v>0</v>
      </c>
      <c r="M186" s="100">
        <v>45775</v>
      </c>
      <c r="N186" s="101">
        <v>248</v>
      </c>
      <c r="O186" s="101" t="str">
        <f t="shared" si="21"/>
        <v>90+</v>
      </c>
      <c r="P186" s="101" t="str">
        <f t="shared" si="17"/>
        <v>Low</v>
      </c>
    </row>
    <row r="187" spans="4:16" x14ac:dyDescent="0.3">
      <c r="D187" s="99" t="s">
        <v>2119</v>
      </c>
      <c r="E187" s="100">
        <v>45980</v>
      </c>
      <c r="F187" s="100" t="str">
        <f t="shared" si="18"/>
        <v/>
      </c>
      <c r="G187" s="101" t="str">
        <f t="shared" si="19"/>
        <v/>
      </c>
      <c r="H187" s="102" t="str">
        <f t="shared" si="16"/>
        <v/>
      </c>
      <c r="K187" s="99" t="s">
        <v>2217</v>
      </c>
      <c r="L187" s="102">
        <f t="shared" si="20"/>
        <v>1</v>
      </c>
      <c r="M187" s="100">
        <v>45930</v>
      </c>
      <c r="N187" s="101">
        <v>93</v>
      </c>
      <c r="O187" s="101" t="str">
        <f t="shared" si="21"/>
        <v>90+</v>
      </c>
      <c r="P187" s="101" t="str">
        <f t="shared" si="17"/>
        <v>Low</v>
      </c>
    </row>
    <row r="188" spans="4:16" x14ac:dyDescent="0.3">
      <c r="D188" s="99" t="s">
        <v>2120</v>
      </c>
      <c r="E188" s="100">
        <v>45796</v>
      </c>
      <c r="F188" s="100">
        <f t="shared" si="18"/>
        <v>45929</v>
      </c>
      <c r="G188" s="101">
        <f t="shared" si="19"/>
        <v>133</v>
      </c>
      <c r="H188" s="102">
        <f t="shared" si="16"/>
        <v>0</v>
      </c>
      <c r="K188" s="99" t="s">
        <v>2218</v>
      </c>
      <c r="L188" s="102">
        <f t="shared" si="20"/>
        <v>0</v>
      </c>
      <c r="M188" s="100">
        <v>45966</v>
      </c>
      <c r="N188" s="101">
        <v>57</v>
      </c>
      <c r="O188" s="101" t="str">
        <f t="shared" si="21"/>
        <v>31-60</v>
      </c>
      <c r="P188" s="101" t="str">
        <f t="shared" si="17"/>
        <v>High</v>
      </c>
    </row>
    <row r="189" spans="4:16" x14ac:dyDescent="0.3">
      <c r="D189" s="99" t="s">
        <v>2120</v>
      </c>
      <c r="E189" s="100">
        <v>45929</v>
      </c>
      <c r="F189" s="100">
        <f t="shared" si="18"/>
        <v>46013</v>
      </c>
      <c r="G189" s="101">
        <f t="shared" si="19"/>
        <v>84</v>
      </c>
      <c r="H189" s="102">
        <f t="shared" si="16"/>
        <v>0</v>
      </c>
      <c r="K189" s="99" t="s">
        <v>2219</v>
      </c>
      <c r="L189" s="102">
        <f t="shared" si="20"/>
        <v>0</v>
      </c>
      <c r="M189" s="100">
        <v>45994</v>
      </c>
      <c r="N189" s="101">
        <v>29</v>
      </c>
      <c r="O189" s="101" t="str">
        <f t="shared" si="21"/>
        <v>0-30</v>
      </c>
      <c r="P189" s="101" t="str">
        <f t="shared" si="17"/>
        <v>High</v>
      </c>
    </row>
    <row r="190" spans="4:16" x14ac:dyDescent="0.3">
      <c r="D190" s="99" t="s">
        <v>2120</v>
      </c>
      <c r="E190" s="100">
        <v>46013</v>
      </c>
      <c r="F190" s="100" t="str">
        <f t="shared" si="18"/>
        <v/>
      </c>
      <c r="G190" s="101" t="str">
        <f t="shared" si="19"/>
        <v/>
      </c>
      <c r="H190" s="102" t="str">
        <f t="shared" si="16"/>
        <v/>
      </c>
      <c r="K190" s="99" t="s">
        <v>2220</v>
      </c>
      <c r="L190" s="102">
        <f t="shared" si="20"/>
        <v>0</v>
      </c>
      <c r="M190" s="100">
        <v>45798</v>
      </c>
      <c r="N190" s="101">
        <v>225</v>
      </c>
      <c r="O190" s="101" t="str">
        <f t="shared" si="21"/>
        <v>90+</v>
      </c>
      <c r="P190" s="101" t="str">
        <f t="shared" si="17"/>
        <v>Low</v>
      </c>
    </row>
    <row r="191" spans="4:16" x14ac:dyDescent="0.3">
      <c r="D191" s="99" t="s">
        <v>2121</v>
      </c>
      <c r="E191" s="100">
        <v>45861</v>
      </c>
      <c r="F191" s="100" t="str">
        <f t="shared" si="18"/>
        <v/>
      </c>
      <c r="G191" s="101" t="str">
        <f t="shared" si="19"/>
        <v/>
      </c>
      <c r="H191" s="102" t="str">
        <f t="shared" si="16"/>
        <v/>
      </c>
      <c r="K191" s="99" t="s">
        <v>2221</v>
      </c>
      <c r="L191" s="102">
        <f t="shared" si="20"/>
        <v>0</v>
      </c>
      <c r="M191" s="100">
        <v>45917</v>
      </c>
      <c r="N191" s="101">
        <v>106</v>
      </c>
      <c r="O191" s="101" t="str">
        <f t="shared" si="21"/>
        <v>90+</v>
      </c>
      <c r="P191" s="101" t="str">
        <f t="shared" si="17"/>
        <v>Low</v>
      </c>
    </row>
    <row r="192" spans="4:16" x14ac:dyDescent="0.3">
      <c r="D192" s="99" t="s">
        <v>2122</v>
      </c>
      <c r="E192" s="100">
        <v>45854</v>
      </c>
      <c r="F192" s="100">
        <f t="shared" si="18"/>
        <v>45987</v>
      </c>
      <c r="G192" s="101">
        <f t="shared" si="19"/>
        <v>133</v>
      </c>
      <c r="H192" s="102">
        <f t="shared" si="16"/>
        <v>0</v>
      </c>
      <c r="K192" s="99" t="s">
        <v>2222</v>
      </c>
      <c r="L192" s="102">
        <f t="shared" si="20"/>
        <v>0</v>
      </c>
      <c r="M192" s="100">
        <v>46021</v>
      </c>
      <c r="N192" s="101">
        <v>2</v>
      </c>
      <c r="O192" s="101" t="str">
        <f t="shared" si="21"/>
        <v>0-30</v>
      </c>
      <c r="P192" s="101" t="str">
        <f t="shared" si="17"/>
        <v>High</v>
      </c>
    </row>
    <row r="193" spans="4:16" x14ac:dyDescent="0.3">
      <c r="D193" s="99" t="s">
        <v>2122</v>
      </c>
      <c r="E193" s="100">
        <v>45987</v>
      </c>
      <c r="F193" s="100">
        <f t="shared" si="18"/>
        <v>46003</v>
      </c>
      <c r="G193" s="101">
        <f t="shared" si="19"/>
        <v>16</v>
      </c>
      <c r="H193" s="102">
        <f t="shared" si="16"/>
        <v>1</v>
      </c>
      <c r="K193" s="99" t="s">
        <v>2223</v>
      </c>
      <c r="L193" s="102">
        <f t="shared" si="20"/>
        <v>0</v>
      </c>
      <c r="M193" s="100">
        <v>45982</v>
      </c>
      <c r="N193" s="101">
        <v>41</v>
      </c>
      <c r="O193" s="101" t="str">
        <f t="shared" si="21"/>
        <v>31-60</v>
      </c>
      <c r="P193" s="101" t="str">
        <f t="shared" si="17"/>
        <v>High</v>
      </c>
    </row>
    <row r="194" spans="4:16" x14ac:dyDescent="0.3">
      <c r="D194" s="99" t="s">
        <v>2122</v>
      </c>
      <c r="E194" s="100">
        <v>46003</v>
      </c>
      <c r="F194" s="100">
        <f t="shared" si="18"/>
        <v>46010</v>
      </c>
      <c r="G194" s="101">
        <f t="shared" si="19"/>
        <v>7</v>
      </c>
      <c r="H194" s="102">
        <f t="shared" si="16"/>
        <v>1</v>
      </c>
      <c r="K194" s="99" t="s">
        <v>2224</v>
      </c>
      <c r="L194" s="102">
        <f t="shared" si="20"/>
        <v>0</v>
      </c>
      <c r="M194" s="100">
        <v>45918</v>
      </c>
      <c r="N194" s="101">
        <v>105</v>
      </c>
      <c r="O194" s="101" t="str">
        <f t="shared" si="21"/>
        <v>90+</v>
      </c>
      <c r="P194" s="101" t="str">
        <f t="shared" si="17"/>
        <v>Low</v>
      </c>
    </row>
    <row r="195" spans="4:16" x14ac:dyDescent="0.3">
      <c r="D195" s="99" t="s">
        <v>2122</v>
      </c>
      <c r="E195" s="100">
        <v>46010</v>
      </c>
      <c r="F195" s="100" t="str">
        <f t="shared" si="18"/>
        <v/>
      </c>
      <c r="G195" s="101" t="str">
        <f t="shared" si="19"/>
        <v/>
      </c>
      <c r="H195" s="102" t="str">
        <f t="shared" si="16"/>
        <v/>
      </c>
      <c r="K195" s="99" t="s">
        <v>2225</v>
      </c>
      <c r="L195" s="102">
        <f t="shared" si="20"/>
        <v>0</v>
      </c>
      <c r="M195" s="100">
        <v>45943</v>
      </c>
      <c r="N195" s="101">
        <v>80</v>
      </c>
      <c r="O195" s="101" t="str">
        <f t="shared" si="21"/>
        <v>61-90</v>
      </c>
      <c r="P195" s="101" t="str">
        <f t="shared" si="17"/>
        <v>Low</v>
      </c>
    </row>
    <row r="196" spans="4:16" x14ac:dyDescent="0.3">
      <c r="D196" s="99" t="s">
        <v>2123</v>
      </c>
      <c r="E196" s="100">
        <v>45884</v>
      </c>
      <c r="F196" s="100" t="str">
        <f t="shared" si="18"/>
        <v/>
      </c>
      <c r="G196" s="101" t="str">
        <f t="shared" si="19"/>
        <v/>
      </c>
      <c r="H196" s="102" t="str">
        <f t="shared" si="16"/>
        <v/>
      </c>
      <c r="K196" s="99" t="s">
        <v>2226</v>
      </c>
      <c r="L196" s="102">
        <f t="shared" si="20"/>
        <v>0</v>
      </c>
      <c r="M196" s="100">
        <v>45974</v>
      </c>
      <c r="N196" s="101">
        <v>49</v>
      </c>
      <c r="O196" s="101" t="str">
        <f t="shared" si="21"/>
        <v>31-60</v>
      </c>
      <c r="P196" s="101" t="str">
        <f t="shared" si="17"/>
        <v>High</v>
      </c>
    </row>
    <row r="197" spans="4:16" x14ac:dyDescent="0.3">
      <c r="D197" s="99" t="s">
        <v>2124</v>
      </c>
      <c r="E197" s="100">
        <v>45721</v>
      </c>
      <c r="F197" s="100">
        <f t="shared" si="18"/>
        <v>45938</v>
      </c>
      <c r="G197" s="101">
        <f t="shared" si="19"/>
        <v>217</v>
      </c>
      <c r="H197" s="102">
        <f t="shared" si="16"/>
        <v>0</v>
      </c>
      <c r="K197" s="99" t="s">
        <v>2227</v>
      </c>
      <c r="L197" s="102">
        <f t="shared" si="20"/>
        <v>0</v>
      </c>
      <c r="M197" s="100">
        <v>45789</v>
      </c>
      <c r="N197" s="101">
        <v>234</v>
      </c>
      <c r="O197" s="101" t="str">
        <f t="shared" si="21"/>
        <v>90+</v>
      </c>
      <c r="P197" s="101" t="str">
        <f t="shared" si="17"/>
        <v>Low</v>
      </c>
    </row>
    <row r="198" spans="4:16" x14ac:dyDescent="0.3">
      <c r="D198" s="99" t="s">
        <v>2124</v>
      </c>
      <c r="E198" s="100">
        <v>45938</v>
      </c>
      <c r="F198" s="100" t="str">
        <f t="shared" si="18"/>
        <v/>
      </c>
      <c r="G198" s="101" t="str">
        <f t="shared" si="19"/>
        <v/>
      </c>
      <c r="H198" s="102" t="str">
        <f t="shared" si="16"/>
        <v/>
      </c>
      <c r="K198" s="99" t="s">
        <v>2228</v>
      </c>
      <c r="L198" s="102">
        <f t="shared" si="20"/>
        <v>0</v>
      </c>
      <c r="M198" s="100">
        <v>45833</v>
      </c>
      <c r="N198" s="101">
        <v>190</v>
      </c>
      <c r="O198" s="101" t="str">
        <f t="shared" si="21"/>
        <v>90+</v>
      </c>
      <c r="P198" s="101" t="str">
        <f t="shared" si="17"/>
        <v>Low</v>
      </c>
    </row>
    <row r="199" spans="4:16" x14ac:dyDescent="0.3">
      <c r="D199" s="99" t="s">
        <v>2125</v>
      </c>
      <c r="E199" s="100">
        <v>45665</v>
      </c>
      <c r="F199" s="100">
        <f t="shared" si="18"/>
        <v>45912</v>
      </c>
      <c r="G199" s="101">
        <f t="shared" si="19"/>
        <v>247</v>
      </c>
      <c r="H199" s="102">
        <f t="shared" ref="H199:H262" si="22">IF(G199="","",IF(G199&lt;=return_window,1,0))</f>
        <v>0</v>
      </c>
      <c r="K199" s="99" t="s">
        <v>2229</v>
      </c>
      <c r="L199" s="102">
        <f t="shared" si="20"/>
        <v>0</v>
      </c>
      <c r="M199" s="100">
        <v>45868</v>
      </c>
      <c r="N199" s="101">
        <v>155</v>
      </c>
      <c r="O199" s="101" t="str">
        <f t="shared" si="21"/>
        <v>90+</v>
      </c>
      <c r="P199" s="101" t="str">
        <f t="shared" ref="P199:P262" si="23">IF(N199&lt;=recency_threshold,"High","Low")</f>
        <v>Low</v>
      </c>
    </row>
    <row r="200" spans="4:16" x14ac:dyDescent="0.3">
      <c r="D200" s="99" t="s">
        <v>2125</v>
      </c>
      <c r="E200" s="100">
        <v>45912</v>
      </c>
      <c r="F200" s="100">
        <f t="shared" ref="F200:F263" si="24">IF(D200=D201,E201,"")</f>
        <v>45987</v>
      </c>
      <c r="G200" s="101">
        <f t="shared" ref="G200:G263" si="25">IF(F200="","",F200-E200)</f>
        <v>75</v>
      </c>
      <c r="H200" s="102">
        <f t="shared" si="22"/>
        <v>0</v>
      </c>
      <c r="K200" s="99" t="s">
        <v>2230</v>
      </c>
      <c r="L200" s="102">
        <f t="shared" ref="L200:L263" si="26">IF(SUMIFS($H$6:$H$2006,$D$6:$D$2006,K200),1,0)</f>
        <v>0</v>
      </c>
      <c r="M200" s="100">
        <v>45980</v>
      </c>
      <c r="N200" s="101">
        <v>43</v>
      </c>
      <c r="O200" s="101" t="str">
        <f t="shared" ref="O200:O263" si="27">VLOOKUP(N200,$A$15:$B$19,2,TRUE)</f>
        <v>31-60</v>
      </c>
      <c r="P200" s="101" t="str">
        <f t="shared" si="23"/>
        <v>High</v>
      </c>
    </row>
    <row r="201" spans="4:16" x14ac:dyDescent="0.3">
      <c r="D201" s="99" t="s">
        <v>2125</v>
      </c>
      <c r="E201" s="100">
        <v>45987</v>
      </c>
      <c r="F201" s="100" t="str">
        <f t="shared" si="24"/>
        <v/>
      </c>
      <c r="G201" s="101" t="str">
        <f t="shared" si="25"/>
        <v/>
      </c>
      <c r="H201" s="102" t="str">
        <f t="shared" si="22"/>
        <v/>
      </c>
      <c r="K201" s="99" t="s">
        <v>2231</v>
      </c>
      <c r="L201" s="102">
        <f t="shared" si="26"/>
        <v>0</v>
      </c>
      <c r="M201" s="100">
        <v>45951</v>
      </c>
      <c r="N201" s="101">
        <v>72</v>
      </c>
      <c r="O201" s="101" t="str">
        <f t="shared" si="27"/>
        <v>61-90</v>
      </c>
      <c r="P201" s="101" t="str">
        <f t="shared" si="23"/>
        <v>Low</v>
      </c>
    </row>
    <row r="202" spans="4:16" x14ac:dyDescent="0.3">
      <c r="D202" s="99" t="s">
        <v>2126</v>
      </c>
      <c r="E202" s="100">
        <v>45744</v>
      </c>
      <c r="F202" s="100">
        <f t="shared" si="24"/>
        <v>46016</v>
      </c>
      <c r="G202" s="101">
        <f t="shared" si="25"/>
        <v>272</v>
      </c>
      <c r="H202" s="102">
        <f t="shared" si="22"/>
        <v>0</v>
      </c>
      <c r="K202" s="99" t="s">
        <v>2232</v>
      </c>
      <c r="L202" s="102">
        <f t="shared" si="26"/>
        <v>0</v>
      </c>
      <c r="M202" s="100">
        <v>45999</v>
      </c>
      <c r="N202" s="101">
        <v>24</v>
      </c>
      <c r="O202" s="101" t="str">
        <f t="shared" si="27"/>
        <v>0-30</v>
      </c>
      <c r="P202" s="101" t="str">
        <f t="shared" si="23"/>
        <v>High</v>
      </c>
    </row>
    <row r="203" spans="4:16" x14ac:dyDescent="0.3">
      <c r="D203" s="99" t="s">
        <v>2126</v>
      </c>
      <c r="E203" s="100">
        <v>46016</v>
      </c>
      <c r="F203" s="100" t="str">
        <f t="shared" si="24"/>
        <v/>
      </c>
      <c r="G203" s="101" t="str">
        <f t="shared" si="25"/>
        <v/>
      </c>
      <c r="H203" s="102" t="str">
        <f t="shared" si="22"/>
        <v/>
      </c>
      <c r="K203" s="99" t="s">
        <v>2233</v>
      </c>
      <c r="L203" s="102">
        <f t="shared" si="26"/>
        <v>1</v>
      </c>
      <c r="M203" s="100">
        <v>45987</v>
      </c>
      <c r="N203" s="101">
        <v>36</v>
      </c>
      <c r="O203" s="101" t="str">
        <f t="shared" si="27"/>
        <v>31-60</v>
      </c>
      <c r="P203" s="101" t="str">
        <f t="shared" si="23"/>
        <v>High</v>
      </c>
    </row>
    <row r="204" spans="4:16" x14ac:dyDescent="0.3">
      <c r="D204" s="99" t="s">
        <v>2127</v>
      </c>
      <c r="E204" s="100">
        <v>45769</v>
      </c>
      <c r="F204" s="100">
        <f t="shared" si="24"/>
        <v>45789</v>
      </c>
      <c r="G204" s="101">
        <f t="shared" si="25"/>
        <v>20</v>
      </c>
      <c r="H204" s="102">
        <f t="shared" si="22"/>
        <v>1</v>
      </c>
      <c r="K204" s="99" t="s">
        <v>2234</v>
      </c>
      <c r="L204" s="102">
        <f t="shared" si="26"/>
        <v>0</v>
      </c>
      <c r="M204" s="100">
        <v>45790</v>
      </c>
      <c r="N204" s="101">
        <v>233</v>
      </c>
      <c r="O204" s="101" t="str">
        <f t="shared" si="27"/>
        <v>90+</v>
      </c>
      <c r="P204" s="101" t="str">
        <f t="shared" si="23"/>
        <v>Low</v>
      </c>
    </row>
    <row r="205" spans="4:16" x14ac:dyDescent="0.3">
      <c r="D205" s="99" t="s">
        <v>2127</v>
      </c>
      <c r="E205" s="100">
        <v>45789</v>
      </c>
      <c r="F205" s="100">
        <f t="shared" si="24"/>
        <v>45924</v>
      </c>
      <c r="G205" s="101">
        <f t="shared" si="25"/>
        <v>135</v>
      </c>
      <c r="H205" s="102">
        <f t="shared" si="22"/>
        <v>0</v>
      </c>
      <c r="K205" s="99" t="s">
        <v>2235</v>
      </c>
      <c r="L205" s="102">
        <f t="shared" si="26"/>
        <v>0</v>
      </c>
      <c r="M205" s="100">
        <v>45909</v>
      </c>
      <c r="N205" s="101">
        <v>114</v>
      </c>
      <c r="O205" s="101" t="str">
        <f t="shared" si="27"/>
        <v>90+</v>
      </c>
      <c r="P205" s="101" t="str">
        <f t="shared" si="23"/>
        <v>Low</v>
      </c>
    </row>
    <row r="206" spans="4:16" x14ac:dyDescent="0.3">
      <c r="D206" s="99" t="s">
        <v>2127</v>
      </c>
      <c r="E206" s="100">
        <v>45924</v>
      </c>
      <c r="F206" s="100" t="str">
        <f t="shared" si="24"/>
        <v/>
      </c>
      <c r="G206" s="101" t="str">
        <f t="shared" si="25"/>
        <v/>
      </c>
      <c r="H206" s="102" t="str">
        <f t="shared" si="22"/>
        <v/>
      </c>
      <c r="K206" s="99" t="s">
        <v>2236</v>
      </c>
      <c r="L206" s="102">
        <f t="shared" si="26"/>
        <v>1</v>
      </c>
      <c r="M206" s="100">
        <v>45987</v>
      </c>
      <c r="N206" s="101">
        <v>36</v>
      </c>
      <c r="O206" s="101" t="str">
        <f t="shared" si="27"/>
        <v>31-60</v>
      </c>
      <c r="P206" s="101" t="str">
        <f t="shared" si="23"/>
        <v>High</v>
      </c>
    </row>
    <row r="207" spans="4:16" x14ac:dyDescent="0.3">
      <c r="D207" s="99" t="s">
        <v>2128</v>
      </c>
      <c r="E207" s="100">
        <v>45694</v>
      </c>
      <c r="F207" s="100">
        <f t="shared" si="24"/>
        <v>45762</v>
      </c>
      <c r="G207" s="101">
        <f t="shared" si="25"/>
        <v>68</v>
      </c>
      <c r="H207" s="102">
        <f t="shared" si="22"/>
        <v>0</v>
      </c>
      <c r="K207" s="99" t="s">
        <v>2237</v>
      </c>
      <c r="L207" s="102">
        <f t="shared" si="26"/>
        <v>0</v>
      </c>
      <c r="M207" s="100">
        <v>45974</v>
      </c>
      <c r="N207" s="101">
        <v>49</v>
      </c>
      <c r="O207" s="101" t="str">
        <f t="shared" si="27"/>
        <v>31-60</v>
      </c>
      <c r="P207" s="101" t="str">
        <f t="shared" si="23"/>
        <v>High</v>
      </c>
    </row>
    <row r="208" spans="4:16" x14ac:dyDescent="0.3">
      <c r="D208" s="99" t="s">
        <v>2128</v>
      </c>
      <c r="E208" s="100">
        <v>45762</v>
      </c>
      <c r="F208" s="100">
        <f t="shared" si="24"/>
        <v>45852</v>
      </c>
      <c r="G208" s="101">
        <f t="shared" si="25"/>
        <v>90</v>
      </c>
      <c r="H208" s="102">
        <f t="shared" si="22"/>
        <v>0</v>
      </c>
      <c r="K208" s="99" t="s">
        <v>2238</v>
      </c>
      <c r="L208" s="102">
        <f t="shared" si="26"/>
        <v>0</v>
      </c>
      <c r="M208" s="100">
        <v>45663</v>
      </c>
      <c r="N208" s="101">
        <v>360</v>
      </c>
      <c r="O208" s="101" t="str">
        <f t="shared" si="27"/>
        <v>90+</v>
      </c>
      <c r="P208" s="101" t="str">
        <f t="shared" si="23"/>
        <v>Low</v>
      </c>
    </row>
    <row r="209" spans="4:16" x14ac:dyDescent="0.3">
      <c r="D209" s="99" t="s">
        <v>2128</v>
      </c>
      <c r="E209" s="100">
        <v>45852</v>
      </c>
      <c r="F209" s="100">
        <f t="shared" si="24"/>
        <v>45926</v>
      </c>
      <c r="G209" s="101">
        <f t="shared" si="25"/>
        <v>74</v>
      </c>
      <c r="H209" s="102">
        <f t="shared" si="22"/>
        <v>0</v>
      </c>
      <c r="K209" s="99" t="s">
        <v>2239</v>
      </c>
      <c r="L209" s="102">
        <f t="shared" si="26"/>
        <v>1</v>
      </c>
      <c r="M209" s="100">
        <v>45952</v>
      </c>
      <c r="N209" s="101">
        <v>71</v>
      </c>
      <c r="O209" s="101" t="str">
        <f t="shared" si="27"/>
        <v>61-90</v>
      </c>
      <c r="P209" s="101" t="str">
        <f t="shared" si="23"/>
        <v>Low</v>
      </c>
    </row>
    <row r="210" spans="4:16" x14ac:dyDescent="0.3">
      <c r="D210" s="99" t="s">
        <v>2128</v>
      </c>
      <c r="E210" s="100">
        <v>45926</v>
      </c>
      <c r="F210" s="100">
        <f t="shared" si="24"/>
        <v>46016</v>
      </c>
      <c r="G210" s="101">
        <f t="shared" si="25"/>
        <v>90</v>
      </c>
      <c r="H210" s="102">
        <f t="shared" si="22"/>
        <v>0</v>
      </c>
      <c r="K210" s="99" t="s">
        <v>2240</v>
      </c>
      <c r="L210" s="102">
        <f t="shared" si="26"/>
        <v>0</v>
      </c>
      <c r="M210" s="100">
        <v>45831</v>
      </c>
      <c r="N210" s="101">
        <v>192</v>
      </c>
      <c r="O210" s="101" t="str">
        <f t="shared" si="27"/>
        <v>90+</v>
      </c>
      <c r="P210" s="101" t="str">
        <f t="shared" si="23"/>
        <v>Low</v>
      </c>
    </row>
    <row r="211" spans="4:16" x14ac:dyDescent="0.3">
      <c r="D211" s="99" t="s">
        <v>2128</v>
      </c>
      <c r="E211" s="100">
        <v>46016</v>
      </c>
      <c r="F211" s="100" t="str">
        <f t="shared" si="24"/>
        <v/>
      </c>
      <c r="G211" s="101" t="str">
        <f t="shared" si="25"/>
        <v/>
      </c>
      <c r="H211" s="102" t="str">
        <f t="shared" si="22"/>
        <v/>
      </c>
      <c r="K211" s="99" t="s">
        <v>2241</v>
      </c>
      <c r="L211" s="102">
        <f t="shared" si="26"/>
        <v>0</v>
      </c>
      <c r="M211" s="100">
        <v>45910</v>
      </c>
      <c r="N211" s="101">
        <v>113</v>
      </c>
      <c r="O211" s="101" t="str">
        <f t="shared" si="27"/>
        <v>90+</v>
      </c>
      <c r="P211" s="101" t="str">
        <f t="shared" si="23"/>
        <v>Low</v>
      </c>
    </row>
    <row r="212" spans="4:16" x14ac:dyDescent="0.3">
      <c r="D212" s="99" t="s">
        <v>2129</v>
      </c>
      <c r="E212" s="100">
        <v>45693</v>
      </c>
      <c r="F212" s="100">
        <f t="shared" si="24"/>
        <v>45741</v>
      </c>
      <c r="G212" s="101">
        <f t="shared" si="25"/>
        <v>48</v>
      </c>
      <c r="H212" s="102">
        <f t="shared" si="22"/>
        <v>0</v>
      </c>
      <c r="K212" s="99" t="s">
        <v>2242</v>
      </c>
      <c r="L212" s="102">
        <f t="shared" si="26"/>
        <v>0</v>
      </c>
      <c r="M212" s="100">
        <v>45910</v>
      </c>
      <c r="N212" s="101">
        <v>113</v>
      </c>
      <c r="O212" s="101" t="str">
        <f t="shared" si="27"/>
        <v>90+</v>
      </c>
      <c r="P212" s="101" t="str">
        <f t="shared" si="23"/>
        <v>Low</v>
      </c>
    </row>
    <row r="213" spans="4:16" x14ac:dyDescent="0.3">
      <c r="D213" s="99" t="s">
        <v>2129</v>
      </c>
      <c r="E213" s="100">
        <v>45741</v>
      </c>
      <c r="F213" s="100">
        <f t="shared" si="24"/>
        <v>45813</v>
      </c>
      <c r="G213" s="101">
        <f t="shared" si="25"/>
        <v>72</v>
      </c>
      <c r="H213" s="102">
        <f t="shared" si="22"/>
        <v>0</v>
      </c>
      <c r="K213" s="99" t="s">
        <v>2243</v>
      </c>
      <c r="L213" s="102">
        <f t="shared" si="26"/>
        <v>1</v>
      </c>
      <c r="M213" s="100">
        <v>45999</v>
      </c>
      <c r="N213" s="101">
        <v>24</v>
      </c>
      <c r="O213" s="101" t="str">
        <f t="shared" si="27"/>
        <v>0-30</v>
      </c>
      <c r="P213" s="101" t="str">
        <f t="shared" si="23"/>
        <v>High</v>
      </c>
    </row>
    <row r="214" spans="4:16" x14ac:dyDescent="0.3">
      <c r="D214" s="99" t="s">
        <v>2129</v>
      </c>
      <c r="E214" s="100">
        <v>45813</v>
      </c>
      <c r="F214" s="100">
        <f t="shared" si="24"/>
        <v>45924</v>
      </c>
      <c r="G214" s="101">
        <f t="shared" si="25"/>
        <v>111</v>
      </c>
      <c r="H214" s="102">
        <f t="shared" si="22"/>
        <v>0</v>
      </c>
      <c r="K214" s="99" t="s">
        <v>2244</v>
      </c>
      <c r="L214" s="102">
        <f t="shared" si="26"/>
        <v>0</v>
      </c>
      <c r="M214" s="100">
        <v>45889</v>
      </c>
      <c r="N214" s="101">
        <v>134</v>
      </c>
      <c r="O214" s="101" t="str">
        <f t="shared" si="27"/>
        <v>90+</v>
      </c>
      <c r="P214" s="101" t="str">
        <f t="shared" si="23"/>
        <v>Low</v>
      </c>
    </row>
    <row r="215" spans="4:16" x14ac:dyDescent="0.3">
      <c r="D215" s="99" t="s">
        <v>2129</v>
      </c>
      <c r="E215" s="100">
        <v>45924</v>
      </c>
      <c r="F215" s="100">
        <f t="shared" si="24"/>
        <v>45943</v>
      </c>
      <c r="G215" s="101">
        <f t="shared" si="25"/>
        <v>19</v>
      </c>
      <c r="H215" s="102">
        <f t="shared" si="22"/>
        <v>1</v>
      </c>
      <c r="K215" s="99" t="s">
        <v>2245</v>
      </c>
      <c r="L215" s="102">
        <f t="shared" si="26"/>
        <v>1</v>
      </c>
      <c r="M215" s="100">
        <v>46010</v>
      </c>
      <c r="N215" s="101">
        <v>13</v>
      </c>
      <c r="O215" s="101" t="str">
        <f t="shared" si="27"/>
        <v>0-30</v>
      </c>
      <c r="P215" s="101" t="str">
        <f t="shared" si="23"/>
        <v>High</v>
      </c>
    </row>
    <row r="216" spans="4:16" x14ac:dyDescent="0.3">
      <c r="D216" s="99" t="s">
        <v>2129</v>
      </c>
      <c r="E216" s="100">
        <v>45943</v>
      </c>
      <c r="F216" s="100">
        <f t="shared" si="24"/>
        <v>46003</v>
      </c>
      <c r="G216" s="101">
        <f t="shared" si="25"/>
        <v>60</v>
      </c>
      <c r="H216" s="102">
        <f t="shared" si="22"/>
        <v>0</v>
      </c>
      <c r="K216" s="99" t="s">
        <v>2246</v>
      </c>
      <c r="L216" s="102">
        <f t="shared" si="26"/>
        <v>0</v>
      </c>
      <c r="M216" s="100">
        <v>45862</v>
      </c>
      <c r="N216" s="101">
        <v>161</v>
      </c>
      <c r="O216" s="101" t="str">
        <f t="shared" si="27"/>
        <v>90+</v>
      </c>
      <c r="P216" s="101" t="str">
        <f t="shared" si="23"/>
        <v>Low</v>
      </c>
    </row>
    <row r="217" spans="4:16" x14ac:dyDescent="0.3">
      <c r="D217" s="99" t="s">
        <v>2129</v>
      </c>
      <c r="E217" s="100">
        <v>46003</v>
      </c>
      <c r="F217" s="100" t="str">
        <f t="shared" si="24"/>
        <v/>
      </c>
      <c r="G217" s="101" t="str">
        <f t="shared" si="25"/>
        <v/>
      </c>
      <c r="H217" s="102" t="str">
        <f t="shared" si="22"/>
        <v/>
      </c>
      <c r="K217" s="99" t="s">
        <v>2247</v>
      </c>
      <c r="L217" s="102">
        <f t="shared" si="26"/>
        <v>0</v>
      </c>
      <c r="M217" s="100">
        <v>46013</v>
      </c>
      <c r="N217" s="101">
        <v>10</v>
      </c>
      <c r="O217" s="101" t="str">
        <f t="shared" si="27"/>
        <v>0-30</v>
      </c>
      <c r="P217" s="101" t="str">
        <f t="shared" si="23"/>
        <v>High</v>
      </c>
    </row>
    <row r="218" spans="4:16" x14ac:dyDescent="0.3">
      <c r="D218" s="99" t="s">
        <v>2130</v>
      </c>
      <c r="E218" s="100">
        <v>45894</v>
      </c>
      <c r="F218" s="100" t="str">
        <f t="shared" si="24"/>
        <v/>
      </c>
      <c r="G218" s="101" t="str">
        <f t="shared" si="25"/>
        <v/>
      </c>
      <c r="H218" s="102" t="str">
        <f t="shared" si="22"/>
        <v/>
      </c>
      <c r="K218" s="99" t="s">
        <v>2248</v>
      </c>
      <c r="L218" s="102">
        <f t="shared" si="26"/>
        <v>1</v>
      </c>
      <c r="M218" s="100">
        <v>45950</v>
      </c>
      <c r="N218" s="101">
        <v>73</v>
      </c>
      <c r="O218" s="101" t="str">
        <f t="shared" si="27"/>
        <v>61-90</v>
      </c>
      <c r="P218" s="101" t="str">
        <f t="shared" si="23"/>
        <v>Low</v>
      </c>
    </row>
    <row r="219" spans="4:16" x14ac:dyDescent="0.3">
      <c r="D219" s="99" t="s">
        <v>2131</v>
      </c>
      <c r="E219" s="100">
        <v>45847</v>
      </c>
      <c r="F219" s="100">
        <f t="shared" si="24"/>
        <v>45849</v>
      </c>
      <c r="G219" s="101">
        <f t="shared" si="25"/>
        <v>2</v>
      </c>
      <c r="H219" s="102">
        <f t="shared" si="22"/>
        <v>1</v>
      </c>
      <c r="K219" s="99" t="s">
        <v>2249</v>
      </c>
      <c r="L219" s="102">
        <f t="shared" si="26"/>
        <v>1</v>
      </c>
      <c r="M219" s="100">
        <v>45939</v>
      </c>
      <c r="N219" s="101">
        <v>84</v>
      </c>
      <c r="O219" s="101" t="str">
        <f t="shared" si="27"/>
        <v>61-90</v>
      </c>
      <c r="P219" s="101" t="str">
        <f t="shared" si="23"/>
        <v>Low</v>
      </c>
    </row>
    <row r="220" spans="4:16" x14ac:dyDescent="0.3">
      <c r="D220" s="99" t="s">
        <v>2131</v>
      </c>
      <c r="E220" s="100">
        <v>45849</v>
      </c>
      <c r="F220" s="100">
        <f t="shared" si="24"/>
        <v>45968</v>
      </c>
      <c r="G220" s="101">
        <f t="shared" si="25"/>
        <v>119</v>
      </c>
      <c r="H220" s="102">
        <f t="shared" si="22"/>
        <v>0</v>
      </c>
      <c r="K220" s="99" t="s">
        <v>2250</v>
      </c>
      <c r="L220" s="102">
        <f t="shared" si="26"/>
        <v>1</v>
      </c>
      <c r="M220" s="100">
        <v>46017</v>
      </c>
      <c r="N220" s="101">
        <v>6</v>
      </c>
      <c r="O220" s="101" t="str">
        <f t="shared" si="27"/>
        <v>0-30</v>
      </c>
      <c r="P220" s="101" t="str">
        <f t="shared" si="23"/>
        <v>High</v>
      </c>
    </row>
    <row r="221" spans="4:16" x14ac:dyDescent="0.3">
      <c r="D221" s="99" t="s">
        <v>2131</v>
      </c>
      <c r="E221" s="100">
        <v>45968</v>
      </c>
      <c r="F221" s="100" t="str">
        <f t="shared" si="24"/>
        <v/>
      </c>
      <c r="G221" s="101" t="str">
        <f t="shared" si="25"/>
        <v/>
      </c>
      <c r="H221" s="102" t="str">
        <f t="shared" si="22"/>
        <v/>
      </c>
      <c r="K221" s="99" t="s">
        <v>2251</v>
      </c>
      <c r="L221" s="102">
        <f t="shared" si="26"/>
        <v>1</v>
      </c>
      <c r="M221" s="100">
        <v>45838</v>
      </c>
      <c r="N221" s="101">
        <v>185</v>
      </c>
      <c r="O221" s="101" t="str">
        <f t="shared" si="27"/>
        <v>90+</v>
      </c>
      <c r="P221" s="101" t="str">
        <f t="shared" si="23"/>
        <v>Low</v>
      </c>
    </row>
    <row r="222" spans="4:16" x14ac:dyDescent="0.3">
      <c r="D222" s="99" t="s">
        <v>2132</v>
      </c>
      <c r="E222" s="100">
        <v>45960</v>
      </c>
      <c r="F222" s="100" t="str">
        <f t="shared" si="24"/>
        <v/>
      </c>
      <c r="G222" s="101" t="str">
        <f t="shared" si="25"/>
        <v/>
      </c>
      <c r="H222" s="102" t="str">
        <f t="shared" si="22"/>
        <v/>
      </c>
      <c r="K222" s="99" t="s">
        <v>2252</v>
      </c>
      <c r="L222" s="102">
        <f t="shared" si="26"/>
        <v>1</v>
      </c>
      <c r="M222" s="100">
        <v>45840</v>
      </c>
      <c r="N222" s="101">
        <v>183</v>
      </c>
      <c r="O222" s="101" t="str">
        <f t="shared" si="27"/>
        <v>90+</v>
      </c>
      <c r="P222" s="101" t="str">
        <f t="shared" si="23"/>
        <v>Low</v>
      </c>
    </row>
    <row r="223" spans="4:16" x14ac:dyDescent="0.3">
      <c r="D223" s="99" t="s">
        <v>2133</v>
      </c>
      <c r="E223" s="100">
        <v>45741</v>
      </c>
      <c r="F223" s="100">
        <f t="shared" si="24"/>
        <v>45748</v>
      </c>
      <c r="G223" s="101">
        <f t="shared" si="25"/>
        <v>7</v>
      </c>
      <c r="H223" s="102">
        <f t="shared" si="22"/>
        <v>1</v>
      </c>
      <c r="K223" s="99" t="s">
        <v>2253</v>
      </c>
      <c r="L223" s="102">
        <f t="shared" si="26"/>
        <v>0</v>
      </c>
      <c r="M223" s="100">
        <v>45937</v>
      </c>
      <c r="N223" s="101">
        <v>86</v>
      </c>
      <c r="O223" s="101" t="str">
        <f t="shared" si="27"/>
        <v>61-90</v>
      </c>
      <c r="P223" s="101" t="str">
        <f t="shared" si="23"/>
        <v>Low</v>
      </c>
    </row>
    <row r="224" spans="4:16" x14ac:dyDescent="0.3">
      <c r="D224" s="99" t="s">
        <v>2133</v>
      </c>
      <c r="E224" s="100">
        <v>45748</v>
      </c>
      <c r="F224" s="100">
        <f t="shared" si="24"/>
        <v>45894</v>
      </c>
      <c r="G224" s="101">
        <f t="shared" si="25"/>
        <v>146</v>
      </c>
      <c r="H224" s="102">
        <f t="shared" si="22"/>
        <v>0</v>
      </c>
      <c r="K224" s="99" t="s">
        <v>2254</v>
      </c>
      <c r="L224" s="102">
        <f t="shared" si="26"/>
        <v>0</v>
      </c>
      <c r="M224" s="100">
        <v>45805</v>
      </c>
      <c r="N224" s="101">
        <v>218</v>
      </c>
      <c r="O224" s="101" t="str">
        <f t="shared" si="27"/>
        <v>90+</v>
      </c>
      <c r="P224" s="101" t="str">
        <f t="shared" si="23"/>
        <v>Low</v>
      </c>
    </row>
    <row r="225" spans="4:16" x14ac:dyDescent="0.3">
      <c r="D225" s="99" t="s">
        <v>2133</v>
      </c>
      <c r="E225" s="100">
        <v>45894</v>
      </c>
      <c r="F225" s="100" t="str">
        <f t="shared" si="24"/>
        <v/>
      </c>
      <c r="G225" s="101" t="str">
        <f t="shared" si="25"/>
        <v/>
      </c>
      <c r="H225" s="102" t="str">
        <f t="shared" si="22"/>
        <v/>
      </c>
      <c r="K225" s="99" t="s">
        <v>2255</v>
      </c>
      <c r="L225" s="102">
        <f t="shared" si="26"/>
        <v>0</v>
      </c>
      <c r="M225" s="100">
        <v>45884</v>
      </c>
      <c r="N225" s="101">
        <v>139</v>
      </c>
      <c r="O225" s="101" t="str">
        <f t="shared" si="27"/>
        <v>90+</v>
      </c>
      <c r="P225" s="101" t="str">
        <f t="shared" si="23"/>
        <v>Low</v>
      </c>
    </row>
    <row r="226" spans="4:16" x14ac:dyDescent="0.3">
      <c r="D226" s="99" t="s">
        <v>2134</v>
      </c>
      <c r="E226" s="100">
        <v>45729</v>
      </c>
      <c r="F226" s="100">
        <f t="shared" si="24"/>
        <v>45943</v>
      </c>
      <c r="G226" s="101">
        <f t="shared" si="25"/>
        <v>214</v>
      </c>
      <c r="H226" s="102">
        <f t="shared" si="22"/>
        <v>0</v>
      </c>
      <c r="K226" s="99" t="s">
        <v>2256</v>
      </c>
      <c r="L226" s="102">
        <f t="shared" si="26"/>
        <v>0</v>
      </c>
      <c r="M226" s="100">
        <v>45782</v>
      </c>
      <c r="N226" s="101">
        <v>241</v>
      </c>
      <c r="O226" s="101" t="str">
        <f t="shared" si="27"/>
        <v>90+</v>
      </c>
      <c r="P226" s="101" t="str">
        <f t="shared" si="23"/>
        <v>Low</v>
      </c>
    </row>
    <row r="227" spans="4:16" x14ac:dyDescent="0.3">
      <c r="D227" s="99" t="s">
        <v>2134</v>
      </c>
      <c r="E227" s="100">
        <v>45943</v>
      </c>
      <c r="F227" s="100" t="str">
        <f t="shared" si="24"/>
        <v/>
      </c>
      <c r="G227" s="101" t="str">
        <f t="shared" si="25"/>
        <v/>
      </c>
      <c r="H227" s="102" t="str">
        <f t="shared" si="22"/>
        <v/>
      </c>
      <c r="K227" s="99" t="s">
        <v>2257</v>
      </c>
      <c r="L227" s="102">
        <f t="shared" si="26"/>
        <v>0</v>
      </c>
      <c r="M227" s="100">
        <v>45995</v>
      </c>
      <c r="N227" s="101">
        <v>28</v>
      </c>
      <c r="O227" s="101" t="str">
        <f t="shared" si="27"/>
        <v>0-30</v>
      </c>
      <c r="P227" s="101" t="str">
        <f t="shared" si="23"/>
        <v>High</v>
      </c>
    </row>
    <row r="228" spans="4:16" x14ac:dyDescent="0.3">
      <c r="D228" s="99" t="s">
        <v>2135</v>
      </c>
      <c r="E228" s="100">
        <v>45762</v>
      </c>
      <c r="F228" s="100">
        <f t="shared" si="24"/>
        <v>45769</v>
      </c>
      <c r="G228" s="101">
        <f t="shared" si="25"/>
        <v>7</v>
      </c>
      <c r="H228" s="102">
        <f t="shared" si="22"/>
        <v>1</v>
      </c>
      <c r="K228" s="99" t="s">
        <v>2258</v>
      </c>
      <c r="L228" s="102">
        <f t="shared" si="26"/>
        <v>0</v>
      </c>
      <c r="M228" s="100">
        <v>45862</v>
      </c>
      <c r="N228" s="101">
        <v>161</v>
      </c>
      <c r="O228" s="101" t="str">
        <f t="shared" si="27"/>
        <v>90+</v>
      </c>
      <c r="P228" s="101" t="str">
        <f t="shared" si="23"/>
        <v>Low</v>
      </c>
    </row>
    <row r="229" spans="4:16" x14ac:dyDescent="0.3">
      <c r="D229" s="99" t="s">
        <v>2135</v>
      </c>
      <c r="E229" s="100">
        <v>45769</v>
      </c>
      <c r="F229" s="100">
        <f t="shared" si="24"/>
        <v>45938</v>
      </c>
      <c r="G229" s="101">
        <f t="shared" si="25"/>
        <v>169</v>
      </c>
      <c r="H229" s="102">
        <f t="shared" si="22"/>
        <v>0</v>
      </c>
      <c r="K229" s="99" t="s">
        <v>2259</v>
      </c>
      <c r="L229" s="102">
        <f t="shared" si="26"/>
        <v>0</v>
      </c>
      <c r="M229" s="100">
        <v>45842</v>
      </c>
      <c r="N229" s="101">
        <v>181</v>
      </c>
      <c r="O229" s="101" t="str">
        <f t="shared" si="27"/>
        <v>90+</v>
      </c>
      <c r="P229" s="101" t="str">
        <f t="shared" si="23"/>
        <v>Low</v>
      </c>
    </row>
    <row r="230" spans="4:16" x14ac:dyDescent="0.3">
      <c r="D230" s="99" t="s">
        <v>2135</v>
      </c>
      <c r="E230" s="100">
        <v>45938</v>
      </c>
      <c r="F230" s="100" t="str">
        <f t="shared" si="24"/>
        <v/>
      </c>
      <c r="G230" s="101" t="str">
        <f t="shared" si="25"/>
        <v/>
      </c>
      <c r="H230" s="102" t="str">
        <f t="shared" si="22"/>
        <v/>
      </c>
      <c r="K230" s="99" t="s">
        <v>2260</v>
      </c>
      <c r="L230" s="102">
        <f t="shared" si="26"/>
        <v>1</v>
      </c>
      <c r="M230" s="100">
        <v>45965</v>
      </c>
      <c r="N230" s="101">
        <v>58</v>
      </c>
      <c r="O230" s="101" t="str">
        <f t="shared" si="27"/>
        <v>31-60</v>
      </c>
      <c r="P230" s="101" t="str">
        <f t="shared" si="23"/>
        <v>High</v>
      </c>
    </row>
    <row r="231" spans="4:16" x14ac:dyDescent="0.3">
      <c r="D231" s="99" t="s">
        <v>2136</v>
      </c>
      <c r="E231" s="100">
        <v>45789</v>
      </c>
      <c r="F231" s="100">
        <f t="shared" si="24"/>
        <v>45952</v>
      </c>
      <c r="G231" s="101">
        <f t="shared" si="25"/>
        <v>163</v>
      </c>
      <c r="H231" s="102">
        <f t="shared" si="22"/>
        <v>0</v>
      </c>
      <c r="K231" s="99" t="s">
        <v>2261</v>
      </c>
      <c r="L231" s="102">
        <f t="shared" si="26"/>
        <v>0</v>
      </c>
      <c r="M231" s="100">
        <v>45833</v>
      </c>
      <c r="N231" s="101">
        <v>190</v>
      </c>
      <c r="O231" s="101" t="str">
        <f t="shared" si="27"/>
        <v>90+</v>
      </c>
      <c r="P231" s="101" t="str">
        <f t="shared" si="23"/>
        <v>Low</v>
      </c>
    </row>
    <row r="232" spans="4:16" x14ac:dyDescent="0.3">
      <c r="D232" s="99" t="s">
        <v>2136</v>
      </c>
      <c r="E232" s="100">
        <v>45952</v>
      </c>
      <c r="F232" s="100" t="str">
        <f t="shared" si="24"/>
        <v/>
      </c>
      <c r="G232" s="101" t="str">
        <f t="shared" si="25"/>
        <v/>
      </c>
      <c r="H232" s="102" t="str">
        <f t="shared" si="22"/>
        <v/>
      </c>
      <c r="K232" s="99" t="s">
        <v>2262</v>
      </c>
      <c r="L232" s="102">
        <f t="shared" si="26"/>
        <v>0</v>
      </c>
      <c r="M232" s="100">
        <v>45747</v>
      </c>
      <c r="N232" s="101">
        <v>276</v>
      </c>
      <c r="O232" s="101" t="str">
        <f t="shared" si="27"/>
        <v>90+</v>
      </c>
      <c r="P232" s="101" t="str">
        <f t="shared" si="23"/>
        <v>Low</v>
      </c>
    </row>
    <row r="233" spans="4:16" x14ac:dyDescent="0.3">
      <c r="D233" s="99" t="s">
        <v>2137</v>
      </c>
      <c r="E233" s="100">
        <v>45771</v>
      </c>
      <c r="F233" s="100" t="str">
        <f t="shared" si="24"/>
        <v/>
      </c>
      <c r="G233" s="101" t="str">
        <f t="shared" si="25"/>
        <v/>
      </c>
      <c r="H233" s="102" t="str">
        <f t="shared" si="22"/>
        <v/>
      </c>
      <c r="K233" s="99" t="s">
        <v>2263</v>
      </c>
      <c r="L233" s="102">
        <f t="shared" si="26"/>
        <v>1</v>
      </c>
      <c r="M233" s="100">
        <v>46003</v>
      </c>
      <c r="N233" s="101">
        <v>20</v>
      </c>
      <c r="O233" s="101" t="str">
        <f t="shared" si="27"/>
        <v>0-30</v>
      </c>
      <c r="P233" s="101" t="str">
        <f t="shared" si="23"/>
        <v>High</v>
      </c>
    </row>
    <row r="234" spans="4:16" x14ac:dyDescent="0.3">
      <c r="D234" s="99" t="s">
        <v>2138</v>
      </c>
      <c r="E234" s="100">
        <v>45890</v>
      </c>
      <c r="F234" s="100" t="str">
        <f t="shared" si="24"/>
        <v/>
      </c>
      <c r="G234" s="101" t="str">
        <f t="shared" si="25"/>
        <v/>
      </c>
      <c r="H234" s="102" t="str">
        <f t="shared" si="22"/>
        <v/>
      </c>
      <c r="K234" s="99" t="s">
        <v>2264</v>
      </c>
      <c r="L234" s="102">
        <f t="shared" si="26"/>
        <v>0</v>
      </c>
      <c r="M234" s="100">
        <v>45862</v>
      </c>
      <c r="N234" s="101">
        <v>161</v>
      </c>
      <c r="O234" s="101" t="str">
        <f t="shared" si="27"/>
        <v>90+</v>
      </c>
      <c r="P234" s="101" t="str">
        <f t="shared" si="23"/>
        <v>Low</v>
      </c>
    </row>
    <row r="235" spans="4:16" x14ac:dyDescent="0.3">
      <c r="D235" s="99" t="s">
        <v>2139</v>
      </c>
      <c r="E235" s="100">
        <v>45881</v>
      </c>
      <c r="F235" s="100">
        <f t="shared" si="24"/>
        <v>45923</v>
      </c>
      <c r="G235" s="101">
        <f t="shared" si="25"/>
        <v>42</v>
      </c>
      <c r="H235" s="102">
        <f t="shared" si="22"/>
        <v>0</v>
      </c>
      <c r="K235" s="99" t="s">
        <v>2265</v>
      </c>
      <c r="L235" s="102">
        <f t="shared" si="26"/>
        <v>0</v>
      </c>
      <c r="M235" s="100">
        <v>45926</v>
      </c>
      <c r="N235" s="101">
        <v>97</v>
      </c>
      <c r="O235" s="101" t="str">
        <f t="shared" si="27"/>
        <v>90+</v>
      </c>
      <c r="P235" s="101" t="str">
        <f t="shared" si="23"/>
        <v>Low</v>
      </c>
    </row>
    <row r="236" spans="4:16" x14ac:dyDescent="0.3">
      <c r="D236" s="99" t="s">
        <v>2139</v>
      </c>
      <c r="E236" s="100">
        <v>45923</v>
      </c>
      <c r="F236" s="100">
        <f t="shared" si="24"/>
        <v>45988</v>
      </c>
      <c r="G236" s="101">
        <f t="shared" si="25"/>
        <v>65</v>
      </c>
      <c r="H236" s="102">
        <f t="shared" si="22"/>
        <v>0</v>
      </c>
      <c r="K236" s="99" t="s">
        <v>2266</v>
      </c>
      <c r="L236" s="102">
        <f t="shared" si="26"/>
        <v>1</v>
      </c>
      <c r="M236" s="100">
        <v>46021</v>
      </c>
      <c r="N236" s="101">
        <v>2</v>
      </c>
      <c r="O236" s="101" t="str">
        <f t="shared" si="27"/>
        <v>0-30</v>
      </c>
      <c r="P236" s="101" t="str">
        <f t="shared" si="23"/>
        <v>High</v>
      </c>
    </row>
    <row r="237" spans="4:16" x14ac:dyDescent="0.3">
      <c r="D237" s="99" t="s">
        <v>2139</v>
      </c>
      <c r="E237" s="100">
        <v>45988</v>
      </c>
      <c r="F237" s="100" t="str">
        <f t="shared" si="24"/>
        <v/>
      </c>
      <c r="G237" s="101" t="str">
        <f t="shared" si="25"/>
        <v/>
      </c>
      <c r="H237" s="102" t="str">
        <f t="shared" si="22"/>
        <v/>
      </c>
      <c r="K237" s="99" t="s">
        <v>2267</v>
      </c>
      <c r="L237" s="102">
        <f t="shared" si="26"/>
        <v>0</v>
      </c>
      <c r="M237" s="100">
        <v>45910</v>
      </c>
      <c r="N237" s="101">
        <v>113</v>
      </c>
      <c r="O237" s="101" t="str">
        <f t="shared" si="27"/>
        <v>90+</v>
      </c>
      <c r="P237" s="101" t="str">
        <f t="shared" si="23"/>
        <v>Low</v>
      </c>
    </row>
    <row r="238" spans="4:16" x14ac:dyDescent="0.3">
      <c r="D238" s="99" t="s">
        <v>2140</v>
      </c>
      <c r="E238" s="100">
        <v>45777</v>
      </c>
      <c r="F238" s="100">
        <f t="shared" si="24"/>
        <v>45827</v>
      </c>
      <c r="G238" s="101">
        <f t="shared" si="25"/>
        <v>50</v>
      </c>
      <c r="H238" s="102">
        <f t="shared" si="22"/>
        <v>0</v>
      </c>
      <c r="K238" s="99" t="s">
        <v>2268</v>
      </c>
      <c r="L238" s="102">
        <f t="shared" si="26"/>
        <v>0</v>
      </c>
      <c r="M238" s="100">
        <v>45959</v>
      </c>
      <c r="N238" s="101">
        <v>64</v>
      </c>
      <c r="O238" s="101" t="str">
        <f t="shared" si="27"/>
        <v>61-90</v>
      </c>
      <c r="P238" s="101" t="str">
        <f t="shared" si="23"/>
        <v>Low</v>
      </c>
    </row>
    <row r="239" spans="4:16" x14ac:dyDescent="0.3">
      <c r="D239" s="99" t="s">
        <v>2140</v>
      </c>
      <c r="E239" s="100">
        <v>45827</v>
      </c>
      <c r="F239" s="100">
        <f t="shared" si="24"/>
        <v>46014</v>
      </c>
      <c r="G239" s="101">
        <f t="shared" si="25"/>
        <v>187</v>
      </c>
      <c r="H239" s="102">
        <f t="shared" si="22"/>
        <v>0</v>
      </c>
      <c r="K239" s="99" t="s">
        <v>2269</v>
      </c>
      <c r="L239" s="102">
        <f t="shared" si="26"/>
        <v>1</v>
      </c>
      <c r="M239" s="100">
        <v>45805</v>
      </c>
      <c r="N239" s="101">
        <v>218</v>
      </c>
      <c r="O239" s="101" t="str">
        <f t="shared" si="27"/>
        <v>90+</v>
      </c>
      <c r="P239" s="101" t="str">
        <f t="shared" si="23"/>
        <v>Low</v>
      </c>
    </row>
    <row r="240" spans="4:16" x14ac:dyDescent="0.3">
      <c r="D240" s="99" t="s">
        <v>2140</v>
      </c>
      <c r="E240" s="100">
        <v>46014</v>
      </c>
      <c r="F240" s="100" t="str">
        <f t="shared" si="24"/>
        <v/>
      </c>
      <c r="G240" s="101" t="str">
        <f t="shared" si="25"/>
        <v/>
      </c>
      <c r="H240" s="102" t="str">
        <f t="shared" si="22"/>
        <v/>
      </c>
      <c r="K240" s="99" t="s">
        <v>2270</v>
      </c>
      <c r="L240" s="102">
        <f t="shared" si="26"/>
        <v>0</v>
      </c>
      <c r="M240" s="100">
        <v>45938</v>
      </c>
      <c r="N240" s="101">
        <v>85</v>
      </c>
      <c r="O240" s="101" t="str">
        <f t="shared" si="27"/>
        <v>61-90</v>
      </c>
      <c r="P240" s="101" t="str">
        <f t="shared" si="23"/>
        <v>Low</v>
      </c>
    </row>
    <row r="241" spans="4:16" x14ac:dyDescent="0.3">
      <c r="D241" s="99" t="s">
        <v>2141</v>
      </c>
      <c r="E241" s="100">
        <v>45727</v>
      </c>
      <c r="F241" s="100">
        <f t="shared" si="24"/>
        <v>46022</v>
      </c>
      <c r="G241" s="101">
        <f t="shared" si="25"/>
        <v>295</v>
      </c>
      <c r="H241" s="102">
        <f t="shared" si="22"/>
        <v>0</v>
      </c>
      <c r="K241" s="99" t="s">
        <v>2271</v>
      </c>
      <c r="L241" s="102">
        <f t="shared" si="26"/>
        <v>0</v>
      </c>
      <c r="M241" s="100">
        <v>45726</v>
      </c>
      <c r="N241" s="101">
        <v>297</v>
      </c>
      <c r="O241" s="101" t="str">
        <f t="shared" si="27"/>
        <v>90+</v>
      </c>
      <c r="P241" s="101" t="str">
        <f t="shared" si="23"/>
        <v>Low</v>
      </c>
    </row>
    <row r="242" spans="4:16" x14ac:dyDescent="0.3">
      <c r="D242" s="99" t="s">
        <v>2141</v>
      </c>
      <c r="E242" s="100">
        <v>46022</v>
      </c>
      <c r="F242" s="100" t="str">
        <f t="shared" si="24"/>
        <v/>
      </c>
      <c r="G242" s="101" t="str">
        <f t="shared" si="25"/>
        <v/>
      </c>
      <c r="H242" s="102" t="str">
        <f t="shared" si="22"/>
        <v/>
      </c>
      <c r="K242" s="99" t="s">
        <v>2272</v>
      </c>
      <c r="L242" s="102">
        <f t="shared" si="26"/>
        <v>0</v>
      </c>
      <c r="M242" s="100">
        <v>45994</v>
      </c>
      <c r="N242" s="101">
        <v>29</v>
      </c>
      <c r="O242" s="101" t="str">
        <f t="shared" si="27"/>
        <v>0-30</v>
      </c>
      <c r="P242" s="101" t="str">
        <f t="shared" si="23"/>
        <v>High</v>
      </c>
    </row>
    <row r="243" spans="4:16" x14ac:dyDescent="0.3">
      <c r="D243" s="99" t="s">
        <v>2142</v>
      </c>
      <c r="E243" s="100">
        <v>45863</v>
      </c>
      <c r="F243" s="100">
        <f t="shared" si="24"/>
        <v>45939</v>
      </c>
      <c r="G243" s="101">
        <f t="shared" si="25"/>
        <v>76</v>
      </c>
      <c r="H243" s="102">
        <f t="shared" si="22"/>
        <v>0</v>
      </c>
      <c r="K243" s="99" t="s">
        <v>2273</v>
      </c>
      <c r="L243" s="102">
        <f t="shared" si="26"/>
        <v>1</v>
      </c>
      <c r="M243" s="100">
        <v>45986</v>
      </c>
      <c r="N243" s="101">
        <v>37</v>
      </c>
      <c r="O243" s="101" t="str">
        <f t="shared" si="27"/>
        <v>31-60</v>
      </c>
      <c r="P243" s="101" t="str">
        <f t="shared" si="23"/>
        <v>High</v>
      </c>
    </row>
    <row r="244" spans="4:16" x14ac:dyDescent="0.3">
      <c r="D244" s="99" t="s">
        <v>2142</v>
      </c>
      <c r="E244" s="100">
        <v>45939</v>
      </c>
      <c r="F244" s="100">
        <f t="shared" si="24"/>
        <v>45943</v>
      </c>
      <c r="G244" s="101">
        <f t="shared" si="25"/>
        <v>4</v>
      </c>
      <c r="H244" s="102">
        <f t="shared" si="22"/>
        <v>1</v>
      </c>
      <c r="K244" s="99" t="s">
        <v>2274</v>
      </c>
      <c r="L244" s="102">
        <f t="shared" si="26"/>
        <v>1</v>
      </c>
      <c r="M244" s="100">
        <v>45982</v>
      </c>
      <c r="N244" s="101">
        <v>41</v>
      </c>
      <c r="O244" s="101" t="str">
        <f t="shared" si="27"/>
        <v>31-60</v>
      </c>
      <c r="P244" s="101" t="str">
        <f t="shared" si="23"/>
        <v>High</v>
      </c>
    </row>
    <row r="245" spans="4:16" x14ac:dyDescent="0.3">
      <c r="D245" s="99" t="s">
        <v>2142</v>
      </c>
      <c r="E245" s="100">
        <v>45943</v>
      </c>
      <c r="F245" s="100" t="str">
        <f t="shared" si="24"/>
        <v/>
      </c>
      <c r="G245" s="101" t="str">
        <f t="shared" si="25"/>
        <v/>
      </c>
      <c r="H245" s="102" t="str">
        <f t="shared" si="22"/>
        <v/>
      </c>
      <c r="K245" s="99" t="s">
        <v>2275</v>
      </c>
      <c r="L245" s="102">
        <f t="shared" si="26"/>
        <v>0</v>
      </c>
      <c r="M245" s="100">
        <v>45712</v>
      </c>
      <c r="N245" s="101">
        <v>311</v>
      </c>
      <c r="O245" s="101" t="str">
        <f t="shared" si="27"/>
        <v>90+</v>
      </c>
      <c r="P245" s="101" t="str">
        <f t="shared" si="23"/>
        <v>Low</v>
      </c>
    </row>
    <row r="246" spans="4:16" x14ac:dyDescent="0.3">
      <c r="D246" s="99" t="s">
        <v>2143</v>
      </c>
      <c r="E246" s="100">
        <v>45898</v>
      </c>
      <c r="F246" s="100">
        <f t="shared" si="24"/>
        <v>45972</v>
      </c>
      <c r="G246" s="101">
        <f t="shared" si="25"/>
        <v>74</v>
      </c>
      <c r="H246" s="102">
        <f t="shared" si="22"/>
        <v>0</v>
      </c>
      <c r="K246" s="99" t="s">
        <v>2276</v>
      </c>
      <c r="L246" s="102">
        <f t="shared" si="26"/>
        <v>1</v>
      </c>
      <c r="M246" s="100">
        <v>45982</v>
      </c>
      <c r="N246" s="101">
        <v>41</v>
      </c>
      <c r="O246" s="101" t="str">
        <f t="shared" si="27"/>
        <v>31-60</v>
      </c>
      <c r="P246" s="101" t="str">
        <f t="shared" si="23"/>
        <v>High</v>
      </c>
    </row>
    <row r="247" spans="4:16" x14ac:dyDescent="0.3">
      <c r="D247" s="99" t="s">
        <v>2143</v>
      </c>
      <c r="E247" s="100">
        <v>45972</v>
      </c>
      <c r="F247" s="100" t="str">
        <f t="shared" si="24"/>
        <v/>
      </c>
      <c r="G247" s="101" t="str">
        <f t="shared" si="25"/>
        <v/>
      </c>
      <c r="H247" s="102" t="str">
        <f t="shared" si="22"/>
        <v/>
      </c>
      <c r="K247" s="99" t="s">
        <v>2277</v>
      </c>
      <c r="L247" s="102">
        <f t="shared" si="26"/>
        <v>0</v>
      </c>
      <c r="M247" s="100">
        <v>45833</v>
      </c>
      <c r="N247" s="101">
        <v>190</v>
      </c>
      <c r="O247" s="101" t="str">
        <f t="shared" si="27"/>
        <v>90+</v>
      </c>
      <c r="P247" s="101" t="str">
        <f t="shared" si="23"/>
        <v>Low</v>
      </c>
    </row>
    <row r="248" spans="4:16" x14ac:dyDescent="0.3">
      <c r="D248" s="99" t="s">
        <v>2144</v>
      </c>
      <c r="E248" s="100">
        <v>45678</v>
      </c>
      <c r="F248" s="100">
        <f t="shared" si="24"/>
        <v>45730</v>
      </c>
      <c r="G248" s="101">
        <f t="shared" si="25"/>
        <v>52</v>
      </c>
      <c r="H248" s="102">
        <f t="shared" si="22"/>
        <v>0</v>
      </c>
      <c r="K248" s="99" t="s">
        <v>2278</v>
      </c>
      <c r="L248" s="102">
        <f t="shared" si="26"/>
        <v>0</v>
      </c>
      <c r="M248" s="100">
        <v>45896</v>
      </c>
      <c r="N248" s="101">
        <v>127</v>
      </c>
      <c r="O248" s="101" t="str">
        <f t="shared" si="27"/>
        <v>90+</v>
      </c>
      <c r="P248" s="101" t="str">
        <f t="shared" si="23"/>
        <v>Low</v>
      </c>
    </row>
    <row r="249" spans="4:16" x14ac:dyDescent="0.3">
      <c r="D249" s="99" t="s">
        <v>2144</v>
      </c>
      <c r="E249" s="100">
        <v>45730</v>
      </c>
      <c r="F249" s="100">
        <f t="shared" si="24"/>
        <v>45835</v>
      </c>
      <c r="G249" s="101">
        <f t="shared" si="25"/>
        <v>105</v>
      </c>
      <c r="H249" s="102">
        <f t="shared" si="22"/>
        <v>0</v>
      </c>
      <c r="K249" s="99" t="s">
        <v>2279</v>
      </c>
      <c r="L249" s="102">
        <f t="shared" si="26"/>
        <v>0</v>
      </c>
      <c r="M249" s="100">
        <v>45820</v>
      </c>
      <c r="N249" s="101">
        <v>203</v>
      </c>
      <c r="O249" s="101" t="str">
        <f t="shared" si="27"/>
        <v>90+</v>
      </c>
      <c r="P249" s="101" t="str">
        <f t="shared" si="23"/>
        <v>Low</v>
      </c>
    </row>
    <row r="250" spans="4:16" x14ac:dyDescent="0.3">
      <c r="D250" s="99" t="s">
        <v>2144</v>
      </c>
      <c r="E250" s="100">
        <v>45835</v>
      </c>
      <c r="F250" s="100" t="str">
        <f t="shared" si="24"/>
        <v/>
      </c>
      <c r="G250" s="101" t="str">
        <f t="shared" si="25"/>
        <v/>
      </c>
      <c r="H250" s="102" t="str">
        <f t="shared" si="22"/>
        <v/>
      </c>
      <c r="K250" s="99" t="s">
        <v>2280</v>
      </c>
      <c r="L250" s="102">
        <f t="shared" si="26"/>
        <v>0</v>
      </c>
      <c r="M250" s="100">
        <v>45824</v>
      </c>
      <c r="N250" s="101">
        <v>199</v>
      </c>
      <c r="O250" s="101" t="str">
        <f t="shared" si="27"/>
        <v>90+</v>
      </c>
      <c r="P250" s="101" t="str">
        <f t="shared" si="23"/>
        <v>Low</v>
      </c>
    </row>
    <row r="251" spans="4:16" x14ac:dyDescent="0.3">
      <c r="D251" s="99" t="s">
        <v>2145</v>
      </c>
      <c r="E251" s="100">
        <v>45687</v>
      </c>
      <c r="F251" s="100" t="str">
        <f t="shared" si="24"/>
        <v/>
      </c>
      <c r="G251" s="101" t="str">
        <f t="shared" si="25"/>
        <v/>
      </c>
      <c r="H251" s="102" t="str">
        <f t="shared" si="22"/>
        <v/>
      </c>
      <c r="K251" s="99" t="s">
        <v>2281</v>
      </c>
      <c r="L251" s="102">
        <f t="shared" si="26"/>
        <v>0</v>
      </c>
      <c r="M251" s="100">
        <v>45842</v>
      </c>
      <c r="N251" s="101">
        <v>181</v>
      </c>
      <c r="O251" s="101" t="str">
        <f t="shared" si="27"/>
        <v>90+</v>
      </c>
      <c r="P251" s="101" t="str">
        <f t="shared" si="23"/>
        <v>Low</v>
      </c>
    </row>
    <row r="252" spans="4:16" x14ac:dyDescent="0.3">
      <c r="D252" s="99" t="s">
        <v>2146</v>
      </c>
      <c r="E252" s="100">
        <v>45762</v>
      </c>
      <c r="F252" s="100">
        <f t="shared" si="24"/>
        <v>45982</v>
      </c>
      <c r="G252" s="101">
        <f t="shared" si="25"/>
        <v>220</v>
      </c>
      <c r="H252" s="102">
        <f t="shared" si="22"/>
        <v>0</v>
      </c>
      <c r="K252" s="99" t="s">
        <v>2282</v>
      </c>
      <c r="L252" s="102">
        <f t="shared" si="26"/>
        <v>1</v>
      </c>
      <c r="M252" s="100">
        <v>46008</v>
      </c>
      <c r="N252" s="101">
        <v>15</v>
      </c>
      <c r="O252" s="101" t="str">
        <f t="shared" si="27"/>
        <v>0-30</v>
      </c>
      <c r="P252" s="101" t="str">
        <f t="shared" si="23"/>
        <v>High</v>
      </c>
    </row>
    <row r="253" spans="4:16" x14ac:dyDescent="0.3">
      <c r="D253" s="99" t="s">
        <v>2146</v>
      </c>
      <c r="E253" s="100">
        <v>45982</v>
      </c>
      <c r="F253" s="100" t="str">
        <f t="shared" si="24"/>
        <v/>
      </c>
      <c r="G253" s="101" t="str">
        <f t="shared" si="25"/>
        <v/>
      </c>
      <c r="H253" s="102" t="str">
        <f t="shared" si="22"/>
        <v/>
      </c>
      <c r="K253" s="99" t="s">
        <v>2283</v>
      </c>
      <c r="L253" s="102">
        <f t="shared" si="26"/>
        <v>0</v>
      </c>
      <c r="M253" s="100">
        <v>45677</v>
      </c>
      <c r="N253" s="101">
        <v>346</v>
      </c>
      <c r="O253" s="101" t="str">
        <f t="shared" si="27"/>
        <v>90+</v>
      </c>
      <c r="P253" s="101" t="str">
        <f t="shared" si="23"/>
        <v>Low</v>
      </c>
    </row>
    <row r="254" spans="4:16" x14ac:dyDescent="0.3">
      <c r="D254" s="99" t="s">
        <v>2147</v>
      </c>
      <c r="E254" s="100">
        <v>45931</v>
      </c>
      <c r="F254" s="100" t="str">
        <f t="shared" si="24"/>
        <v/>
      </c>
      <c r="G254" s="101" t="str">
        <f t="shared" si="25"/>
        <v/>
      </c>
      <c r="H254" s="102" t="str">
        <f t="shared" si="22"/>
        <v/>
      </c>
      <c r="K254" s="99" t="s">
        <v>2284</v>
      </c>
      <c r="L254" s="102">
        <f t="shared" si="26"/>
        <v>0</v>
      </c>
      <c r="M254" s="100">
        <v>45715</v>
      </c>
      <c r="N254" s="101">
        <v>308</v>
      </c>
      <c r="O254" s="101" t="str">
        <f t="shared" si="27"/>
        <v>90+</v>
      </c>
      <c r="P254" s="101" t="str">
        <f t="shared" si="23"/>
        <v>Low</v>
      </c>
    </row>
    <row r="255" spans="4:16" x14ac:dyDescent="0.3">
      <c r="D255" s="99" t="s">
        <v>2148</v>
      </c>
      <c r="E255" s="100">
        <v>45768</v>
      </c>
      <c r="F255" s="100">
        <f t="shared" si="24"/>
        <v>45835</v>
      </c>
      <c r="G255" s="101">
        <f t="shared" si="25"/>
        <v>67</v>
      </c>
      <c r="H255" s="102">
        <f t="shared" si="22"/>
        <v>0</v>
      </c>
      <c r="K255" s="99" t="s">
        <v>2285</v>
      </c>
      <c r="L255" s="102">
        <f t="shared" si="26"/>
        <v>0</v>
      </c>
      <c r="M255" s="100">
        <v>46022</v>
      </c>
      <c r="N255" s="101">
        <v>1</v>
      </c>
      <c r="O255" s="101" t="str">
        <f t="shared" si="27"/>
        <v>0-30</v>
      </c>
      <c r="P255" s="101" t="str">
        <f t="shared" si="23"/>
        <v>High</v>
      </c>
    </row>
    <row r="256" spans="4:16" x14ac:dyDescent="0.3">
      <c r="D256" s="99" t="s">
        <v>2148</v>
      </c>
      <c r="E256" s="100">
        <v>45835</v>
      </c>
      <c r="F256" s="100">
        <f t="shared" si="24"/>
        <v>45854</v>
      </c>
      <c r="G256" s="101">
        <f t="shared" si="25"/>
        <v>19</v>
      </c>
      <c r="H256" s="102">
        <f t="shared" si="22"/>
        <v>1</v>
      </c>
      <c r="K256" s="99" t="s">
        <v>2286</v>
      </c>
      <c r="L256" s="102">
        <f t="shared" si="26"/>
        <v>0</v>
      </c>
      <c r="M256" s="100">
        <v>45945</v>
      </c>
      <c r="N256" s="101">
        <v>78</v>
      </c>
      <c r="O256" s="101" t="str">
        <f t="shared" si="27"/>
        <v>61-90</v>
      </c>
      <c r="P256" s="101" t="str">
        <f t="shared" si="23"/>
        <v>Low</v>
      </c>
    </row>
    <row r="257" spans="4:16" x14ac:dyDescent="0.3">
      <c r="D257" s="99" t="s">
        <v>2148</v>
      </c>
      <c r="E257" s="100">
        <v>45854</v>
      </c>
      <c r="F257" s="100">
        <f t="shared" si="24"/>
        <v>45875</v>
      </c>
      <c r="G257" s="101">
        <f t="shared" si="25"/>
        <v>21</v>
      </c>
      <c r="H257" s="102">
        <f t="shared" si="22"/>
        <v>1</v>
      </c>
      <c r="K257" s="99" t="s">
        <v>2287</v>
      </c>
      <c r="L257" s="102">
        <f t="shared" si="26"/>
        <v>0</v>
      </c>
      <c r="M257" s="100">
        <v>45994</v>
      </c>
      <c r="N257" s="101">
        <v>29</v>
      </c>
      <c r="O257" s="101" t="str">
        <f t="shared" si="27"/>
        <v>0-30</v>
      </c>
      <c r="P257" s="101" t="str">
        <f t="shared" si="23"/>
        <v>High</v>
      </c>
    </row>
    <row r="258" spans="4:16" x14ac:dyDescent="0.3">
      <c r="D258" s="99" t="s">
        <v>2148</v>
      </c>
      <c r="E258" s="100">
        <v>45875</v>
      </c>
      <c r="F258" s="100" t="str">
        <f t="shared" si="24"/>
        <v/>
      </c>
      <c r="G258" s="101" t="str">
        <f t="shared" si="25"/>
        <v/>
      </c>
      <c r="H258" s="102" t="str">
        <f t="shared" si="22"/>
        <v/>
      </c>
      <c r="K258" s="99" t="s">
        <v>2288</v>
      </c>
      <c r="L258" s="102">
        <f t="shared" si="26"/>
        <v>0</v>
      </c>
      <c r="M258" s="100">
        <v>45744</v>
      </c>
      <c r="N258" s="101">
        <v>279</v>
      </c>
      <c r="O258" s="101" t="str">
        <f t="shared" si="27"/>
        <v>90+</v>
      </c>
      <c r="P258" s="101" t="str">
        <f t="shared" si="23"/>
        <v>Low</v>
      </c>
    </row>
    <row r="259" spans="4:16" x14ac:dyDescent="0.3">
      <c r="D259" s="99" t="s">
        <v>2149</v>
      </c>
      <c r="E259" s="100">
        <v>45714</v>
      </c>
      <c r="F259" s="100">
        <f t="shared" si="24"/>
        <v>45842</v>
      </c>
      <c r="G259" s="101">
        <f t="shared" si="25"/>
        <v>128</v>
      </c>
      <c r="H259" s="102">
        <f t="shared" si="22"/>
        <v>0</v>
      </c>
      <c r="K259" s="99" t="s">
        <v>2289</v>
      </c>
      <c r="L259" s="102">
        <f t="shared" si="26"/>
        <v>0</v>
      </c>
      <c r="M259" s="100">
        <v>45819</v>
      </c>
      <c r="N259" s="101">
        <v>204</v>
      </c>
      <c r="O259" s="101" t="str">
        <f t="shared" si="27"/>
        <v>90+</v>
      </c>
      <c r="P259" s="101" t="str">
        <f t="shared" si="23"/>
        <v>Low</v>
      </c>
    </row>
    <row r="260" spans="4:16" x14ac:dyDescent="0.3">
      <c r="D260" s="99" t="s">
        <v>2149</v>
      </c>
      <c r="E260" s="100">
        <v>45842</v>
      </c>
      <c r="F260" s="100">
        <f t="shared" si="24"/>
        <v>45881</v>
      </c>
      <c r="G260" s="101">
        <f t="shared" si="25"/>
        <v>39</v>
      </c>
      <c r="H260" s="102">
        <f t="shared" si="22"/>
        <v>0</v>
      </c>
      <c r="K260" s="99" t="s">
        <v>2290</v>
      </c>
      <c r="L260" s="102">
        <f t="shared" si="26"/>
        <v>0</v>
      </c>
      <c r="M260" s="100">
        <v>45831</v>
      </c>
      <c r="N260" s="101">
        <v>192</v>
      </c>
      <c r="O260" s="101" t="str">
        <f t="shared" si="27"/>
        <v>90+</v>
      </c>
      <c r="P260" s="101" t="str">
        <f t="shared" si="23"/>
        <v>Low</v>
      </c>
    </row>
    <row r="261" spans="4:16" x14ac:dyDescent="0.3">
      <c r="D261" s="99" t="s">
        <v>2149</v>
      </c>
      <c r="E261" s="100">
        <v>45881</v>
      </c>
      <c r="F261" s="100">
        <f t="shared" si="24"/>
        <v>45905</v>
      </c>
      <c r="G261" s="101">
        <f t="shared" si="25"/>
        <v>24</v>
      </c>
      <c r="H261" s="102">
        <f t="shared" si="22"/>
        <v>1</v>
      </c>
      <c r="K261" s="99" t="s">
        <v>2291</v>
      </c>
      <c r="L261" s="102">
        <f t="shared" si="26"/>
        <v>1</v>
      </c>
      <c r="M261" s="100">
        <v>46017</v>
      </c>
      <c r="N261" s="101">
        <v>6</v>
      </c>
      <c r="O261" s="101" t="str">
        <f t="shared" si="27"/>
        <v>0-30</v>
      </c>
      <c r="P261" s="101" t="str">
        <f t="shared" si="23"/>
        <v>High</v>
      </c>
    </row>
    <row r="262" spans="4:16" x14ac:dyDescent="0.3">
      <c r="D262" s="99" t="s">
        <v>2149</v>
      </c>
      <c r="E262" s="100">
        <v>45905</v>
      </c>
      <c r="F262" s="100">
        <f t="shared" si="24"/>
        <v>45919</v>
      </c>
      <c r="G262" s="101">
        <f t="shared" si="25"/>
        <v>14</v>
      </c>
      <c r="H262" s="102">
        <f t="shared" si="22"/>
        <v>1</v>
      </c>
      <c r="K262" s="99" t="s">
        <v>2292</v>
      </c>
      <c r="L262" s="102">
        <f t="shared" si="26"/>
        <v>0</v>
      </c>
      <c r="M262" s="100">
        <v>45896</v>
      </c>
      <c r="N262" s="101">
        <v>127</v>
      </c>
      <c r="O262" s="101" t="str">
        <f t="shared" si="27"/>
        <v>90+</v>
      </c>
      <c r="P262" s="101" t="str">
        <f t="shared" si="23"/>
        <v>Low</v>
      </c>
    </row>
    <row r="263" spans="4:16" x14ac:dyDescent="0.3">
      <c r="D263" s="99" t="s">
        <v>2149</v>
      </c>
      <c r="E263" s="100">
        <v>45919</v>
      </c>
      <c r="F263" s="100">
        <f t="shared" si="24"/>
        <v>45959</v>
      </c>
      <c r="G263" s="101">
        <f t="shared" si="25"/>
        <v>40</v>
      </c>
      <c r="H263" s="102">
        <f t="shared" ref="H263:H326" si="28">IF(G263="","",IF(G263&lt;=return_window,1,0))</f>
        <v>0</v>
      </c>
      <c r="K263" s="99" t="s">
        <v>2293</v>
      </c>
      <c r="L263" s="102">
        <f t="shared" si="26"/>
        <v>0</v>
      </c>
      <c r="M263" s="100">
        <v>46007</v>
      </c>
      <c r="N263" s="101">
        <v>16</v>
      </c>
      <c r="O263" s="101" t="str">
        <f t="shared" si="27"/>
        <v>0-30</v>
      </c>
      <c r="P263" s="101" t="str">
        <f t="shared" ref="P263:P326" si="29">IF(N263&lt;=recency_threshold,"High","Low")</f>
        <v>High</v>
      </c>
    </row>
    <row r="264" spans="4:16" x14ac:dyDescent="0.3">
      <c r="D264" s="99" t="s">
        <v>2149</v>
      </c>
      <c r="E264" s="100">
        <v>45959</v>
      </c>
      <c r="F264" s="100">
        <f t="shared" ref="F264:F327" si="30">IF(D264=D265,E265,"")</f>
        <v>46010</v>
      </c>
      <c r="G264" s="101">
        <f t="shared" ref="G264:G327" si="31">IF(F264="","",F264-E264)</f>
        <v>51</v>
      </c>
      <c r="H264" s="102">
        <f t="shared" si="28"/>
        <v>0</v>
      </c>
      <c r="K264" s="99" t="s">
        <v>2294</v>
      </c>
      <c r="L264" s="102">
        <f t="shared" ref="L264:L327" si="32">IF(SUMIFS($H$6:$H$2006,$D$6:$D$2006,K264),1,0)</f>
        <v>0</v>
      </c>
      <c r="M264" s="100">
        <v>45905</v>
      </c>
      <c r="N264" s="101">
        <v>118</v>
      </c>
      <c r="O264" s="101" t="str">
        <f t="shared" ref="O264:O327" si="33">VLOOKUP(N264,$A$15:$B$19,2,TRUE)</f>
        <v>90+</v>
      </c>
      <c r="P264" s="101" t="str">
        <f t="shared" si="29"/>
        <v>Low</v>
      </c>
    </row>
    <row r="265" spans="4:16" x14ac:dyDescent="0.3">
      <c r="D265" s="99" t="s">
        <v>2149</v>
      </c>
      <c r="E265" s="100">
        <v>46010</v>
      </c>
      <c r="F265" s="100">
        <f t="shared" si="30"/>
        <v>46013</v>
      </c>
      <c r="G265" s="101">
        <f t="shared" si="31"/>
        <v>3</v>
      </c>
      <c r="H265" s="102">
        <f t="shared" si="28"/>
        <v>1</v>
      </c>
      <c r="K265" s="99" t="s">
        <v>2295</v>
      </c>
      <c r="L265" s="102">
        <f t="shared" si="32"/>
        <v>0</v>
      </c>
      <c r="M265" s="100">
        <v>45910</v>
      </c>
      <c r="N265" s="101">
        <v>113</v>
      </c>
      <c r="O265" s="101" t="str">
        <f t="shared" si="33"/>
        <v>90+</v>
      </c>
      <c r="P265" s="101" t="str">
        <f t="shared" si="29"/>
        <v>Low</v>
      </c>
    </row>
    <row r="266" spans="4:16" x14ac:dyDescent="0.3">
      <c r="D266" s="99" t="s">
        <v>2149</v>
      </c>
      <c r="E266" s="100">
        <v>46013</v>
      </c>
      <c r="F266" s="100">
        <f t="shared" si="30"/>
        <v>46016</v>
      </c>
      <c r="G266" s="101">
        <f t="shared" si="31"/>
        <v>3</v>
      </c>
      <c r="H266" s="102">
        <f t="shared" si="28"/>
        <v>1</v>
      </c>
      <c r="K266" s="99" t="s">
        <v>2296</v>
      </c>
      <c r="L266" s="102">
        <f t="shared" si="32"/>
        <v>1</v>
      </c>
      <c r="M266" s="100">
        <v>45978</v>
      </c>
      <c r="N266" s="101">
        <v>45</v>
      </c>
      <c r="O266" s="101" t="str">
        <f t="shared" si="33"/>
        <v>31-60</v>
      </c>
      <c r="P266" s="101" t="str">
        <f t="shared" si="29"/>
        <v>High</v>
      </c>
    </row>
    <row r="267" spans="4:16" x14ac:dyDescent="0.3">
      <c r="D267" s="99" t="s">
        <v>2149</v>
      </c>
      <c r="E267" s="100">
        <v>46016</v>
      </c>
      <c r="F267" s="100" t="str">
        <f t="shared" si="30"/>
        <v/>
      </c>
      <c r="G267" s="101" t="str">
        <f t="shared" si="31"/>
        <v/>
      </c>
      <c r="H267" s="102" t="str">
        <f t="shared" si="28"/>
        <v/>
      </c>
      <c r="K267" s="99" t="s">
        <v>2297</v>
      </c>
      <c r="L267" s="102">
        <f t="shared" si="32"/>
        <v>0</v>
      </c>
      <c r="M267" s="100">
        <v>45890</v>
      </c>
      <c r="N267" s="101">
        <v>133</v>
      </c>
      <c r="O267" s="101" t="str">
        <f t="shared" si="33"/>
        <v>90+</v>
      </c>
      <c r="P267" s="101" t="str">
        <f t="shared" si="29"/>
        <v>Low</v>
      </c>
    </row>
    <row r="268" spans="4:16" x14ac:dyDescent="0.3">
      <c r="D268" s="99" t="s">
        <v>2150</v>
      </c>
      <c r="E268" s="100">
        <v>45849</v>
      </c>
      <c r="F268" s="100">
        <f t="shared" si="30"/>
        <v>45987</v>
      </c>
      <c r="G268" s="101">
        <f t="shared" si="31"/>
        <v>138</v>
      </c>
      <c r="H268" s="102">
        <f t="shared" si="28"/>
        <v>0</v>
      </c>
      <c r="K268" s="99" t="s">
        <v>2298</v>
      </c>
      <c r="L268" s="102">
        <f t="shared" si="32"/>
        <v>0</v>
      </c>
      <c r="M268" s="100">
        <v>45894</v>
      </c>
      <c r="N268" s="101">
        <v>129</v>
      </c>
      <c r="O268" s="101" t="str">
        <f t="shared" si="33"/>
        <v>90+</v>
      </c>
      <c r="P268" s="101" t="str">
        <f t="shared" si="29"/>
        <v>Low</v>
      </c>
    </row>
    <row r="269" spans="4:16" x14ac:dyDescent="0.3">
      <c r="D269" s="99" t="s">
        <v>2150</v>
      </c>
      <c r="E269" s="100">
        <v>45987</v>
      </c>
      <c r="F269" s="100" t="str">
        <f t="shared" si="30"/>
        <v/>
      </c>
      <c r="G269" s="101" t="str">
        <f t="shared" si="31"/>
        <v/>
      </c>
      <c r="H269" s="102" t="str">
        <f t="shared" si="28"/>
        <v/>
      </c>
      <c r="K269" s="99" t="s">
        <v>2299</v>
      </c>
      <c r="L269" s="102">
        <f t="shared" si="32"/>
        <v>1</v>
      </c>
      <c r="M269" s="100">
        <v>45924</v>
      </c>
      <c r="N269" s="101">
        <v>99</v>
      </c>
      <c r="O269" s="101" t="str">
        <f t="shared" si="33"/>
        <v>90+</v>
      </c>
      <c r="P269" s="101" t="str">
        <f t="shared" si="29"/>
        <v>Low</v>
      </c>
    </row>
    <row r="270" spans="4:16" x14ac:dyDescent="0.3">
      <c r="D270" s="99" t="s">
        <v>2151</v>
      </c>
      <c r="E270" s="100">
        <v>45883</v>
      </c>
      <c r="F270" s="100" t="str">
        <f t="shared" si="30"/>
        <v/>
      </c>
      <c r="G270" s="101" t="str">
        <f t="shared" si="31"/>
        <v/>
      </c>
      <c r="H270" s="102" t="str">
        <f t="shared" si="28"/>
        <v/>
      </c>
      <c r="K270" s="99" t="s">
        <v>2300</v>
      </c>
      <c r="L270" s="102">
        <f t="shared" si="32"/>
        <v>0</v>
      </c>
      <c r="M270" s="100">
        <v>45847</v>
      </c>
      <c r="N270" s="101">
        <v>176</v>
      </c>
      <c r="O270" s="101" t="str">
        <f t="shared" si="33"/>
        <v>90+</v>
      </c>
      <c r="P270" s="101" t="str">
        <f t="shared" si="29"/>
        <v>Low</v>
      </c>
    </row>
    <row r="271" spans="4:16" x14ac:dyDescent="0.3">
      <c r="D271" s="99" t="s">
        <v>2152</v>
      </c>
      <c r="E271" s="100">
        <v>45790</v>
      </c>
      <c r="F271" s="100">
        <f t="shared" si="30"/>
        <v>45925</v>
      </c>
      <c r="G271" s="101">
        <f t="shared" si="31"/>
        <v>135</v>
      </c>
      <c r="H271" s="102">
        <f t="shared" si="28"/>
        <v>0</v>
      </c>
      <c r="K271" s="99" t="s">
        <v>2301</v>
      </c>
      <c r="L271" s="102">
        <f t="shared" si="32"/>
        <v>1</v>
      </c>
      <c r="M271" s="100">
        <v>45999</v>
      </c>
      <c r="N271" s="101">
        <v>24</v>
      </c>
      <c r="O271" s="101" t="str">
        <f t="shared" si="33"/>
        <v>0-30</v>
      </c>
      <c r="P271" s="101" t="str">
        <f t="shared" si="29"/>
        <v>High</v>
      </c>
    </row>
    <row r="272" spans="4:16" x14ac:dyDescent="0.3">
      <c r="D272" s="99" t="s">
        <v>2152</v>
      </c>
      <c r="E272" s="100">
        <v>45925</v>
      </c>
      <c r="F272" s="100">
        <f t="shared" si="30"/>
        <v>45926</v>
      </c>
      <c r="G272" s="101">
        <f t="shared" si="31"/>
        <v>1</v>
      </c>
      <c r="H272" s="102">
        <f t="shared" si="28"/>
        <v>1</v>
      </c>
      <c r="K272" s="99" t="s">
        <v>2302</v>
      </c>
      <c r="L272" s="102">
        <f t="shared" si="32"/>
        <v>1</v>
      </c>
      <c r="M272" s="100">
        <v>45961</v>
      </c>
      <c r="N272" s="101">
        <v>62</v>
      </c>
      <c r="O272" s="101" t="str">
        <f t="shared" si="33"/>
        <v>61-90</v>
      </c>
      <c r="P272" s="101" t="str">
        <f t="shared" si="29"/>
        <v>Low</v>
      </c>
    </row>
    <row r="273" spans="4:16" x14ac:dyDescent="0.3">
      <c r="D273" s="99" t="s">
        <v>2152</v>
      </c>
      <c r="E273" s="100">
        <v>45926</v>
      </c>
      <c r="F273" s="100">
        <f t="shared" si="30"/>
        <v>45945</v>
      </c>
      <c r="G273" s="101">
        <f t="shared" si="31"/>
        <v>19</v>
      </c>
      <c r="H273" s="102">
        <f t="shared" si="28"/>
        <v>1</v>
      </c>
      <c r="K273" s="99" t="s">
        <v>2303</v>
      </c>
      <c r="L273" s="102">
        <f t="shared" si="32"/>
        <v>1</v>
      </c>
      <c r="M273" s="100">
        <v>46003</v>
      </c>
      <c r="N273" s="101">
        <v>20</v>
      </c>
      <c r="O273" s="101" t="str">
        <f t="shared" si="33"/>
        <v>0-30</v>
      </c>
      <c r="P273" s="101" t="str">
        <f t="shared" si="29"/>
        <v>High</v>
      </c>
    </row>
    <row r="274" spans="4:16" x14ac:dyDescent="0.3">
      <c r="D274" s="99" t="s">
        <v>2152</v>
      </c>
      <c r="E274" s="100">
        <v>45945</v>
      </c>
      <c r="F274" s="100" t="str">
        <f t="shared" si="30"/>
        <v/>
      </c>
      <c r="G274" s="101" t="str">
        <f t="shared" si="31"/>
        <v/>
      </c>
      <c r="H274" s="102" t="str">
        <f t="shared" si="28"/>
        <v/>
      </c>
      <c r="K274" s="99" t="s">
        <v>2304</v>
      </c>
      <c r="L274" s="102">
        <f t="shared" si="32"/>
        <v>1</v>
      </c>
      <c r="M274" s="100">
        <v>45888</v>
      </c>
      <c r="N274" s="101">
        <v>135</v>
      </c>
      <c r="O274" s="101" t="str">
        <f t="shared" si="33"/>
        <v>90+</v>
      </c>
      <c r="P274" s="101" t="str">
        <f t="shared" si="29"/>
        <v>Low</v>
      </c>
    </row>
    <row r="275" spans="4:16" x14ac:dyDescent="0.3">
      <c r="D275" s="99" t="s">
        <v>2153</v>
      </c>
      <c r="E275" s="100">
        <v>45677</v>
      </c>
      <c r="F275" s="100">
        <f t="shared" si="30"/>
        <v>45898</v>
      </c>
      <c r="G275" s="101">
        <f t="shared" si="31"/>
        <v>221</v>
      </c>
      <c r="H275" s="102">
        <f t="shared" si="28"/>
        <v>0</v>
      </c>
      <c r="K275" s="99" t="s">
        <v>2305</v>
      </c>
      <c r="L275" s="102">
        <f t="shared" si="32"/>
        <v>1</v>
      </c>
      <c r="M275" s="100">
        <v>45912</v>
      </c>
      <c r="N275" s="101">
        <v>111</v>
      </c>
      <c r="O275" s="101" t="str">
        <f t="shared" si="33"/>
        <v>90+</v>
      </c>
      <c r="P275" s="101" t="str">
        <f t="shared" si="29"/>
        <v>Low</v>
      </c>
    </row>
    <row r="276" spans="4:16" x14ac:dyDescent="0.3">
      <c r="D276" s="99" t="s">
        <v>2153</v>
      </c>
      <c r="E276" s="100">
        <v>45898</v>
      </c>
      <c r="F276" s="100">
        <f t="shared" si="30"/>
        <v>46007</v>
      </c>
      <c r="G276" s="101">
        <f t="shared" si="31"/>
        <v>109</v>
      </c>
      <c r="H276" s="102">
        <f t="shared" si="28"/>
        <v>0</v>
      </c>
      <c r="K276" s="99" t="s">
        <v>2306</v>
      </c>
      <c r="L276" s="102">
        <f t="shared" si="32"/>
        <v>0</v>
      </c>
      <c r="M276" s="100">
        <v>45988</v>
      </c>
      <c r="N276" s="101">
        <v>35</v>
      </c>
      <c r="O276" s="101" t="str">
        <f t="shared" si="33"/>
        <v>31-60</v>
      </c>
      <c r="P276" s="101" t="str">
        <f t="shared" si="29"/>
        <v>High</v>
      </c>
    </row>
    <row r="277" spans="4:16" x14ac:dyDescent="0.3">
      <c r="D277" s="99" t="s">
        <v>2153</v>
      </c>
      <c r="E277" s="100">
        <v>46007</v>
      </c>
      <c r="F277" s="100">
        <f t="shared" si="30"/>
        <v>46014</v>
      </c>
      <c r="G277" s="101">
        <f t="shared" si="31"/>
        <v>7</v>
      </c>
      <c r="H277" s="102">
        <f t="shared" si="28"/>
        <v>1</v>
      </c>
      <c r="K277" s="99" t="s">
        <v>2307</v>
      </c>
      <c r="L277" s="102">
        <f t="shared" si="32"/>
        <v>0</v>
      </c>
      <c r="M277" s="100">
        <v>45890</v>
      </c>
      <c r="N277" s="101">
        <v>133</v>
      </c>
      <c r="O277" s="101" t="str">
        <f t="shared" si="33"/>
        <v>90+</v>
      </c>
      <c r="P277" s="101" t="str">
        <f t="shared" si="29"/>
        <v>Low</v>
      </c>
    </row>
    <row r="278" spans="4:16" x14ac:dyDescent="0.3">
      <c r="D278" s="99" t="s">
        <v>2153</v>
      </c>
      <c r="E278" s="100">
        <v>46014</v>
      </c>
      <c r="F278" s="100" t="str">
        <f t="shared" si="30"/>
        <v/>
      </c>
      <c r="G278" s="101" t="str">
        <f t="shared" si="31"/>
        <v/>
      </c>
      <c r="H278" s="102" t="str">
        <f t="shared" si="28"/>
        <v/>
      </c>
      <c r="K278" s="99" t="s">
        <v>2308</v>
      </c>
      <c r="L278" s="102">
        <f t="shared" si="32"/>
        <v>0</v>
      </c>
      <c r="M278" s="100">
        <v>45673</v>
      </c>
      <c r="N278" s="101">
        <v>350</v>
      </c>
      <c r="O278" s="101" t="str">
        <f t="shared" si="33"/>
        <v>90+</v>
      </c>
      <c r="P278" s="101" t="str">
        <f t="shared" si="29"/>
        <v>Low</v>
      </c>
    </row>
    <row r="279" spans="4:16" x14ac:dyDescent="0.3">
      <c r="D279" s="99" t="s">
        <v>2154</v>
      </c>
      <c r="E279" s="100">
        <v>45680</v>
      </c>
      <c r="F279" s="100">
        <f t="shared" si="30"/>
        <v>45785</v>
      </c>
      <c r="G279" s="101">
        <f t="shared" si="31"/>
        <v>105</v>
      </c>
      <c r="H279" s="102">
        <f t="shared" si="28"/>
        <v>0</v>
      </c>
      <c r="K279" s="99" t="s">
        <v>2309</v>
      </c>
      <c r="L279" s="102">
        <f t="shared" si="32"/>
        <v>1</v>
      </c>
      <c r="M279" s="100">
        <v>45896</v>
      </c>
      <c r="N279" s="101">
        <v>127</v>
      </c>
      <c r="O279" s="101" t="str">
        <f t="shared" si="33"/>
        <v>90+</v>
      </c>
      <c r="P279" s="101" t="str">
        <f t="shared" si="29"/>
        <v>Low</v>
      </c>
    </row>
    <row r="280" spans="4:16" x14ac:dyDescent="0.3">
      <c r="D280" s="99" t="s">
        <v>2154</v>
      </c>
      <c r="E280" s="100">
        <v>45785</v>
      </c>
      <c r="F280" s="100">
        <f t="shared" si="30"/>
        <v>45849</v>
      </c>
      <c r="G280" s="101">
        <f t="shared" si="31"/>
        <v>64</v>
      </c>
      <c r="H280" s="102">
        <f t="shared" si="28"/>
        <v>0</v>
      </c>
      <c r="K280" s="99" t="s">
        <v>2310</v>
      </c>
      <c r="L280" s="102">
        <f t="shared" si="32"/>
        <v>0</v>
      </c>
      <c r="M280" s="100">
        <v>45988</v>
      </c>
      <c r="N280" s="101">
        <v>35</v>
      </c>
      <c r="O280" s="101" t="str">
        <f t="shared" si="33"/>
        <v>31-60</v>
      </c>
      <c r="P280" s="101" t="str">
        <f t="shared" si="29"/>
        <v>High</v>
      </c>
    </row>
    <row r="281" spans="4:16" x14ac:dyDescent="0.3">
      <c r="D281" s="99" t="s">
        <v>2154</v>
      </c>
      <c r="E281" s="100">
        <v>45849</v>
      </c>
      <c r="F281" s="100" t="str">
        <f t="shared" si="30"/>
        <v/>
      </c>
      <c r="G281" s="101" t="str">
        <f t="shared" si="31"/>
        <v/>
      </c>
      <c r="H281" s="102" t="str">
        <f t="shared" si="28"/>
        <v/>
      </c>
      <c r="K281" s="99" t="s">
        <v>2311</v>
      </c>
      <c r="L281" s="102">
        <f t="shared" si="32"/>
        <v>1</v>
      </c>
      <c r="M281" s="100">
        <v>45678</v>
      </c>
      <c r="N281" s="101">
        <v>345</v>
      </c>
      <c r="O281" s="101" t="str">
        <f t="shared" si="33"/>
        <v>90+</v>
      </c>
      <c r="P281" s="101" t="str">
        <f t="shared" si="29"/>
        <v>Low</v>
      </c>
    </row>
    <row r="282" spans="4:16" x14ac:dyDescent="0.3">
      <c r="D282" s="99" t="s">
        <v>2155</v>
      </c>
      <c r="E282" s="100">
        <v>46000</v>
      </c>
      <c r="F282" s="100">
        <f t="shared" si="30"/>
        <v>46015</v>
      </c>
      <c r="G282" s="101">
        <f t="shared" si="31"/>
        <v>15</v>
      </c>
      <c r="H282" s="102">
        <f t="shared" si="28"/>
        <v>1</v>
      </c>
      <c r="K282" s="99" t="s">
        <v>2312</v>
      </c>
      <c r="L282" s="102">
        <f t="shared" si="32"/>
        <v>1</v>
      </c>
      <c r="M282" s="100">
        <v>46010</v>
      </c>
      <c r="N282" s="101">
        <v>13</v>
      </c>
      <c r="O282" s="101" t="str">
        <f t="shared" si="33"/>
        <v>0-30</v>
      </c>
      <c r="P282" s="101" t="str">
        <f t="shared" si="29"/>
        <v>High</v>
      </c>
    </row>
    <row r="283" spans="4:16" x14ac:dyDescent="0.3">
      <c r="D283" s="99" t="s">
        <v>2155</v>
      </c>
      <c r="E283" s="100">
        <v>46015</v>
      </c>
      <c r="F283" s="100" t="str">
        <f t="shared" si="30"/>
        <v/>
      </c>
      <c r="G283" s="101" t="str">
        <f t="shared" si="31"/>
        <v/>
      </c>
      <c r="H283" s="102" t="str">
        <f t="shared" si="28"/>
        <v/>
      </c>
      <c r="K283" s="99" t="s">
        <v>2313</v>
      </c>
      <c r="L283" s="102">
        <f t="shared" si="32"/>
        <v>0</v>
      </c>
      <c r="M283" s="100">
        <v>45966</v>
      </c>
      <c r="N283" s="101">
        <v>57</v>
      </c>
      <c r="O283" s="101" t="str">
        <f t="shared" si="33"/>
        <v>31-60</v>
      </c>
      <c r="P283" s="101" t="str">
        <f t="shared" si="29"/>
        <v>High</v>
      </c>
    </row>
    <row r="284" spans="4:16" x14ac:dyDescent="0.3">
      <c r="D284" s="99" t="s">
        <v>2156</v>
      </c>
      <c r="E284" s="100">
        <v>45701</v>
      </c>
      <c r="F284" s="100">
        <f t="shared" si="30"/>
        <v>45769</v>
      </c>
      <c r="G284" s="101">
        <f t="shared" si="31"/>
        <v>68</v>
      </c>
      <c r="H284" s="102">
        <f t="shared" si="28"/>
        <v>0</v>
      </c>
      <c r="K284" s="99" t="s">
        <v>2314</v>
      </c>
      <c r="L284" s="102">
        <f t="shared" si="32"/>
        <v>0</v>
      </c>
      <c r="M284" s="100">
        <v>45959</v>
      </c>
      <c r="N284" s="101">
        <v>64</v>
      </c>
      <c r="O284" s="101" t="str">
        <f t="shared" si="33"/>
        <v>61-90</v>
      </c>
      <c r="P284" s="101" t="str">
        <f t="shared" si="29"/>
        <v>Low</v>
      </c>
    </row>
    <row r="285" spans="4:16" x14ac:dyDescent="0.3">
      <c r="D285" s="99" t="s">
        <v>2156</v>
      </c>
      <c r="E285" s="100">
        <v>45769</v>
      </c>
      <c r="F285" s="100">
        <f t="shared" si="30"/>
        <v>45831</v>
      </c>
      <c r="G285" s="101">
        <f t="shared" si="31"/>
        <v>62</v>
      </c>
      <c r="H285" s="102">
        <f t="shared" si="28"/>
        <v>0</v>
      </c>
      <c r="K285" s="99" t="s">
        <v>2315</v>
      </c>
      <c r="L285" s="102">
        <f t="shared" si="32"/>
        <v>0</v>
      </c>
      <c r="M285" s="100">
        <v>45848</v>
      </c>
      <c r="N285" s="101">
        <v>175</v>
      </c>
      <c r="O285" s="101" t="str">
        <f t="shared" si="33"/>
        <v>90+</v>
      </c>
      <c r="P285" s="101" t="str">
        <f t="shared" si="29"/>
        <v>Low</v>
      </c>
    </row>
    <row r="286" spans="4:16" x14ac:dyDescent="0.3">
      <c r="D286" s="99" t="s">
        <v>2156</v>
      </c>
      <c r="E286" s="100">
        <v>45831</v>
      </c>
      <c r="F286" s="100" t="str">
        <f t="shared" si="30"/>
        <v/>
      </c>
      <c r="G286" s="101" t="str">
        <f t="shared" si="31"/>
        <v/>
      </c>
      <c r="H286" s="102" t="str">
        <f t="shared" si="28"/>
        <v/>
      </c>
      <c r="K286" s="99" t="s">
        <v>2316</v>
      </c>
      <c r="L286" s="102">
        <f t="shared" si="32"/>
        <v>0</v>
      </c>
      <c r="M286" s="100">
        <v>45890</v>
      </c>
      <c r="N286" s="101">
        <v>133</v>
      </c>
      <c r="O286" s="101" t="str">
        <f t="shared" si="33"/>
        <v>90+</v>
      </c>
      <c r="P286" s="101" t="str">
        <f t="shared" si="29"/>
        <v>Low</v>
      </c>
    </row>
    <row r="287" spans="4:16" x14ac:dyDescent="0.3">
      <c r="D287" s="99" t="s">
        <v>2157</v>
      </c>
      <c r="E287" s="100">
        <v>45918</v>
      </c>
      <c r="F287" s="100">
        <f t="shared" si="30"/>
        <v>46021</v>
      </c>
      <c r="G287" s="101">
        <f t="shared" si="31"/>
        <v>103</v>
      </c>
      <c r="H287" s="102">
        <f t="shared" si="28"/>
        <v>0</v>
      </c>
      <c r="K287" s="99" t="s">
        <v>2317</v>
      </c>
      <c r="L287" s="102">
        <f t="shared" si="32"/>
        <v>0</v>
      </c>
      <c r="M287" s="100">
        <v>45912</v>
      </c>
      <c r="N287" s="101">
        <v>111</v>
      </c>
      <c r="O287" s="101" t="str">
        <f t="shared" si="33"/>
        <v>90+</v>
      </c>
      <c r="P287" s="101" t="str">
        <f t="shared" si="29"/>
        <v>Low</v>
      </c>
    </row>
    <row r="288" spans="4:16" x14ac:dyDescent="0.3">
      <c r="D288" s="99" t="s">
        <v>2157</v>
      </c>
      <c r="E288" s="100">
        <v>46021</v>
      </c>
      <c r="F288" s="100" t="str">
        <f t="shared" si="30"/>
        <v/>
      </c>
      <c r="G288" s="101" t="str">
        <f t="shared" si="31"/>
        <v/>
      </c>
      <c r="H288" s="102" t="str">
        <f t="shared" si="28"/>
        <v/>
      </c>
      <c r="K288" s="99" t="s">
        <v>2318</v>
      </c>
      <c r="L288" s="102">
        <f t="shared" si="32"/>
        <v>0</v>
      </c>
      <c r="M288" s="100">
        <v>45978</v>
      </c>
      <c r="N288" s="101">
        <v>45</v>
      </c>
      <c r="O288" s="101" t="str">
        <f t="shared" si="33"/>
        <v>31-60</v>
      </c>
      <c r="P288" s="101" t="str">
        <f t="shared" si="29"/>
        <v>High</v>
      </c>
    </row>
    <row r="289" spans="4:16" x14ac:dyDescent="0.3">
      <c r="D289" s="99" t="s">
        <v>2158</v>
      </c>
      <c r="E289" s="100">
        <v>45805</v>
      </c>
      <c r="F289" s="100" t="str">
        <f t="shared" si="30"/>
        <v/>
      </c>
      <c r="G289" s="101" t="str">
        <f t="shared" si="31"/>
        <v/>
      </c>
      <c r="H289" s="102" t="str">
        <f t="shared" si="28"/>
        <v/>
      </c>
      <c r="K289" s="99" t="s">
        <v>2319</v>
      </c>
      <c r="L289" s="102">
        <f t="shared" si="32"/>
        <v>0</v>
      </c>
      <c r="M289" s="100">
        <v>46022</v>
      </c>
      <c r="N289" s="101">
        <v>1</v>
      </c>
      <c r="O289" s="101" t="str">
        <f t="shared" si="33"/>
        <v>0-30</v>
      </c>
      <c r="P289" s="101" t="str">
        <f t="shared" si="29"/>
        <v>High</v>
      </c>
    </row>
    <row r="290" spans="4:16" x14ac:dyDescent="0.3">
      <c r="D290" s="99" t="s">
        <v>2159</v>
      </c>
      <c r="E290" s="100">
        <v>45890</v>
      </c>
      <c r="F290" s="100">
        <f t="shared" si="30"/>
        <v>45930</v>
      </c>
      <c r="G290" s="101">
        <f t="shared" si="31"/>
        <v>40</v>
      </c>
      <c r="H290" s="102">
        <f t="shared" si="28"/>
        <v>0</v>
      </c>
      <c r="K290" s="99" t="s">
        <v>2320</v>
      </c>
      <c r="L290" s="102">
        <f t="shared" si="32"/>
        <v>0</v>
      </c>
      <c r="M290" s="100">
        <v>45820</v>
      </c>
      <c r="N290" s="101">
        <v>203</v>
      </c>
      <c r="O290" s="101" t="str">
        <f t="shared" si="33"/>
        <v>90+</v>
      </c>
      <c r="P290" s="101" t="str">
        <f t="shared" si="29"/>
        <v>Low</v>
      </c>
    </row>
    <row r="291" spans="4:16" x14ac:dyDescent="0.3">
      <c r="D291" s="99" t="s">
        <v>2159</v>
      </c>
      <c r="E291" s="100">
        <v>45930</v>
      </c>
      <c r="F291" s="100">
        <f t="shared" si="30"/>
        <v>46000</v>
      </c>
      <c r="G291" s="101">
        <f t="shared" si="31"/>
        <v>70</v>
      </c>
      <c r="H291" s="102">
        <f t="shared" si="28"/>
        <v>0</v>
      </c>
      <c r="K291" s="99" t="s">
        <v>2321</v>
      </c>
      <c r="L291" s="102">
        <f t="shared" si="32"/>
        <v>0</v>
      </c>
      <c r="M291" s="100">
        <v>45666</v>
      </c>
      <c r="N291" s="101">
        <v>357</v>
      </c>
      <c r="O291" s="101" t="str">
        <f t="shared" si="33"/>
        <v>90+</v>
      </c>
      <c r="P291" s="101" t="str">
        <f t="shared" si="29"/>
        <v>Low</v>
      </c>
    </row>
    <row r="292" spans="4:16" x14ac:dyDescent="0.3">
      <c r="D292" s="99" t="s">
        <v>2159</v>
      </c>
      <c r="E292" s="100">
        <v>46000</v>
      </c>
      <c r="F292" s="100" t="str">
        <f t="shared" si="30"/>
        <v/>
      </c>
      <c r="G292" s="101" t="str">
        <f t="shared" si="31"/>
        <v/>
      </c>
      <c r="H292" s="102" t="str">
        <f t="shared" si="28"/>
        <v/>
      </c>
      <c r="K292" s="99" t="s">
        <v>2322</v>
      </c>
      <c r="L292" s="102">
        <f t="shared" si="32"/>
        <v>0</v>
      </c>
      <c r="M292" s="100">
        <v>45919</v>
      </c>
      <c r="N292" s="101">
        <v>104</v>
      </c>
      <c r="O292" s="101" t="str">
        <f t="shared" si="33"/>
        <v>90+</v>
      </c>
      <c r="P292" s="101" t="str">
        <f t="shared" si="29"/>
        <v>Low</v>
      </c>
    </row>
    <row r="293" spans="4:16" x14ac:dyDescent="0.3">
      <c r="D293" s="99" t="s">
        <v>2160</v>
      </c>
      <c r="E293" s="100">
        <v>45679</v>
      </c>
      <c r="F293" s="100">
        <f t="shared" si="30"/>
        <v>45698</v>
      </c>
      <c r="G293" s="101">
        <f t="shared" si="31"/>
        <v>19</v>
      </c>
      <c r="H293" s="102">
        <f t="shared" si="28"/>
        <v>1</v>
      </c>
      <c r="K293" s="99" t="s">
        <v>2323</v>
      </c>
      <c r="L293" s="102">
        <f t="shared" si="32"/>
        <v>1</v>
      </c>
      <c r="M293" s="100">
        <v>45764</v>
      </c>
      <c r="N293" s="101">
        <v>259</v>
      </c>
      <c r="O293" s="101" t="str">
        <f t="shared" si="33"/>
        <v>90+</v>
      </c>
      <c r="P293" s="101" t="str">
        <f t="shared" si="29"/>
        <v>Low</v>
      </c>
    </row>
    <row r="294" spans="4:16" x14ac:dyDescent="0.3">
      <c r="D294" s="99" t="s">
        <v>2160</v>
      </c>
      <c r="E294" s="100">
        <v>45698</v>
      </c>
      <c r="F294" s="100">
        <f t="shared" si="30"/>
        <v>45741</v>
      </c>
      <c r="G294" s="101">
        <f t="shared" si="31"/>
        <v>43</v>
      </c>
      <c r="H294" s="102">
        <f t="shared" si="28"/>
        <v>0</v>
      </c>
      <c r="K294" s="99" t="s">
        <v>2324</v>
      </c>
      <c r="L294" s="102">
        <f t="shared" si="32"/>
        <v>0</v>
      </c>
      <c r="M294" s="100">
        <v>45771</v>
      </c>
      <c r="N294" s="101">
        <v>252</v>
      </c>
      <c r="O294" s="101" t="str">
        <f t="shared" si="33"/>
        <v>90+</v>
      </c>
      <c r="P294" s="101" t="str">
        <f t="shared" si="29"/>
        <v>Low</v>
      </c>
    </row>
    <row r="295" spans="4:16" x14ac:dyDescent="0.3">
      <c r="D295" s="99" t="s">
        <v>2160</v>
      </c>
      <c r="E295" s="100">
        <v>45741</v>
      </c>
      <c r="F295" s="100">
        <f t="shared" si="30"/>
        <v>45763</v>
      </c>
      <c r="G295" s="101">
        <f t="shared" si="31"/>
        <v>22</v>
      </c>
      <c r="H295" s="102">
        <f t="shared" si="28"/>
        <v>1</v>
      </c>
      <c r="K295" s="99" t="s">
        <v>2325</v>
      </c>
      <c r="L295" s="102">
        <f t="shared" si="32"/>
        <v>1</v>
      </c>
      <c r="M295" s="100">
        <v>45910</v>
      </c>
      <c r="N295" s="101">
        <v>113</v>
      </c>
      <c r="O295" s="101" t="str">
        <f t="shared" si="33"/>
        <v>90+</v>
      </c>
      <c r="P295" s="101" t="str">
        <f t="shared" si="29"/>
        <v>Low</v>
      </c>
    </row>
    <row r="296" spans="4:16" x14ac:dyDescent="0.3">
      <c r="D296" s="99" t="s">
        <v>2160</v>
      </c>
      <c r="E296" s="100">
        <v>45763</v>
      </c>
      <c r="F296" s="100">
        <f t="shared" si="30"/>
        <v>45908</v>
      </c>
      <c r="G296" s="101">
        <f t="shared" si="31"/>
        <v>145</v>
      </c>
      <c r="H296" s="102">
        <f t="shared" si="28"/>
        <v>0</v>
      </c>
      <c r="K296" s="99" t="s">
        <v>2326</v>
      </c>
      <c r="L296" s="102">
        <f t="shared" si="32"/>
        <v>1</v>
      </c>
      <c r="M296" s="100">
        <v>46022</v>
      </c>
      <c r="N296" s="101">
        <v>1</v>
      </c>
      <c r="O296" s="101" t="str">
        <f t="shared" si="33"/>
        <v>0-30</v>
      </c>
      <c r="P296" s="101" t="str">
        <f t="shared" si="29"/>
        <v>High</v>
      </c>
    </row>
    <row r="297" spans="4:16" x14ac:dyDescent="0.3">
      <c r="D297" s="99" t="s">
        <v>2160</v>
      </c>
      <c r="E297" s="100">
        <v>45908</v>
      </c>
      <c r="F297" s="100">
        <f t="shared" si="30"/>
        <v>45960</v>
      </c>
      <c r="G297" s="101">
        <f t="shared" si="31"/>
        <v>52</v>
      </c>
      <c r="H297" s="102">
        <f t="shared" si="28"/>
        <v>0</v>
      </c>
      <c r="K297" s="99" t="s">
        <v>2327</v>
      </c>
      <c r="L297" s="102">
        <f t="shared" si="32"/>
        <v>1</v>
      </c>
      <c r="M297" s="100">
        <v>45996</v>
      </c>
      <c r="N297" s="101">
        <v>27</v>
      </c>
      <c r="O297" s="101" t="str">
        <f t="shared" si="33"/>
        <v>0-30</v>
      </c>
      <c r="P297" s="101" t="str">
        <f t="shared" si="29"/>
        <v>High</v>
      </c>
    </row>
    <row r="298" spans="4:16" x14ac:dyDescent="0.3">
      <c r="D298" s="99" t="s">
        <v>2160</v>
      </c>
      <c r="E298" s="100">
        <v>45960</v>
      </c>
      <c r="F298" s="100">
        <f t="shared" si="30"/>
        <v>45967</v>
      </c>
      <c r="G298" s="101">
        <f t="shared" si="31"/>
        <v>7</v>
      </c>
      <c r="H298" s="102">
        <f t="shared" si="28"/>
        <v>1</v>
      </c>
      <c r="K298" s="99" t="s">
        <v>2328</v>
      </c>
      <c r="L298" s="102">
        <f t="shared" si="32"/>
        <v>1</v>
      </c>
      <c r="M298" s="100">
        <v>45994</v>
      </c>
      <c r="N298" s="101">
        <v>29</v>
      </c>
      <c r="O298" s="101" t="str">
        <f t="shared" si="33"/>
        <v>0-30</v>
      </c>
      <c r="P298" s="101" t="str">
        <f t="shared" si="29"/>
        <v>High</v>
      </c>
    </row>
    <row r="299" spans="4:16" x14ac:dyDescent="0.3">
      <c r="D299" s="99" t="s">
        <v>2160</v>
      </c>
      <c r="E299" s="100">
        <v>45967</v>
      </c>
      <c r="F299" s="100" t="str">
        <f t="shared" si="30"/>
        <v/>
      </c>
      <c r="G299" s="101" t="str">
        <f t="shared" si="31"/>
        <v/>
      </c>
      <c r="H299" s="102" t="str">
        <f t="shared" si="28"/>
        <v/>
      </c>
      <c r="K299" s="99" t="s">
        <v>2329</v>
      </c>
      <c r="L299" s="102">
        <f t="shared" si="32"/>
        <v>0</v>
      </c>
      <c r="M299" s="100">
        <v>46022</v>
      </c>
      <c r="N299" s="101">
        <v>1</v>
      </c>
      <c r="O299" s="101" t="str">
        <f t="shared" si="33"/>
        <v>0-30</v>
      </c>
      <c r="P299" s="101" t="str">
        <f t="shared" si="29"/>
        <v>High</v>
      </c>
    </row>
    <row r="300" spans="4:16" x14ac:dyDescent="0.3">
      <c r="D300" s="99" t="s">
        <v>2161</v>
      </c>
      <c r="E300" s="100">
        <v>45768</v>
      </c>
      <c r="F300" s="100" t="str">
        <f t="shared" si="30"/>
        <v/>
      </c>
      <c r="G300" s="101" t="str">
        <f t="shared" si="31"/>
        <v/>
      </c>
      <c r="H300" s="102" t="str">
        <f t="shared" si="28"/>
        <v/>
      </c>
      <c r="K300" s="99" t="s">
        <v>2330</v>
      </c>
      <c r="L300" s="102">
        <f t="shared" si="32"/>
        <v>0</v>
      </c>
      <c r="M300" s="100">
        <v>45750</v>
      </c>
      <c r="N300" s="101">
        <v>273</v>
      </c>
      <c r="O300" s="101" t="str">
        <f t="shared" si="33"/>
        <v>90+</v>
      </c>
      <c r="P300" s="101" t="str">
        <f t="shared" si="29"/>
        <v>Low</v>
      </c>
    </row>
    <row r="301" spans="4:16" x14ac:dyDescent="0.3">
      <c r="D301" s="99" t="s">
        <v>2162</v>
      </c>
      <c r="E301" s="100">
        <v>45758</v>
      </c>
      <c r="F301" s="100">
        <f t="shared" si="30"/>
        <v>45881</v>
      </c>
      <c r="G301" s="101">
        <f t="shared" si="31"/>
        <v>123</v>
      </c>
      <c r="H301" s="102">
        <f t="shared" si="28"/>
        <v>0</v>
      </c>
      <c r="K301" s="99" t="s">
        <v>2331</v>
      </c>
      <c r="L301" s="102">
        <f t="shared" si="32"/>
        <v>0</v>
      </c>
      <c r="M301" s="100">
        <v>45912</v>
      </c>
      <c r="N301" s="101">
        <v>111</v>
      </c>
      <c r="O301" s="101" t="str">
        <f t="shared" si="33"/>
        <v>90+</v>
      </c>
      <c r="P301" s="101" t="str">
        <f t="shared" si="29"/>
        <v>Low</v>
      </c>
    </row>
    <row r="302" spans="4:16" x14ac:dyDescent="0.3">
      <c r="D302" s="99" t="s">
        <v>2162</v>
      </c>
      <c r="E302" s="100">
        <v>45881</v>
      </c>
      <c r="F302" s="100">
        <f t="shared" si="30"/>
        <v>45894</v>
      </c>
      <c r="G302" s="101">
        <f t="shared" si="31"/>
        <v>13</v>
      </c>
      <c r="H302" s="102">
        <f t="shared" si="28"/>
        <v>1</v>
      </c>
      <c r="K302" s="99" t="s">
        <v>2332</v>
      </c>
      <c r="L302" s="102">
        <f t="shared" si="32"/>
        <v>0</v>
      </c>
      <c r="M302" s="100">
        <v>45672</v>
      </c>
      <c r="N302" s="101">
        <v>351</v>
      </c>
      <c r="O302" s="101" t="str">
        <f t="shared" si="33"/>
        <v>90+</v>
      </c>
      <c r="P302" s="101" t="str">
        <f t="shared" si="29"/>
        <v>Low</v>
      </c>
    </row>
    <row r="303" spans="4:16" x14ac:dyDescent="0.3">
      <c r="D303" s="99" t="s">
        <v>2162</v>
      </c>
      <c r="E303" s="100">
        <v>45894</v>
      </c>
      <c r="F303" s="100">
        <f t="shared" si="30"/>
        <v>45912</v>
      </c>
      <c r="G303" s="101">
        <f t="shared" si="31"/>
        <v>18</v>
      </c>
      <c r="H303" s="102">
        <f t="shared" si="28"/>
        <v>1</v>
      </c>
      <c r="K303" s="99" t="s">
        <v>2333</v>
      </c>
      <c r="L303" s="102">
        <f t="shared" si="32"/>
        <v>0</v>
      </c>
      <c r="M303" s="100">
        <v>45848</v>
      </c>
      <c r="N303" s="101">
        <v>175</v>
      </c>
      <c r="O303" s="101" t="str">
        <f t="shared" si="33"/>
        <v>90+</v>
      </c>
      <c r="P303" s="101" t="str">
        <f t="shared" si="29"/>
        <v>Low</v>
      </c>
    </row>
    <row r="304" spans="4:16" x14ac:dyDescent="0.3">
      <c r="D304" s="99" t="s">
        <v>2162</v>
      </c>
      <c r="E304" s="100">
        <v>45912</v>
      </c>
      <c r="F304" s="100" t="str">
        <f t="shared" si="30"/>
        <v/>
      </c>
      <c r="G304" s="101" t="str">
        <f t="shared" si="31"/>
        <v/>
      </c>
      <c r="H304" s="102" t="str">
        <f t="shared" si="28"/>
        <v/>
      </c>
      <c r="K304" s="99" t="s">
        <v>2334</v>
      </c>
      <c r="L304" s="102">
        <f t="shared" si="32"/>
        <v>1</v>
      </c>
      <c r="M304" s="100">
        <v>45987</v>
      </c>
      <c r="N304" s="101">
        <v>36</v>
      </c>
      <c r="O304" s="101" t="str">
        <f t="shared" si="33"/>
        <v>31-60</v>
      </c>
      <c r="P304" s="101" t="str">
        <f t="shared" si="29"/>
        <v>High</v>
      </c>
    </row>
    <row r="305" spans="4:16" x14ac:dyDescent="0.3">
      <c r="D305" s="99" t="s">
        <v>2163</v>
      </c>
      <c r="E305" s="100">
        <v>45659</v>
      </c>
      <c r="F305" s="100">
        <f t="shared" si="30"/>
        <v>45674</v>
      </c>
      <c r="G305" s="101">
        <f t="shared" si="31"/>
        <v>15</v>
      </c>
      <c r="H305" s="102">
        <f t="shared" si="28"/>
        <v>1</v>
      </c>
      <c r="K305" s="99" t="s">
        <v>2335</v>
      </c>
      <c r="L305" s="102">
        <f t="shared" si="32"/>
        <v>1</v>
      </c>
      <c r="M305" s="100">
        <v>45778</v>
      </c>
      <c r="N305" s="101">
        <v>245</v>
      </c>
      <c r="O305" s="101" t="str">
        <f t="shared" si="33"/>
        <v>90+</v>
      </c>
      <c r="P305" s="101" t="str">
        <f t="shared" si="29"/>
        <v>Low</v>
      </c>
    </row>
    <row r="306" spans="4:16" x14ac:dyDescent="0.3">
      <c r="D306" s="99" t="s">
        <v>2163</v>
      </c>
      <c r="E306" s="100">
        <v>45674</v>
      </c>
      <c r="F306" s="100" t="str">
        <f t="shared" si="30"/>
        <v/>
      </c>
      <c r="G306" s="101" t="str">
        <f t="shared" si="31"/>
        <v/>
      </c>
      <c r="H306" s="102" t="str">
        <f t="shared" si="28"/>
        <v/>
      </c>
      <c r="K306" s="99" t="s">
        <v>2336</v>
      </c>
      <c r="L306" s="102">
        <f t="shared" si="32"/>
        <v>0</v>
      </c>
      <c r="M306" s="100">
        <v>45923</v>
      </c>
      <c r="N306" s="101">
        <v>100</v>
      </c>
      <c r="O306" s="101" t="str">
        <f t="shared" si="33"/>
        <v>90+</v>
      </c>
      <c r="P306" s="101" t="str">
        <f t="shared" si="29"/>
        <v>Low</v>
      </c>
    </row>
    <row r="307" spans="4:16" x14ac:dyDescent="0.3">
      <c r="D307" s="99" t="s">
        <v>2164</v>
      </c>
      <c r="E307" s="100">
        <v>45712</v>
      </c>
      <c r="F307" s="100">
        <f t="shared" si="30"/>
        <v>45995</v>
      </c>
      <c r="G307" s="101">
        <f t="shared" si="31"/>
        <v>283</v>
      </c>
      <c r="H307" s="102">
        <f t="shared" si="28"/>
        <v>0</v>
      </c>
      <c r="K307" s="99" t="s">
        <v>2337</v>
      </c>
      <c r="L307" s="102">
        <f t="shared" si="32"/>
        <v>0</v>
      </c>
      <c r="M307" s="100">
        <v>45729</v>
      </c>
      <c r="N307" s="101">
        <v>294</v>
      </c>
      <c r="O307" s="101" t="str">
        <f t="shared" si="33"/>
        <v>90+</v>
      </c>
      <c r="P307" s="101" t="str">
        <f t="shared" si="29"/>
        <v>Low</v>
      </c>
    </row>
    <row r="308" spans="4:16" x14ac:dyDescent="0.3">
      <c r="D308" s="99" t="s">
        <v>2164</v>
      </c>
      <c r="E308" s="100">
        <v>45995</v>
      </c>
      <c r="F308" s="100" t="str">
        <f t="shared" si="30"/>
        <v/>
      </c>
      <c r="G308" s="101" t="str">
        <f t="shared" si="31"/>
        <v/>
      </c>
      <c r="H308" s="102" t="str">
        <f t="shared" si="28"/>
        <v/>
      </c>
      <c r="K308" s="99" t="s">
        <v>2338</v>
      </c>
      <c r="L308" s="102">
        <f t="shared" si="32"/>
        <v>0</v>
      </c>
      <c r="M308" s="100">
        <v>46010</v>
      </c>
      <c r="N308" s="101">
        <v>13</v>
      </c>
      <c r="O308" s="101" t="str">
        <f t="shared" si="33"/>
        <v>0-30</v>
      </c>
      <c r="P308" s="101" t="str">
        <f t="shared" si="29"/>
        <v>High</v>
      </c>
    </row>
    <row r="309" spans="4:16" x14ac:dyDescent="0.3">
      <c r="D309" s="99" t="s">
        <v>2165</v>
      </c>
      <c r="E309" s="100">
        <v>45988</v>
      </c>
      <c r="F309" s="100" t="str">
        <f t="shared" si="30"/>
        <v/>
      </c>
      <c r="G309" s="101" t="str">
        <f t="shared" si="31"/>
        <v/>
      </c>
      <c r="H309" s="102" t="str">
        <f t="shared" si="28"/>
        <v/>
      </c>
      <c r="K309" s="99" t="s">
        <v>2339</v>
      </c>
      <c r="L309" s="102">
        <f t="shared" si="32"/>
        <v>0</v>
      </c>
      <c r="M309" s="100">
        <v>45979</v>
      </c>
      <c r="N309" s="101">
        <v>44</v>
      </c>
      <c r="O309" s="101" t="str">
        <f t="shared" si="33"/>
        <v>31-60</v>
      </c>
      <c r="P309" s="101" t="str">
        <f t="shared" si="29"/>
        <v>High</v>
      </c>
    </row>
    <row r="310" spans="4:16" x14ac:dyDescent="0.3">
      <c r="D310" s="99" t="s">
        <v>2166</v>
      </c>
      <c r="E310" s="100">
        <v>45833</v>
      </c>
      <c r="F310" s="100">
        <f t="shared" si="30"/>
        <v>45925</v>
      </c>
      <c r="G310" s="101">
        <f t="shared" si="31"/>
        <v>92</v>
      </c>
      <c r="H310" s="102">
        <f t="shared" si="28"/>
        <v>0</v>
      </c>
      <c r="K310" s="99" t="s">
        <v>2340</v>
      </c>
      <c r="L310" s="102">
        <f t="shared" si="32"/>
        <v>0</v>
      </c>
      <c r="M310" s="100">
        <v>45842</v>
      </c>
      <c r="N310" s="101">
        <v>181</v>
      </c>
      <c r="O310" s="101" t="str">
        <f t="shared" si="33"/>
        <v>90+</v>
      </c>
      <c r="P310" s="101" t="str">
        <f t="shared" si="29"/>
        <v>Low</v>
      </c>
    </row>
    <row r="311" spans="4:16" x14ac:dyDescent="0.3">
      <c r="D311" s="99" t="s">
        <v>2166</v>
      </c>
      <c r="E311" s="100">
        <v>45925</v>
      </c>
      <c r="F311" s="100" t="str">
        <f t="shared" si="30"/>
        <v/>
      </c>
      <c r="G311" s="101" t="str">
        <f t="shared" si="31"/>
        <v/>
      </c>
      <c r="H311" s="102" t="str">
        <f t="shared" si="28"/>
        <v/>
      </c>
      <c r="K311" s="99" t="s">
        <v>2341</v>
      </c>
      <c r="L311" s="102">
        <f t="shared" si="32"/>
        <v>0</v>
      </c>
      <c r="M311" s="100">
        <v>45779</v>
      </c>
      <c r="N311" s="101">
        <v>244</v>
      </c>
      <c r="O311" s="101" t="str">
        <f t="shared" si="33"/>
        <v>90+</v>
      </c>
      <c r="P311" s="101" t="str">
        <f t="shared" si="29"/>
        <v>Low</v>
      </c>
    </row>
    <row r="312" spans="4:16" x14ac:dyDescent="0.3">
      <c r="D312" s="99" t="s">
        <v>2167</v>
      </c>
      <c r="E312" s="100">
        <v>45995</v>
      </c>
      <c r="F312" s="100" t="str">
        <f t="shared" si="30"/>
        <v/>
      </c>
      <c r="G312" s="101" t="str">
        <f t="shared" si="31"/>
        <v/>
      </c>
      <c r="H312" s="102" t="str">
        <f t="shared" si="28"/>
        <v/>
      </c>
      <c r="K312" s="99" t="s">
        <v>2342</v>
      </c>
      <c r="L312" s="102">
        <f t="shared" si="32"/>
        <v>1</v>
      </c>
      <c r="M312" s="100">
        <v>45874</v>
      </c>
      <c r="N312" s="101">
        <v>149</v>
      </c>
      <c r="O312" s="101" t="str">
        <f t="shared" si="33"/>
        <v>90+</v>
      </c>
      <c r="P312" s="101" t="str">
        <f t="shared" si="29"/>
        <v>Low</v>
      </c>
    </row>
    <row r="313" spans="4:16" x14ac:dyDescent="0.3">
      <c r="D313" s="99" t="s">
        <v>2168</v>
      </c>
      <c r="E313" s="100">
        <v>45714</v>
      </c>
      <c r="F313" s="100">
        <f t="shared" si="30"/>
        <v>45911</v>
      </c>
      <c r="G313" s="101">
        <f t="shared" si="31"/>
        <v>197</v>
      </c>
      <c r="H313" s="102">
        <f t="shared" si="28"/>
        <v>0</v>
      </c>
      <c r="K313" s="99" t="s">
        <v>2343</v>
      </c>
      <c r="L313" s="102">
        <f t="shared" si="32"/>
        <v>0</v>
      </c>
      <c r="M313" s="100">
        <v>45912</v>
      </c>
      <c r="N313" s="101">
        <v>111</v>
      </c>
      <c r="O313" s="101" t="str">
        <f t="shared" si="33"/>
        <v>90+</v>
      </c>
      <c r="P313" s="101" t="str">
        <f t="shared" si="29"/>
        <v>Low</v>
      </c>
    </row>
    <row r="314" spans="4:16" x14ac:dyDescent="0.3">
      <c r="D314" s="99" t="s">
        <v>2168</v>
      </c>
      <c r="E314" s="100">
        <v>45911</v>
      </c>
      <c r="F314" s="100" t="str">
        <f t="shared" si="30"/>
        <v/>
      </c>
      <c r="G314" s="101" t="str">
        <f t="shared" si="31"/>
        <v/>
      </c>
      <c r="H314" s="102" t="str">
        <f t="shared" si="28"/>
        <v/>
      </c>
      <c r="K314" s="99" t="s">
        <v>2344</v>
      </c>
      <c r="L314" s="102">
        <f t="shared" si="32"/>
        <v>0</v>
      </c>
      <c r="M314" s="100">
        <v>46017</v>
      </c>
      <c r="N314" s="101">
        <v>6</v>
      </c>
      <c r="O314" s="101" t="str">
        <f t="shared" si="33"/>
        <v>0-30</v>
      </c>
      <c r="P314" s="101" t="str">
        <f t="shared" si="29"/>
        <v>High</v>
      </c>
    </row>
    <row r="315" spans="4:16" x14ac:dyDescent="0.3">
      <c r="D315" s="99" t="s">
        <v>2169</v>
      </c>
      <c r="E315" s="100">
        <v>45722</v>
      </c>
      <c r="F315" s="100">
        <f t="shared" si="30"/>
        <v>45726</v>
      </c>
      <c r="G315" s="101">
        <f t="shared" si="31"/>
        <v>4</v>
      </c>
      <c r="H315" s="102">
        <f t="shared" si="28"/>
        <v>1</v>
      </c>
      <c r="K315" s="99" t="s">
        <v>2345</v>
      </c>
      <c r="L315" s="102">
        <f t="shared" si="32"/>
        <v>1</v>
      </c>
      <c r="M315" s="100">
        <v>45875</v>
      </c>
      <c r="N315" s="101">
        <v>148</v>
      </c>
      <c r="O315" s="101" t="str">
        <f t="shared" si="33"/>
        <v>90+</v>
      </c>
      <c r="P315" s="101" t="str">
        <f t="shared" si="29"/>
        <v>Low</v>
      </c>
    </row>
    <row r="316" spans="4:16" x14ac:dyDescent="0.3">
      <c r="D316" s="99" t="s">
        <v>2169</v>
      </c>
      <c r="E316" s="100">
        <v>45726</v>
      </c>
      <c r="F316" s="100">
        <f t="shared" si="30"/>
        <v>45748</v>
      </c>
      <c r="G316" s="101">
        <f t="shared" si="31"/>
        <v>22</v>
      </c>
      <c r="H316" s="102">
        <f t="shared" si="28"/>
        <v>1</v>
      </c>
      <c r="K316" s="99" t="s">
        <v>2346</v>
      </c>
      <c r="L316" s="102">
        <f t="shared" si="32"/>
        <v>0</v>
      </c>
      <c r="M316" s="100">
        <v>46007</v>
      </c>
      <c r="N316" s="101">
        <v>16</v>
      </c>
      <c r="O316" s="101" t="str">
        <f t="shared" si="33"/>
        <v>0-30</v>
      </c>
      <c r="P316" s="101" t="str">
        <f t="shared" si="29"/>
        <v>High</v>
      </c>
    </row>
    <row r="317" spans="4:16" x14ac:dyDescent="0.3">
      <c r="D317" s="99" t="s">
        <v>2169</v>
      </c>
      <c r="E317" s="100">
        <v>45748</v>
      </c>
      <c r="F317" s="100">
        <f t="shared" si="30"/>
        <v>45763</v>
      </c>
      <c r="G317" s="101">
        <f t="shared" si="31"/>
        <v>15</v>
      </c>
      <c r="H317" s="102">
        <f t="shared" si="28"/>
        <v>1</v>
      </c>
      <c r="K317" s="99" t="s">
        <v>2347</v>
      </c>
      <c r="L317" s="102">
        <f t="shared" si="32"/>
        <v>0</v>
      </c>
      <c r="M317" s="100">
        <v>46014</v>
      </c>
      <c r="N317" s="101">
        <v>9</v>
      </c>
      <c r="O317" s="101" t="str">
        <f t="shared" si="33"/>
        <v>0-30</v>
      </c>
      <c r="P317" s="101" t="str">
        <f t="shared" si="29"/>
        <v>High</v>
      </c>
    </row>
    <row r="318" spans="4:16" x14ac:dyDescent="0.3">
      <c r="D318" s="99" t="s">
        <v>2169</v>
      </c>
      <c r="E318" s="100">
        <v>45763</v>
      </c>
      <c r="F318" s="100">
        <f t="shared" si="30"/>
        <v>45923</v>
      </c>
      <c r="G318" s="101">
        <f t="shared" si="31"/>
        <v>160</v>
      </c>
      <c r="H318" s="102">
        <f t="shared" si="28"/>
        <v>0</v>
      </c>
      <c r="K318" s="99" t="s">
        <v>2348</v>
      </c>
      <c r="L318" s="102">
        <f t="shared" si="32"/>
        <v>0</v>
      </c>
      <c r="M318" s="100">
        <v>45910</v>
      </c>
      <c r="N318" s="101">
        <v>113</v>
      </c>
      <c r="O318" s="101" t="str">
        <f t="shared" si="33"/>
        <v>90+</v>
      </c>
      <c r="P318" s="101" t="str">
        <f t="shared" si="29"/>
        <v>Low</v>
      </c>
    </row>
    <row r="319" spans="4:16" x14ac:dyDescent="0.3">
      <c r="D319" s="99" t="s">
        <v>2169</v>
      </c>
      <c r="E319" s="100">
        <v>45923</v>
      </c>
      <c r="F319" s="100">
        <f t="shared" si="30"/>
        <v>45992</v>
      </c>
      <c r="G319" s="101">
        <f t="shared" si="31"/>
        <v>69</v>
      </c>
      <c r="H319" s="102">
        <f t="shared" si="28"/>
        <v>0</v>
      </c>
      <c r="K319" s="99" t="s">
        <v>2349</v>
      </c>
      <c r="L319" s="102">
        <f t="shared" si="32"/>
        <v>0</v>
      </c>
      <c r="M319" s="100">
        <v>45909</v>
      </c>
      <c r="N319" s="101">
        <v>114</v>
      </c>
      <c r="O319" s="101" t="str">
        <f t="shared" si="33"/>
        <v>90+</v>
      </c>
      <c r="P319" s="101" t="str">
        <f t="shared" si="29"/>
        <v>Low</v>
      </c>
    </row>
    <row r="320" spans="4:16" x14ac:dyDescent="0.3">
      <c r="D320" s="99" t="s">
        <v>2169</v>
      </c>
      <c r="E320" s="100">
        <v>45992</v>
      </c>
      <c r="F320" s="100" t="str">
        <f t="shared" si="30"/>
        <v/>
      </c>
      <c r="G320" s="101" t="str">
        <f t="shared" si="31"/>
        <v/>
      </c>
      <c r="H320" s="102" t="str">
        <f t="shared" si="28"/>
        <v/>
      </c>
      <c r="K320" s="99" t="s">
        <v>2350</v>
      </c>
      <c r="L320" s="102">
        <f t="shared" si="32"/>
        <v>0</v>
      </c>
      <c r="M320" s="100">
        <v>45687</v>
      </c>
      <c r="N320" s="101">
        <v>336</v>
      </c>
      <c r="O320" s="101" t="str">
        <f t="shared" si="33"/>
        <v>90+</v>
      </c>
      <c r="P320" s="101" t="str">
        <f t="shared" si="29"/>
        <v>Low</v>
      </c>
    </row>
    <row r="321" spans="4:16" x14ac:dyDescent="0.3">
      <c r="D321" s="99" t="s">
        <v>2170</v>
      </c>
      <c r="E321" s="100">
        <v>45798</v>
      </c>
      <c r="F321" s="100" t="str">
        <f t="shared" si="30"/>
        <v/>
      </c>
      <c r="G321" s="101" t="str">
        <f t="shared" si="31"/>
        <v/>
      </c>
      <c r="H321" s="102" t="str">
        <f t="shared" si="28"/>
        <v/>
      </c>
      <c r="K321" s="99" t="s">
        <v>2351</v>
      </c>
      <c r="L321" s="102">
        <f t="shared" si="32"/>
        <v>1</v>
      </c>
      <c r="M321" s="100">
        <v>45874</v>
      </c>
      <c r="N321" s="101">
        <v>149</v>
      </c>
      <c r="O321" s="101" t="str">
        <f t="shared" si="33"/>
        <v>90+</v>
      </c>
      <c r="P321" s="101" t="str">
        <f t="shared" si="29"/>
        <v>Low</v>
      </c>
    </row>
    <row r="322" spans="4:16" x14ac:dyDescent="0.3">
      <c r="D322" s="99" t="s">
        <v>2171</v>
      </c>
      <c r="E322" s="100">
        <v>45764</v>
      </c>
      <c r="F322" s="100" t="str">
        <f t="shared" si="30"/>
        <v/>
      </c>
      <c r="G322" s="101" t="str">
        <f t="shared" si="31"/>
        <v/>
      </c>
      <c r="H322" s="102" t="str">
        <f t="shared" si="28"/>
        <v/>
      </c>
      <c r="K322" s="99" t="s">
        <v>2352</v>
      </c>
      <c r="L322" s="102">
        <f t="shared" si="32"/>
        <v>0</v>
      </c>
      <c r="M322" s="100">
        <v>45922</v>
      </c>
      <c r="N322" s="101">
        <v>101</v>
      </c>
      <c r="O322" s="101" t="str">
        <f t="shared" si="33"/>
        <v>90+</v>
      </c>
      <c r="P322" s="101" t="str">
        <f t="shared" si="29"/>
        <v>Low</v>
      </c>
    </row>
    <row r="323" spans="4:16" x14ac:dyDescent="0.3">
      <c r="D323" s="99" t="s">
        <v>2172</v>
      </c>
      <c r="E323" s="100">
        <v>45758</v>
      </c>
      <c r="F323" s="100" t="str">
        <f t="shared" si="30"/>
        <v/>
      </c>
      <c r="G323" s="101" t="str">
        <f t="shared" si="31"/>
        <v/>
      </c>
      <c r="H323" s="102" t="str">
        <f t="shared" si="28"/>
        <v/>
      </c>
      <c r="K323" s="99" t="s">
        <v>2353</v>
      </c>
      <c r="L323" s="102">
        <f t="shared" si="32"/>
        <v>0</v>
      </c>
      <c r="M323" s="100">
        <v>45967</v>
      </c>
      <c r="N323" s="101">
        <v>56</v>
      </c>
      <c r="O323" s="101" t="str">
        <f t="shared" si="33"/>
        <v>31-60</v>
      </c>
      <c r="P323" s="101" t="str">
        <f t="shared" si="29"/>
        <v>High</v>
      </c>
    </row>
    <row r="324" spans="4:16" x14ac:dyDescent="0.3">
      <c r="D324" s="99" t="s">
        <v>2173</v>
      </c>
      <c r="E324" s="100">
        <v>45677</v>
      </c>
      <c r="F324" s="100">
        <f t="shared" si="30"/>
        <v>45720</v>
      </c>
      <c r="G324" s="101">
        <f t="shared" si="31"/>
        <v>43</v>
      </c>
      <c r="H324" s="102">
        <f t="shared" si="28"/>
        <v>0</v>
      </c>
      <c r="K324" s="99" t="s">
        <v>2354</v>
      </c>
      <c r="L324" s="102">
        <f t="shared" si="32"/>
        <v>0</v>
      </c>
      <c r="M324" s="100">
        <v>46022</v>
      </c>
      <c r="N324" s="101">
        <v>1</v>
      </c>
      <c r="O324" s="101" t="str">
        <f t="shared" si="33"/>
        <v>0-30</v>
      </c>
      <c r="P324" s="101" t="str">
        <f t="shared" si="29"/>
        <v>High</v>
      </c>
    </row>
    <row r="325" spans="4:16" x14ac:dyDescent="0.3">
      <c r="D325" s="99" t="s">
        <v>2173</v>
      </c>
      <c r="E325" s="100">
        <v>45720</v>
      </c>
      <c r="F325" s="100">
        <f t="shared" si="30"/>
        <v>45727</v>
      </c>
      <c r="G325" s="101">
        <f t="shared" si="31"/>
        <v>7</v>
      </c>
      <c r="H325" s="102">
        <f t="shared" si="28"/>
        <v>1</v>
      </c>
      <c r="K325" s="99" t="s">
        <v>2355</v>
      </c>
      <c r="L325" s="102">
        <f t="shared" si="32"/>
        <v>1</v>
      </c>
      <c r="M325" s="100">
        <v>45972</v>
      </c>
      <c r="N325" s="101">
        <v>51</v>
      </c>
      <c r="O325" s="101" t="str">
        <f t="shared" si="33"/>
        <v>31-60</v>
      </c>
      <c r="P325" s="101" t="str">
        <f t="shared" si="29"/>
        <v>High</v>
      </c>
    </row>
    <row r="326" spans="4:16" x14ac:dyDescent="0.3">
      <c r="D326" s="99" t="s">
        <v>2173</v>
      </c>
      <c r="E326" s="100">
        <v>45727</v>
      </c>
      <c r="F326" s="100">
        <f t="shared" si="30"/>
        <v>45764</v>
      </c>
      <c r="G326" s="101">
        <f t="shared" si="31"/>
        <v>37</v>
      </c>
      <c r="H326" s="102">
        <f t="shared" si="28"/>
        <v>0</v>
      </c>
      <c r="K326" s="99" t="s">
        <v>2356</v>
      </c>
      <c r="L326" s="102">
        <f t="shared" si="32"/>
        <v>1</v>
      </c>
      <c r="M326" s="100">
        <v>45918</v>
      </c>
      <c r="N326" s="101">
        <v>105</v>
      </c>
      <c r="O326" s="101" t="str">
        <f t="shared" si="33"/>
        <v>90+</v>
      </c>
      <c r="P326" s="101" t="str">
        <f t="shared" si="29"/>
        <v>Low</v>
      </c>
    </row>
    <row r="327" spans="4:16" x14ac:dyDescent="0.3">
      <c r="D327" s="99" t="s">
        <v>2173</v>
      </c>
      <c r="E327" s="100">
        <v>45764</v>
      </c>
      <c r="F327" s="100" t="str">
        <f t="shared" si="30"/>
        <v/>
      </c>
      <c r="G327" s="101" t="str">
        <f t="shared" si="31"/>
        <v/>
      </c>
      <c r="H327" s="102" t="str">
        <f t="shared" ref="H327:H390" si="34">IF(G327="","",IF(G327&lt;=return_window,1,0))</f>
        <v/>
      </c>
      <c r="K327" s="99" t="s">
        <v>2357</v>
      </c>
      <c r="L327" s="102">
        <f t="shared" si="32"/>
        <v>0</v>
      </c>
      <c r="M327" s="100">
        <v>45875</v>
      </c>
      <c r="N327" s="101">
        <v>148</v>
      </c>
      <c r="O327" s="101" t="str">
        <f t="shared" si="33"/>
        <v>90+</v>
      </c>
      <c r="P327" s="101" t="str">
        <f t="shared" ref="P327:P390" si="35">IF(N327&lt;=recency_threshold,"High","Low")</f>
        <v>Low</v>
      </c>
    </row>
    <row r="328" spans="4:16" x14ac:dyDescent="0.3">
      <c r="D328" s="99" t="s">
        <v>2174</v>
      </c>
      <c r="E328" s="100">
        <v>45824</v>
      </c>
      <c r="F328" s="100" t="str">
        <f t="shared" ref="F328:F391" si="36">IF(D328=D329,E329,"")</f>
        <v/>
      </c>
      <c r="G328" s="101" t="str">
        <f t="shared" ref="G328:G391" si="37">IF(F328="","",F328-E328)</f>
        <v/>
      </c>
      <c r="H328" s="102" t="str">
        <f t="shared" si="34"/>
        <v/>
      </c>
      <c r="K328" s="99" t="s">
        <v>2358</v>
      </c>
      <c r="L328" s="102">
        <f t="shared" ref="L328:L391" si="38">IF(SUMIFS($H$6:$H$2006,$D$6:$D$2006,K328),1,0)</f>
        <v>0</v>
      </c>
      <c r="M328" s="100">
        <v>45699</v>
      </c>
      <c r="N328" s="101">
        <v>324</v>
      </c>
      <c r="O328" s="101" t="str">
        <f t="shared" ref="O328:O391" si="39">VLOOKUP(N328,$A$15:$B$19,2,TRUE)</f>
        <v>90+</v>
      </c>
      <c r="P328" s="101" t="str">
        <f t="shared" si="35"/>
        <v>Low</v>
      </c>
    </row>
    <row r="329" spans="4:16" x14ac:dyDescent="0.3">
      <c r="D329" s="99" t="s">
        <v>2175</v>
      </c>
      <c r="E329" s="100">
        <v>45756</v>
      </c>
      <c r="F329" s="100">
        <f t="shared" si="36"/>
        <v>46021</v>
      </c>
      <c r="G329" s="101">
        <f t="shared" si="37"/>
        <v>265</v>
      </c>
      <c r="H329" s="102">
        <f t="shared" si="34"/>
        <v>0</v>
      </c>
      <c r="K329" s="99" t="s">
        <v>2359</v>
      </c>
      <c r="L329" s="102">
        <f t="shared" si="38"/>
        <v>0</v>
      </c>
      <c r="M329" s="100">
        <v>46014</v>
      </c>
      <c r="N329" s="101">
        <v>9</v>
      </c>
      <c r="O329" s="101" t="str">
        <f t="shared" si="39"/>
        <v>0-30</v>
      </c>
      <c r="P329" s="101" t="str">
        <f t="shared" si="35"/>
        <v>High</v>
      </c>
    </row>
    <row r="330" spans="4:16" x14ac:dyDescent="0.3">
      <c r="D330" s="99" t="s">
        <v>2175</v>
      </c>
      <c r="E330" s="100">
        <v>46021</v>
      </c>
      <c r="F330" s="100" t="str">
        <f t="shared" si="36"/>
        <v/>
      </c>
      <c r="G330" s="101" t="str">
        <f t="shared" si="37"/>
        <v/>
      </c>
      <c r="H330" s="102" t="str">
        <f t="shared" si="34"/>
        <v/>
      </c>
      <c r="K330" s="99" t="s">
        <v>2360</v>
      </c>
      <c r="L330" s="102">
        <f t="shared" si="38"/>
        <v>0</v>
      </c>
      <c r="M330" s="100">
        <v>45714</v>
      </c>
      <c r="N330" s="101">
        <v>309</v>
      </c>
      <c r="O330" s="101" t="str">
        <f t="shared" si="39"/>
        <v>90+</v>
      </c>
      <c r="P330" s="101" t="str">
        <f t="shared" si="35"/>
        <v>Low</v>
      </c>
    </row>
    <row r="331" spans="4:16" x14ac:dyDescent="0.3">
      <c r="D331" s="99" t="s">
        <v>2176</v>
      </c>
      <c r="E331" s="100">
        <v>45754</v>
      </c>
      <c r="F331" s="100">
        <f t="shared" si="36"/>
        <v>45770</v>
      </c>
      <c r="G331" s="101">
        <f t="shared" si="37"/>
        <v>16</v>
      </c>
      <c r="H331" s="102">
        <f t="shared" si="34"/>
        <v>1</v>
      </c>
      <c r="K331" s="99" t="s">
        <v>2361</v>
      </c>
      <c r="L331" s="102">
        <f t="shared" si="38"/>
        <v>0</v>
      </c>
      <c r="M331" s="100">
        <v>45693</v>
      </c>
      <c r="N331" s="101">
        <v>330</v>
      </c>
      <c r="O331" s="101" t="str">
        <f t="shared" si="39"/>
        <v>90+</v>
      </c>
      <c r="P331" s="101" t="str">
        <f t="shared" si="35"/>
        <v>Low</v>
      </c>
    </row>
    <row r="332" spans="4:16" x14ac:dyDescent="0.3">
      <c r="D332" s="99" t="s">
        <v>2176</v>
      </c>
      <c r="E332" s="100">
        <v>45770</v>
      </c>
      <c r="F332" s="100">
        <f t="shared" si="36"/>
        <v>45961</v>
      </c>
      <c r="G332" s="101">
        <f t="shared" si="37"/>
        <v>191</v>
      </c>
      <c r="H332" s="102">
        <f t="shared" si="34"/>
        <v>0</v>
      </c>
      <c r="K332" s="99" t="s">
        <v>2362</v>
      </c>
      <c r="L332" s="102">
        <f t="shared" si="38"/>
        <v>1</v>
      </c>
      <c r="M332" s="100">
        <v>45960</v>
      </c>
      <c r="N332" s="101">
        <v>63</v>
      </c>
      <c r="O332" s="101" t="str">
        <f t="shared" si="39"/>
        <v>61-90</v>
      </c>
      <c r="P332" s="101" t="str">
        <f t="shared" si="35"/>
        <v>Low</v>
      </c>
    </row>
    <row r="333" spans="4:16" x14ac:dyDescent="0.3">
      <c r="D333" s="99" t="s">
        <v>2176</v>
      </c>
      <c r="E333" s="100">
        <v>45961</v>
      </c>
      <c r="F333" s="100" t="str">
        <f t="shared" si="36"/>
        <v/>
      </c>
      <c r="G333" s="101" t="str">
        <f t="shared" si="37"/>
        <v/>
      </c>
      <c r="H333" s="102" t="str">
        <f t="shared" si="34"/>
        <v/>
      </c>
      <c r="K333" s="99" t="s">
        <v>2363</v>
      </c>
      <c r="L333" s="102">
        <f t="shared" si="38"/>
        <v>1</v>
      </c>
      <c r="M333" s="100">
        <v>45974</v>
      </c>
      <c r="N333" s="101">
        <v>49</v>
      </c>
      <c r="O333" s="101" t="str">
        <f t="shared" si="39"/>
        <v>31-60</v>
      </c>
      <c r="P333" s="101" t="str">
        <f t="shared" si="35"/>
        <v>High</v>
      </c>
    </row>
    <row r="334" spans="4:16" x14ac:dyDescent="0.3">
      <c r="D334" s="99" t="s">
        <v>2177</v>
      </c>
      <c r="E334" s="100">
        <v>45687</v>
      </c>
      <c r="F334" s="100" t="str">
        <f t="shared" si="36"/>
        <v/>
      </c>
      <c r="G334" s="101" t="str">
        <f t="shared" si="37"/>
        <v/>
      </c>
      <c r="H334" s="102" t="str">
        <f t="shared" si="34"/>
        <v/>
      </c>
      <c r="K334" s="99" t="s">
        <v>2364</v>
      </c>
      <c r="L334" s="102">
        <f t="shared" si="38"/>
        <v>1</v>
      </c>
      <c r="M334" s="100">
        <v>45937</v>
      </c>
      <c r="N334" s="101">
        <v>86</v>
      </c>
      <c r="O334" s="101" t="str">
        <f t="shared" si="39"/>
        <v>61-90</v>
      </c>
      <c r="P334" s="101" t="str">
        <f t="shared" si="35"/>
        <v>Low</v>
      </c>
    </row>
    <row r="335" spans="4:16" x14ac:dyDescent="0.3">
      <c r="D335" s="99" t="s">
        <v>2178</v>
      </c>
      <c r="E335" s="100">
        <v>45768</v>
      </c>
      <c r="F335" s="100">
        <f t="shared" si="36"/>
        <v>45966</v>
      </c>
      <c r="G335" s="101">
        <f t="shared" si="37"/>
        <v>198</v>
      </c>
      <c r="H335" s="102">
        <f t="shared" si="34"/>
        <v>0</v>
      </c>
      <c r="K335" s="99" t="s">
        <v>2365</v>
      </c>
      <c r="L335" s="102">
        <f t="shared" si="38"/>
        <v>0</v>
      </c>
      <c r="M335" s="100">
        <v>45978</v>
      </c>
      <c r="N335" s="101">
        <v>45</v>
      </c>
      <c r="O335" s="101" t="str">
        <f t="shared" si="39"/>
        <v>31-60</v>
      </c>
      <c r="P335" s="101" t="str">
        <f t="shared" si="35"/>
        <v>High</v>
      </c>
    </row>
    <row r="336" spans="4:16" x14ac:dyDescent="0.3">
      <c r="D336" s="99" t="s">
        <v>2178</v>
      </c>
      <c r="E336" s="100">
        <v>45966</v>
      </c>
      <c r="F336" s="100" t="str">
        <f t="shared" si="36"/>
        <v/>
      </c>
      <c r="G336" s="101" t="str">
        <f t="shared" si="37"/>
        <v/>
      </c>
      <c r="H336" s="102" t="str">
        <f t="shared" si="34"/>
        <v/>
      </c>
      <c r="K336" s="99" t="s">
        <v>2366</v>
      </c>
      <c r="L336" s="102">
        <f t="shared" si="38"/>
        <v>0</v>
      </c>
      <c r="M336" s="100">
        <v>46003</v>
      </c>
      <c r="N336" s="101">
        <v>20</v>
      </c>
      <c r="O336" s="101" t="str">
        <f t="shared" si="39"/>
        <v>0-30</v>
      </c>
      <c r="P336" s="101" t="str">
        <f t="shared" si="35"/>
        <v>High</v>
      </c>
    </row>
    <row r="337" spans="4:16" x14ac:dyDescent="0.3">
      <c r="D337" s="99" t="s">
        <v>2179</v>
      </c>
      <c r="E337" s="100">
        <v>45678</v>
      </c>
      <c r="F337" s="100">
        <f t="shared" si="36"/>
        <v>45685</v>
      </c>
      <c r="G337" s="101">
        <f t="shared" si="37"/>
        <v>7</v>
      </c>
      <c r="H337" s="102">
        <f t="shared" si="34"/>
        <v>1</v>
      </c>
      <c r="K337" s="99" t="s">
        <v>2367</v>
      </c>
      <c r="L337" s="102">
        <f t="shared" si="38"/>
        <v>1</v>
      </c>
      <c r="M337" s="100">
        <v>45793</v>
      </c>
      <c r="N337" s="101">
        <v>230</v>
      </c>
      <c r="O337" s="101" t="str">
        <f t="shared" si="39"/>
        <v>90+</v>
      </c>
      <c r="P337" s="101" t="str">
        <f t="shared" si="35"/>
        <v>Low</v>
      </c>
    </row>
    <row r="338" spans="4:16" x14ac:dyDescent="0.3">
      <c r="D338" s="99" t="s">
        <v>2179</v>
      </c>
      <c r="E338" s="100">
        <v>45685</v>
      </c>
      <c r="F338" s="100">
        <f t="shared" si="36"/>
        <v>45741</v>
      </c>
      <c r="G338" s="101">
        <f t="shared" si="37"/>
        <v>56</v>
      </c>
      <c r="H338" s="102">
        <f t="shared" si="34"/>
        <v>0</v>
      </c>
      <c r="K338" s="99" t="s">
        <v>2368</v>
      </c>
      <c r="L338" s="102">
        <f t="shared" si="38"/>
        <v>0</v>
      </c>
      <c r="M338" s="100">
        <v>45931</v>
      </c>
      <c r="N338" s="101">
        <v>92</v>
      </c>
      <c r="O338" s="101" t="str">
        <f t="shared" si="39"/>
        <v>90+</v>
      </c>
      <c r="P338" s="101" t="str">
        <f t="shared" si="35"/>
        <v>Low</v>
      </c>
    </row>
    <row r="339" spans="4:16" x14ac:dyDescent="0.3">
      <c r="D339" s="99" t="s">
        <v>2179</v>
      </c>
      <c r="E339" s="100">
        <v>45741</v>
      </c>
      <c r="F339" s="100">
        <f t="shared" si="36"/>
        <v>45796</v>
      </c>
      <c r="G339" s="101">
        <f t="shared" si="37"/>
        <v>55</v>
      </c>
      <c r="H339" s="102">
        <f t="shared" si="34"/>
        <v>0</v>
      </c>
      <c r="K339" s="99" t="s">
        <v>2369</v>
      </c>
      <c r="L339" s="102">
        <f t="shared" si="38"/>
        <v>0</v>
      </c>
      <c r="M339" s="100">
        <v>45769</v>
      </c>
      <c r="N339" s="101">
        <v>254</v>
      </c>
      <c r="O339" s="101" t="str">
        <f t="shared" si="39"/>
        <v>90+</v>
      </c>
      <c r="P339" s="101" t="str">
        <f t="shared" si="35"/>
        <v>Low</v>
      </c>
    </row>
    <row r="340" spans="4:16" x14ac:dyDescent="0.3">
      <c r="D340" s="99" t="s">
        <v>2179</v>
      </c>
      <c r="E340" s="100">
        <v>45796</v>
      </c>
      <c r="F340" s="100">
        <f t="shared" si="36"/>
        <v>45931</v>
      </c>
      <c r="G340" s="101">
        <f t="shared" si="37"/>
        <v>135</v>
      </c>
      <c r="H340" s="102">
        <f t="shared" si="34"/>
        <v>0</v>
      </c>
      <c r="K340" s="99" t="s">
        <v>2370</v>
      </c>
      <c r="L340" s="102">
        <f t="shared" si="38"/>
        <v>1</v>
      </c>
      <c r="M340" s="100">
        <v>45994</v>
      </c>
      <c r="N340" s="101">
        <v>29</v>
      </c>
      <c r="O340" s="101" t="str">
        <f t="shared" si="39"/>
        <v>0-30</v>
      </c>
      <c r="P340" s="101" t="str">
        <f t="shared" si="35"/>
        <v>High</v>
      </c>
    </row>
    <row r="341" spans="4:16" x14ac:dyDescent="0.3">
      <c r="D341" s="99" t="s">
        <v>2179</v>
      </c>
      <c r="E341" s="100">
        <v>45931</v>
      </c>
      <c r="F341" s="100">
        <f t="shared" si="36"/>
        <v>45951</v>
      </c>
      <c r="G341" s="101">
        <f t="shared" si="37"/>
        <v>20</v>
      </c>
      <c r="H341" s="102">
        <f t="shared" si="34"/>
        <v>1</v>
      </c>
      <c r="K341" s="99" t="s">
        <v>2371</v>
      </c>
      <c r="L341" s="102">
        <f t="shared" si="38"/>
        <v>0</v>
      </c>
      <c r="M341" s="100">
        <v>45974</v>
      </c>
      <c r="N341" s="101">
        <v>49</v>
      </c>
      <c r="O341" s="101" t="str">
        <f t="shared" si="39"/>
        <v>31-60</v>
      </c>
      <c r="P341" s="101" t="str">
        <f t="shared" si="35"/>
        <v>High</v>
      </c>
    </row>
    <row r="342" spans="4:16" x14ac:dyDescent="0.3">
      <c r="D342" s="99" t="s">
        <v>2179</v>
      </c>
      <c r="E342" s="100">
        <v>45951</v>
      </c>
      <c r="F342" s="100">
        <f t="shared" si="36"/>
        <v>45982</v>
      </c>
      <c r="G342" s="101">
        <f t="shared" si="37"/>
        <v>31</v>
      </c>
      <c r="H342" s="102">
        <f t="shared" si="34"/>
        <v>0</v>
      </c>
      <c r="K342" s="99" t="s">
        <v>2372</v>
      </c>
      <c r="L342" s="102">
        <f t="shared" si="38"/>
        <v>0</v>
      </c>
      <c r="M342" s="100">
        <v>45945</v>
      </c>
      <c r="N342" s="101">
        <v>78</v>
      </c>
      <c r="O342" s="101" t="str">
        <f t="shared" si="39"/>
        <v>61-90</v>
      </c>
      <c r="P342" s="101" t="str">
        <f t="shared" si="35"/>
        <v>Low</v>
      </c>
    </row>
    <row r="343" spans="4:16" x14ac:dyDescent="0.3">
      <c r="D343" s="99" t="s">
        <v>2179</v>
      </c>
      <c r="E343" s="100">
        <v>45982</v>
      </c>
      <c r="F343" s="100" t="str">
        <f t="shared" si="36"/>
        <v/>
      </c>
      <c r="G343" s="101" t="str">
        <f t="shared" si="37"/>
        <v/>
      </c>
      <c r="H343" s="102" t="str">
        <f t="shared" si="34"/>
        <v/>
      </c>
      <c r="K343" s="99" t="s">
        <v>2373</v>
      </c>
      <c r="L343" s="102">
        <f t="shared" si="38"/>
        <v>0</v>
      </c>
      <c r="M343" s="100">
        <v>45951</v>
      </c>
      <c r="N343" s="101">
        <v>72</v>
      </c>
      <c r="O343" s="101" t="str">
        <f t="shared" si="39"/>
        <v>61-90</v>
      </c>
      <c r="P343" s="101" t="str">
        <f t="shared" si="35"/>
        <v>Low</v>
      </c>
    </row>
    <row r="344" spans="4:16" x14ac:dyDescent="0.3">
      <c r="D344" s="99" t="s">
        <v>2180</v>
      </c>
      <c r="E344" s="100">
        <v>45790</v>
      </c>
      <c r="F344" s="100" t="str">
        <f t="shared" si="36"/>
        <v/>
      </c>
      <c r="G344" s="101" t="str">
        <f t="shared" si="37"/>
        <v/>
      </c>
      <c r="H344" s="102" t="str">
        <f t="shared" si="34"/>
        <v/>
      </c>
      <c r="K344" s="99" t="s">
        <v>2374</v>
      </c>
      <c r="L344" s="102">
        <f t="shared" si="38"/>
        <v>0</v>
      </c>
      <c r="M344" s="100">
        <v>45714</v>
      </c>
      <c r="N344" s="101">
        <v>309</v>
      </c>
      <c r="O344" s="101" t="str">
        <f t="shared" si="39"/>
        <v>90+</v>
      </c>
      <c r="P344" s="101" t="str">
        <f t="shared" si="35"/>
        <v>Low</v>
      </c>
    </row>
    <row r="345" spans="4:16" x14ac:dyDescent="0.3">
      <c r="D345" s="99" t="s">
        <v>2181</v>
      </c>
      <c r="E345" s="100">
        <v>45992</v>
      </c>
      <c r="F345" s="100" t="str">
        <f t="shared" si="36"/>
        <v/>
      </c>
      <c r="G345" s="101" t="str">
        <f t="shared" si="37"/>
        <v/>
      </c>
      <c r="H345" s="102" t="str">
        <f t="shared" si="34"/>
        <v/>
      </c>
      <c r="K345" s="99" t="s">
        <v>2375</v>
      </c>
      <c r="L345" s="102">
        <f t="shared" si="38"/>
        <v>0</v>
      </c>
      <c r="M345" s="100">
        <v>45931</v>
      </c>
      <c r="N345" s="101">
        <v>92</v>
      </c>
      <c r="O345" s="101" t="str">
        <f t="shared" si="39"/>
        <v>90+</v>
      </c>
      <c r="P345" s="101" t="str">
        <f t="shared" si="35"/>
        <v>Low</v>
      </c>
    </row>
    <row r="346" spans="4:16" x14ac:dyDescent="0.3">
      <c r="D346" s="99" t="s">
        <v>2182</v>
      </c>
      <c r="E346" s="100">
        <v>45982</v>
      </c>
      <c r="F346" s="100">
        <f t="shared" si="36"/>
        <v>45982</v>
      </c>
      <c r="G346" s="101">
        <f t="shared" si="37"/>
        <v>0</v>
      </c>
      <c r="H346" s="102">
        <f t="shared" si="34"/>
        <v>1</v>
      </c>
      <c r="K346" s="99" t="s">
        <v>2376</v>
      </c>
      <c r="L346" s="102">
        <f t="shared" si="38"/>
        <v>1</v>
      </c>
      <c r="M346" s="100">
        <v>46007</v>
      </c>
      <c r="N346" s="101">
        <v>16</v>
      </c>
      <c r="O346" s="101" t="str">
        <f t="shared" si="39"/>
        <v>0-30</v>
      </c>
      <c r="P346" s="101" t="str">
        <f t="shared" si="35"/>
        <v>High</v>
      </c>
    </row>
    <row r="347" spans="4:16" x14ac:dyDescent="0.3">
      <c r="D347" s="99" t="s">
        <v>2182</v>
      </c>
      <c r="E347" s="100">
        <v>45982</v>
      </c>
      <c r="F347" s="100" t="str">
        <f t="shared" si="36"/>
        <v/>
      </c>
      <c r="G347" s="101" t="str">
        <f t="shared" si="37"/>
        <v/>
      </c>
      <c r="H347" s="102" t="str">
        <f t="shared" si="34"/>
        <v/>
      </c>
      <c r="K347" s="99" t="s">
        <v>2377</v>
      </c>
      <c r="L347" s="102">
        <f t="shared" si="38"/>
        <v>0</v>
      </c>
      <c r="M347" s="100">
        <v>45968</v>
      </c>
      <c r="N347" s="101">
        <v>55</v>
      </c>
      <c r="O347" s="101" t="str">
        <f t="shared" si="39"/>
        <v>31-60</v>
      </c>
      <c r="P347" s="101" t="str">
        <f t="shared" si="35"/>
        <v>High</v>
      </c>
    </row>
    <row r="348" spans="4:16" x14ac:dyDescent="0.3">
      <c r="D348" s="99" t="s">
        <v>2183</v>
      </c>
      <c r="E348" s="100">
        <v>45883</v>
      </c>
      <c r="F348" s="100">
        <f t="shared" si="36"/>
        <v>45884</v>
      </c>
      <c r="G348" s="101">
        <f t="shared" si="37"/>
        <v>1</v>
      </c>
      <c r="H348" s="102">
        <f t="shared" si="34"/>
        <v>1</v>
      </c>
      <c r="K348" s="99" t="s">
        <v>2378</v>
      </c>
      <c r="L348" s="102">
        <f t="shared" si="38"/>
        <v>0</v>
      </c>
      <c r="M348" s="100">
        <v>46021</v>
      </c>
      <c r="N348" s="101">
        <v>2</v>
      </c>
      <c r="O348" s="101" t="str">
        <f t="shared" si="39"/>
        <v>0-30</v>
      </c>
      <c r="P348" s="101" t="str">
        <f t="shared" si="35"/>
        <v>High</v>
      </c>
    </row>
    <row r="349" spans="4:16" x14ac:dyDescent="0.3">
      <c r="D349" s="99" t="s">
        <v>2183</v>
      </c>
      <c r="E349" s="100">
        <v>45884</v>
      </c>
      <c r="F349" s="100">
        <f t="shared" si="36"/>
        <v>45930</v>
      </c>
      <c r="G349" s="101">
        <f t="shared" si="37"/>
        <v>46</v>
      </c>
      <c r="H349" s="102">
        <f t="shared" si="34"/>
        <v>0</v>
      </c>
      <c r="K349" s="99" t="s">
        <v>2379</v>
      </c>
      <c r="L349" s="102">
        <f t="shared" si="38"/>
        <v>0</v>
      </c>
      <c r="M349" s="100">
        <v>45911</v>
      </c>
      <c r="N349" s="101">
        <v>112</v>
      </c>
      <c r="O349" s="101" t="str">
        <f t="shared" si="39"/>
        <v>90+</v>
      </c>
      <c r="P349" s="101" t="str">
        <f t="shared" si="35"/>
        <v>Low</v>
      </c>
    </row>
    <row r="350" spans="4:16" x14ac:dyDescent="0.3">
      <c r="D350" s="99" t="s">
        <v>2183</v>
      </c>
      <c r="E350" s="100">
        <v>45930</v>
      </c>
      <c r="F350" s="100">
        <f t="shared" si="36"/>
        <v>45952</v>
      </c>
      <c r="G350" s="101">
        <f t="shared" si="37"/>
        <v>22</v>
      </c>
      <c r="H350" s="102">
        <f t="shared" si="34"/>
        <v>1</v>
      </c>
      <c r="K350" s="99" t="s">
        <v>2380</v>
      </c>
      <c r="L350" s="102">
        <f t="shared" si="38"/>
        <v>0</v>
      </c>
      <c r="M350" s="100">
        <v>45979</v>
      </c>
      <c r="N350" s="101">
        <v>44</v>
      </c>
      <c r="O350" s="101" t="str">
        <f t="shared" si="39"/>
        <v>31-60</v>
      </c>
      <c r="P350" s="101" t="str">
        <f t="shared" si="35"/>
        <v>High</v>
      </c>
    </row>
    <row r="351" spans="4:16" x14ac:dyDescent="0.3">
      <c r="D351" s="99" t="s">
        <v>2183</v>
      </c>
      <c r="E351" s="100">
        <v>45952</v>
      </c>
      <c r="F351" s="100" t="str">
        <f t="shared" si="36"/>
        <v/>
      </c>
      <c r="G351" s="101" t="str">
        <f t="shared" si="37"/>
        <v/>
      </c>
      <c r="H351" s="102" t="str">
        <f t="shared" si="34"/>
        <v/>
      </c>
      <c r="K351" s="99" t="s">
        <v>2381</v>
      </c>
      <c r="L351" s="102">
        <f t="shared" si="38"/>
        <v>0</v>
      </c>
      <c r="M351" s="100">
        <v>45925</v>
      </c>
      <c r="N351" s="101">
        <v>98</v>
      </c>
      <c r="O351" s="101" t="str">
        <f t="shared" si="39"/>
        <v>90+</v>
      </c>
      <c r="P351" s="101" t="str">
        <f t="shared" si="35"/>
        <v>Low</v>
      </c>
    </row>
    <row r="352" spans="4:16" x14ac:dyDescent="0.3">
      <c r="D352" s="99" t="s">
        <v>2184</v>
      </c>
      <c r="E352" s="100">
        <v>45666</v>
      </c>
      <c r="F352" s="100">
        <f t="shared" si="36"/>
        <v>45666</v>
      </c>
      <c r="G352" s="101">
        <f t="shared" si="37"/>
        <v>0</v>
      </c>
      <c r="H352" s="102">
        <f t="shared" si="34"/>
        <v>1</v>
      </c>
      <c r="K352" s="99" t="s">
        <v>2382</v>
      </c>
      <c r="L352" s="102">
        <f t="shared" si="38"/>
        <v>0</v>
      </c>
      <c r="M352" s="100">
        <v>45979</v>
      </c>
      <c r="N352" s="101">
        <v>44</v>
      </c>
      <c r="O352" s="101" t="str">
        <f t="shared" si="39"/>
        <v>31-60</v>
      </c>
      <c r="P352" s="101" t="str">
        <f t="shared" si="35"/>
        <v>High</v>
      </c>
    </row>
    <row r="353" spans="4:16" x14ac:dyDescent="0.3">
      <c r="D353" s="99" t="s">
        <v>2184</v>
      </c>
      <c r="E353" s="100">
        <v>45666</v>
      </c>
      <c r="F353" s="100">
        <f t="shared" si="36"/>
        <v>45694</v>
      </c>
      <c r="G353" s="101">
        <f t="shared" si="37"/>
        <v>28</v>
      </c>
      <c r="H353" s="102">
        <f t="shared" si="34"/>
        <v>1</v>
      </c>
      <c r="K353" s="99" t="s">
        <v>2383</v>
      </c>
      <c r="L353" s="102">
        <f t="shared" si="38"/>
        <v>0</v>
      </c>
      <c r="M353" s="100">
        <v>45748</v>
      </c>
      <c r="N353" s="101">
        <v>275</v>
      </c>
      <c r="O353" s="101" t="str">
        <f t="shared" si="39"/>
        <v>90+</v>
      </c>
      <c r="P353" s="101" t="str">
        <f t="shared" si="35"/>
        <v>Low</v>
      </c>
    </row>
    <row r="354" spans="4:16" x14ac:dyDescent="0.3">
      <c r="D354" s="99" t="s">
        <v>2184</v>
      </c>
      <c r="E354" s="100">
        <v>45694</v>
      </c>
      <c r="F354" s="100">
        <f t="shared" si="36"/>
        <v>45698</v>
      </c>
      <c r="G354" s="101">
        <f t="shared" si="37"/>
        <v>4</v>
      </c>
      <c r="H354" s="102">
        <f t="shared" si="34"/>
        <v>1</v>
      </c>
      <c r="K354" s="99" t="s">
        <v>2384</v>
      </c>
      <c r="L354" s="102">
        <f t="shared" si="38"/>
        <v>0</v>
      </c>
      <c r="M354" s="100">
        <v>45910</v>
      </c>
      <c r="N354" s="101">
        <v>113</v>
      </c>
      <c r="O354" s="101" t="str">
        <f t="shared" si="39"/>
        <v>90+</v>
      </c>
      <c r="P354" s="101" t="str">
        <f t="shared" si="35"/>
        <v>Low</v>
      </c>
    </row>
    <row r="355" spans="4:16" x14ac:dyDescent="0.3">
      <c r="D355" s="99" t="s">
        <v>2184</v>
      </c>
      <c r="E355" s="100">
        <v>45698</v>
      </c>
      <c r="F355" s="100">
        <f t="shared" si="36"/>
        <v>45726</v>
      </c>
      <c r="G355" s="101">
        <f t="shared" si="37"/>
        <v>28</v>
      </c>
      <c r="H355" s="102">
        <f t="shared" si="34"/>
        <v>1</v>
      </c>
      <c r="K355" s="99" t="s">
        <v>2385</v>
      </c>
      <c r="L355" s="102">
        <f t="shared" si="38"/>
        <v>1</v>
      </c>
      <c r="M355" s="100">
        <v>46003</v>
      </c>
      <c r="N355" s="101">
        <v>20</v>
      </c>
      <c r="O355" s="101" t="str">
        <f t="shared" si="39"/>
        <v>0-30</v>
      </c>
      <c r="P355" s="101" t="str">
        <f t="shared" si="35"/>
        <v>High</v>
      </c>
    </row>
    <row r="356" spans="4:16" x14ac:dyDescent="0.3">
      <c r="D356" s="99" t="s">
        <v>2184</v>
      </c>
      <c r="E356" s="100">
        <v>45726</v>
      </c>
      <c r="F356" s="100">
        <f t="shared" si="36"/>
        <v>45792</v>
      </c>
      <c r="G356" s="101">
        <f t="shared" si="37"/>
        <v>66</v>
      </c>
      <c r="H356" s="102">
        <f t="shared" si="34"/>
        <v>0</v>
      </c>
      <c r="K356" s="99" t="s">
        <v>2386</v>
      </c>
      <c r="L356" s="102">
        <f t="shared" si="38"/>
        <v>0</v>
      </c>
      <c r="M356" s="100">
        <v>45940</v>
      </c>
      <c r="N356" s="101">
        <v>83</v>
      </c>
      <c r="O356" s="101" t="str">
        <f t="shared" si="39"/>
        <v>61-90</v>
      </c>
      <c r="P356" s="101" t="str">
        <f t="shared" si="35"/>
        <v>Low</v>
      </c>
    </row>
    <row r="357" spans="4:16" x14ac:dyDescent="0.3">
      <c r="D357" s="99" t="s">
        <v>2184</v>
      </c>
      <c r="E357" s="100">
        <v>45792</v>
      </c>
      <c r="F357" s="100">
        <f t="shared" si="36"/>
        <v>45793</v>
      </c>
      <c r="G357" s="101">
        <f t="shared" si="37"/>
        <v>1</v>
      </c>
      <c r="H357" s="102">
        <f t="shared" si="34"/>
        <v>1</v>
      </c>
      <c r="K357" s="99" t="s">
        <v>2387</v>
      </c>
      <c r="L357" s="102">
        <f t="shared" si="38"/>
        <v>0</v>
      </c>
      <c r="M357" s="100">
        <v>45982</v>
      </c>
      <c r="N357" s="101">
        <v>41</v>
      </c>
      <c r="O357" s="101" t="str">
        <f t="shared" si="39"/>
        <v>31-60</v>
      </c>
      <c r="P357" s="101" t="str">
        <f t="shared" si="35"/>
        <v>High</v>
      </c>
    </row>
    <row r="358" spans="4:16" x14ac:dyDescent="0.3">
      <c r="D358" s="99" t="s">
        <v>2184</v>
      </c>
      <c r="E358" s="100">
        <v>45793</v>
      </c>
      <c r="F358" s="100">
        <f t="shared" si="36"/>
        <v>45807</v>
      </c>
      <c r="G358" s="101">
        <f t="shared" si="37"/>
        <v>14</v>
      </c>
      <c r="H358" s="102">
        <f t="shared" si="34"/>
        <v>1</v>
      </c>
      <c r="K358" s="99" t="s">
        <v>2388</v>
      </c>
      <c r="L358" s="102">
        <f t="shared" si="38"/>
        <v>0</v>
      </c>
      <c r="M358" s="100">
        <v>45849</v>
      </c>
      <c r="N358" s="101">
        <v>174</v>
      </c>
      <c r="O358" s="101" t="str">
        <f t="shared" si="39"/>
        <v>90+</v>
      </c>
      <c r="P358" s="101" t="str">
        <f t="shared" si="35"/>
        <v>Low</v>
      </c>
    </row>
    <row r="359" spans="4:16" x14ac:dyDescent="0.3">
      <c r="D359" s="99" t="s">
        <v>2184</v>
      </c>
      <c r="E359" s="100">
        <v>45807</v>
      </c>
      <c r="F359" s="100">
        <f t="shared" si="36"/>
        <v>45849</v>
      </c>
      <c r="G359" s="101">
        <f t="shared" si="37"/>
        <v>42</v>
      </c>
      <c r="H359" s="102">
        <f t="shared" si="34"/>
        <v>0</v>
      </c>
      <c r="K359" s="99" t="s">
        <v>2389</v>
      </c>
      <c r="L359" s="102">
        <f t="shared" si="38"/>
        <v>0</v>
      </c>
      <c r="M359" s="100">
        <v>45931</v>
      </c>
      <c r="N359" s="101">
        <v>92</v>
      </c>
      <c r="O359" s="101" t="str">
        <f t="shared" si="39"/>
        <v>90+</v>
      </c>
      <c r="P359" s="101" t="str">
        <f t="shared" si="35"/>
        <v>Low</v>
      </c>
    </row>
    <row r="360" spans="4:16" x14ac:dyDescent="0.3">
      <c r="D360" s="99" t="s">
        <v>2184</v>
      </c>
      <c r="E360" s="100">
        <v>45849</v>
      </c>
      <c r="F360" s="100" t="str">
        <f t="shared" si="36"/>
        <v/>
      </c>
      <c r="G360" s="101" t="str">
        <f t="shared" si="37"/>
        <v/>
      </c>
      <c r="H360" s="102" t="str">
        <f t="shared" si="34"/>
        <v/>
      </c>
      <c r="K360" s="99" t="s">
        <v>2390</v>
      </c>
      <c r="L360" s="102">
        <f t="shared" si="38"/>
        <v>0</v>
      </c>
      <c r="M360" s="100">
        <v>45848</v>
      </c>
      <c r="N360" s="101">
        <v>175</v>
      </c>
      <c r="O360" s="101" t="str">
        <f t="shared" si="39"/>
        <v>90+</v>
      </c>
      <c r="P360" s="101" t="str">
        <f t="shared" si="35"/>
        <v>Low</v>
      </c>
    </row>
    <row r="361" spans="4:16" x14ac:dyDescent="0.3">
      <c r="D361" s="99" t="s">
        <v>2185</v>
      </c>
      <c r="E361" s="100">
        <v>45952</v>
      </c>
      <c r="F361" s="100" t="str">
        <f t="shared" si="36"/>
        <v/>
      </c>
      <c r="G361" s="101" t="str">
        <f t="shared" si="37"/>
        <v/>
      </c>
      <c r="H361" s="102" t="str">
        <f t="shared" si="34"/>
        <v/>
      </c>
      <c r="K361" s="99" t="s">
        <v>2391</v>
      </c>
      <c r="L361" s="102">
        <f t="shared" si="38"/>
        <v>1</v>
      </c>
      <c r="M361" s="100">
        <v>46016</v>
      </c>
      <c r="N361" s="101">
        <v>7</v>
      </c>
      <c r="O361" s="101" t="str">
        <f t="shared" si="39"/>
        <v>0-30</v>
      </c>
      <c r="P361" s="101" t="str">
        <f t="shared" si="35"/>
        <v>High</v>
      </c>
    </row>
    <row r="362" spans="4:16" x14ac:dyDescent="0.3">
      <c r="D362" s="99" t="s">
        <v>2186</v>
      </c>
      <c r="E362" s="100">
        <v>45685</v>
      </c>
      <c r="F362" s="100">
        <f t="shared" si="36"/>
        <v>45819</v>
      </c>
      <c r="G362" s="101">
        <f t="shared" si="37"/>
        <v>134</v>
      </c>
      <c r="H362" s="102">
        <f t="shared" si="34"/>
        <v>0</v>
      </c>
      <c r="K362" s="99" t="s">
        <v>2392</v>
      </c>
      <c r="L362" s="102">
        <f t="shared" si="38"/>
        <v>1</v>
      </c>
      <c r="M362" s="100">
        <v>45968</v>
      </c>
      <c r="N362" s="101">
        <v>55</v>
      </c>
      <c r="O362" s="101" t="str">
        <f t="shared" si="39"/>
        <v>31-60</v>
      </c>
      <c r="P362" s="101" t="str">
        <f t="shared" si="35"/>
        <v>High</v>
      </c>
    </row>
    <row r="363" spans="4:16" x14ac:dyDescent="0.3">
      <c r="D363" s="99" t="s">
        <v>2186</v>
      </c>
      <c r="E363" s="100">
        <v>45819</v>
      </c>
      <c r="F363" s="100" t="str">
        <f t="shared" si="36"/>
        <v/>
      </c>
      <c r="G363" s="101" t="str">
        <f t="shared" si="37"/>
        <v/>
      </c>
      <c r="H363" s="102" t="str">
        <f t="shared" si="34"/>
        <v/>
      </c>
      <c r="K363" s="99" t="s">
        <v>2393</v>
      </c>
      <c r="L363" s="102">
        <f t="shared" si="38"/>
        <v>0</v>
      </c>
      <c r="M363" s="100">
        <v>45663</v>
      </c>
      <c r="N363" s="101">
        <v>360</v>
      </c>
      <c r="O363" s="101" t="str">
        <f t="shared" si="39"/>
        <v>90+</v>
      </c>
      <c r="P363" s="101" t="str">
        <f t="shared" si="35"/>
        <v>Low</v>
      </c>
    </row>
    <row r="364" spans="4:16" x14ac:dyDescent="0.3">
      <c r="D364" s="99" t="s">
        <v>2187</v>
      </c>
      <c r="E364" s="100">
        <v>45938</v>
      </c>
      <c r="F364" s="100">
        <f t="shared" si="36"/>
        <v>45951</v>
      </c>
      <c r="G364" s="101">
        <f t="shared" si="37"/>
        <v>13</v>
      </c>
      <c r="H364" s="102">
        <f t="shared" si="34"/>
        <v>1</v>
      </c>
      <c r="K364" s="99" t="s">
        <v>2394</v>
      </c>
      <c r="L364" s="102">
        <f t="shared" si="38"/>
        <v>0</v>
      </c>
      <c r="M364" s="100">
        <v>45883</v>
      </c>
      <c r="N364" s="101">
        <v>140</v>
      </c>
      <c r="O364" s="101" t="str">
        <f t="shared" si="39"/>
        <v>90+</v>
      </c>
      <c r="P364" s="101" t="str">
        <f t="shared" si="35"/>
        <v>Low</v>
      </c>
    </row>
    <row r="365" spans="4:16" x14ac:dyDescent="0.3">
      <c r="D365" s="99" t="s">
        <v>2187</v>
      </c>
      <c r="E365" s="100">
        <v>45951</v>
      </c>
      <c r="F365" s="100" t="str">
        <f t="shared" si="36"/>
        <v/>
      </c>
      <c r="G365" s="101" t="str">
        <f t="shared" si="37"/>
        <v/>
      </c>
      <c r="H365" s="102" t="str">
        <f t="shared" si="34"/>
        <v/>
      </c>
      <c r="K365" s="99" t="s">
        <v>2395</v>
      </c>
      <c r="L365" s="102">
        <f t="shared" si="38"/>
        <v>1</v>
      </c>
      <c r="M365" s="100">
        <v>45777</v>
      </c>
      <c r="N365" s="101">
        <v>246</v>
      </c>
      <c r="O365" s="101" t="str">
        <f t="shared" si="39"/>
        <v>90+</v>
      </c>
      <c r="P365" s="101" t="str">
        <f t="shared" si="35"/>
        <v>Low</v>
      </c>
    </row>
    <row r="366" spans="4:16" x14ac:dyDescent="0.3">
      <c r="D366" s="99" t="s">
        <v>2188</v>
      </c>
      <c r="E366" s="100">
        <v>45911</v>
      </c>
      <c r="F366" s="100">
        <f t="shared" si="36"/>
        <v>46014</v>
      </c>
      <c r="G366" s="101">
        <f t="shared" si="37"/>
        <v>103</v>
      </c>
      <c r="H366" s="102">
        <f t="shared" si="34"/>
        <v>0</v>
      </c>
      <c r="K366" s="99" t="s">
        <v>2396</v>
      </c>
      <c r="L366" s="102">
        <f t="shared" si="38"/>
        <v>0</v>
      </c>
      <c r="M366" s="100">
        <v>45799</v>
      </c>
      <c r="N366" s="101">
        <v>224</v>
      </c>
      <c r="O366" s="101" t="str">
        <f t="shared" si="39"/>
        <v>90+</v>
      </c>
      <c r="P366" s="101" t="str">
        <f t="shared" si="35"/>
        <v>Low</v>
      </c>
    </row>
    <row r="367" spans="4:16" x14ac:dyDescent="0.3">
      <c r="D367" s="99" t="s">
        <v>2188</v>
      </c>
      <c r="E367" s="100">
        <v>46014</v>
      </c>
      <c r="F367" s="100" t="str">
        <f t="shared" si="36"/>
        <v/>
      </c>
      <c r="G367" s="101" t="str">
        <f t="shared" si="37"/>
        <v/>
      </c>
      <c r="H367" s="102" t="str">
        <f t="shared" si="34"/>
        <v/>
      </c>
      <c r="K367" s="99" t="s">
        <v>2397</v>
      </c>
      <c r="L367" s="102">
        <f t="shared" si="38"/>
        <v>1</v>
      </c>
      <c r="M367" s="100">
        <v>45950</v>
      </c>
      <c r="N367" s="101">
        <v>73</v>
      </c>
      <c r="O367" s="101" t="str">
        <f t="shared" si="39"/>
        <v>61-90</v>
      </c>
      <c r="P367" s="101" t="str">
        <f t="shared" si="35"/>
        <v>Low</v>
      </c>
    </row>
    <row r="368" spans="4:16" x14ac:dyDescent="0.3">
      <c r="D368" s="99" t="s">
        <v>2189</v>
      </c>
      <c r="E368" s="100">
        <v>45960</v>
      </c>
      <c r="F368" s="100" t="str">
        <f t="shared" si="36"/>
        <v/>
      </c>
      <c r="G368" s="101" t="str">
        <f t="shared" si="37"/>
        <v/>
      </c>
      <c r="H368" s="102" t="str">
        <f t="shared" si="34"/>
        <v/>
      </c>
      <c r="K368" s="99" t="s">
        <v>2398</v>
      </c>
      <c r="L368" s="102">
        <f t="shared" si="38"/>
        <v>0</v>
      </c>
      <c r="M368" s="100">
        <v>45748</v>
      </c>
      <c r="N368" s="101">
        <v>275</v>
      </c>
      <c r="O368" s="101" t="str">
        <f t="shared" si="39"/>
        <v>90+</v>
      </c>
      <c r="P368" s="101" t="str">
        <f t="shared" si="35"/>
        <v>Low</v>
      </c>
    </row>
    <row r="369" spans="4:16" x14ac:dyDescent="0.3">
      <c r="D369" s="99" t="s">
        <v>2190</v>
      </c>
      <c r="E369" s="100">
        <v>45744</v>
      </c>
      <c r="F369" s="100">
        <f t="shared" si="36"/>
        <v>45762</v>
      </c>
      <c r="G369" s="101">
        <f t="shared" si="37"/>
        <v>18</v>
      </c>
      <c r="H369" s="102">
        <f t="shared" si="34"/>
        <v>1</v>
      </c>
      <c r="K369" s="99" t="s">
        <v>2399</v>
      </c>
      <c r="L369" s="102">
        <f t="shared" si="38"/>
        <v>0</v>
      </c>
      <c r="M369" s="100">
        <v>45667</v>
      </c>
      <c r="N369" s="101">
        <v>356</v>
      </c>
      <c r="O369" s="101" t="str">
        <f t="shared" si="39"/>
        <v>90+</v>
      </c>
      <c r="P369" s="101" t="str">
        <f t="shared" si="35"/>
        <v>Low</v>
      </c>
    </row>
    <row r="370" spans="4:16" x14ac:dyDescent="0.3">
      <c r="D370" s="99" t="s">
        <v>2190</v>
      </c>
      <c r="E370" s="100">
        <v>45762</v>
      </c>
      <c r="F370" s="100">
        <f t="shared" si="36"/>
        <v>45960</v>
      </c>
      <c r="G370" s="101">
        <f t="shared" si="37"/>
        <v>198</v>
      </c>
      <c r="H370" s="102">
        <f t="shared" si="34"/>
        <v>0</v>
      </c>
      <c r="K370" s="99" t="s">
        <v>2400</v>
      </c>
      <c r="L370" s="102">
        <f t="shared" si="38"/>
        <v>0</v>
      </c>
      <c r="M370" s="100">
        <v>45848</v>
      </c>
      <c r="N370" s="101">
        <v>175</v>
      </c>
      <c r="O370" s="101" t="str">
        <f t="shared" si="39"/>
        <v>90+</v>
      </c>
      <c r="P370" s="101" t="str">
        <f t="shared" si="35"/>
        <v>Low</v>
      </c>
    </row>
    <row r="371" spans="4:16" x14ac:dyDescent="0.3">
      <c r="D371" s="99" t="s">
        <v>2190</v>
      </c>
      <c r="E371" s="100">
        <v>45960</v>
      </c>
      <c r="F371" s="100" t="str">
        <f t="shared" si="36"/>
        <v/>
      </c>
      <c r="G371" s="101" t="str">
        <f t="shared" si="37"/>
        <v/>
      </c>
      <c r="H371" s="102" t="str">
        <f t="shared" si="34"/>
        <v/>
      </c>
      <c r="K371" s="99" t="s">
        <v>2401</v>
      </c>
      <c r="L371" s="102">
        <f t="shared" si="38"/>
        <v>0</v>
      </c>
      <c r="M371" s="100">
        <v>46003</v>
      </c>
      <c r="N371" s="101">
        <v>20</v>
      </c>
      <c r="O371" s="101" t="str">
        <f t="shared" si="39"/>
        <v>0-30</v>
      </c>
      <c r="P371" s="101" t="str">
        <f t="shared" si="35"/>
        <v>High</v>
      </c>
    </row>
    <row r="372" spans="4:16" x14ac:dyDescent="0.3">
      <c r="D372" s="99" t="s">
        <v>2191</v>
      </c>
      <c r="E372" s="100">
        <v>45721</v>
      </c>
      <c r="F372" s="100">
        <f t="shared" si="36"/>
        <v>45744</v>
      </c>
      <c r="G372" s="101">
        <f t="shared" si="37"/>
        <v>23</v>
      </c>
      <c r="H372" s="102">
        <f t="shared" si="34"/>
        <v>1</v>
      </c>
      <c r="K372" s="99" t="s">
        <v>2402</v>
      </c>
      <c r="L372" s="102">
        <f t="shared" si="38"/>
        <v>0</v>
      </c>
      <c r="M372" s="100">
        <v>45961</v>
      </c>
      <c r="N372" s="101">
        <v>62</v>
      </c>
      <c r="O372" s="101" t="str">
        <f t="shared" si="39"/>
        <v>61-90</v>
      </c>
      <c r="P372" s="101" t="str">
        <f t="shared" si="35"/>
        <v>Low</v>
      </c>
    </row>
    <row r="373" spans="4:16" x14ac:dyDescent="0.3">
      <c r="D373" s="99" t="s">
        <v>2191</v>
      </c>
      <c r="E373" s="100">
        <v>45744</v>
      </c>
      <c r="F373" s="100">
        <f t="shared" si="36"/>
        <v>45840</v>
      </c>
      <c r="G373" s="101">
        <f t="shared" si="37"/>
        <v>96</v>
      </c>
      <c r="H373" s="102">
        <f t="shared" si="34"/>
        <v>0</v>
      </c>
      <c r="K373" s="99" t="s">
        <v>2403</v>
      </c>
      <c r="L373" s="102">
        <f t="shared" si="38"/>
        <v>0</v>
      </c>
      <c r="M373" s="100">
        <v>45929</v>
      </c>
      <c r="N373" s="101">
        <v>94</v>
      </c>
      <c r="O373" s="101" t="str">
        <f t="shared" si="39"/>
        <v>90+</v>
      </c>
      <c r="P373" s="101" t="str">
        <f t="shared" si="35"/>
        <v>Low</v>
      </c>
    </row>
    <row r="374" spans="4:16" x14ac:dyDescent="0.3">
      <c r="D374" s="99" t="s">
        <v>2191</v>
      </c>
      <c r="E374" s="100">
        <v>45840</v>
      </c>
      <c r="F374" s="100">
        <f t="shared" si="36"/>
        <v>45882</v>
      </c>
      <c r="G374" s="101">
        <f t="shared" si="37"/>
        <v>42</v>
      </c>
      <c r="H374" s="102">
        <f t="shared" si="34"/>
        <v>0</v>
      </c>
      <c r="K374" s="99" t="s">
        <v>2404</v>
      </c>
      <c r="L374" s="102">
        <f t="shared" si="38"/>
        <v>1</v>
      </c>
      <c r="M374" s="100">
        <v>45968</v>
      </c>
      <c r="N374" s="101">
        <v>55</v>
      </c>
      <c r="O374" s="101" t="str">
        <f t="shared" si="39"/>
        <v>31-60</v>
      </c>
      <c r="P374" s="101" t="str">
        <f t="shared" si="35"/>
        <v>High</v>
      </c>
    </row>
    <row r="375" spans="4:16" x14ac:dyDescent="0.3">
      <c r="D375" s="99" t="s">
        <v>2191</v>
      </c>
      <c r="E375" s="100">
        <v>45882</v>
      </c>
      <c r="F375" s="100" t="str">
        <f t="shared" si="36"/>
        <v/>
      </c>
      <c r="G375" s="101" t="str">
        <f t="shared" si="37"/>
        <v/>
      </c>
      <c r="H375" s="102" t="str">
        <f t="shared" si="34"/>
        <v/>
      </c>
      <c r="K375" s="99" t="s">
        <v>2405</v>
      </c>
      <c r="L375" s="102">
        <f t="shared" si="38"/>
        <v>0</v>
      </c>
      <c r="M375" s="100">
        <v>45730</v>
      </c>
      <c r="N375" s="101">
        <v>293</v>
      </c>
      <c r="O375" s="101" t="str">
        <f t="shared" si="39"/>
        <v>90+</v>
      </c>
      <c r="P375" s="101" t="str">
        <f t="shared" si="35"/>
        <v>Low</v>
      </c>
    </row>
    <row r="376" spans="4:16" x14ac:dyDescent="0.3">
      <c r="D376" s="99" t="s">
        <v>2192</v>
      </c>
      <c r="E376" s="100">
        <v>45673</v>
      </c>
      <c r="F376" s="100">
        <f t="shared" si="36"/>
        <v>45912</v>
      </c>
      <c r="G376" s="101">
        <f t="shared" si="37"/>
        <v>239</v>
      </c>
      <c r="H376" s="102">
        <f t="shared" si="34"/>
        <v>0</v>
      </c>
      <c r="K376" s="99" t="s">
        <v>2406</v>
      </c>
      <c r="L376" s="102">
        <f t="shared" si="38"/>
        <v>0</v>
      </c>
      <c r="M376" s="100">
        <v>45768</v>
      </c>
      <c r="N376" s="101">
        <v>255</v>
      </c>
      <c r="O376" s="101" t="str">
        <f t="shared" si="39"/>
        <v>90+</v>
      </c>
      <c r="P376" s="101" t="str">
        <f t="shared" si="35"/>
        <v>Low</v>
      </c>
    </row>
    <row r="377" spans="4:16" x14ac:dyDescent="0.3">
      <c r="D377" s="99" t="s">
        <v>2192</v>
      </c>
      <c r="E377" s="100">
        <v>45912</v>
      </c>
      <c r="F377" s="100" t="str">
        <f t="shared" si="36"/>
        <v/>
      </c>
      <c r="G377" s="101" t="str">
        <f t="shared" si="37"/>
        <v/>
      </c>
      <c r="H377" s="102" t="str">
        <f t="shared" si="34"/>
        <v/>
      </c>
      <c r="K377" s="99" t="s">
        <v>2407</v>
      </c>
      <c r="L377" s="102">
        <f t="shared" si="38"/>
        <v>0</v>
      </c>
      <c r="M377" s="100">
        <v>45896</v>
      </c>
      <c r="N377" s="101">
        <v>127</v>
      </c>
      <c r="O377" s="101" t="str">
        <f t="shared" si="39"/>
        <v>90+</v>
      </c>
      <c r="P377" s="101" t="str">
        <f t="shared" si="35"/>
        <v>Low</v>
      </c>
    </row>
    <row r="378" spans="4:16" x14ac:dyDescent="0.3">
      <c r="D378" s="99" t="s">
        <v>2193</v>
      </c>
      <c r="E378" s="100">
        <v>45929</v>
      </c>
      <c r="F378" s="100">
        <f t="shared" si="36"/>
        <v>45939</v>
      </c>
      <c r="G378" s="101">
        <f t="shared" si="37"/>
        <v>10</v>
      </c>
      <c r="H378" s="102">
        <f t="shared" si="34"/>
        <v>1</v>
      </c>
      <c r="K378" s="99" t="s">
        <v>2408</v>
      </c>
      <c r="L378" s="102">
        <f t="shared" si="38"/>
        <v>0</v>
      </c>
      <c r="M378" s="100">
        <v>45937</v>
      </c>
      <c r="N378" s="101">
        <v>86</v>
      </c>
      <c r="O378" s="101" t="str">
        <f t="shared" si="39"/>
        <v>61-90</v>
      </c>
      <c r="P378" s="101" t="str">
        <f t="shared" si="35"/>
        <v>Low</v>
      </c>
    </row>
    <row r="379" spans="4:16" x14ac:dyDescent="0.3">
      <c r="D379" s="99" t="s">
        <v>2193</v>
      </c>
      <c r="E379" s="100">
        <v>45939</v>
      </c>
      <c r="F379" s="100">
        <f t="shared" si="36"/>
        <v>45945</v>
      </c>
      <c r="G379" s="101">
        <f t="shared" si="37"/>
        <v>6</v>
      </c>
      <c r="H379" s="102">
        <f t="shared" si="34"/>
        <v>1</v>
      </c>
      <c r="K379" s="99" t="s">
        <v>2409</v>
      </c>
      <c r="L379" s="102">
        <f t="shared" si="38"/>
        <v>0</v>
      </c>
      <c r="M379" s="100">
        <v>46003</v>
      </c>
      <c r="N379" s="101">
        <v>20</v>
      </c>
      <c r="O379" s="101" t="str">
        <f t="shared" si="39"/>
        <v>0-30</v>
      </c>
      <c r="P379" s="101" t="str">
        <f t="shared" si="35"/>
        <v>High</v>
      </c>
    </row>
    <row r="380" spans="4:16" x14ac:dyDescent="0.3">
      <c r="D380" s="99" t="s">
        <v>2193</v>
      </c>
      <c r="E380" s="100">
        <v>45945</v>
      </c>
      <c r="F380" s="100" t="str">
        <f t="shared" si="36"/>
        <v/>
      </c>
      <c r="G380" s="101" t="str">
        <f t="shared" si="37"/>
        <v/>
      </c>
      <c r="H380" s="102" t="str">
        <f t="shared" si="34"/>
        <v/>
      </c>
      <c r="K380" s="99" t="s">
        <v>2410</v>
      </c>
      <c r="L380" s="102">
        <f t="shared" si="38"/>
        <v>0</v>
      </c>
      <c r="M380" s="100">
        <v>45947</v>
      </c>
      <c r="N380" s="101">
        <v>76</v>
      </c>
      <c r="O380" s="101" t="str">
        <f t="shared" si="39"/>
        <v>61-90</v>
      </c>
      <c r="P380" s="101" t="str">
        <f t="shared" si="35"/>
        <v>Low</v>
      </c>
    </row>
    <row r="381" spans="4:16" x14ac:dyDescent="0.3">
      <c r="D381" s="99" t="s">
        <v>2194</v>
      </c>
      <c r="E381" s="100">
        <v>45658</v>
      </c>
      <c r="F381" s="100">
        <f t="shared" si="36"/>
        <v>45894</v>
      </c>
      <c r="G381" s="101">
        <f t="shared" si="37"/>
        <v>236</v>
      </c>
      <c r="H381" s="102">
        <f t="shared" si="34"/>
        <v>0</v>
      </c>
      <c r="K381" s="99" t="s">
        <v>2411</v>
      </c>
      <c r="L381" s="102">
        <f t="shared" si="38"/>
        <v>0</v>
      </c>
      <c r="M381" s="100">
        <v>45923</v>
      </c>
      <c r="N381" s="101">
        <v>100</v>
      </c>
      <c r="O381" s="101" t="str">
        <f t="shared" si="39"/>
        <v>90+</v>
      </c>
      <c r="P381" s="101" t="str">
        <f t="shared" si="35"/>
        <v>Low</v>
      </c>
    </row>
    <row r="382" spans="4:16" x14ac:dyDescent="0.3">
      <c r="D382" s="99" t="s">
        <v>2194</v>
      </c>
      <c r="E382" s="100">
        <v>45894</v>
      </c>
      <c r="F382" s="100" t="str">
        <f t="shared" si="36"/>
        <v/>
      </c>
      <c r="G382" s="101" t="str">
        <f t="shared" si="37"/>
        <v/>
      </c>
      <c r="H382" s="102" t="str">
        <f t="shared" si="34"/>
        <v/>
      </c>
      <c r="K382" s="99" t="s">
        <v>2412</v>
      </c>
      <c r="L382" s="102">
        <f t="shared" si="38"/>
        <v>0</v>
      </c>
      <c r="M382" s="100">
        <v>45812</v>
      </c>
      <c r="N382" s="101">
        <v>211</v>
      </c>
      <c r="O382" s="101" t="str">
        <f t="shared" si="39"/>
        <v>90+</v>
      </c>
      <c r="P382" s="101" t="str">
        <f t="shared" si="35"/>
        <v>Low</v>
      </c>
    </row>
    <row r="383" spans="4:16" x14ac:dyDescent="0.3">
      <c r="D383" s="99" t="s">
        <v>2195</v>
      </c>
      <c r="E383" s="100">
        <v>45698</v>
      </c>
      <c r="F383" s="100">
        <f t="shared" si="36"/>
        <v>45848</v>
      </c>
      <c r="G383" s="101">
        <f t="shared" si="37"/>
        <v>150</v>
      </c>
      <c r="H383" s="102">
        <f t="shared" si="34"/>
        <v>0</v>
      </c>
      <c r="K383" s="99" t="s">
        <v>2413</v>
      </c>
      <c r="L383" s="102">
        <f t="shared" si="38"/>
        <v>1</v>
      </c>
      <c r="M383" s="100">
        <v>45995</v>
      </c>
      <c r="N383" s="101">
        <v>28</v>
      </c>
      <c r="O383" s="101" t="str">
        <f t="shared" si="39"/>
        <v>0-30</v>
      </c>
      <c r="P383" s="101" t="str">
        <f t="shared" si="35"/>
        <v>High</v>
      </c>
    </row>
    <row r="384" spans="4:16" x14ac:dyDescent="0.3">
      <c r="D384" s="99" t="s">
        <v>2195</v>
      </c>
      <c r="E384" s="100">
        <v>45848</v>
      </c>
      <c r="F384" s="100">
        <f t="shared" si="36"/>
        <v>45884</v>
      </c>
      <c r="G384" s="101">
        <f t="shared" si="37"/>
        <v>36</v>
      </c>
      <c r="H384" s="102">
        <f t="shared" si="34"/>
        <v>0</v>
      </c>
      <c r="K384" s="99" t="s">
        <v>2414</v>
      </c>
      <c r="L384" s="102">
        <f t="shared" si="38"/>
        <v>0</v>
      </c>
      <c r="M384" s="100">
        <v>45992</v>
      </c>
      <c r="N384" s="101">
        <v>31</v>
      </c>
      <c r="O384" s="101" t="str">
        <f t="shared" si="39"/>
        <v>31-60</v>
      </c>
      <c r="P384" s="101" t="str">
        <f t="shared" si="35"/>
        <v>High</v>
      </c>
    </row>
    <row r="385" spans="4:16" x14ac:dyDescent="0.3">
      <c r="D385" s="99" t="s">
        <v>2195</v>
      </c>
      <c r="E385" s="100">
        <v>45884</v>
      </c>
      <c r="F385" s="100" t="str">
        <f t="shared" si="36"/>
        <v/>
      </c>
      <c r="G385" s="101" t="str">
        <f t="shared" si="37"/>
        <v/>
      </c>
      <c r="H385" s="102" t="str">
        <f t="shared" si="34"/>
        <v/>
      </c>
      <c r="K385" s="99" t="s">
        <v>2415</v>
      </c>
      <c r="L385" s="102">
        <f t="shared" si="38"/>
        <v>0</v>
      </c>
      <c r="M385" s="100">
        <v>45894</v>
      </c>
      <c r="N385" s="101">
        <v>129</v>
      </c>
      <c r="O385" s="101" t="str">
        <f t="shared" si="39"/>
        <v>90+</v>
      </c>
      <c r="P385" s="101" t="str">
        <f t="shared" si="35"/>
        <v>Low</v>
      </c>
    </row>
    <row r="386" spans="4:16" x14ac:dyDescent="0.3">
      <c r="D386" s="99" t="s">
        <v>2196</v>
      </c>
      <c r="E386" s="100">
        <v>45825</v>
      </c>
      <c r="F386" s="100" t="str">
        <f t="shared" si="36"/>
        <v/>
      </c>
      <c r="G386" s="101" t="str">
        <f t="shared" si="37"/>
        <v/>
      </c>
      <c r="H386" s="102" t="str">
        <f t="shared" si="34"/>
        <v/>
      </c>
      <c r="K386" s="99" t="s">
        <v>2416</v>
      </c>
      <c r="L386" s="102">
        <f t="shared" si="38"/>
        <v>0</v>
      </c>
      <c r="M386" s="100">
        <v>45986</v>
      </c>
      <c r="N386" s="101">
        <v>37</v>
      </c>
      <c r="O386" s="101" t="str">
        <f t="shared" si="39"/>
        <v>31-60</v>
      </c>
      <c r="P386" s="101" t="str">
        <f t="shared" si="35"/>
        <v>High</v>
      </c>
    </row>
    <row r="387" spans="4:16" x14ac:dyDescent="0.3">
      <c r="D387" s="99" t="s">
        <v>2197</v>
      </c>
      <c r="E387" s="100">
        <v>45694</v>
      </c>
      <c r="F387" s="100">
        <f t="shared" si="36"/>
        <v>45751</v>
      </c>
      <c r="G387" s="101">
        <f t="shared" si="37"/>
        <v>57</v>
      </c>
      <c r="H387" s="102">
        <f t="shared" si="34"/>
        <v>0</v>
      </c>
      <c r="K387" s="99" t="s">
        <v>2417</v>
      </c>
      <c r="L387" s="102">
        <f t="shared" si="38"/>
        <v>0</v>
      </c>
      <c r="M387" s="100">
        <v>45863</v>
      </c>
      <c r="N387" s="101">
        <v>160</v>
      </c>
      <c r="O387" s="101" t="str">
        <f t="shared" si="39"/>
        <v>90+</v>
      </c>
      <c r="P387" s="101" t="str">
        <f t="shared" si="35"/>
        <v>Low</v>
      </c>
    </row>
    <row r="388" spans="4:16" x14ac:dyDescent="0.3">
      <c r="D388" s="99" t="s">
        <v>2197</v>
      </c>
      <c r="E388" s="100">
        <v>45751</v>
      </c>
      <c r="F388" s="100">
        <f t="shared" si="36"/>
        <v>45782</v>
      </c>
      <c r="G388" s="101">
        <f t="shared" si="37"/>
        <v>31</v>
      </c>
      <c r="H388" s="102">
        <f t="shared" si="34"/>
        <v>0</v>
      </c>
      <c r="K388" s="99" t="s">
        <v>2418</v>
      </c>
      <c r="L388" s="102">
        <f t="shared" si="38"/>
        <v>0</v>
      </c>
      <c r="M388" s="100">
        <v>45890</v>
      </c>
      <c r="N388" s="101">
        <v>133</v>
      </c>
      <c r="O388" s="101" t="str">
        <f t="shared" si="39"/>
        <v>90+</v>
      </c>
      <c r="P388" s="101" t="str">
        <f t="shared" si="35"/>
        <v>Low</v>
      </c>
    </row>
    <row r="389" spans="4:16" x14ac:dyDescent="0.3">
      <c r="D389" s="99" t="s">
        <v>2197</v>
      </c>
      <c r="E389" s="100">
        <v>45782</v>
      </c>
      <c r="F389" s="100">
        <f t="shared" si="36"/>
        <v>45819</v>
      </c>
      <c r="G389" s="101">
        <f t="shared" si="37"/>
        <v>37</v>
      </c>
      <c r="H389" s="102">
        <f t="shared" si="34"/>
        <v>0</v>
      </c>
      <c r="K389" s="99" t="s">
        <v>2419</v>
      </c>
      <c r="L389" s="102">
        <f t="shared" si="38"/>
        <v>0</v>
      </c>
      <c r="M389" s="100">
        <v>45952</v>
      </c>
      <c r="N389" s="101">
        <v>71</v>
      </c>
      <c r="O389" s="101" t="str">
        <f t="shared" si="39"/>
        <v>61-90</v>
      </c>
      <c r="P389" s="101" t="str">
        <f t="shared" si="35"/>
        <v>Low</v>
      </c>
    </row>
    <row r="390" spans="4:16" x14ac:dyDescent="0.3">
      <c r="D390" s="99" t="s">
        <v>2197</v>
      </c>
      <c r="E390" s="100">
        <v>45819</v>
      </c>
      <c r="F390" s="100">
        <f t="shared" si="36"/>
        <v>45842</v>
      </c>
      <c r="G390" s="101">
        <f t="shared" si="37"/>
        <v>23</v>
      </c>
      <c r="H390" s="102">
        <f t="shared" si="34"/>
        <v>1</v>
      </c>
      <c r="K390" s="99" t="s">
        <v>2420</v>
      </c>
      <c r="L390" s="102">
        <f t="shared" si="38"/>
        <v>1</v>
      </c>
      <c r="M390" s="100">
        <v>46013</v>
      </c>
      <c r="N390" s="101">
        <v>10</v>
      </c>
      <c r="O390" s="101" t="str">
        <f t="shared" si="39"/>
        <v>0-30</v>
      </c>
      <c r="P390" s="101" t="str">
        <f t="shared" si="35"/>
        <v>High</v>
      </c>
    </row>
    <row r="391" spans="4:16" x14ac:dyDescent="0.3">
      <c r="D391" s="99" t="s">
        <v>2197</v>
      </c>
      <c r="E391" s="100">
        <v>45842</v>
      </c>
      <c r="F391" s="100">
        <f t="shared" si="36"/>
        <v>46017</v>
      </c>
      <c r="G391" s="101">
        <f t="shared" si="37"/>
        <v>175</v>
      </c>
      <c r="H391" s="102">
        <f t="shared" ref="H391:H454" si="40">IF(G391="","",IF(G391&lt;=return_window,1,0))</f>
        <v>0</v>
      </c>
      <c r="K391" s="99" t="s">
        <v>2421</v>
      </c>
      <c r="L391" s="102">
        <f t="shared" si="38"/>
        <v>1</v>
      </c>
      <c r="M391" s="100">
        <v>45799</v>
      </c>
      <c r="N391" s="101">
        <v>224</v>
      </c>
      <c r="O391" s="101" t="str">
        <f t="shared" si="39"/>
        <v>90+</v>
      </c>
      <c r="P391" s="101" t="str">
        <f t="shared" ref="P391:P454" si="41">IF(N391&lt;=recency_threshold,"High","Low")</f>
        <v>Low</v>
      </c>
    </row>
    <row r="392" spans="4:16" x14ac:dyDescent="0.3">
      <c r="D392" s="99" t="s">
        <v>2197</v>
      </c>
      <c r="E392" s="100">
        <v>46017</v>
      </c>
      <c r="F392" s="100" t="str">
        <f t="shared" ref="F392:F455" si="42">IF(D392=D393,E393,"")</f>
        <v/>
      </c>
      <c r="G392" s="101" t="str">
        <f t="shared" ref="G392:G455" si="43">IF(F392="","",F392-E392)</f>
        <v/>
      </c>
      <c r="H392" s="102" t="str">
        <f t="shared" si="40"/>
        <v/>
      </c>
      <c r="K392" s="99" t="s">
        <v>2422</v>
      </c>
      <c r="L392" s="102">
        <f t="shared" ref="L392:L455" si="44">IF(SUMIFS($H$6:$H$2006,$D$6:$D$2006,K392),1,0)</f>
        <v>0</v>
      </c>
      <c r="M392" s="100">
        <v>45762</v>
      </c>
      <c r="N392" s="101">
        <v>261</v>
      </c>
      <c r="O392" s="101" t="str">
        <f t="shared" ref="O392:O455" si="45">VLOOKUP(N392,$A$15:$B$19,2,TRUE)</f>
        <v>90+</v>
      </c>
      <c r="P392" s="101" t="str">
        <f t="shared" si="41"/>
        <v>Low</v>
      </c>
    </row>
    <row r="393" spans="4:16" x14ac:dyDescent="0.3">
      <c r="D393" s="99" t="s">
        <v>2198</v>
      </c>
      <c r="E393" s="100">
        <v>45938</v>
      </c>
      <c r="F393" s="100">
        <f t="shared" si="42"/>
        <v>45950</v>
      </c>
      <c r="G393" s="101">
        <f t="shared" si="43"/>
        <v>12</v>
      </c>
      <c r="H393" s="102">
        <f t="shared" si="40"/>
        <v>1</v>
      </c>
      <c r="K393" s="99" t="s">
        <v>2423</v>
      </c>
      <c r="L393" s="102">
        <f t="shared" si="44"/>
        <v>0</v>
      </c>
      <c r="M393" s="100">
        <v>46010</v>
      </c>
      <c r="N393" s="101">
        <v>13</v>
      </c>
      <c r="O393" s="101" t="str">
        <f t="shared" si="45"/>
        <v>0-30</v>
      </c>
      <c r="P393" s="101" t="str">
        <f t="shared" si="41"/>
        <v>High</v>
      </c>
    </row>
    <row r="394" spans="4:16" x14ac:dyDescent="0.3">
      <c r="D394" s="99" t="s">
        <v>2198</v>
      </c>
      <c r="E394" s="100">
        <v>45950</v>
      </c>
      <c r="F394" s="100" t="str">
        <f t="shared" si="42"/>
        <v/>
      </c>
      <c r="G394" s="101" t="str">
        <f t="shared" si="43"/>
        <v/>
      </c>
      <c r="H394" s="102" t="str">
        <f t="shared" si="40"/>
        <v/>
      </c>
      <c r="K394" s="99" t="s">
        <v>2424</v>
      </c>
      <c r="L394" s="102">
        <f t="shared" si="44"/>
        <v>0</v>
      </c>
      <c r="M394" s="100">
        <v>46003</v>
      </c>
      <c r="N394" s="101">
        <v>20</v>
      </c>
      <c r="O394" s="101" t="str">
        <f t="shared" si="45"/>
        <v>0-30</v>
      </c>
      <c r="P394" s="101" t="str">
        <f t="shared" si="41"/>
        <v>High</v>
      </c>
    </row>
    <row r="395" spans="4:16" x14ac:dyDescent="0.3">
      <c r="D395" s="99" t="s">
        <v>2199</v>
      </c>
      <c r="E395" s="100">
        <v>45693</v>
      </c>
      <c r="F395" s="100" t="str">
        <f t="shared" si="42"/>
        <v/>
      </c>
      <c r="G395" s="101" t="str">
        <f t="shared" si="43"/>
        <v/>
      </c>
      <c r="H395" s="102" t="str">
        <f t="shared" si="40"/>
        <v/>
      </c>
      <c r="K395" s="99" t="s">
        <v>2425</v>
      </c>
      <c r="L395" s="102">
        <f t="shared" si="44"/>
        <v>0</v>
      </c>
      <c r="M395" s="100">
        <v>45960</v>
      </c>
      <c r="N395" s="101">
        <v>63</v>
      </c>
      <c r="O395" s="101" t="str">
        <f t="shared" si="45"/>
        <v>61-90</v>
      </c>
      <c r="P395" s="101" t="str">
        <f t="shared" si="41"/>
        <v>Low</v>
      </c>
    </row>
    <row r="396" spans="4:16" x14ac:dyDescent="0.3">
      <c r="D396" s="99" t="s">
        <v>2200</v>
      </c>
      <c r="E396" s="100">
        <v>45687</v>
      </c>
      <c r="F396" s="100">
        <f t="shared" si="42"/>
        <v>45741</v>
      </c>
      <c r="G396" s="101">
        <f t="shared" si="43"/>
        <v>54</v>
      </c>
      <c r="H396" s="102">
        <f t="shared" si="40"/>
        <v>0</v>
      </c>
      <c r="K396" s="99" t="s">
        <v>2426</v>
      </c>
      <c r="L396" s="102">
        <f t="shared" si="44"/>
        <v>0</v>
      </c>
      <c r="M396" s="100">
        <v>45965</v>
      </c>
      <c r="N396" s="101">
        <v>58</v>
      </c>
      <c r="O396" s="101" t="str">
        <f t="shared" si="45"/>
        <v>31-60</v>
      </c>
      <c r="P396" s="101" t="str">
        <f t="shared" si="41"/>
        <v>High</v>
      </c>
    </row>
    <row r="397" spans="4:16" x14ac:dyDescent="0.3">
      <c r="D397" s="99" t="s">
        <v>2200</v>
      </c>
      <c r="E397" s="100">
        <v>45741</v>
      </c>
      <c r="F397" s="100" t="str">
        <f t="shared" si="42"/>
        <v/>
      </c>
      <c r="G397" s="101" t="str">
        <f t="shared" si="43"/>
        <v/>
      </c>
      <c r="H397" s="102" t="str">
        <f t="shared" si="40"/>
        <v/>
      </c>
      <c r="K397" s="99" t="s">
        <v>2427</v>
      </c>
      <c r="L397" s="102">
        <f t="shared" si="44"/>
        <v>0</v>
      </c>
      <c r="M397" s="100">
        <v>45924</v>
      </c>
      <c r="N397" s="101">
        <v>99</v>
      </c>
      <c r="O397" s="101" t="str">
        <f t="shared" si="45"/>
        <v>90+</v>
      </c>
      <c r="P397" s="101" t="str">
        <f t="shared" si="41"/>
        <v>Low</v>
      </c>
    </row>
    <row r="398" spans="4:16" x14ac:dyDescent="0.3">
      <c r="D398" s="99" t="s">
        <v>2201</v>
      </c>
      <c r="E398" s="100">
        <v>45667</v>
      </c>
      <c r="F398" s="100">
        <f t="shared" si="42"/>
        <v>45827</v>
      </c>
      <c r="G398" s="101">
        <f t="shared" si="43"/>
        <v>160</v>
      </c>
      <c r="H398" s="102">
        <f t="shared" si="40"/>
        <v>0</v>
      </c>
      <c r="K398" s="99" t="s">
        <v>2428</v>
      </c>
      <c r="L398" s="102">
        <f t="shared" si="44"/>
        <v>0</v>
      </c>
      <c r="M398" s="100">
        <v>45968</v>
      </c>
      <c r="N398" s="101">
        <v>55</v>
      </c>
      <c r="O398" s="101" t="str">
        <f t="shared" si="45"/>
        <v>31-60</v>
      </c>
      <c r="P398" s="101" t="str">
        <f t="shared" si="41"/>
        <v>High</v>
      </c>
    </row>
    <row r="399" spans="4:16" x14ac:dyDescent="0.3">
      <c r="D399" s="99" t="s">
        <v>2201</v>
      </c>
      <c r="E399" s="100">
        <v>45827</v>
      </c>
      <c r="F399" s="100" t="str">
        <f t="shared" si="42"/>
        <v/>
      </c>
      <c r="G399" s="101" t="str">
        <f t="shared" si="43"/>
        <v/>
      </c>
      <c r="H399" s="102" t="str">
        <f t="shared" si="40"/>
        <v/>
      </c>
      <c r="K399" s="99" t="s">
        <v>2429</v>
      </c>
      <c r="L399" s="102">
        <f t="shared" si="44"/>
        <v>1</v>
      </c>
      <c r="M399" s="100">
        <v>45979</v>
      </c>
      <c r="N399" s="101">
        <v>44</v>
      </c>
      <c r="O399" s="101" t="str">
        <f t="shared" si="45"/>
        <v>31-60</v>
      </c>
      <c r="P399" s="101" t="str">
        <f t="shared" si="41"/>
        <v>High</v>
      </c>
    </row>
    <row r="400" spans="4:16" x14ac:dyDescent="0.3">
      <c r="D400" s="99" t="s">
        <v>2202</v>
      </c>
      <c r="E400" s="100">
        <v>45659</v>
      </c>
      <c r="F400" s="100">
        <f t="shared" si="42"/>
        <v>45812</v>
      </c>
      <c r="G400" s="101">
        <f t="shared" si="43"/>
        <v>153</v>
      </c>
      <c r="H400" s="102">
        <f t="shared" si="40"/>
        <v>0</v>
      </c>
      <c r="K400" s="99" t="s">
        <v>2430</v>
      </c>
      <c r="L400" s="102">
        <f t="shared" si="44"/>
        <v>0</v>
      </c>
      <c r="M400" s="100">
        <v>45961</v>
      </c>
      <c r="N400" s="101">
        <v>62</v>
      </c>
      <c r="O400" s="101" t="str">
        <f t="shared" si="45"/>
        <v>61-90</v>
      </c>
      <c r="P400" s="101" t="str">
        <f t="shared" si="41"/>
        <v>Low</v>
      </c>
    </row>
    <row r="401" spans="4:16" x14ac:dyDescent="0.3">
      <c r="D401" s="99" t="s">
        <v>2202</v>
      </c>
      <c r="E401" s="100">
        <v>45812</v>
      </c>
      <c r="F401" s="100">
        <f t="shared" si="42"/>
        <v>45817</v>
      </c>
      <c r="G401" s="101">
        <f t="shared" si="43"/>
        <v>5</v>
      </c>
      <c r="H401" s="102">
        <f t="shared" si="40"/>
        <v>1</v>
      </c>
      <c r="K401" s="99" t="s">
        <v>2431</v>
      </c>
      <c r="L401" s="102">
        <f t="shared" si="44"/>
        <v>0</v>
      </c>
      <c r="M401" s="100">
        <v>45910</v>
      </c>
      <c r="N401" s="101">
        <v>113</v>
      </c>
      <c r="O401" s="101" t="str">
        <f t="shared" si="45"/>
        <v>90+</v>
      </c>
      <c r="P401" s="101" t="str">
        <f t="shared" si="41"/>
        <v>Low</v>
      </c>
    </row>
    <row r="402" spans="4:16" x14ac:dyDescent="0.3">
      <c r="D402" s="99" t="s">
        <v>2202</v>
      </c>
      <c r="E402" s="100">
        <v>45817</v>
      </c>
      <c r="F402" s="100" t="str">
        <f t="shared" si="42"/>
        <v/>
      </c>
      <c r="G402" s="101" t="str">
        <f t="shared" si="43"/>
        <v/>
      </c>
      <c r="H402" s="102" t="str">
        <f t="shared" si="40"/>
        <v/>
      </c>
      <c r="K402" s="99" t="s">
        <v>2432</v>
      </c>
      <c r="L402" s="102">
        <f t="shared" si="44"/>
        <v>1</v>
      </c>
      <c r="M402" s="100">
        <v>45910</v>
      </c>
      <c r="N402" s="101">
        <v>113</v>
      </c>
      <c r="O402" s="101" t="str">
        <f t="shared" si="45"/>
        <v>90+</v>
      </c>
      <c r="P402" s="101" t="str">
        <f t="shared" si="41"/>
        <v>Low</v>
      </c>
    </row>
    <row r="403" spans="4:16" x14ac:dyDescent="0.3">
      <c r="D403" s="99" t="s">
        <v>2203</v>
      </c>
      <c r="E403" s="100">
        <v>45889</v>
      </c>
      <c r="F403" s="100" t="str">
        <f t="shared" si="42"/>
        <v/>
      </c>
      <c r="G403" s="101" t="str">
        <f t="shared" si="43"/>
        <v/>
      </c>
      <c r="H403" s="102" t="str">
        <f t="shared" si="40"/>
        <v/>
      </c>
      <c r="K403" s="99" t="s">
        <v>2433</v>
      </c>
      <c r="L403" s="102">
        <f t="shared" si="44"/>
        <v>0</v>
      </c>
      <c r="M403" s="100">
        <v>45755</v>
      </c>
      <c r="N403" s="101">
        <v>268</v>
      </c>
      <c r="O403" s="101" t="str">
        <f t="shared" si="45"/>
        <v>90+</v>
      </c>
      <c r="P403" s="101" t="str">
        <f t="shared" si="41"/>
        <v>Low</v>
      </c>
    </row>
    <row r="404" spans="4:16" x14ac:dyDescent="0.3">
      <c r="D404" s="99" t="s">
        <v>2204</v>
      </c>
      <c r="E404" s="100">
        <v>45835</v>
      </c>
      <c r="F404" s="100">
        <f t="shared" si="42"/>
        <v>45855</v>
      </c>
      <c r="G404" s="101">
        <f t="shared" si="43"/>
        <v>20</v>
      </c>
      <c r="H404" s="102">
        <f t="shared" si="40"/>
        <v>1</v>
      </c>
      <c r="K404" s="99" t="s">
        <v>2434</v>
      </c>
      <c r="L404" s="102">
        <f t="shared" si="44"/>
        <v>0</v>
      </c>
      <c r="M404" s="100">
        <v>45777</v>
      </c>
      <c r="N404" s="101">
        <v>246</v>
      </c>
      <c r="O404" s="101" t="str">
        <f t="shared" si="45"/>
        <v>90+</v>
      </c>
      <c r="P404" s="101" t="str">
        <f t="shared" si="41"/>
        <v>Low</v>
      </c>
    </row>
    <row r="405" spans="4:16" x14ac:dyDescent="0.3">
      <c r="D405" s="99" t="s">
        <v>2204</v>
      </c>
      <c r="E405" s="100">
        <v>45855</v>
      </c>
      <c r="F405" s="100" t="str">
        <f t="shared" si="42"/>
        <v/>
      </c>
      <c r="G405" s="101" t="str">
        <f t="shared" si="43"/>
        <v/>
      </c>
      <c r="H405" s="102" t="str">
        <f t="shared" si="40"/>
        <v/>
      </c>
      <c r="K405" s="99" t="s">
        <v>2435</v>
      </c>
      <c r="L405" s="102">
        <f t="shared" si="44"/>
        <v>1</v>
      </c>
      <c r="M405" s="100">
        <v>45931</v>
      </c>
      <c r="N405" s="101">
        <v>92</v>
      </c>
      <c r="O405" s="101" t="str">
        <f t="shared" si="45"/>
        <v>90+</v>
      </c>
      <c r="P405" s="101" t="str">
        <f t="shared" si="41"/>
        <v>Low</v>
      </c>
    </row>
    <row r="406" spans="4:16" x14ac:dyDescent="0.3">
      <c r="D406" s="99" t="s">
        <v>2205</v>
      </c>
      <c r="E406" s="100">
        <v>45838</v>
      </c>
      <c r="F406" s="100">
        <f t="shared" si="42"/>
        <v>45951</v>
      </c>
      <c r="G406" s="101">
        <f t="shared" si="43"/>
        <v>113</v>
      </c>
      <c r="H406" s="102">
        <f t="shared" si="40"/>
        <v>0</v>
      </c>
      <c r="K406" s="99" t="s">
        <v>2436</v>
      </c>
      <c r="L406" s="102">
        <f t="shared" si="44"/>
        <v>0</v>
      </c>
      <c r="M406" s="100">
        <v>45874</v>
      </c>
      <c r="N406" s="101">
        <v>149</v>
      </c>
      <c r="O406" s="101" t="str">
        <f t="shared" si="45"/>
        <v>90+</v>
      </c>
      <c r="P406" s="101" t="str">
        <f t="shared" si="41"/>
        <v>Low</v>
      </c>
    </row>
    <row r="407" spans="4:16" x14ac:dyDescent="0.3">
      <c r="D407" s="99" t="s">
        <v>2205</v>
      </c>
      <c r="E407" s="100">
        <v>45951</v>
      </c>
      <c r="F407" s="100" t="str">
        <f t="shared" si="42"/>
        <v/>
      </c>
      <c r="G407" s="101" t="str">
        <f t="shared" si="43"/>
        <v/>
      </c>
      <c r="H407" s="102" t="str">
        <f t="shared" si="40"/>
        <v/>
      </c>
      <c r="K407" s="99" t="s">
        <v>2437</v>
      </c>
      <c r="L407" s="102">
        <f t="shared" si="44"/>
        <v>1</v>
      </c>
      <c r="M407" s="100">
        <v>45940</v>
      </c>
      <c r="N407" s="101">
        <v>83</v>
      </c>
      <c r="O407" s="101" t="str">
        <f t="shared" si="45"/>
        <v>61-90</v>
      </c>
      <c r="P407" s="101" t="str">
        <f t="shared" si="41"/>
        <v>Low</v>
      </c>
    </row>
    <row r="408" spans="4:16" x14ac:dyDescent="0.3">
      <c r="D408" s="99" t="s">
        <v>2206</v>
      </c>
      <c r="E408" s="100">
        <v>45770</v>
      </c>
      <c r="F408" s="100">
        <f t="shared" si="42"/>
        <v>45821</v>
      </c>
      <c r="G408" s="101">
        <f t="shared" si="43"/>
        <v>51</v>
      </c>
      <c r="H408" s="102">
        <f t="shared" si="40"/>
        <v>0</v>
      </c>
      <c r="K408" s="99" t="s">
        <v>2438</v>
      </c>
      <c r="L408" s="102">
        <f t="shared" si="44"/>
        <v>0</v>
      </c>
      <c r="M408" s="100">
        <v>46000</v>
      </c>
      <c r="N408" s="101">
        <v>23</v>
      </c>
      <c r="O408" s="101" t="str">
        <f t="shared" si="45"/>
        <v>0-30</v>
      </c>
      <c r="P408" s="101" t="str">
        <f t="shared" si="41"/>
        <v>High</v>
      </c>
    </row>
    <row r="409" spans="4:16" x14ac:dyDescent="0.3">
      <c r="D409" s="99" t="s">
        <v>2206</v>
      </c>
      <c r="E409" s="100">
        <v>45821</v>
      </c>
      <c r="F409" s="100">
        <f t="shared" si="42"/>
        <v>45854</v>
      </c>
      <c r="G409" s="101">
        <f t="shared" si="43"/>
        <v>33</v>
      </c>
      <c r="H409" s="102">
        <f t="shared" si="40"/>
        <v>0</v>
      </c>
      <c r="K409" s="99" t="s">
        <v>2439</v>
      </c>
      <c r="L409" s="102">
        <f t="shared" si="44"/>
        <v>0</v>
      </c>
      <c r="M409" s="100">
        <v>45874</v>
      </c>
      <c r="N409" s="101">
        <v>149</v>
      </c>
      <c r="O409" s="101" t="str">
        <f t="shared" si="45"/>
        <v>90+</v>
      </c>
      <c r="P409" s="101" t="str">
        <f t="shared" si="41"/>
        <v>Low</v>
      </c>
    </row>
    <row r="410" spans="4:16" x14ac:dyDescent="0.3">
      <c r="D410" s="99" t="s">
        <v>2206</v>
      </c>
      <c r="E410" s="100">
        <v>45854</v>
      </c>
      <c r="F410" s="100">
        <f t="shared" si="42"/>
        <v>45894</v>
      </c>
      <c r="G410" s="101">
        <f t="shared" si="43"/>
        <v>40</v>
      </c>
      <c r="H410" s="102">
        <f t="shared" si="40"/>
        <v>0</v>
      </c>
      <c r="K410" s="99" t="s">
        <v>2440</v>
      </c>
      <c r="L410" s="102">
        <f t="shared" si="44"/>
        <v>0</v>
      </c>
      <c r="M410" s="100">
        <v>45980</v>
      </c>
      <c r="N410" s="101">
        <v>43</v>
      </c>
      <c r="O410" s="101" t="str">
        <f t="shared" si="45"/>
        <v>31-60</v>
      </c>
      <c r="P410" s="101" t="str">
        <f t="shared" si="41"/>
        <v>High</v>
      </c>
    </row>
    <row r="411" spans="4:16" x14ac:dyDescent="0.3">
      <c r="D411" s="99" t="s">
        <v>2206</v>
      </c>
      <c r="E411" s="100">
        <v>45894</v>
      </c>
      <c r="F411" s="100" t="str">
        <f t="shared" si="42"/>
        <v/>
      </c>
      <c r="G411" s="101" t="str">
        <f t="shared" si="43"/>
        <v/>
      </c>
      <c r="H411" s="102" t="str">
        <f t="shared" si="40"/>
        <v/>
      </c>
      <c r="K411" s="99" t="s">
        <v>2441</v>
      </c>
      <c r="L411" s="102">
        <f t="shared" si="44"/>
        <v>0</v>
      </c>
      <c r="M411" s="100">
        <v>45929</v>
      </c>
      <c r="N411" s="101">
        <v>94</v>
      </c>
      <c r="O411" s="101" t="str">
        <f t="shared" si="45"/>
        <v>90+</v>
      </c>
      <c r="P411" s="101" t="str">
        <f t="shared" si="41"/>
        <v>Low</v>
      </c>
    </row>
    <row r="412" spans="4:16" x14ac:dyDescent="0.3">
      <c r="D412" s="99" t="s">
        <v>2207</v>
      </c>
      <c r="E412" s="100">
        <v>45716</v>
      </c>
      <c r="F412" s="100">
        <f t="shared" si="42"/>
        <v>45812</v>
      </c>
      <c r="G412" s="101">
        <f t="shared" si="43"/>
        <v>96</v>
      </c>
      <c r="H412" s="102">
        <f t="shared" si="40"/>
        <v>0</v>
      </c>
      <c r="K412" s="99" t="s">
        <v>2442</v>
      </c>
      <c r="L412" s="102">
        <f t="shared" si="44"/>
        <v>1</v>
      </c>
      <c r="M412" s="100">
        <v>45798</v>
      </c>
      <c r="N412" s="101">
        <v>225</v>
      </c>
      <c r="O412" s="101" t="str">
        <f t="shared" si="45"/>
        <v>90+</v>
      </c>
      <c r="P412" s="101" t="str">
        <f t="shared" si="41"/>
        <v>Low</v>
      </c>
    </row>
    <row r="413" spans="4:16" x14ac:dyDescent="0.3">
      <c r="D413" s="99" t="s">
        <v>2207</v>
      </c>
      <c r="E413" s="100">
        <v>45812</v>
      </c>
      <c r="F413" s="100" t="str">
        <f t="shared" si="42"/>
        <v/>
      </c>
      <c r="G413" s="101" t="str">
        <f t="shared" si="43"/>
        <v/>
      </c>
      <c r="H413" s="102" t="str">
        <f t="shared" si="40"/>
        <v/>
      </c>
      <c r="K413" s="99" t="s">
        <v>2443</v>
      </c>
      <c r="L413" s="102">
        <f t="shared" si="44"/>
        <v>0</v>
      </c>
      <c r="M413" s="100">
        <v>45796</v>
      </c>
      <c r="N413" s="101">
        <v>227</v>
      </c>
      <c r="O413" s="101" t="str">
        <f t="shared" si="45"/>
        <v>90+</v>
      </c>
      <c r="P413" s="101" t="str">
        <f t="shared" si="41"/>
        <v>Low</v>
      </c>
    </row>
    <row r="414" spans="4:16" x14ac:dyDescent="0.3">
      <c r="D414" s="99" t="s">
        <v>2208</v>
      </c>
      <c r="E414" s="100">
        <v>45716</v>
      </c>
      <c r="F414" s="100" t="str">
        <f t="shared" si="42"/>
        <v/>
      </c>
      <c r="G414" s="101" t="str">
        <f t="shared" si="43"/>
        <v/>
      </c>
      <c r="H414" s="102" t="str">
        <f t="shared" si="40"/>
        <v/>
      </c>
      <c r="K414" s="99" t="s">
        <v>2444</v>
      </c>
      <c r="L414" s="102">
        <f t="shared" si="44"/>
        <v>0</v>
      </c>
      <c r="M414" s="100">
        <v>45721</v>
      </c>
      <c r="N414" s="101">
        <v>302</v>
      </c>
      <c r="O414" s="101" t="str">
        <f t="shared" si="45"/>
        <v>90+</v>
      </c>
      <c r="P414" s="101" t="str">
        <f t="shared" si="41"/>
        <v>Low</v>
      </c>
    </row>
    <row r="415" spans="4:16" x14ac:dyDescent="0.3">
      <c r="D415" s="99" t="s">
        <v>2209</v>
      </c>
      <c r="E415" s="100">
        <v>45667</v>
      </c>
      <c r="F415" s="100">
        <f t="shared" si="42"/>
        <v>45750</v>
      </c>
      <c r="G415" s="101">
        <f t="shared" si="43"/>
        <v>83</v>
      </c>
      <c r="H415" s="102">
        <f t="shared" si="40"/>
        <v>0</v>
      </c>
      <c r="K415" s="99" t="s">
        <v>2445</v>
      </c>
      <c r="L415" s="102">
        <f t="shared" si="44"/>
        <v>0</v>
      </c>
      <c r="M415" s="100">
        <v>45812</v>
      </c>
      <c r="N415" s="101">
        <v>211</v>
      </c>
      <c r="O415" s="101" t="str">
        <f t="shared" si="45"/>
        <v>90+</v>
      </c>
      <c r="P415" s="101" t="str">
        <f t="shared" si="41"/>
        <v>Low</v>
      </c>
    </row>
    <row r="416" spans="4:16" x14ac:dyDescent="0.3">
      <c r="D416" s="99" t="s">
        <v>2209</v>
      </c>
      <c r="E416" s="100">
        <v>45750</v>
      </c>
      <c r="F416" s="100" t="str">
        <f t="shared" si="42"/>
        <v/>
      </c>
      <c r="G416" s="101" t="str">
        <f t="shared" si="43"/>
        <v/>
      </c>
      <c r="H416" s="102" t="str">
        <f t="shared" si="40"/>
        <v/>
      </c>
      <c r="K416" s="99" t="s">
        <v>2446</v>
      </c>
      <c r="L416" s="102">
        <f t="shared" si="44"/>
        <v>0</v>
      </c>
      <c r="M416" s="100">
        <v>45895</v>
      </c>
      <c r="N416" s="101">
        <v>128</v>
      </c>
      <c r="O416" s="101" t="str">
        <f t="shared" si="45"/>
        <v>90+</v>
      </c>
      <c r="P416" s="101" t="str">
        <f t="shared" si="41"/>
        <v>Low</v>
      </c>
    </row>
    <row r="417" spans="4:16" x14ac:dyDescent="0.3">
      <c r="D417" s="99" t="s">
        <v>2210</v>
      </c>
      <c r="E417" s="100">
        <v>45672</v>
      </c>
      <c r="F417" s="100">
        <f t="shared" si="42"/>
        <v>45812</v>
      </c>
      <c r="G417" s="101">
        <f t="shared" si="43"/>
        <v>140</v>
      </c>
      <c r="H417" s="102">
        <f t="shared" si="40"/>
        <v>0</v>
      </c>
      <c r="K417" s="99" t="s">
        <v>2447</v>
      </c>
      <c r="L417" s="102">
        <f t="shared" si="44"/>
        <v>0</v>
      </c>
      <c r="M417" s="100">
        <v>45965</v>
      </c>
      <c r="N417" s="101">
        <v>58</v>
      </c>
      <c r="O417" s="101" t="str">
        <f t="shared" si="45"/>
        <v>31-60</v>
      </c>
      <c r="P417" s="101" t="str">
        <f t="shared" si="41"/>
        <v>High</v>
      </c>
    </row>
    <row r="418" spans="4:16" x14ac:dyDescent="0.3">
      <c r="D418" s="99" t="s">
        <v>2210</v>
      </c>
      <c r="E418" s="100">
        <v>45812</v>
      </c>
      <c r="F418" s="100" t="str">
        <f t="shared" si="42"/>
        <v/>
      </c>
      <c r="G418" s="101" t="str">
        <f t="shared" si="43"/>
        <v/>
      </c>
      <c r="H418" s="102" t="str">
        <f t="shared" si="40"/>
        <v/>
      </c>
      <c r="K418" s="99" t="s">
        <v>2448</v>
      </c>
      <c r="L418" s="102">
        <f t="shared" si="44"/>
        <v>0</v>
      </c>
      <c r="M418" s="100">
        <v>45890</v>
      </c>
      <c r="N418" s="101">
        <v>133</v>
      </c>
      <c r="O418" s="101" t="str">
        <f t="shared" si="45"/>
        <v>90+</v>
      </c>
      <c r="P418" s="101" t="str">
        <f t="shared" si="41"/>
        <v>Low</v>
      </c>
    </row>
    <row r="419" spans="4:16" x14ac:dyDescent="0.3">
      <c r="D419" s="99" t="s">
        <v>2211</v>
      </c>
      <c r="E419" s="100">
        <v>45798</v>
      </c>
      <c r="F419" s="100" t="str">
        <f t="shared" si="42"/>
        <v/>
      </c>
      <c r="G419" s="101" t="str">
        <f t="shared" si="43"/>
        <v/>
      </c>
      <c r="H419" s="102" t="str">
        <f t="shared" si="40"/>
        <v/>
      </c>
      <c r="K419" s="99" t="s">
        <v>2449</v>
      </c>
      <c r="L419" s="102">
        <f t="shared" si="44"/>
        <v>0</v>
      </c>
      <c r="M419" s="100">
        <v>45874</v>
      </c>
      <c r="N419" s="101">
        <v>149</v>
      </c>
      <c r="O419" s="101" t="str">
        <f t="shared" si="45"/>
        <v>90+</v>
      </c>
      <c r="P419" s="101" t="str">
        <f t="shared" si="41"/>
        <v>Low</v>
      </c>
    </row>
    <row r="420" spans="4:16" x14ac:dyDescent="0.3">
      <c r="D420" s="99" t="s">
        <v>2212</v>
      </c>
      <c r="E420" s="100">
        <v>45930</v>
      </c>
      <c r="F420" s="100" t="str">
        <f t="shared" si="42"/>
        <v/>
      </c>
      <c r="G420" s="101" t="str">
        <f t="shared" si="43"/>
        <v/>
      </c>
      <c r="H420" s="102" t="str">
        <f t="shared" si="40"/>
        <v/>
      </c>
      <c r="K420" s="99" t="s">
        <v>2450</v>
      </c>
      <c r="L420" s="102">
        <f t="shared" si="44"/>
        <v>1</v>
      </c>
      <c r="M420" s="100">
        <v>45980</v>
      </c>
      <c r="N420" s="101">
        <v>43</v>
      </c>
      <c r="O420" s="101" t="str">
        <f t="shared" si="45"/>
        <v>31-60</v>
      </c>
      <c r="P420" s="101" t="str">
        <f t="shared" si="41"/>
        <v>High</v>
      </c>
    </row>
    <row r="421" spans="4:16" x14ac:dyDescent="0.3">
      <c r="D421" s="99" t="s">
        <v>2213</v>
      </c>
      <c r="E421" s="100">
        <v>45694</v>
      </c>
      <c r="F421" s="100">
        <f t="shared" si="42"/>
        <v>45833</v>
      </c>
      <c r="G421" s="101">
        <f t="shared" si="43"/>
        <v>139</v>
      </c>
      <c r="H421" s="102">
        <f t="shared" si="40"/>
        <v>0</v>
      </c>
      <c r="K421" s="99" t="s">
        <v>2451</v>
      </c>
      <c r="L421" s="102">
        <f t="shared" si="44"/>
        <v>0</v>
      </c>
      <c r="M421" s="100">
        <v>45741</v>
      </c>
      <c r="N421" s="101">
        <v>282</v>
      </c>
      <c r="O421" s="101" t="str">
        <f t="shared" si="45"/>
        <v>90+</v>
      </c>
      <c r="P421" s="101" t="str">
        <f t="shared" si="41"/>
        <v>Low</v>
      </c>
    </row>
    <row r="422" spans="4:16" x14ac:dyDescent="0.3">
      <c r="D422" s="99" t="s">
        <v>2213</v>
      </c>
      <c r="E422" s="100">
        <v>45833</v>
      </c>
      <c r="F422" s="100" t="str">
        <f t="shared" si="42"/>
        <v/>
      </c>
      <c r="G422" s="101" t="str">
        <f t="shared" si="43"/>
        <v/>
      </c>
      <c r="H422" s="102" t="str">
        <f t="shared" si="40"/>
        <v/>
      </c>
      <c r="K422" s="99" t="s">
        <v>2452</v>
      </c>
      <c r="L422" s="102">
        <f t="shared" si="44"/>
        <v>0</v>
      </c>
      <c r="M422" s="100">
        <v>45918</v>
      </c>
      <c r="N422" s="101">
        <v>105</v>
      </c>
      <c r="O422" s="101" t="str">
        <f t="shared" si="45"/>
        <v>90+</v>
      </c>
      <c r="P422" s="101" t="str">
        <f t="shared" si="41"/>
        <v>Low</v>
      </c>
    </row>
    <row r="423" spans="4:16" x14ac:dyDescent="0.3">
      <c r="D423" s="99" t="s">
        <v>2214</v>
      </c>
      <c r="E423" s="100">
        <v>45768</v>
      </c>
      <c r="F423" s="100" t="str">
        <f t="shared" si="42"/>
        <v/>
      </c>
      <c r="G423" s="101" t="str">
        <f t="shared" si="43"/>
        <v/>
      </c>
      <c r="H423" s="102" t="str">
        <f t="shared" si="40"/>
        <v/>
      </c>
      <c r="K423" s="99" t="s">
        <v>2453</v>
      </c>
      <c r="L423" s="102">
        <f t="shared" si="44"/>
        <v>1</v>
      </c>
      <c r="M423" s="100">
        <v>45961</v>
      </c>
      <c r="N423" s="101">
        <v>62</v>
      </c>
      <c r="O423" s="101" t="str">
        <f t="shared" si="45"/>
        <v>61-90</v>
      </c>
      <c r="P423" s="101" t="str">
        <f t="shared" si="41"/>
        <v>Low</v>
      </c>
    </row>
    <row r="424" spans="4:16" x14ac:dyDescent="0.3">
      <c r="D424" s="99" t="s">
        <v>2215</v>
      </c>
      <c r="E424" s="100">
        <v>46000</v>
      </c>
      <c r="F424" s="100" t="str">
        <f t="shared" si="42"/>
        <v/>
      </c>
      <c r="G424" s="101" t="str">
        <f t="shared" si="43"/>
        <v/>
      </c>
      <c r="H424" s="102" t="str">
        <f t="shared" si="40"/>
        <v/>
      </c>
      <c r="K424" s="99" t="s">
        <v>2454</v>
      </c>
      <c r="L424" s="102">
        <f t="shared" si="44"/>
        <v>0</v>
      </c>
      <c r="M424" s="100">
        <v>45838</v>
      </c>
      <c r="N424" s="101">
        <v>185</v>
      </c>
      <c r="O424" s="101" t="str">
        <f t="shared" si="45"/>
        <v>90+</v>
      </c>
      <c r="P424" s="101" t="str">
        <f t="shared" si="41"/>
        <v>Low</v>
      </c>
    </row>
    <row r="425" spans="4:16" x14ac:dyDescent="0.3">
      <c r="D425" s="99" t="s">
        <v>2216</v>
      </c>
      <c r="E425" s="100">
        <v>45775</v>
      </c>
      <c r="F425" s="100" t="str">
        <f t="shared" si="42"/>
        <v/>
      </c>
      <c r="G425" s="101" t="str">
        <f t="shared" si="43"/>
        <v/>
      </c>
      <c r="H425" s="102" t="str">
        <f t="shared" si="40"/>
        <v/>
      </c>
      <c r="K425" s="99" t="s">
        <v>2455</v>
      </c>
      <c r="L425" s="102">
        <f t="shared" si="44"/>
        <v>0</v>
      </c>
      <c r="M425" s="100">
        <v>45740</v>
      </c>
      <c r="N425" s="101">
        <v>283</v>
      </c>
      <c r="O425" s="101" t="str">
        <f t="shared" si="45"/>
        <v>90+</v>
      </c>
      <c r="P425" s="101" t="str">
        <f t="shared" si="41"/>
        <v>Low</v>
      </c>
    </row>
    <row r="426" spans="4:16" x14ac:dyDescent="0.3">
      <c r="D426" s="99" t="s">
        <v>2217</v>
      </c>
      <c r="E426" s="100">
        <v>45756</v>
      </c>
      <c r="F426" s="100">
        <f t="shared" si="42"/>
        <v>45915</v>
      </c>
      <c r="G426" s="101">
        <f t="shared" si="43"/>
        <v>159</v>
      </c>
      <c r="H426" s="102">
        <f t="shared" si="40"/>
        <v>0</v>
      </c>
      <c r="K426" s="99" t="s">
        <v>2456</v>
      </c>
      <c r="L426" s="102">
        <f t="shared" si="44"/>
        <v>0</v>
      </c>
      <c r="M426" s="100">
        <v>45881</v>
      </c>
      <c r="N426" s="101">
        <v>142</v>
      </c>
      <c r="O426" s="101" t="str">
        <f t="shared" si="45"/>
        <v>90+</v>
      </c>
      <c r="P426" s="101" t="str">
        <f t="shared" si="41"/>
        <v>Low</v>
      </c>
    </row>
    <row r="427" spans="4:16" x14ac:dyDescent="0.3">
      <c r="D427" s="99" t="s">
        <v>2217</v>
      </c>
      <c r="E427" s="100">
        <v>45915</v>
      </c>
      <c r="F427" s="100">
        <f t="shared" si="42"/>
        <v>45930</v>
      </c>
      <c r="G427" s="101">
        <f t="shared" si="43"/>
        <v>15</v>
      </c>
      <c r="H427" s="102">
        <f t="shared" si="40"/>
        <v>1</v>
      </c>
      <c r="K427" s="99" t="s">
        <v>2457</v>
      </c>
      <c r="L427" s="102">
        <f t="shared" si="44"/>
        <v>0</v>
      </c>
      <c r="M427" s="100">
        <v>45960</v>
      </c>
      <c r="N427" s="101">
        <v>63</v>
      </c>
      <c r="O427" s="101" t="str">
        <f t="shared" si="45"/>
        <v>61-90</v>
      </c>
      <c r="P427" s="101" t="str">
        <f t="shared" si="41"/>
        <v>Low</v>
      </c>
    </row>
    <row r="428" spans="4:16" x14ac:dyDescent="0.3">
      <c r="D428" s="99" t="s">
        <v>2217</v>
      </c>
      <c r="E428" s="100">
        <v>45930</v>
      </c>
      <c r="F428" s="100" t="str">
        <f t="shared" si="42"/>
        <v/>
      </c>
      <c r="G428" s="101" t="str">
        <f t="shared" si="43"/>
        <v/>
      </c>
      <c r="H428" s="102" t="str">
        <f t="shared" si="40"/>
        <v/>
      </c>
      <c r="K428" s="99" t="s">
        <v>2458</v>
      </c>
      <c r="L428" s="102">
        <f t="shared" si="44"/>
        <v>0</v>
      </c>
      <c r="M428" s="100">
        <v>45726</v>
      </c>
      <c r="N428" s="101">
        <v>297</v>
      </c>
      <c r="O428" s="101" t="str">
        <f t="shared" si="45"/>
        <v>90+</v>
      </c>
      <c r="P428" s="101" t="str">
        <f t="shared" si="41"/>
        <v>Low</v>
      </c>
    </row>
    <row r="429" spans="4:16" x14ac:dyDescent="0.3">
      <c r="D429" s="99" t="s">
        <v>2218</v>
      </c>
      <c r="E429" s="100">
        <v>45672</v>
      </c>
      <c r="F429" s="100">
        <f t="shared" si="42"/>
        <v>45966</v>
      </c>
      <c r="G429" s="101">
        <f t="shared" si="43"/>
        <v>294</v>
      </c>
      <c r="H429" s="102">
        <f t="shared" si="40"/>
        <v>0</v>
      </c>
      <c r="K429" s="99" t="s">
        <v>2459</v>
      </c>
      <c r="L429" s="102">
        <f t="shared" si="44"/>
        <v>1</v>
      </c>
      <c r="M429" s="100">
        <v>45924</v>
      </c>
      <c r="N429" s="101">
        <v>99</v>
      </c>
      <c r="O429" s="101" t="str">
        <f t="shared" si="45"/>
        <v>90+</v>
      </c>
      <c r="P429" s="101" t="str">
        <f t="shared" si="41"/>
        <v>Low</v>
      </c>
    </row>
    <row r="430" spans="4:16" x14ac:dyDescent="0.3">
      <c r="D430" s="99" t="s">
        <v>2218</v>
      </c>
      <c r="E430" s="100">
        <v>45966</v>
      </c>
      <c r="F430" s="100" t="str">
        <f t="shared" si="42"/>
        <v/>
      </c>
      <c r="G430" s="101" t="str">
        <f t="shared" si="43"/>
        <v/>
      </c>
      <c r="H430" s="102" t="str">
        <f t="shared" si="40"/>
        <v/>
      </c>
      <c r="K430" s="99" t="s">
        <v>2460</v>
      </c>
      <c r="L430" s="102">
        <f t="shared" si="44"/>
        <v>0</v>
      </c>
      <c r="M430" s="100">
        <v>45894</v>
      </c>
      <c r="N430" s="101">
        <v>129</v>
      </c>
      <c r="O430" s="101" t="str">
        <f t="shared" si="45"/>
        <v>90+</v>
      </c>
      <c r="P430" s="101" t="str">
        <f t="shared" si="41"/>
        <v>Low</v>
      </c>
    </row>
    <row r="431" spans="4:16" x14ac:dyDescent="0.3">
      <c r="D431" s="99" t="s">
        <v>2219</v>
      </c>
      <c r="E431" s="100">
        <v>45994</v>
      </c>
      <c r="F431" s="100" t="str">
        <f t="shared" si="42"/>
        <v/>
      </c>
      <c r="G431" s="101" t="str">
        <f t="shared" si="43"/>
        <v/>
      </c>
      <c r="H431" s="102" t="str">
        <f t="shared" si="40"/>
        <v/>
      </c>
      <c r="K431" s="99" t="s">
        <v>2461</v>
      </c>
      <c r="L431" s="102">
        <f t="shared" si="44"/>
        <v>0</v>
      </c>
      <c r="M431" s="100">
        <v>45727</v>
      </c>
      <c r="N431" s="101">
        <v>296</v>
      </c>
      <c r="O431" s="101" t="str">
        <f t="shared" si="45"/>
        <v>90+</v>
      </c>
      <c r="P431" s="101" t="str">
        <f t="shared" si="41"/>
        <v>Low</v>
      </c>
    </row>
    <row r="432" spans="4:16" x14ac:dyDescent="0.3">
      <c r="D432" s="99" t="s">
        <v>2220</v>
      </c>
      <c r="E432" s="100">
        <v>45798</v>
      </c>
      <c r="F432" s="100" t="str">
        <f t="shared" si="42"/>
        <v/>
      </c>
      <c r="G432" s="101" t="str">
        <f t="shared" si="43"/>
        <v/>
      </c>
      <c r="H432" s="102" t="str">
        <f t="shared" si="40"/>
        <v/>
      </c>
      <c r="K432" s="99" t="s">
        <v>2462</v>
      </c>
      <c r="L432" s="102">
        <f t="shared" si="44"/>
        <v>0</v>
      </c>
      <c r="M432" s="100">
        <v>46015</v>
      </c>
      <c r="N432" s="101">
        <v>8</v>
      </c>
      <c r="O432" s="101" t="str">
        <f t="shared" si="45"/>
        <v>0-30</v>
      </c>
      <c r="P432" s="101" t="str">
        <f t="shared" si="41"/>
        <v>High</v>
      </c>
    </row>
    <row r="433" spans="4:16" x14ac:dyDescent="0.3">
      <c r="D433" s="99" t="s">
        <v>2221</v>
      </c>
      <c r="E433" s="100">
        <v>45875</v>
      </c>
      <c r="F433" s="100">
        <f t="shared" si="42"/>
        <v>45917</v>
      </c>
      <c r="G433" s="101">
        <f t="shared" si="43"/>
        <v>42</v>
      </c>
      <c r="H433" s="102">
        <f t="shared" si="40"/>
        <v>0</v>
      </c>
      <c r="K433" s="99" t="s">
        <v>2463</v>
      </c>
      <c r="L433" s="102">
        <f t="shared" si="44"/>
        <v>1</v>
      </c>
      <c r="M433" s="100">
        <v>45919</v>
      </c>
      <c r="N433" s="101">
        <v>104</v>
      </c>
      <c r="O433" s="101" t="str">
        <f t="shared" si="45"/>
        <v>90+</v>
      </c>
      <c r="P433" s="101" t="str">
        <f t="shared" si="41"/>
        <v>Low</v>
      </c>
    </row>
    <row r="434" spans="4:16" x14ac:dyDescent="0.3">
      <c r="D434" s="99" t="s">
        <v>2221</v>
      </c>
      <c r="E434" s="100">
        <v>45917</v>
      </c>
      <c r="F434" s="100" t="str">
        <f t="shared" si="42"/>
        <v/>
      </c>
      <c r="G434" s="101" t="str">
        <f t="shared" si="43"/>
        <v/>
      </c>
      <c r="H434" s="102" t="str">
        <f t="shared" si="40"/>
        <v/>
      </c>
      <c r="K434" s="99" t="s">
        <v>2464</v>
      </c>
      <c r="L434" s="102">
        <f t="shared" si="44"/>
        <v>0</v>
      </c>
      <c r="M434" s="100">
        <v>46000</v>
      </c>
      <c r="N434" s="101">
        <v>23</v>
      </c>
      <c r="O434" s="101" t="str">
        <f t="shared" si="45"/>
        <v>0-30</v>
      </c>
      <c r="P434" s="101" t="str">
        <f t="shared" si="41"/>
        <v>High</v>
      </c>
    </row>
    <row r="435" spans="4:16" x14ac:dyDescent="0.3">
      <c r="D435" s="99" t="s">
        <v>2222</v>
      </c>
      <c r="E435" s="100">
        <v>46021</v>
      </c>
      <c r="F435" s="100" t="str">
        <f t="shared" si="42"/>
        <v/>
      </c>
      <c r="G435" s="101" t="str">
        <f t="shared" si="43"/>
        <v/>
      </c>
      <c r="H435" s="102" t="str">
        <f t="shared" si="40"/>
        <v/>
      </c>
      <c r="K435" s="99" t="s">
        <v>2465</v>
      </c>
      <c r="L435" s="102">
        <f t="shared" si="44"/>
        <v>1</v>
      </c>
      <c r="M435" s="100">
        <v>45889</v>
      </c>
      <c r="N435" s="101">
        <v>134</v>
      </c>
      <c r="O435" s="101" t="str">
        <f t="shared" si="45"/>
        <v>90+</v>
      </c>
      <c r="P435" s="101" t="str">
        <f t="shared" si="41"/>
        <v>Low</v>
      </c>
    </row>
    <row r="436" spans="4:16" x14ac:dyDescent="0.3">
      <c r="D436" s="99" t="s">
        <v>2223</v>
      </c>
      <c r="E436" s="100">
        <v>45777</v>
      </c>
      <c r="F436" s="100">
        <f t="shared" si="42"/>
        <v>45982</v>
      </c>
      <c r="G436" s="101">
        <f t="shared" si="43"/>
        <v>205</v>
      </c>
      <c r="H436" s="102">
        <f t="shared" si="40"/>
        <v>0</v>
      </c>
      <c r="K436" s="99" t="s">
        <v>2466</v>
      </c>
      <c r="L436" s="102">
        <f t="shared" si="44"/>
        <v>0</v>
      </c>
      <c r="M436" s="100">
        <v>46007</v>
      </c>
      <c r="N436" s="101">
        <v>16</v>
      </c>
      <c r="O436" s="101" t="str">
        <f t="shared" si="45"/>
        <v>0-30</v>
      </c>
      <c r="P436" s="101" t="str">
        <f t="shared" si="41"/>
        <v>High</v>
      </c>
    </row>
    <row r="437" spans="4:16" x14ac:dyDescent="0.3">
      <c r="D437" s="99" t="s">
        <v>2223</v>
      </c>
      <c r="E437" s="100">
        <v>45982</v>
      </c>
      <c r="F437" s="100" t="str">
        <f t="shared" si="42"/>
        <v/>
      </c>
      <c r="G437" s="101" t="str">
        <f t="shared" si="43"/>
        <v/>
      </c>
      <c r="H437" s="102" t="str">
        <f t="shared" si="40"/>
        <v/>
      </c>
      <c r="K437" s="99" t="s">
        <v>2467</v>
      </c>
      <c r="L437" s="102">
        <f t="shared" si="44"/>
        <v>0</v>
      </c>
      <c r="M437" s="100">
        <v>45667</v>
      </c>
      <c r="N437" s="101">
        <v>356</v>
      </c>
      <c r="O437" s="101" t="str">
        <f t="shared" si="45"/>
        <v>90+</v>
      </c>
      <c r="P437" s="101" t="str">
        <f t="shared" si="41"/>
        <v>Low</v>
      </c>
    </row>
    <row r="438" spans="4:16" x14ac:dyDescent="0.3">
      <c r="D438" s="99" t="s">
        <v>2224</v>
      </c>
      <c r="E438" s="100">
        <v>45840</v>
      </c>
      <c r="F438" s="100">
        <f t="shared" si="42"/>
        <v>45918</v>
      </c>
      <c r="G438" s="101">
        <f t="shared" si="43"/>
        <v>78</v>
      </c>
      <c r="H438" s="102">
        <f t="shared" si="40"/>
        <v>0</v>
      </c>
      <c r="K438" s="99" t="s">
        <v>2468</v>
      </c>
      <c r="L438" s="102">
        <f t="shared" si="44"/>
        <v>0</v>
      </c>
      <c r="M438" s="100">
        <v>45972</v>
      </c>
      <c r="N438" s="101">
        <v>51</v>
      </c>
      <c r="O438" s="101" t="str">
        <f t="shared" si="45"/>
        <v>31-60</v>
      </c>
      <c r="P438" s="101" t="str">
        <f t="shared" si="41"/>
        <v>High</v>
      </c>
    </row>
    <row r="439" spans="4:16" x14ac:dyDescent="0.3">
      <c r="D439" s="99" t="s">
        <v>2224</v>
      </c>
      <c r="E439" s="100">
        <v>45918</v>
      </c>
      <c r="F439" s="100" t="str">
        <f t="shared" si="42"/>
        <v/>
      </c>
      <c r="G439" s="101" t="str">
        <f t="shared" si="43"/>
        <v/>
      </c>
      <c r="H439" s="102" t="str">
        <f t="shared" si="40"/>
        <v/>
      </c>
      <c r="K439" s="99" t="s">
        <v>2469</v>
      </c>
      <c r="L439" s="102">
        <f t="shared" si="44"/>
        <v>0</v>
      </c>
      <c r="M439" s="100">
        <v>45925</v>
      </c>
      <c r="N439" s="101">
        <v>98</v>
      </c>
      <c r="O439" s="101" t="str">
        <f t="shared" si="45"/>
        <v>90+</v>
      </c>
      <c r="P439" s="101" t="str">
        <f t="shared" si="41"/>
        <v>Low</v>
      </c>
    </row>
    <row r="440" spans="4:16" x14ac:dyDescent="0.3">
      <c r="D440" s="99" t="s">
        <v>2225</v>
      </c>
      <c r="E440" s="100">
        <v>45685</v>
      </c>
      <c r="F440" s="100">
        <f t="shared" si="42"/>
        <v>45943</v>
      </c>
      <c r="G440" s="101">
        <f t="shared" si="43"/>
        <v>258</v>
      </c>
      <c r="H440" s="102">
        <f t="shared" si="40"/>
        <v>0</v>
      </c>
      <c r="K440" s="99" t="s">
        <v>2470</v>
      </c>
      <c r="L440" s="102">
        <f t="shared" si="44"/>
        <v>0</v>
      </c>
      <c r="M440" s="100">
        <v>45954</v>
      </c>
      <c r="N440" s="101">
        <v>69</v>
      </c>
      <c r="O440" s="101" t="str">
        <f t="shared" si="45"/>
        <v>61-90</v>
      </c>
      <c r="P440" s="101" t="str">
        <f t="shared" si="41"/>
        <v>Low</v>
      </c>
    </row>
    <row r="441" spans="4:16" x14ac:dyDescent="0.3">
      <c r="D441" s="99" t="s">
        <v>2225</v>
      </c>
      <c r="E441" s="100">
        <v>45943</v>
      </c>
      <c r="F441" s="100" t="str">
        <f t="shared" si="42"/>
        <v/>
      </c>
      <c r="G441" s="101" t="str">
        <f t="shared" si="43"/>
        <v/>
      </c>
      <c r="H441" s="102" t="str">
        <f t="shared" si="40"/>
        <v/>
      </c>
      <c r="K441" s="99" t="s">
        <v>2471</v>
      </c>
      <c r="L441" s="102">
        <f t="shared" si="44"/>
        <v>0</v>
      </c>
      <c r="M441" s="100">
        <v>46013</v>
      </c>
      <c r="N441" s="101">
        <v>10</v>
      </c>
      <c r="O441" s="101" t="str">
        <f t="shared" si="45"/>
        <v>0-30</v>
      </c>
      <c r="P441" s="101" t="str">
        <f t="shared" si="41"/>
        <v>High</v>
      </c>
    </row>
    <row r="442" spans="4:16" x14ac:dyDescent="0.3">
      <c r="D442" s="99" t="s">
        <v>2226</v>
      </c>
      <c r="E442" s="100">
        <v>45974</v>
      </c>
      <c r="F442" s="100" t="str">
        <f t="shared" si="42"/>
        <v/>
      </c>
      <c r="G442" s="101" t="str">
        <f t="shared" si="43"/>
        <v/>
      </c>
      <c r="H442" s="102" t="str">
        <f t="shared" si="40"/>
        <v/>
      </c>
      <c r="K442" s="99" t="s">
        <v>2472</v>
      </c>
      <c r="L442" s="102">
        <f t="shared" si="44"/>
        <v>0</v>
      </c>
      <c r="M442" s="100">
        <v>45799</v>
      </c>
      <c r="N442" s="101">
        <v>224</v>
      </c>
      <c r="O442" s="101" t="str">
        <f t="shared" si="45"/>
        <v>90+</v>
      </c>
      <c r="P442" s="101" t="str">
        <f t="shared" si="41"/>
        <v>Low</v>
      </c>
    </row>
    <row r="443" spans="4:16" x14ac:dyDescent="0.3">
      <c r="D443" s="99" t="s">
        <v>2227</v>
      </c>
      <c r="E443" s="100">
        <v>45789</v>
      </c>
      <c r="F443" s="100" t="str">
        <f t="shared" si="42"/>
        <v/>
      </c>
      <c r="G443" s="101" t="str">
        <f t="shared" si="43"/>
        <v/>
      </c>
      <c r="H443" s="102" t="str">
        <f t="shared" si="40"/>
        <v/>
      </c>
      <c r="K443" s="99" t="s">
        <v>2473</v>
      </c>
      <c r="L443" s="102">
        <f t="shared" si="44"/>
        <v>0</v>
      </c>
      <c r="M443" s="100">
        <v>45952</v>
      </c>
      <c r="N443" s="101">
        <v>71</v>
      </c>
      <c r="O443" s="101" t="str">
        <f t="shared" si="45"/>
        <v>61-90</v>
      </c>
      <c r="P443" s="101" t="str">
        <f t="shared" si="41"/>
        <v>Low</v>
      </c>
    </row>
    <row r="444" spans="4:16" x14ac:dyDescent="0.3">
      <c r="D444" s="99" t="s">
        <v>2228</v>
      </c>
      <c r="E444" s="100">
        <v>45833</v>
      </c>
      <c r="F444" s="100" t="str">
        <f t="shared" si="42"/>
        <v/>
      </c>
      <c r="G444" s="101" t="str">
        <f t="shared" si="43"/>
        <v/>
      </c>
      <c r="H444" s="102" t="str">
        <f t="shared" si="40"/>
        <v/>
      </c>
      <c r="K444" s="99" t="s">
        <v>2474</v>
      </c>
      <c r="L444" s="102">
        <f t="shared" si="44"/>
        <v>0</v>
      </c>
      <c r="M444" s="100">
        <v>45798</v>
      </c>
      <c r="N444" s="101">
        <v>225</v>
      </c>
      <c r="O444" s="101" t="str">
        <f t="shared" si="45"/>
        <v>90+</v>
      </c>
      <c r="P444" s="101" t="str">
        <f t="shared" si="41"/>
        <v>Low</v>
      </c>
    </row>
    <row r="445" spans="4:16" x14ac:dyDescent="0.3">
      <c r="D445" s="99" t="s">
        <v>2229</v>
      </c>
      <c r="E445" s="100">
        <v>45733</v>
      </c>
      <c r="F445" s="100">
        <f t="shared" si="42"/>
        <v>45769</v>
      </c>
      <c r="G445" s="101">
        <f t="shared" si="43"/>
        <v>36</v>
      </c>
      <c r="H445" s="102">
        <f t="shared" si="40"/>
        <v>0</v>
      </c>
      <c r="K445" s="99" t="s">
        <v>2475</v>
      </c>
      <c r="L445" s="102">
        <f t="shared" si="44"/>
        <v>1</v>
      </c>
      <c r="M445" s="100">
        <v>45944</v>
      </c>
      <c r="N445" s="101">
        <v>79</v>
      </c>
      <c r="O445" s="101" t="str">
        <f t="shared" si="45"/>
        <v>61-90</v>
      </c>
      <c r="P445" s="101" t="str">
        <f t="shared" si="41"/>
        <v>Low</v>
      </c>
    </row>
    <row r="446" spans="4:16" x14ac:dyDescent="0.3">
      <c r="D446" s="99" t="s">
        <v>2229</v>
      </c>
      <c r="E446" s="100">
        <v>45769</v>
      </c>
      <c r="F446" s="100">
        <f t="shared" si="42"/>
        <v>45868</v>
      </c>
      <c r="G446" s="101">
        <f t="shared" si="43"/>
        <v>99</v>
      </c>
      <c r="H446" s="102">
        <f t="shared" si="40"/>
        <v>0</v>
      </c>
      <c r="K446" s="99" t="s">
        <v>2476</v>
      </c>
      <c r="L446" s="102">
        <f t="shared" si="44"/>
        <v>0</v>
      </c>
      <c r="M446" s="100">
        <v>45817</v>
      </c>
      <c r="N446" s="101">
        <v>206</v>
      </c>
      <c r="O446" s="101" t="str">
        <f t="shared" si="45"/>
        <v>90+</v>
      </c>
      <c r="P446" s="101" t="str">
        <f t="shared" si="41"/>
        <v>Low</v>
      </c>
    </row>
    <row r="447" spans="4:16" x14ac:dyDescent="0.3">
      <c r="D447" s="99" t="s">
        <v>2229</v>
      </c>
      <c r="E447" s="100">
        <v>45868</v>
      </c>
      <c r="F447" s="100" t="str">
        <f t="shared" si="42"/>
        <v/>
      </c>
      <c r="G447" s="101" t="str">
        <f t="shared" si="43"/>
        <v/>
      </c>
      <c r="H447" s="102" t="str">
        <f t="shared" si="40"/>
        <v/>
      </c>
      <c r="K447" s="99" t="s">
        <v>2477</v>
      </c>
      <c r="L447" s="102">
        <f t="shared" si="44"/>
        <v>0</v>
      </c>
      <c r="M447" s="100">
        <v>45985</v>
      </c>
      <c r="N447" s="101">
        <v>38</v>
      </c>
      <c r="O447" s="101" t="str">
        <f t="shared" si="45"/>
        <v>31-60</v>
      </c>
      <c r="P447" s="101" t="str">
        <f t="shared" si="41"/>
        <v>High</v>
      </c>
    </row>
    <row r="448" spans="4:16" x14ac:dyDescent="0.3">
      <c r="D448" s="99" t="s">
        <v>2230</v>
      </c>
      <c r="E448" s="100">
        <v>45813</v>
      </c>
      <c r="F448" s="100">
        <f t="shared" si="42"/>
        <v>45980</v>
      </c>
      <c r="G448" s="101">
        <f t="shared" si="43"/>
        <v>167</v>
      </c>
      <c r="H448" s="102">
        <f t="shared" si="40"/>
        <v>0</v>
      </c>
      <c r="K448" s="99" t="s">
        <v>2478</v>
      </c>
      <c r="L448" s="102">
        <f t="shared" si="44"/>
        <v>0</v>
      </c>
      <c r="M448" s="100">
        <v>45994</v>
      </c>
      <c r="N448" s="101">
        <v>29</v>
      </c>
      <c r="O448" s="101" t="str">
        <f t="shared" si="45"/>
        <v>0-30</v>
      </c>
      <c r="P448" s="101" t="str">
        <f t="shared" si="41"/>
        <v>High</v>
      </c>
    </row>
    <row r="449" spans="4:16" x14ac:dyDescent="0.3">
      <c r="D449" s="99" t="s">
        <v>2230</v>
      </c>
      <c r="E449" s="100">
        <v>45980</v>
      </c>
      <c r="F449" s="100" t="str">
        <f t="shared" si="42"/>
        <v/>
      </c>
      <c r="G449" s="101" t="str">
        <f t="shared" si="43"/>
        <v/>
      </c>
      <c r="H449" s="102" t="str">
        <f t="shared" si="40"/>
        <v/>
      </c>
      <c r="K449" s="99" t="s">
        <v>2479</v>
      </c>
      <c r="L449" s="102">
        <f t="shared" si="44"/>
        <v>0</v>
      </c>
      <c r="M449" s="100">
        <v>45756</v>
      </c>
      <c r="N449" s="101">
        <v>267</v>
      </c>
      <c r="O449" s="101" t="str">
        <f t="shared" si="45"/>
        <v>90+</v>
      </c>
      <c r="P449" s="101" t="str">
        <f t="shared" si="41"/>
        <v>Low</v>
      </c>
    </row>
    <row r="450" spans="4:16" x14ac:dyDescent="0.3">
      <c r="D450" s="99" t="s">
        <v>2231</v>
      </c>
      <c r="E450" s="100">
        <v>45951</v>
      </c>
      <c r="F450" s="100" t="str">
        <f t="shared" si="42"/>
        <v/>
      </c>
      <c r="G450" s="101" t="str">
        <f t="shared" si="43"/>
        <v/>
      </c>
      <c r="H450" s="102" t="str">
        <f t="shared" si="40"/>
        <v/>
      </c>
      <c r="K450" s="99" t="s">
        <v>2480</v>
      </c>
      <c r="L450" s="102">
        <f t="shared" si="44"/>
        <v>0</v>
      </c>
      <c r="M450" s="100">
        <v>45987</v>
      </c>
      <c r="N450" s="101">
        <v>36</v>
      </c>
      <c r="O450" s="101" t="str">
        <f t="shared" si="45"/>
        <v>31-60</v>
      </c>
      <c r="P450" s="101" t="str">
        <f t="shared" si="41"/>
        <v>High</v>
      </c>
    </row>
    <row r="451" spans="4:16" x14ac:dyDescent="0.3">
      <c r="D451" s="99" t="s">
        <v>2232</v>
      </c>
      <c r="E451" s="100">
        <v>45999</v>
      </c>
      <c r="F451" s="100" t="str">
        <f t="shared" si="42"/>
        <v/>
      </c>
      <c r="G451" s="101" t="str">
        <f t="shared" si="43"/>
        <v/>
      </c>
      <c r="H451" s="102" t="str">
        <f t="shared" si="40"/>
        <v/>
      </c>
      <c r="K451" s="99" t="s">
        <v>2481</v>
      </c>
      <c r="L451" s="102">
        <f t="shared" si="44"/>
        <v>0</v>
      </c>
      <c r="M451" s="100">
        <v>45674</v>
      </c>
      <c r="N451" s="101">
        <v>349</v>
      </c>
      <c r="O451" s="101" t="str">
        <f t="shared" si="45"/>
        <v>90+</v>
      </c>
      <c r="P451" s="101" t="str">
        <f t="shared" si="41"/>
        <v>Low</v>
      </c>
    </row>
    <row r="452" spans="4:16" x14ac:dyDescent="0.3">
      <c r="D452" s="99" t="s">
        <v>2233</v>
      </c>
      <c r="E452" s="100">
        <v>45665</v>
      </c>
      <c r="F452" s="100">
        <f t="shared" si="42"/>
        <v>45720</v>
      </c>
      <c r="G452" s="101">
        <f t="shared" si="43"/>
        <v>55</v>
      </c>
      <c r="H452" s="102">
        <f t="shared" si="40"/>
        <v>0</v>
      </c>
      <c r="K452" s="99" t="s">
        <v>2482</v>
      </c>
      <c r="L452" s="102">
        <f t="shared" si="44"/>
        <v>0</v>
      </c>
      <c r="M452" s="100">
        <v>45813</v>
      </c>
      <c r="N452" s="101">
        <v>210</v>
      </c>
      <c r="O452" s="101" t="str">
        <f t="shared" si="45"/>
        <v>90+</v>
      </c>
      <c r="P452" s="101" t="str">
        <f t="shared" si="41"/>
        <v>Low</v>
      </c>
    </row>
    <row r="453" spans="4:16" x14ac:dyDescent="0.3">
      <c r="D453" s="99" t="s">
        <v>2233</v>
      </c>
      <c r="E453" s="100">
        <v>45720</v>
      </c>
      <c r="F453" s="100">
        <f t="shared" si="42"/>
        <v>45728</v>
      </c>
      <c r="G453" s="101">
        <f t="shared" si="43"/>
        <v>8</v>
      </c>
      <c r="H453" s="102">
        <f t="shared" si="40"/>
        <v>1</v>
      </c>
      <c r="K453" s="99" t="s">
        <v>2483</v>
      </c>
      <c r="L453" s="102">
        <f t="shared" si="44"/>
        <v>0</v>
      </c>
      <c r="M453" s="100">
        <v>45972</v>
      </c>
      <c r="N453" s="101">
        <v>51</v>
      </c>
      <c r="O453" s="101" t="str">
        <f t="shared" si="45"/>
        <v>31-60</v>
      </c>
      <c r="P453" s="101" t="str">
        <f t="shared" si="41"/>
        <v>High</v>
      </c>
    </row>
    <row r="454" spans="4:16" x14ac:dyDescent="0.3">
      <c r="D454" s="99" t="s">
        <v>2233</v>
      </c>
      <c r="E454" s="100">
        <v>45728</v>
      </c>
      <c r="F454" s="100">
        <f t="shared" si="42"/>
        <v>45789</v>
      </c>
      <c r="G454" s="101">
        <f t="shared" si="43"/>
        <v>61</v>
      </c>
      <c r="H454" s="102">
        <f t="shared" si="40"/>
        <v>0</v>
      </c>
      <c r="K454" s="99" t="s">
        <v>2484</v>
      </c>
      <c r="L454" s="102">
        <f t="shared" si="44"/>
        <v>0</v>
      </c>
      <c r="M454" s="100">
        <v>46013</v>
      </c>
      <c r="N454" s="101">
        <v>10</v>
      </c>
      <c r="O454" s="101" t="str">
        <f t="shared" si="45"/>
        <v>0-30</v>
      </c>
      <c r="P454" s="101" t="str">
        <f t="shared" si="41"/>
        <v>High</v>
      </c>
    </row>
    <row r="455" spans="4:16" x14ac:dyDescent="0.3">
      <c r="D455" s="99" t="s">
        <v>2233</v>
      </c>
      <c r="E455" s="100">
        <v>45789</v>
      </c>
      <c r="F455" s="100">
        <f t="shared" si="42"/>
        <v>45968</v>
      </c>
      <c r="G455" s="101">
        <f t="shared" si="43"/>
        <v>179</v>
      </c>
      <c r="H455" s="102">
        <f t="shared" ref="H455:H518" si="46">IF(G455="","",IF(G455&lt;=return_window,1,0))</f>
        <v>0</v>
      </c>
      <c r="K455" s="99" t="s">
        <v>2485</v>
      </c>
      <c r="L455" s="102">
        <f t="shared" si="44"/>
        <v>0</v>
      </c>
      <c r="M455" s="100">
        <v>46022</v>
      </c>
      <c r="N455" s="101">
        <v>1</v>
      </c>
      <c r="O455" s="101" t="str">
        <f t="shared" si="45"/>
        <v>0-30</v>
      </c>
      <c r="P455" s="101" t="str">
        <f t="shared" ref="P455:P518" si="47">IF(N455&lt;=recency_threshold,"High","Low")</f>
        <v>High</v>
      </c>
    </row>
    <row r="456" spans="4:16" x14ac:dyDescent="0.3">
      <c r="D456" s="99" t="s">
        <v>2233</v>
      </c>
      <c r="E456" s="100">
        <v>45968</v>
      </c>
      <c r="F456" s="100">
        <f t="shared" ref="F456:F519" si="48">IF(D456=D457,E457,"")</f>
        <v>45980</v>
      </c>
      <c r="G456" s="101">
        <f t="shared" ref="G456:G519" si="49">IF(F456="","",F456-E456)</f>
        <v>12</v>
      </c>
      <c r="H456" s="102">
        <f t="shared" si="46"/>
        <v>1</v>
      </c>
      <c r="K456" s="99" t="s">
        <v>2486</v>
      </c>
      <c r="L456" s="102">
        <f t="shared" ref="L456:L519" si="50">IF(SUMIFS($H$6:$H$2006,$D$6:$D$2006,K456),1,0)</f>
        <v>1</v>
      </c>
      <c r="M456" s="100">
        <v>45985</v>
      </c>
      <c r="N456" s="101">
        <v>38</v>
      </c>
      <c r="O456" s="101" t="str">
        <f t="shared" ref="O456:O519" si="51">VLOOKUP(N456,$A$15:$B$19,2,TRUE)</f>
        <v>31-60</v>
      </c>
      <c r="P456" s="101" t="str">
        <f t="shared" si="47"/>
        <v>High</v>
      </c>
    </row>
    <row r="457" spans="4:16" x14ac:dyDescent="0.3">
      <c r="D457" s="99" t="s">
        <v>2233</v>
      </c>
      <c r="E457" s="100">
        <v>45980</v>
      </c>
      <c r="F457" s="100">
        <f t="shared" si="48"/>
        <v>45987</v>
      </c>
      <c r="G457" s="101">
        <f t="shared" si="49"/>
        <v>7</v>
      </c>
      <c r="H457" s="102">
        <f t="shared" si="46"/>
        <v>1</v>
      </c>
      <c r="K457" s="99" t="s">
        <v>2487</v>
      </c>
      <c r="L457" s="102">
        <f t="shared" si="50"/>
        <v>0</v>
      </c>
      <c r="M457" s="100">
        <v>45994</v>
      </c>
      <c r="N457" s="101">
        <v>29</v>
      </c>
      <c r="O457" s="101" t="str">
        <f t="shared" si="51"/>
        <v>0-30</v>
      </c>
      <c r="P457" s="101" t="str">
        <f t="shared" si="47"/>
        <v>High</v>
      </c>
    </row>
    <row r="458" spans="4:16" x14ac:dyDescent="0.3">
      <c r="D458" s="99" t="s">
        <v>2233</v>
      </c>
      <c r="E458" s="100">
        <v>45987</v>
      </c>
      <c r="F458" s="100" t="str">
        <f t="shared" si="48"/>
        <v/>
      </c>
      <c r="G458" s="101" t="str">
        <f t="shared" si="49"/>
        <v/>
      </c>
      <c r="H458" s="102" t="str">
        <f t="shared" si="46"/>
        <v/>
      </c>
      <c r="K458" s="99" t="s">
        <v>2488</v>
      </c>
      <c r="L458" s="102">
        <f t="shared" si="50"/>
        <v>0</v>
      </c>
      <c r="M458" s="100">
        <v>45986</v>
      </c>
      <c r="N458" s="101">
        <v>37</v>
      </c>
      <c r="O458" s="101" t="str">
        <f t="shared" si="51"/>
        <v>31-60</v>
      </c>
      <c r="P458" s="101" t="str">
        <f t="shared" si="47"/>
        <v>High</v>
      </c>
    </row>
    <row r="459" spans="4:16" x14ac:dyDescent="0.3">
      <c r="D459" s="99" t="s">
        <v>2234</v>
      </c>
      <c r="E459" s="100">
        <v>45716</v>
      </c>
      <c r="F459" s="100">
        <f t="shared" si="48"/>
        <v>45750</v>
      </c>
      <c r="G459" s="101">
        <f t="shared" si="49"/>
        <v>34</v>
      </c>
      <c r="H459" s="102">
        <f t="shared" si="46"/>
        <v>0</v>
      </c>
      <c r="K459" s="99" t="s">
        <v>2489</v>
      </c>
      <c r="L459" s="102">
        <f t="shared" si="50"/>
        <v>0</v>
      </c>
      <c r="M459" s="100">
        <v>45733</v>
      </c>
      <c r="N459" s="101">
        <v>290</v>
      </c>
      <c r="O459" s="101" t="str">
        <f t="shared" si="51"/>
        <v>90+</v>
      </c>
      <c r="P459" s="101" t="str">
        <f t="shared" si="47"/>
        <v>Low</v>
      </c>
    </row>
    <row r="460" spans="4:16" x14ac:dyDescent="0.3">
      <c r="D460" s="99" t="s">
        <v>2234</v>
      </c>
      <c r="E460" s="100">
        <v>45750</v>
      </c>
      <c r="F460" s="100">
        <f t="shared" si="48"/>
        <v>45790</v>
      </c>
      <c r="G460" s="101">
        <f t="shared" si="49"/>
        <v>40</v>
      </c>
      <c r="H460" s="102">
        <f t="shared" si="46"/>
        <v>0</v>
      </c>
      <c r="K460" s="99" t="s">
        <v>2490</v>
      </c>
      <c r="L460" s="102">
        <f t="shared" si="50"/>
        <v>0</v>
      </c>
      <c r="M460" s="100">
        <v>45910</v>
      </c>
      <c r="N460" s="101">
        <v>113</v>
      </c>
      <c r="O460" s="101" t="str">
        <f t="shared" si="51"/>
        <v>90+</v>
      </c>
      <c r="P460" s="101" t="str">
        <f t="shared" si="47"/>
        <v>Low</v>
      </c>
    </row>
    <row r="461" spans="4:16" x14ac:dyDescent="0.3">
      <c r="D461" s="99" t="s">
        <v>2234</v>
      </c>
      <c r="E461" s="100">
        <v>45790</v>
      </c>
      <c r="F461" s="100" t="str">
        <f t="shared" si="48"/>
        <v/>
      </c>
      <c r="G461" s="101" t="str">
        <f t="shared" si="49"/>
        <v/>
      </c>
      <c r="H461" s="102" t="str">
        <f t="shared" si="46"/>
        <v/>
      </c>
      <c r="K461" s="99" t="s">
        <v>2491</v>
      </c>
      <c r="L461" s="102">
        <f t="shared" si="50"/>
        <v>0</v>
      </c>
      <c r="M461" s="100">
        <v>45960</v>
      </c>
      <c r="N461" s="101">
        <v>63</v>
      </c>
      <c r="O461" s="101" t="str">
        <f t="shared" si="51"/>
        <v>61-90</v>
      </c>
      <c r="P461" s="101" t="str">
        <f t="shared" si="47"/>
        <v>Low</v>
      </c>
    </row>
    <row r="462" spans="4:16" x14ac:dyDescent="0.3">
      <c r="D462" s="99" t="s">
        <v>2235</v>
      </c>
      <c r="E462" s="100">
        <v>45664</v>
      </c>
      <c r="F462" s="100">
        <f t="shared" si="48"/>
        <v>45789</v>
      </c>
      <c r="G462" s="101">
        <f t="shared" si="49"/>
        <v>125</v>
      </c>
      <c r="H462" s="102">
        <f t="shared" si="46"/>
        <v>0</v>
      </c>
      <c r="K462" s="99" t="s">
        <v>2492</v>
      </c>
      <c r="L462" s="102">
        <f t="shared" si="50"/>
        <v>0</v>
      </c>
      <c r="M462" s="100">
        <v>45960</v>
      </c>
      <c r="N462" s="101">
        <v>63</v>
      </c>
      <c r="O462" s="101" t="str">
        <f t="shared" si="51"/>
        <v>61-90</v>
      </c>
      <c r="P462" s="101" t="str">
        <f t="shared" si="47"/>
        <v>Low</v>
      </c>
    </row>
    <row r="463" spans="4:16" x14ac:dyDescent="0.3">
      <c r="D463" s="99" t="s">
        <v>2235</v>
      </c>
      <c r="E463" s="100">
        <v>45789</v>
      </c>
      <c r="F463" s="100">
        <f t="shared" si="48"/>
        <v>45874</v>
      </c>
      <c r="G463" s="101">
        <f t="shared" si="49"/>
        <v>85</v>
      </c>
      <c r="H463" s="102">
        <f t="shared" si="46"/>
        <v>0</v>
      </c>
      <c r="K463" s="99" t="s">
        <v>2493</v>
      </c>
      <c r="L463" s="102">
        <f t="shared" si="50"/>
        <v>0</v>
      </c>
      <c r="M463" s="100">
        <v>45945</v>
      </c>
      <c r="N463" s="101">
        <v>78</v>
      </c>
      <c r="O463" s="101" t="str">
        <f t="shared" si="51"/>
        <v>61-90</v>
      </c>
      <c r="P463" s="101" t="str">
        <f t="shared" si="47"/>
        <v>Low</v>
      </c>
    </row>
    <row r="464" spans="4:16" x14ac:dyDescent="0.3">
      <c r="D464" s="99" t="s">
        <v>2235</v>
      </c>
      <c r="E464" s="100">
        <v>45874</v>
      </c>
      <c r="F464" s="100">
        <f t="shared" si="48"/>
        <v>45909</v>
      </c>
      <c r="G464" s="101">
        <f t="shared" si="49"/>
        <v>35</v>
      </c>
      <c r="H464" s="102">
        <f t="shared" si="46"/>
        <v>0</v>
      </c>
      <c r="K464" s="99" t="s">
        <v>2494</v>
      </c>
      <c r="L464" s="102">
        <f t="shared" si="50"/>
        <v>0</v>
      </c>
      <c r="M464" s="100">
        <v>46000</v>
      </c>
      <c r="N464" s="101">
        <v>23</v>
      </c>
      <c r="O464" s="101" t="str">
        <f t="shared" si="51"/>
        <v>0-30</v>
      </c>
      <c r="P464" s="101" t="str">
        <f t="shared" si="47"/>
        <v>High</v>
      </c>
    </row>
    <row r="465" spans="4:16" x14ac:dyDescent="0.3">
      <c r="D465" s="99" t="s">
        <v>2235</v>
      </c>
      <c r="E465" s="100">
        <v>45909</v>
      </c>
      <c r="F465" s="100" t="str">
        <f t="shared" si="48"/>
        <v/>
      </c>
      <c r="G465" s="101" t="str">
        <f t="shared" si="49"/>
        <v/>
      </c>
      <c r="H465" s="102" t="str">
        <f t="shared" si="46"/>
        <v/>
      </c>
      <c r="K465" s="99" t="s">
        <v>2495</v>
      </c>
      <c r="L465" s="102">
        <f t="shared" si="50"/>
        <v>0</v>
      </c>
      <c r="M465" s="100">
        <v>45940</v>
      </c>
      <c r="N465" s="101">
        <v>83</v>
      </c>
      <c r="O465" s="101" t="str">
        <f t="shared" si="51"/>
        <v>61-90</v>
      </c>
      <c r="P465" s="101" t="str">
        <f t="shared" si="47"/>
        <v>Low</v>
      </c>
    </row>
    <row r="466" spans="4:16" x14ac:dyDescent="0.3">
      <c r="D466" s="99" t="s">
        <v>2236</v>
      </c>
      <c r="E466" s="100">
        <v>45687</v>
      </c>
      <c r="F466" s="100">
        <f t="shared" si="48"/>
        <v>45881</v>
      </c>
      <c r="G466" s="101">
        <f t="shared" si="49"/>
        <v>194</v>
      </c>
      <c r="H466" s="102">
        <f t="shared" si="46"/>
        <v>0</v>
      </c>
      <c r="K466" s="99" t="s">
        <v>2496</v>
      </c>
      <c r="L466" s="102">
        <f t="shared" si="50"/>
        <v>0</v>
      </c>
      <c r="M466" s="100">
        <v>46016</v>
      </c>
      <c r="N466" s="101">
        <v>7</v>
      </c>
      <c r="O466" s="101" t="str">
        <f t="shared" si="51"/>
        <v>0-30</v>
      </c>
      <c r="P466" s="101" t="str">
        <f t="shared" si="47"/>
        <v>High</v>
      </c>
    </row>
    <row r="467" spans="4:16" x14ac:dyDescent="0.3">
      <c r="D467" s="99" t="s">
        <v>2236</v>
      </c>
      <c r="E467" s="100">
        <v>45881</v>
      </c>
      <c r="F467" s="100">
        <f t="shared" si="48"/>
        <v>45929</v>
      </c>
      <c r="G467" s="101">
        <f t="shared" si="49"/>
        <v>48</v>
      </c>
      <c r="H467" s="102">
        <f t="shared" si="46"/>
        <v>0</v>
      </c>
      <c r="K467" s="99" t="s">
        <v>2497</v>
      </c>
      <c r="L467" s="102">
        <f t="shared" si="50"/>
        <v>0</v>
      </c>
      <c r="M467" s="100">
        <v>46021</v>
      </c>
      <c r="N467" s="101">
        <v>2</v>
      </c>
      <c r="O467" s="101" t="str">
        <f t="shared" si="51"/>
        <v>0-30</v>
      </c>
      <c r="P467" s="101" t="str">
        <f t="shared" si="47"/>
        <v>High</v>
      </c>
    </row>
    <row r="468" spans="4:16" x14ac:dyDescent="0.3">
      <c r="D468" s="99" t="s">
        <v>2236</v>
      </c>
      <c r="E468" s="100">
        <v>45929</v>
      </c>
      <c r="F468" s="100">
        <f t="shared" si="48"/>
        <v>45972</v>
      </c>
      <c r="G468" s="101">
        <f t="shared" si="49"/>
        <v>43</v>
      </c>
      <c r="H468" s="102">
        <f t="shared" si="46"/>
        <v>0</v>
      </c>
      <c r="K468" s="99" t="s">
        <v>2498</v>
      </c>
      <c r="L468" s="102">
        <f t="shared" si="50"/>
        <v>0</v>
      </c>
      <c r="M468" s="100">
        <v>45796</v>
      </c>
      <c r="N468" s="101">
        <v>227</v>
      </c>
      <c r="O468" s="101" t="str">
        <f t="shared" si="51"/>
        <v>90+</v>
      </c>
      <c r="P468" s="101" t="str">
        <f t="shared" si="47"/>
        <v>Low</v>
      </c>
    </row>
    <row r="469" spans="4:16" x14ac:dyDescent="0.3">
      <c r="D469" s="99" t="s">
        <v>2236</v>
      </c>
      <c r="E469" s="100">
        <v>45972</v>
      </c>
      <c r="F469" s="100">
        <f t="shared" si="48"/>
        <v>45982</v>
      </c>
      <c r="G469" s="101">
        <f t="shared" si="49"/>
        <v>10</v>
      </c>
      <c r="H469" s="102">
        <f t="shared" si="46"/>
        <v>1</v>
      </c>
      <c r="K469" s="99" t="s">
        <v>2499</v>
      </c>
      <c r="L469" s="102">
        <f t="shared" si="50"/>
        <v>0</v>
      </c>
      <c r="M469" s="100">
        <v>45768</v>
      </c>
      <c r="N469" s="101">
        <v>255</v>
      </c>
      <c r="O469" s="101" t="str">
        <f t="shared" si="51"/>
        <v>90+</v>
      </c>
      <c r="P469" s="101" t="str">
        <f t="shared" si="47"/>
        <v>Low</v>
      </c>
    </row>
    <row r="470" spans="4:16" x14ac:dyDescent="0.3">
      <c r="D470" s="99" t="s">
        <v>2236</v>
      </c>
      <c r="E470" s="100">
        <v>45982</v>
      </c>
      <c r="F470" s="100">
        <f t="shared" si="48"/>
        <v>45987</v>
      </c>
      <c r="G470" s="101">
        <f t="shared" si="49"/>
        <v>5</v>
      </c>
      <c r="H470" s="102">
        <f t="shared" si="46"/>
        <v>1</v>
      </c>
      <c r="K470" s="99" t="s">
        <v>2500</v>
      </c>
      <c r="L470" s="102">
        <f t="shared" si="50"/>
        <v>0</v>
      </c>
      <c r="M470" s="100">
        <v>45974</v>
      </c>
      <c r="N470" s="101">
        <v>49</v>
      </c>
      <c r="O470" s="101" t="str">
        <f t="shared" si="51"/>
        <v>31-60</v>
      </c>
      <c r="P470" s="101" t="str">
        <f t="shared" si="47"/>
        <v>High</v>
      </c>
    </row>
    <row r="471" spans="4:16" x14ac:dyDescent="0.3">
      <c r="D471" s="99" t="s">
        <v>2236</v>
      </c>
      <c r="E471" s="100">
        <v>45987</v>
      </c>
      <c r="F471" s="100" t="str">
        <f t="shared" si="48"/>
        <v/>
      </c>
      <c r="G471" s="101" t="str">
        <f t="shared" si="49"/>
        <v/>
      </c>
      <c r="H471" s="102" t="str">
        <f t="shared" si="46"/>
        <v/>
      </c>
      <c r="K471" s="99" t="s">
        <v>2501</v>
      </c>
      <c r="L471" s="102">
        <f t="shared" si="50"/>
        <v>0</v>
      </c>
      <c r="M471" s="100">
        <v>45923</v>
      </c>
      <c r="N471" s="101">
        <v>100</v>
      </c>
      <c r="O471" s="101" t="str">
        <f t="shared" si="51"/>
        <v>90+</v>
      </c>
      <c r="P471" s="101" t="str">
        <f t="shared" si="47"/>
        <v>Low</v>
      </c>
    </row>
    <row r="472" spans="4:16" x14ac:dyDescent="0.3">
      <c r="D472" s="99" t="s">
        <v>2237</v>
      </c>
      <c r="E472" s="100">
        <v>45974</v>
      </c>
      <c r="F472" s="100" t="str">
        <f t="shared" si="48"/>
        <v/>
      </c>
      <c r="G472" s="101" t="str">
        <f t="shared" si="49"/>
        <v/>
      </c>
      <c r="H472" s="102" t="str">
        <f t="shared" si="46"/>
        <v/>
      </c>
      <c r="K472" s="99" t="s">
        <v>2502</v>
      </c>
      <c r="L472" s="102">
        <f t="shared" si="50"/>
        <v>1</v>
      </c>
      <c r="M472" s="100">
        <v>45980</v>
      </c>
      <c r="N472" s="101">
        <v>43</v>
      </c>
      <c r="O472" s="101" t="str">
        <f t="shared" si="51"/>
        <v>31-60</v>
      </c>
      <c r="P472" s="101" t="str">
        <f t="shared" si="47"/>
        <v>High</v>
      </c>
    </row>
    <row r="473" spans="4:16" x14ac:dyDescent="0.3">
      <c r="D473" s="99" t="s">
        <v>2238</v>
      </c>
      <c r="E473" s="100">
        <v>45663</v>
      </c>
      <c r="F473" s="100" t="str">
        <f t="shared" si="48"/>
        <v/>
      </c>
      <c r="G473" s="101" t="str">
        <f t="shared" si="49"/>
        <v/>
      </c>
      <c r="H473" s="102" t="str">
        <f t="shared" si="46"/>
        <v/>
      </c>
      <c r="K473" s="99" t="s">
        <v>2503</v>
      </c>
      <c r="L473" s="102">
        <f t="shared" si="50"/>
        <v>0</v>
      </c>
      <c r="M473" s="100">
        <v>45911</v>
      </c>
      <c r="N473" s="101">
        <v>112</v>
      </c>
      <c r="O473" s="101" t="str">
        <f t="shared" si="51"/>
        <v>90+</v>
      </c>
      <c r="P473" s="101" t="str">
        <f t="shared" si="47"/>
        <v>Low</v>
      </c>
    </row>
    <row r="474" spans="4:16" x14ac:dyDescent="0.3">
      <c r="D474" s="99" t="s">
        <v>2239</v>
      </c>
      <c r="E474" s="100">
        <v>45660</v>
      </c>
      <c r="F474" s="100">
        <f t="shared" si="48"/>
        <v>45663</v>
      </c>
      <c r="G474" s="101">
        <f t="shared" si="49"/>
        <v>3</v>
      </c>
      <c r="H474" s="102">
        <f t="shared" si="46"/>
        <v>1</v>
      </c>
      <c r="K474" s="99" t="s">
        <v>2504</v>
      </c>
      <c r="L474" s="102">
        <f t="shared" si="50"/>
        <v>0</v>
      </c>
      <c r="M474" s="100">
        <v>45805</v>
      </c>
      <c r="N474" s="101">
        <v>218</v>
      </c>
      <c r="O474" s="101" t="str">
        <f t="shared" si="51"/>
        <v>90+</v>
      </c>
      <c r="P474" s="101" t="str">
        <f t="shared" si="47"/>
        <v>Low</v>
      </c>
    </row>
    <row r="475" spans="4:16" x14ac:dyDescent="0.3">
      <c r="D475" s="99" t="s">
        <v>2239</v>
      </c>
      <c r="E475" s="100">
        <v>45663</v>
      </c>
      <c r="F475" s="100">
        <f t="shared" si="48"/>
        <v>45740</v>
      </c>
      <c r="G475" s="101">
        <f t="shared" si="49"/>
        <v>77</v>
      </c>
      <c r="H475" s="102">
        <f t="shared" si="46"/>
        <v>0</v>
      </c>
      <c r="K475" s="99" t="s">
        <v>2505</v>
      </c>
      <c r="L475" s="102">
        <f t="shared" si="50"/>
        <v>1</v>
      </c>
      <c r="M475" s="100">
        <v>45974</v>
      </c>
      <c r="N475" s="101">
        <v>49</v>
      </c>
      <c r="O475" s="101" t="str">
        <f t="shared" si="51"/>
        <v>31-60</v>
      </c>
      <c r="P475" s="101" t="str">
        <f t="shared" si="47"/>
        <v>High</v>
      </c>
    </row>
    <row r="476" spans="4:16" x14ac:dyDescent="0.3">
      <c r="D476" s="99" t="s">
        <v>2239</v>
      </c>
      <c r="E476" s="100">
        <v>45740</v>
      </c>
      <c r="F476" s="100">
        <f t="shared" si="48"/>
        <v>45924</v>
      </c>
      <c r="G476" s="101">
        <f t="shared" si="49"/>
        <v>184</v>
      </c>
      <c r="H476" s="102">
        <f t="shared" si="46"/>
        <v>0</v>
      </c>
      <c r="K476" s="99" t="s">
        <v>2506</v>
      </c>
      <c r="L476" s="102">
        <f t="shared" si="50"/>
        <v>0</v>
      </c>
      <c r="M476" s="100">
        <v>45861</v>
      </c>
      <c r="N476" s="101">
        <v>162</v>
      </c>
      <c r="O476" s="101" t="str">
        <f t="shared" si="51"/>
        <v>90+</v>
      </c>
      <c r="P476" s="101" t="str">
        <f t="shared" si="47"/>
        <v>Low</v>
      </c>
    </row>
    <row r="477" spans="4:16" x14ac:dyDescent="0.3">
      <c r="D477" s="99" t="s">
        <v>2239</v>
      </c>
      <c r="E477" s="100">
        <v>45924</v>
      </c>
      <c r="F477" s="100">
        <f t="shared" si="48"/>
        <v>45939</v>
      </c>
      <c r="G477" s="101">
        <f t="shared" si="49"/>
        <v>15</v>
      </c>
      <c r="H477" s="102">
        <f t="shared" si="46"/>
        <v>1</v>
      </c>
      <c r="K477" s="99" t="s">
        <v>2507</v>
      </c>
      <c r="L477" s="102">
        <f t="shared" si="50"/>
        <v>0</v>
      </c>
      <c r="M477" s="100">
        <v>45978</v>
      </c>
      <c r="N477" s="101">
        <v>45</v>
      </c>
      <c r="O477" s="101" t="str">
        <f t="shared" si="51"/>
        <v>31-60</v>
      </c>
      <c r="P477" s="101" t="str">
        <f t="shared" si="47"/>
        <v>High</v>
      </c>
    </row>
    <row r="478" spans="4:16" x14ac:dyDescent="0.3">
      <c r="D478" s="99" t="s">
        <v>2239</v>
      </c>
      <c r="E478" s="100">
        <v>45939</v>
      </c>
      <c r="F478" s="100">
        <f t="shared" si="48"/>
        <v>45952</v>
      </c>
      <c r="G478" s="101">
        <f t="shared" si="49"/>
        <v>13</v>
      </c>
      <c r="H478" s="102">
        <f t="shared" si="46"/>
        <v>1</v>
      </c>
      <c r="K478" s="99" t="s">
        <v>2508</v>
      </c>
      <c r="L478" s="102">
        <f t="shared" si="50"/>
        <v>0</v>
      </c>
      <c r="M478" s="100">
        <v>46010</v>
      </c>
      <c r="N478" s="101">
        <v>13</v>
      </c>
      <c r="O478" s="101" t="str">
        <f t="shared" si="51"/>
        <v>0-30</v>
      </c>
      <c r="P478" s="101" t="str">
        <f t="shared" si="47"/>
        <v>High</v>
      </c>
    </row>
    <row r="479" spans="4:16" x14ac:dyDescent="0.3">
      <c r="D479" s="99" t="s">
        <v>2239</v>
      </c>
      <c r="E479" s="100">
        <v>45952</v>
      </c>
      <c r="F479" s="100" t="str">
        <f t="shared" si="48"/>
        <v/>
      </c>
      <c r="G479" s="101" t="str">
        <f t="shared" si="49"/>
        <v/>
      </c>
      <c r="H479" s="102" t="str">
        <f t="shared" si="46"/>
        <v/>
      </c>
      <c r="K479" s="99" t="s">
        <v>2509</v>
      </c>
      <c r="L479" s="102">
        <f t="shared" si="50"/>
        <v>0</v>
      </c>
      <c r="M479" s="100">
        <v>45782</v>
      </c>
      <c r="N479" s="101">
        <v>241</v>
      </c>
      <c r="O479" s="101" t="str">
        <f t="shared" si="51"/>
        <v>90+</v>
      </c>
      <c r="P479" s="101" t="str">
        <f t="shared" si="47"/>
        <v>Low</v>
      </c>
    </row>
    <row r="480" spans="4:16" x14ac:dyDescent="0.3">
      <c r="D480" s="99" t="s">
        <v>2240</v>
      </c>
      <c r="E480" s="100">
        <v>45831</v>
      </c>
      <c r="F480" s="100" t="str">
        <f t="shared" si="48"/>
        <v/>
      </c>
      <c r="G480" s="101" t="str">
        <f t="shared" si="49"/>
        <v/>
      </c>
      <c r="H480" s="102" t="str">
        <f t="shared" si="46"/>
        <v/>
      </c>
      <c r="K480" s="99" t="s">
        <v>2510</v>
      </c>
      <c r="L480" s="102">
        <f t="shared" si="50"/>
        <v>1</v>
      </c>
      <c r="M480" s="100">
        <v>45968</v>
      </c>
      <c r="N480" s="101">
        <v>55</v>
      </c>
      <c r="O480" s="101" t="str">
        <f t="shared" si="51"/>
        <v>31-60</v>
      </c>
      <c r="P480" s="101" t="str">
        <f t="shared" si="47"/>
        <v>High</v>
      </c>
    </row>
    <row r="481" spans="4:16" x14ac:dyDescent="0.3">
      <c r="D481" s="99" t="s">
        <v>2241</v>
      </c>
      <c r="E481" s="100">
        <v>45910</v>
      </c>
      <c r="F481" s="100" t="str">
        <f t="shared" si="48"/>
        <v/>
      </c>
      <c r="G481" s="101" t="str">
        <f t="shared" si="49"/>
        <v/>
      </c>
      <c r="H481" s="102" t="str">
        <f t="shared" si="46"/>
        <v/>
      </c>
      <c r="K481" s="99" t="s">
        <v>2511</v>
      </c>
      <c r="L481" s="102">
        <f t="shared" si="50"/>
        <v>0</v>
      </c>
      <c r="M481" s="100">
        <v>45972</v>
      </c>
      <c r="N481" s="101">
        <v>51</v>
      </c>
      <c r="O481" s="101" t="str">
        <f t="shared" si="51"/>
        <v>31-60</v>
      </c>
      <c r="P481" s="101" t="str">
        <f t="shared" si="47"/>
        <v>High</v>
      </c>
    </row>
    <row r="482" spans="4:16" x14ac:dyDescent="0.3">
      <c r="D482" s="99" t="s">
        <v>2242</v>
      </c>
      <c r="E482" s="100">
        <v>45910</v>
      </c>
      <c r="F482" s="100" t="str">
        <f t="shared" si="48"/>
        <v/>
      </c>
      <c r="G482" s="101" t="str">
        <f t="shared" si="49"/>
        <v/>
      </c>
      <c r="H482" s="102" t="str">
        <f t="shared" si="46"/>
        <v/>
      </c>
      <c r="K482" s="99" t="s">
        <v>2512</v>
      </c>
      <c r="L482" s="102">
        <f t="shared" si="50"/>
        <v>0</v>
      </c>
      <c r="M482" s="100">
        <v>45805</v>
      </c>
      <c r="N482" s="101">
        <v>218</v>
      </c>
      <c r="O482" s="101" t="str">
        <f t="shared" si="51"/>
        <v>90+</v>
      </c>
      <c r="P482" s="101" t="str">
        <f t="shared" si="47"/>
        <v>Low</v>
      </c>
    </row>
    <row r="483" spans="4:16" x14ac:dyDescent="0.3">
      <c r="D483" s="99" t="s">
        <v>2243</v>
      </c>
      <c r="E483" s="100">
        <v>45930</v>
      </c>
      <c r="F483" s="100">
        <f t="shared" si="48"/>
        <v>45960</v>
      </c>
      <c r="G483" s="101">
        <f t="shared" si="49"/>
        <v>30</v>
      </c>
      <c r="H483" s="102">
        <f t="shared" si="46"/>
        <v>1</v>
      </c>
      <c r="K483" s="99" t="s">
        <v>2513</v>
      </c>
      <c r="L483" s="102">
        <f t="shared" si="50"/>
        <v>1</v>
      </c>
      <c r="M483" s="100">
        <v>45930</v>
      </c>
      <c r="N483" s="101">
        <v>93</v>
      </c>
      <c r="O483" s="101" t="str">
        <f t="shared" si="51"/>
        <v>90+</v>
      </c>
      <c r="P483" s="101" t="str">
        <f t="shared" si="47"/>
        <v>Low</v>
      </c>
    </row>
    <row r="484" spans="4:16" x14ac:dyDescent="0.3">
      <c r="D484" s="99" t="s">
        <v>2243</v>
      </c>
      <c r="E484" s="100">
        <v>45960</v>
      </c>
      <c r="F484" s="100">
        <f t="shared" si="48"/>
        <v>45999</v>
      </c>
      <c r="G484" s="101">
        <f t="shared" si="49"/>
        <v>39</v>
      </c>
      <c r="H484" s="102">
        <f t="shared" si="46"/>
        <v>0</v>
      </c>
      <c r="K484" s="99" t="s">
        <v>2514</v>
      </c>
      <c r="L484" s="102">
        <f t="shared" si="50"/>
        <v>0</v>
      </c>
      <c r="M484" s="100">
        <v>45852</v>
      </c>
      <c r="N484" s="101">
        <v>171</v>
      </c>
      <c r="O484" s="101" t="str">
        <f t="shared" si="51"/>
        <v>90+</v>
      </c>
      <c r="P484" s="101" t="str">
        <f t="shared" si="47"/>
        <v>Low</v>
      </c>
    </row>
    <row r="485" spans="4:16" x14ac:dyDescent="0.3">
      <c r="D485" s="99" t="s">
        <v>2243</v>
      </c>
      <c r="E485" s="100">
        <v>45999</v>
      </c>
      <c r="F485" s="100" t="str">
        <f t="shared" si="48"/>
        <v/>
      </c>
      <c r="G485" s="101" t="str">
        <f t="shared" si="49"/>
        <v/>
      </c>
      <c r="H485" s="102" t="str">
        <f t="shared" si="46"/>
        <v/>
      </c>
      <c r="K485" s="99" t="s">
        <v>2515</v>
      </c>
      <c r="L485" s="102">
        <f t="shared" si="50"/>
        <v>0</v>
      </c>
      <c r="M485" s="100">
        <v>45966</v>
      </c>
      <c r="N485" s="101">
        <v>57</v>
      </c>
      <c r="O485" s="101" t="str">
        <f t="shared" si="51"/>
        <v>31-60</v>
      </c>
      <c r="P485" s="101" t="str">
        <f t="shared" si="47"/>
        <v>High</v>
      </c>
    </row>
    <row r="486" spans="4:16" x14ac:dyDescent="0.3">
      <c r="D486" s="99" t="s">
        <v>2244</v>
      </c>
      <c r="E486" s="100">
        <v>45889</v>
      </c>
      <c r="F486" s="100" t="str">
        <f t="shared" si="48"/>
        <v/>
      </c>
      <c r="G486" s="101" t="str">
        <f t="shared" si="49"/>
        <v/>
      </c>
      <c r="H486" s="102" t="str">
        <f t="shared" si="46"/>
        <v/>
      </c>
      <c r="K486" s="99" t="s">
        <v>2516</v>
      </c>
      <c r="L486" s="102">
        <f t="shared" si="50"/>
        <v>0</v>
      </c>
      <c r="M486" s="100">
        <v>45918</v>
      </c>
      <c r="N486" s="101">
        <v>105</v>
      </c>
      <c r="O486" s="101" t="str">
        <f t="shared" si="51"/>
        <v>90+</v>
      </c>
      <c r="P486" s="101" t="str">
        <f t="shared" si="47"/>
        <v>Low</v>
      </c>
    </row>
    <row r="487" spans="4:16" x14ac:dyDescent="0.3">
      <c r="D487" s="99" t="s">
        <v>2245</v>
      </c>
      <c r="E487" s="100">
        <v>45862</v>
      </c>
      <c r="F487" s="100">
        <f t="shared" si="48"/>
        <v>45884</v>
      </c>
      <c r="G487" s="101">
        <f t="shared" si="49"/>
        <v>22</v>
      </c>
      <c r="H487" s="102">
        <f t="shared" si="46"/>
        <v>1</v>
      </c>
      <c r="K487" s="99" t="s">
        <v>2517</v>
      </c>
      <c r="L487" s="102">
        <f t="shared" si="50"/>
        <v>0</v>
      </c>
      <c r="M487" s="100">
        <v>45862</v>
      </c>
      <c r="N487" s="101">
        <v>161</v>
      </c>
      <c r="O487" s="101" t="str">
        <f t="shared" si="51"/>
        <v>90+</v>
      </c>
      <c r="P487" s="101" t="str">
        <f t="shared" si="47"/>
        <v>Low</v>
      </c>
    </row>
    <row r="488" spans="4:16" x14ac:dyDescent="0.3">
      <c r="D488" s="99" t="s">
        <v>2245</v>
      </c>
      <c r="E488" s="100">
        <v>45884</v>
      </c>
      <c r="F488" s="100">
        <f t="shared" si="48"/>
        <v>45919</v>
      </c>
      <c r="G488" s="101">
        <f t="shared" si="49"/>
        <v>35</v>
      </c>
      <c r="H488" s="102">
        <f t="shared" si="46"/>
        <v>0</v>
      </c>
      <c r="K488" s="99" t="s">
        <v>2518</v>
      </c>
      <c r="L488" s="102">
        <f t="shared" si="50"/>
        <v>0</v>
      </c>
      <c r="M488" s="100">
        <v>45937</v>
      </c>
      <c r="N488" s="101">
        <v>86</v>
      </c>
      <c r="O488" s="101" t="str">
        <f t="shared" si="51"/>
        <v>61-90</v>
      </c>
      <c r="P488" s="101" t="str">
        <f t="shared" si="47"/>
        <v>Low</v>
      </c>
    </row>
    <row r="489" spans="4:16" x14ac:dyDescent="0.3">
      <c r="D489" s="99" t="s">
        <v>2245</v>
      </c>
      <c r="E489" s="100">
        <v>45919</v>
      </c>
      <c r="F489" s="100">
        <f t="shared" si="48"/>
        <v>45967</v>
      </c>
      <c r="G489" s="101">
        <f t="shared" si="49"/>
        <v>48</v>
      </c>
      <c r="H489" s="102">
        <f t="shared" si="46"/>
        <v>0</v>
      </c>
      <c r="K489" s="99" t="s">
        <v>2519</v>
      </c>
      <c r="L489" s="102">
        <f t="shared" si="50"/>
        <v>1</v>
      </c>
      <c r="M489" s="100">
        <v>46013</v>
      </c>
      <c r="N489" s="101">
        <v>10</v>
      </c>
      <c r="O489" s="101" t="str">
        <f t="shared" si="51"/>
        <v>0-30</v>
      </c>
      <c r="P489" s="101" t="str">
        <f t="shared" si="47"/>
        <v>High</v>
      </c>
    </row>
    <row r="490" spans="4:16" x14ac:dyDescent="0.3">
      <c r="D490" s="99" t="s">
        <v>2245</v>
      </c>
      <c r="E490" s="100">
        <v>45967</v>
      </c>
      <c r="F490" s="100">
        <f t="shared" si="48"/>
        <v>45974</v>
      </c>
      <c r="G490" s="101">
        <f t="shared" si="49"/>
        <v>7</v>
      </c>
      <c r="H490" s="102">
        <f t="shared" si="46"/>
        <v>1</v>
      </c>
      <c r="K490" s="99" t="s">
        <v>2520</v>
      </c>
      <c r="L490" s="102">
        <f t="shared" si="50"/>
        <v>1</v>
      </c>
      <c r="M490" s="100">
        <v>45762</v>
      </c>
      <c r="N490" s="101">
        <v>261</v>
      </c>
      <c r="O490" s="101" t="str">
        <f t="shared" si="51"/>
        <v>90+</v>
      </c>
      <c r="P490" s="101" t="str">
        <f t="shared" si="47"/>
        <v>Low</v>
      </c>
    </row>
    <row r="491" spans="4:16" x14ac:dyDescent="0.3">
      <c r="D491" s="99" t="s">
        <v>2245</v>
      </c>
      <c r="E491" s="100">
        <v>45974</v>
      </c>
      <c r="F491" s="100">
        <f t="shared" si="48"/>
        <v>46010</v>
      </c>
      <c r="G491" s="101">
        <f t="shared" si="49"/>
        <v>36</v>
      </c>
      <c r="H491" s="102">
        <f t="shared" si="46"/>
        <v>0</v>
      </c>
      <c r="K491" s="99" t="s">
        <v>2521</v>
      </c>
      <c r="L491" s="102">
        <f t="shared" si="50"/>
        <v>0</v>
      </c>
      <c r="M491" s="100">
        <v>45888</v>
      </c>
      <c r="N491" s="101">
        <v>135</v>
      </c>
      <c r="O491" s="101" t="str">
        <f t="shared" si="51"/>
        <v>90+</v>
      </c>
      <c r="P491" s="101" t="str">
        <f t="shared" si="47"/>
        <v>Low</v>
      </c>
    </row>
    <row r="492" spans="4:16" x14ac:dyDescent="0.3">
      <c r="D492" s="99" t="s">
        <v>2245</v>
      </c>
      <c r="E492" s="100">
        <v>46010</v>
      </c>
      <c r="F492" s="100" t="str">
        <f t="shared" si="48"/>
        <v/>
      </c>
      <c r="G492" s="101" t="str">
        <f t="shared" si="49"/>
        <v/>
      </c>
      <c r="H492" s="102" t="str">
        <f t="shared" si="46"/>
        <v/>
      </c>
      <c r="K492" s="99" t="s">
        <v>2522</v>
      </c>
      <c r="L492" s="102">
        <f t="shared" si="50"/>
        <v>0</v>
      </c>
      <c r="M492" s="100">
        <v>45805</v>
      </c>
      <c r="N492" s="101">
        <v>218</v>
      </c>
      <c r="O492" s="101" t="str">
        <f t="shared" si="51"/>
        <v>90+</v>
      </c>
      <c r="P492" s="101" t="str">
        <f t="shared" si="47"/>
        <v>Low</v>
      </c>
    </row>
    <row r="493" spans="4:16" x14ac:dyDescent="0.3">
      <c r="D493" s="99" t="s">
        <v>2246</v>
      </c>
      <c r="E493" s="100">
        <v>45862</v>
      </c>
      <c r="F493" s="100" t="str">
        <f t="shared" si="48"/>
        <v/>
      </c>
      <c r="G493" s="101" t="str">
        <f t="shared" si="49"/>
        <v/>
      </c>
      <c r="H493" s="102" t="str">
        <f t="shared" si="46"/>
        <v/>
      </c>
      <c r="K493" s="99" t="s">
        <v>2523</v>
      </c>
      <c r="L493" s="102">
        <f t="shared" si="50"/>
        <v>1</v>
      </c>
      <c r="M493" s="100">
        <v>45750</v>
      </c>
      <c r="N493" s="101">
        <v>273</v>
      </c>
      <c r="O493" s="101" t="str">
        <f t="shared" si="51"/>
        <v>90+</v>
      </c>
      <c r="P493" s="101" t="str">
        <f t="shared" si="47"/>
        <v>Low</v>
      </c>
    </row>
    <row r="494" spans="4:16" x14ac:dyDescent="0.3">
      <c r="D494" s="99" t="s">
        <v>2247</v>
      </c>
      <c r="E494" s="100">
        <v>45896</v>
      </c>
      <c r="F494" s="100">
        <f t="shared" si="48"/>
        <v>45974</v>
      </c>
      <c r="G494" s="101">
        <f t="shared" si="49"/>
        <v>78</v>
      </c>
      <c r="H494" s="102">
        <f t="shared" si="46"/>
        <v>0</v>
      </c>
      <c r="K494" s="99" t="s">
        <v>2524</v>
      </c>
      <c r="L494" s="102">
        <f t="shared" si="50"/>
        <v>0</v>
      </c>
      <c r="M494" s="100">
        <v>45972</v>
      </c>
      <c r="N494" s="101">
        <v>51</v>
      </c>
      <c r="O494" s="101" t="str">
        <f t="shared" si="51"/>
        <v>31-60</v>
      </c>
      <c r="P494" s="101" t="str">
        <f t="shared" si="47"/>
        <v>High</v>
      </c>
    </row>
    <row r="495" spans="4:16" x14ac:dyDescent="0.3">
      <c r="D495" s="99" t="s">
        <v>2247</v>
      </c>
      <c r="E495" s="100">
        <v>45974</v>
      </c>
      <c r="F495" s="100">
        <f t="shared" si="48"/>
        <v>46013</v>
      </c>
      <c r="G495" s="101">
        <f t="shared" si="49"/>
        <v>39</v>
      </c>
      <c r="H495" s="102">
        <f t="shared" si="46"/>
        <v>0</v>
      </c>
      <c r="K495" s="99" t="s">
        <v>2525</v>
      </c>
      <c r="L495" s="102">
        <f t="shared" si="50"/>
        <v>0</v>
      </c>
      <c r="M495" s="100">
        <v>45961</v>
      </c>
      <c r="N495" s="101">
        <v>62</v>
      </c>
      <c r="O495" s="101" t="str">
        <f t="shared" si="51"/>
        <v>61-90</v>
      </c>
      <c r="P495" s="101" t="str">
        <f t="shared" si="47"/>
        <v>Low</v>
      </c>
    </row>
    <row r="496" spans="4:16" x14ac:dyDescent="0.3">
      <c r="D496" s="99" t="s">
        <v>2247</v>
      </c>
      <c r="E496" s="100">
        <v>46013</v>
      </c>
      <c r="F496" s="100" t="str">
        <f t="shared" si="48"/>
        <v/>
      </c>
      <c r="G496" s="101" t="str">
        <f t="shared" si="49"/>
        <v/>
      </c>
      <c r="H496" s="102" t="str">
        <f t="shared" si="46"/>
        <v/>
      </c>
      <c r="K496" s="99" t="s">
        <v>2526</v>
      </c>
      <c r="L496" s="102">
        <f t="shared" si="50"/>
        <v>0</v>
      </c>
      <c r="M496" s="100">
        <v>45799</v>
      </c>
      <c r="N496" s="101">
        <v>224</v>
      </c>
      <c r="O496" s="101" t="str">
        <f t="shared" si="51"/>
        <v>90+</v>
      </c>
      <c r="P496" s="101" t="str">
        <f t="shared" si="47"/>
        <v>Low</v>
      </c>
    </row>
    <row r="497" spans="4:16" x14ac:dyDescent="0.3">
      <c r="D497" s="99" t="s">
        <v>2248</v>
      </c>
      <c r="E497" s="100">
        <v>45680</v>
      </c>
      <c r="F497" s="100">
        <f t="shared" si="48"/>
        <v>45714</v>
      </c>
      <c r="G497" s="101">
        <f t="shared" si="49"/>
        <v>34</v>
      </c>
      <c r="H497" s="102">
        <f t="shared" si="46"/>
        <v>0</v>
      </c>
      <c r="K497" s="99" t="s">
        <v>2527</v>
      </c>
      <c r="L497" s="102">
        <f t="shared" si="50"/>
        <v>0</v>
      </c>
      <c r="M497" s="100">
        <v>45796</v>
      </c>
      <c r="N497" s="101">
        <v>227</v>
      </c>
      <c r="O497" s="101" t="str">
        <f t="shared" si="51"/>
        <v>90+</v>
      </c>
      <c r="P497" s="101" t="str">
        <f t="shared" si="47"/>
        <v>Low</v>
      </c>
    </row>
    <row r="498" spans="4:16" x14ac:dyDescent="0.3">
      <c r="D498" s="99" t="s">
        <v>2248</v>
      </c>
      <c r="E498" s="100">
        <v>45714</v>
      </c>
      <c r="F498" s="100">
        <f t="shared" si="48"/>
        <v>45744</v>
      </c>
      <c r="G498" s="101">
        <f t="shared" si="49"/>
        <v>30</v>
      </c>
      <c r="H498" s="102">
        <f t="shared" si="46"/>
        <v>1</v>
      </c>
      <c r="K498" s="99" t="s">
        <v>2528</v>
      </c>
      <c r="L498" s="102">
        <f t="shared" si="50"/>
        <v>0</v>
      </c>
      <c r="M498" s="100">
        <v>45995</v>
      </c>
      <c r="N498" s="101">
        <v>28</v>
      </c>
      <c r="O498" s="101" t="str">
        <f t="shared" si="51"/>
        <v>0-30</v>
      </c>
      <c r="P498" s="101" t="str">
        <f t="shared" si="47"/>
        <v>High</v>
      </c>
    </row>
    <row r="499" spans="4:16" x14ac:dyDescent="0.3">
      <c r="D499" s="99" t="s">
        <v>2248</v>
      </c>
      <c r="E499" s="100">
        <v>45744</v>
      </c>
      <c r="F499" s="100">
        <f t="shared" si="48"/>
        <v>45849</v>
      </c>
      <c r="G499" s="101">
        <f t="shared" si="49"/>
        <v>105</v>
      </c>
      <c r="H499" s="102">
        <f t="shared" si="46"/>
        <v>0</v>
      </c>
      <c r="K499" s="99" t="s">
        <v>2529</v>
      </c>
      <c r="L499" s="102">
        <f t="shared" si="50"/>
        <v>1</v>
      </c>
      <c r="M499" s="100">
        <v>45849</v>
      </c>
      <c r="N499" s="101">
        <v>174</v>
      </c>
      <c r="O499" s="101" t="str">
        <f t="shared" si="51"/>
        <v>90+</v>
      </c>
      <c r="P499" s="101" t="str">
        <f t="shared" si="47"/>
        <v>Low</v>
      </c>
    </row>
    <row r="500" spans="4:16" x14ac:dyDescent="0.3">
      <c r="D500" s="99" t="s">
        <v>2248</v>
      </c>
      <c r="E500" s="100">
        <v>45849</v>
      </c>
      <c r="F500" s="100">
        <f t="shared" si="48"/>
        <v>45950</v>
      </c>
      <c r="G500" s="101">
        <f t="shared" si="49"/>
        <v>101</v>
      </c>
      <c r="H500" s="102">
        <f t="shared" si="46"/>
        <v>0</v>
      </c>
      <c r="K500" s="99" t="s">
        <v>2530</v>
      </c>
      <c r="L500" s="102">
        <f t="shared" si="50"/>
        <v>1</v>
      </c>
      <c r="M500" s="100">
        <v>45979</v>
      </c>
      <c r="N500" s="101">
        <v>44</v>
      </c>
      <c r="O500" s="101" t="str">
        <f t="shared" si="51"/>
        <v>31-60</v>
      </c>
      <c r="P500" s="101" t="str">
        <f t="shared" si="47"/>
        <v>High</v>
      </c>
    </row>
    <row r="501" spans="4:16" x14ac:dyDescent="0.3">
      <c r="D501" s="99" t="s">
        <v>2248</v>
      </c>
      <c r="E501" s="100">
        <v>45950</v>
      </c>
      <c r="F501" s="100" t="str">
        <f t="shared" si="48"/>
        <v/>
      </c>
      <c r="G501" s="101" t="str">
        <f t="shared" si="49"/>
        <v/>
      </c>
      <c r="H501" s="102" t="str">
        <f t="shared" si="46"/>
        <v/>
      </c>
      <c r="K501" s="99" t="s">
        <v>2531</v>
      </c>
      <c r="L501" s="102">
        <f t="shared" si="50"/>
        <v>0</v>
      </c>
      <c r="M501" s="100">
        <v>45748</v>
      </c>
      <c r="N501" s="101">
        <v>275</v>
      </c>
      <c r="O501" s="101" t="str">
        <f t="shared" si="51"/>
        <v>90+</v>
      </c>
      <c r="P501" s="101" t="str">
        <f t="shared" si="47"/>
        <v>Low</v>
      </c>
    </row>
    <row r="502" spans="4:16" x14ac:dyDescent="0.3">
      <c r="D502" s="99" t="s">
        <v>2249</v>
      </c>
      <c r="E502" s="100">
        <v>45937</v>
      </c>
      <c r="F502" s="100">
        <f t="shared" si="48"/>
        <v>45939</v>
      </c>
      <c r="G502" s="101">
        <f t="shared" si="49"/>
        <v>2</v>
      </c>
      <c r="H502" s="102">
        <f t="shared" si="46"/>
        <v>1</v>
      </c>
      <c r="K502" s="99" t="s">
        <v>2532</v>
      </c>
      <c r="L502" s="102">
        <f t="shared" si="50"/>
        <v>1</v>
      </c>
      <c r="M502" s="100">
        <v>46022</v>
      </c>
      <c r="N502" s="101">
        <v>1</v>
      </c>
      <c r="O502" s="101" t="str">
        <f t="shared" si="51"/>
        <v>0-30</v>
      </c>
      <c r="P502" s="101" t="str">
        <f t="shared" si="47"/>
        <v>High</v>
      </c>
    </row>
    <row r="503" spans="4:16" x14ac:dyDescent="0.3">
      <c r="D503" s="99" t="s">
        <v>2249</v>
      </c>
      <c r="E503" s="100">
        <v>45939</v>
      </c>
      <c r="F503" s="100" t="str">
        <f t="shared" si="48"/>
        <v/>
      </c>
      <c r="G503" s="101" t="str">
        <f t="shared" si="49"/>
        <v/>
      </c>
      <c r="H503" s="102" t="str">
        <f t="shared" si="46"/>
        <v/>
      </c>
      <c r="K503" s="99" t="s">
        <v>2533</v>
      </c>
      <c r="L503" s="102">
        <f t="shared" si="50"/>
        <v>1</v>
      </c>
      <c r="M503" s="100">
        <v>45968</v>
      </c>
      <c r="N503" s="101">
        <v>55</v>
      </c>
      <c r="O503" s="101" t="str">
        <f t="shared" si="51"/>
        <v>31-60</v>
      </c>
      <c r="P503" s="101" t="str">
        <f t="shared" si="47"/>
        <v>High</v>
      </c>
    </row>
    <row r="504" spans="4:16" x14ac:dyDescent="0.3">
      <c r="D504" s="99" t="s">
        <v>2250</v>
      </c>
      <c r="E504" s="100">
        <v>45762</v>
      </c>
      <c r="F504" s="100">
        <f t="shared" si="48"/>
        <v>45835</v>
      </c>
      <c r="G504" s="101">
        <f t="shared" si="49"/>
        <v>73</v>
      </c>
      <c r="H504" s="102">
        <f t="shared" si="46"/>
        <v>0</v>
      </c>
      <c r="K504" s="99" t="s">
        <v>2534</v>
      </c>
      <c r="L504" s="102">
        <f t="shared" si="50"/>
        <v>0</v>
      </c>
      <c r="M504" s="100">
        <v>45911</v>
      </c>
      <c r="N504" s="101">
        <v>112</v>
      </c>
      <c r="O504" s="101" t="str">
        <f t="shared" si="51"/>
        <v>90+</v>
      </c>
      <c r="P504" s="101" t="str">
        <f t="shared" si="47"/>
        <v>Low</v>
      </c>
    </row>
    <row r="505" spans="4:16" x14ac:dyDescent="0.3">
      <c r="D505" s="99" t="s">
        <v>2250</v>
      </c>
      <c r="E505" s="100">
        <v>45835</v>
      </c>
      <c r="F505" s="100">
        <f t="shared" si="48"/>
        <v>45866</v>
      </c>
      <c r="G505" s="101">
        <f t="shared" si="49"/>
        <v>31</v>
      </c>
      <c r="H505" s="102">
        <f t="shared" si="46"/>
        <v>0</v>
      </c>
      <c r="K505" s="99" t="s">
        <v>2535</v>
      </c>
      <c r="L505" s="102">
        <f t="shared" si="50"/>
        <v>0</v>
      </c>
      <c r="M505" s="100">
        <v>45965</v>
      </c>
      <c r="N505" s="101">
        <v>58</v>
      </c>
      <c r="O505" s="101" t="str">
        <f t="shared" si="51"/>
        <v>31-60</v>
      </c>
      <c r="P505" s="101" t="str">
        <f t="shared" si="47"/>
        <v>High</v>
      </c>
    </row>
    <row r="506" spans="4:16" x14ac:dyDescent="0.3">
      <c r="D506" s="99" t="s">
        <v>2250</v>
      </c>
      <c r="E506" s="100">
        <v>45866</v>
      </c>
      <c r="F506" s="100">
        <f t="shared" si="48"/>
        <v>45890</v>
      </c>
      <c r="G506" s="101">
        <f t="shared" si="49"/>
        <v>24</v>
      </c>
      <c r="H506" s="102">
        <f t="shared" si="46"/>
        <v>1</v>
      </c>
      <c r="K506" s="99" t="s">
        <v>2536</v>
      </c>
      <c r="L506" s="102">
        <f t="shared" si="50"/>
        <v>1</v>
      </c>
      <c r="M506" s="100">
        <v>45904</v>
      </c>
      <c r="N506" s="101">
        <v>119</v>
      </c>
      <c r="O506" s="101" t="str">
        <f t="shared" si="51"/>
        <v>90+</v>
      </c>
      <c r="P506" s="101" t="str">
        <f t="shared" si="47"/>
        <v>Low</v>
      </c>
    </row>
    <row r="507" spans="4:16" x14ac:dyDescent="0.3">
      <c r="D507" s="99" t="s">
        <v>2250</v>
      </c>
      <c r="E507" s="100">
        <v>45890</v>
      </c>
      <c r="F507" s="100">
        <f t="shared" si="48"/>
        <v>45894</v>
      </c>
      <c r="G507" s="101">
        <f t="shared" si="49"/>
        <v>4</v>
      </c>
      <c r="H507" s="102">
        <f t="shared" si="46"/>
        <v>1</v>
      </c>
      <c r="K507" s="99" t="s">
        <v>2537</v>
      </c>
      <c r="L507" s="102">
        <f t="shared" si="50"/>
        <v>1</v>
      </c>
      <c r="M507" s="100">
        <v>45912</v>
      </c>
      <c r="N507" s="101">
        <v>111</v>
      </c>
      <c r="O507" s="101" t="str">
        <f t="shared" si="51"/>
        <v>90+</v>
      </c>
      <c r="P507" s="101" t="str">
        <f t="shared" si="47"/>
        <v>Low</v>
      </c>
    </row>
    <row r="508" spans="4:16" x14ac:dyDescent="0.3">
      <c r="D508" s="99" t="s">
        <v>2250</v>
      </c>
      <c r="E508" s="100">
        <v>45894</v>
      </c>
      <c r="F508" s="100">
        <f t="shared" si="48"/>
        <v>45923</v>
      </c>
      <c r="G508" s="101">
        <f t="shared" si="49"/>
        <v>29</v>
      </c>
      <c r="H508" s="102">
        <f t="shared" si="46"/>
        <v>1</v>
      </c>
      <c r="K508" s="99" t="s">
        <v>2538</v>
      </c>
      <c r="L508" s="102">
        <f t="shared" si="50"/>
        <v>1</v>
      </c>
      <c r="M508" s="100">
        <v>46007</v>
      </c>
      <c r="N508" s="101">
        <v>16</v>
      </c>
      <c r="O508" s="101" t="str">
        <f t="shared" si="51"/>
        <v>0-30</v>
      </c>
      <c r="P508" s="101" t="str">
        <f t="shared" si="47"/>
        <v>High</v>
      </c>
    </row>
    <row r="509" spans="4:16" x14ac:dyDescent="0.3">
      <c r="D509" s="99" t="s">
        <v>2250</v>
      </c>
      <c r="E509" s="100">
        <v>45923</v>
      </c>
      <c r="F509" s="100">
        <f t="shared" si="48"/>
        <v>46017</v>
      </c>
      <c r="G509" s="101">
        <f t="shared" si="49"/>
        <v>94</v>
      </c>
      <c r="H509" s="102">
        <f t="shared" si="46"/>
        <v>0</v>
      </c>
      <c r="K509" s="99" t="s">
        <v>2539</v>
      </c>
      <c r="L509" s="102">
        <f t="shared" si="50"/>
        <v>0</v>
      </c>
      <c r="M509" s="100">
        <v>45966</v>
      </c>
      <c r="N509" s="101">
        <v>57</v>
      </c>
      <c r="O509" s="101" t="str">
        <f t="shared" si="51"/>
        <v>31-60</v>
      </c>
      <c r="P509" s="101" t="str">
        <f t="shared" si="47"/>
        <v>High</v>
      </c>
    </row>
    <row r="510" spans="4:16" x14ac:dyDescent="0.3">
      <c r="D510" s="99" t="s">
        <v>2250</v>
      </c>
      <c r="E510" s="100">
        <v>46017</v>
      </c>
      <c r="F510" s="100" t="str">
        <f t="shared" si="48"/>
        <v/>
      </c>
      <c r="G510" s="101" t="str">
        <f t="shared" si="49"/>
        <v/>
      </c>
      <c r="H510" s="102" t="str">
        <f t="shared" si="46"/>
        <v/>
      </c>
      <c r="K510" s="99" t="s">
        <v>2540</v>
      </c>
      <c r="L510" s="102">
        <f t="shared" si="50"/>
        <v>0</v>
      </c>
      <c r="M510" s="100">
        <v>45799</v>
      </c>
      <c r="N510" s="101">
        <v>224</v>
      </c>
      <c r="O510" s="101" t="str">
        <f t="shared" si="51"/>
        <v>90+</v>
      </c>
      <c r="P510" s="101" t="str">
        <f t="shared" si="47"/>
        <v>Low</v>
      </c>
    </row>
    <row r="511" spans="4:16" x14ac:dyDescent="0.3">
      <c r="D511" s="99" t="s">
        <v>2251</v>
      </c>
      <c r="E511" s="100">
        <v>45716</v>
      </c>
      <c r="F511" s="100">
        <f t="shared" si="48"/>
        <v>45770</v>
      </c>
      <c r="G511" s="101">
        <f t="shared" si="49"/>
        <v>54</v>
      </c>
      <c r="H511" s="102">
        <f t="shared" si="46"/>
        <v>0</v>
      </c>
      <c r="K511" s="99" t="s">
        <v>2541</v>
      </c>
      <c r="L511" s="102">
        <f t="shared" si="50"/>
        <v>1</v>
      </c>
      <c r="M511" s="100">
        <v>45888</v>
      </c>
      <c r="N511" s="101">
        <v>135</v>
      </c>
      <c r="O511" s="101" t="str">
        <f t="shared" si="51"/>
        <v>90+</v>
      </c>
      <c r="P511" s="101" t="str">
        <f t="shared" si="47"/>
        <v>Low</v>
      </c>
    </row>
    <row r="512" spans="4:16" x14ac:dyDescent="0.3">
      <c r="D512" s="99" t="s">
        <v>2251</v>
      </c>
      <c r="E512" s="100">
        <v>45770</v>
      </c>
      <c r="F512" s="100">
        <f t="shared" si="48"/>
        <v>45789</v>
      </c>
      <c r="G512" s="101">
        <f t="shared" si="49"/>
        <v>19</v>
      </c>
      <c r="H512" s="102">
        <f t="shared" si="46"/>
        <v>1</v>
      </c>
      <c r="K512" s="99" t="s">
        <v>2542</v>
      </c>
      <c r="L512" s="102">
        <f t="shared" si="50"/>
        <v>0</v>
      </c>
      <c r="M512" s="100">
        <v>45940</v>
      </c>
      <c r="N512" s="101">
        <v>83</v>
      </c>
      <c r="O512" s="101" t="str">
        <f t="shared" si="51"/>
        <v>61-90</v>
      </c>
      <c r="P512" s="101" t="str">
        <f t="shared" si="47"/>
        <v>Low</v>
      </c>
    </row>
    <row r="513" spans="4:16" x14ac:dyDescent="0.3">
      <c r="D513" s="99" t="s">
        <v>2251</v>
      </c>
      <c r="E513" s="100">
        <v>45789</v>
      </c>
      <c r="F513" s="100">
        <f t="shared" si="48"/>
        <v>45838</v>
      </c>
      <c r="G513" s="101">
        <f t="shared" si="49"/>
        <v>49</v>
      </c>
      <c r="H513" s="102">
        <f t="shared" si="46"/>
        <v>0</v>
      </c>
      <c r="K513" s="99" t="s">
        <v>2543</v>
      </c>
      <c r="L513" s="102">
        <f t="shared" si="50"/>
        <v>0</v>
      </c>
      <c r="M513" s="100">
        <v>45987</v>
      </c>
      <c r="N513" s="101">
        <v>36</v>
      </c>
      <c r="O513" s="101" t="str">
        <f t="shared" si="51"/>
        <v>31-60</v>
      </c>
      <c r="P513" s="101" t="str">
        <f t="shared" si="47"/>
        <v>High</v>
      </c>
    </row>
    <row r="514" spans="4:16" x14ac:dyDescent="0.3">
      <c r="D514" s="99" t="s">
        <v>2251</v>
      </c>
      <c r="E514" s="100">
        <v>45838</v>
      </c>
      <c r="F514" s="100" t="str">
        <f t="shared" si="48"/>
        <v/>
      </c>
      <c r="G514" s="101" t="str">
        <f t="shared" si="49"/>
        <v/>
      </c>
      <c r="H514" s="102" t="str">
        <f t="shared" si="46"/>
        <v/>
      </c>
      <c r="K514" s="99" t="s">
        <v>2544</v>
      </c>
      <c r="L514" s="102">
        <f t="shared" si="50"/>
        <v>0</v>
      </c>
      <c r="M514" s="100">
        <v>46007</v>
      </c>
      <c r="N514" s="101">
        <v>16</v>
      </c>
      <c r="O514" s="101" t="str">
        <f t="shared" si="51"/>
        <v>0-30</v>
      </c>
      <c r="P514" s="101" t="str">
        <f t="shared" si="47"/>
        <v>High</v>
      </c>
    </row>
    <row r="515" spans="4:16" x14ac:dyDescent="0.3">
      <c r="D515" s="99" t="s">
        <v>2252</v>
      </c>
      <c r="E515" s="100">
        <v>45840</v>
      </c>
      <c r="F515" s="100">
        <f t="shared" si="48"/>
        <v>45840</v>
      </c>
      <c r="G515" s="101">
        <f t="shared" si="49"/>
        <v>0</v>
      </c>
      <c r="H515" s="102">
        <f t="shared" si="46"/>
        <v>1</v>
      </c>
      <c r="K515" s="99" t="s">
        <v>2545</v>
      </c>
      <c r="L515" s="102">
        <f t="shared" si="50"/>
        <v>0</v>
      </c>
      <c r="M515" s="100">
        <v>45924</v>
      </c>
      <c r="N515" s="101">
        <v>99</v>
      </c>
      <c r="O515" s="101" t="str">
        <f t="shared" si="51"/>
        <v>90+</v>
      </c>
      <c r="P515" s="101" t="str">
        <f t="shared" si="47"/>
        <v>Low</v>
      </c>
    </row>
    <row r="516" spans="4:16" x14ac:dyDescent="0.3">
      <c r="D516" s="99" t="s">
        <v>2252</v>
      </c>
      <c r="E516" s="100">
        <v>45840</v>
      </c>
      <c r="F516" s="100" t="str">
        <f t="shared" si="48"/>
        <v/>
      </c>
      <c r="G516" s="101" t="str">
        <f t="shared" si="49"/>
        <v/>
      </c>
      <c r="H516" s="102" t="str">
        <f t="shared" si="46"/>
        <v/>
      </c>
      <c r="K516" s="99" t="s">
        <v>2546</v>
      </c>
      <c r="L516" s="102">
        <f t="shared" si="50"/>
        <v>0</v>
      </c>
      <c r="M516" s="100">
        <v>45785</v>
      </c>
      <c r="N516" s="101">
        <v>238</v>
      </c>
      <c r="O516" s="101" t="str">
        <f t="shared" si="51"/>
        <v>90+</v>
      </c>
      <c r="P516" s="101" t="str">
        <f t="shared" si="47"/>
        <v>Low</v>
      </c>
    </row>
    <row r="517" spans="4:16" x14ac:dyDescent="0.3">
      <c r="D517" s="99" t="s">
        <v>2253</v>
      </c>
      <c r="E517" s="100">
        <v>45742</v>
      </c>
      <c r="F517" s="100">
        <f t="shared" si="48"/>
        <v>45778</v>
      </c>
      <c r="G517" s="101">
        <f t="shared" si="49"/>
        <v>36</v>
      </c>
      <c r="H517" s="102">
        <f t="shared" si="46"/>
        <v>0</v>
      </c>
      <c r="K517" s="99" t="s">
        <v>2547</v>
      </c>
      <c r="L517" s="102">
        <f t="shared" si="50"/>
        <v>0</v>
      </c>
      <c r="M517" s="100">
        <v>45747</v>
      </c>
      <c r="N517" s="101">
        <v>276</v>
      </c>
      <c r="O517" s="101" t="str">
        <f t="shared" si="51"/>
        <v>90+</v>
      </c>
      <c r="P517" s="101" t="str">
        <f t="shared" si="47"/>
        <v>Low</v>
      </c>
    </row>
    <row r="518" spans="4:16" x14ac:dyDescent="0.3">
      <c r="D518" s="99" t="s">
        <v>2253</v>
      </c>
      <c r="E518" s="100">
        <v>45778</v>
      </c>
      <c r="F518" s="100">
        <f t="shared" si="48"/>
        <v>45898</v>
      </c>
      <c r="G518" s="101">
        <f t="shared" si="49"/>
        <v>120</v>
      </c>
      <c r="H518" s="102">
        <f t="shared" si="46"/>
        <v>0</v>
      </c>
      <c r="K518" s="99" t="s">
        <v>2548</v>
      </c>
      <c r="L518" s="102">
        <f t="shared" si="50"/>
        <v>1</v>
      </c>
      <c r="M518" s="100">
        <v>45848</v>
      </c>
      <c r="N518" s="101">
        <v>175</v>
      </c>
      <c r="O518" s="101" t="str">
        <f t="shared" si="51"/>
        <v>90+</v>
      </c>
      <c r="P518" s="101" t="str">
        <f t="shared" si="47"/>
        <v>Low</v>
      </c>
    </row>
    <row r="519" spans="4:16" x14ac:dyDescent="0.3">
      <c r="D519" s="99" t="s">
        <v>2253</v>
      </c>
      <c r="E519" s="100">
        <v>45898</v>
      </c>
      <c r="F519" s="100">
        <f t="shared" si="48"/>
        <v>45937</v>
      </c>
      <c r="G519" s="101">
        <f t="shared" si="49"/>
        <v>39</v>
      </c>
      <c r="H519" s="102">
        <f t="shared" ref="H519:H582" si="52">IF(G519="","",IF(G519&lt;=return_window,1,0))</f>
        <v>0</v>
      </c>
      <c r="K519" s="99" t="s">
        <v>2549</v>
      </c>
      <c r="L519" s="102">
        <f t="shared" si="50"/>
        <v>0</v>
      </c>
      <c r="M519" s="100">
        <v>45979</v>
      </c>
      <c r="N519" s="101">
        <v>44</v>
      </c>
      <c r="O519" s="101" t="str">
        <f t="shared" si="51"/>
        <v>31-60</v>
      </c>
      <c r="P519" s="101" t="str">
        <f t="shared" ref="P519:P582" si="53">IF(N519&lt;=recency_threshold,"High","Low")</f>
        <v>High</v>
      </c>
    </row>
    <row r="520" spans="4:16" x14ac:dyDescent="0.3">
      <c r="D520" s="99" t="s">
        <v>2253</v>
      </c>
      <c r="E520" s="100">
        <v>45937</v>
      </c>
      <c r="F520" s="100" t="str">
        <f t="shared" ref="F520:F583" si="54">IF(D520=D521,E521,"")</f>
        <v/>
      </c>
      <c r="G520" s="101" t="str">
        <f t="shared" ref="G520:G583" si="55">IF(F520="","",F520-E520)</f>
        <v/>
      </c>
      <c r="H520" s="102" t="str">
        <f t="shared" si="52"/>
        <v/>
      </c>
      <c r="K520" s="99" t="s">
        <v>2550</v>
      </c>
      <c r="L520" s="102">
        <f t="shared" ref="L520:L583" si="56">IF(SUMIFS($H$6:$H$2006,$D$6:$D$2006,K520),1,0)</f>
        <v>1</v>
      </c>
      <c r="M520" s="100">
        <v>45999</v>
      </c>
      <c r="N520" s="101">
        <v>24</v>
      </c>
      <c r="O520" s="101" t="str">
        <f t="shared" ref="O520:O583" si="57">VLOOKUP(N520,$A$15:$B$19,2,TRUE)</f>
        <v>0-30</v>
      </c>
      <c r="P520" s="101" t="str">
        <f t="shared" si="53"/>
        <v>High</v>
      </c>
    </row>
    <row r="521" spans="4:16" x14ac:dyDescent="0.3">
      <c r="D521" s="99" t="s">
        <v>2254</v>
      </c>
      <c r="E521" s="100">
        <v>45805</v>
      </c>
      <c r="F521" s="100" t="str">
        <f t="shared" si="54"/>
        <v/>
      </c>
      <c r="G521" s="101" t="str">
        <f t="shared" si="55"/>
        <v/>
      </c>
      <c r="H521" s="102" t="str">
        <f t="shared" si="52"/>
        <v/>
      </c>
      <c r="K521" s="99" t="s">
        <v>2551</v>
      </c>
      <c r="L521" s="102">
        <f t="shared" si="56"/>
        <v>0</v>
      </c>
      <c r="M521" s="100">
        <v>45819</v>
      </c>
      <c r="N521" s="101">
        <v>204</v>
      </c>
      <c r="O521" s="101" t="str">
        <f t="shared" si="57"/>
        <v>90+</v>
      </c>
      <c r="P521" s="101" t="str">
        <f t="shared" si="53"/>
        <v>Low</v>
      </c>
    </row>
    <row r="522" spans="4:16" x14ac:dyDescent="0.3">
      <c r="D522" s="99" t="s">
        <v>2255</v>
      </c>
      <c r="E522" s="100">
        <v>45884</v>
      </c>
      <c r="F522" s="100" t="str">
        <f t="shared" si="54"/>
        <v/>
      </c>
      <c r="G522" s="101" t="str">
        <f t="shared" si="55"/>
        <v/>
      </c>
      <c r="H522" s="102" t="str">
        <f t="shared" si="52"/>
        <v/>
      </c>
      <c r="K522" s="99" t="s">
        <v>2552</v>
      </c>
      <c r="L522" s="102">
        <f t="shared" si="56"/>
        <v>0</v>
      </c>
      <c r="M522" s="100">
        <v>45840</v>
      </c>
      <c r="N522" s="101">
        <v>183</v>
      </c>
      <c r="O522" s="101" t="str">
        <f t="shared" si="57"/>
        <v>90+</v>
      </c>
      <c r="P522" s="101" t="str">
        <f t="shared" si="53"/>
        <v>Low</v>
      </c>
    </row>
    <row r="523" spans="4:16" x14ac:dyDescent="0.3">
      <c r="D523" s="99" t="s">
        <v>2256</v>
      </c>
      <c r="E523" s="100">
        <v>45727</v>
      </c>
      <c r="F523" s="100">
        <f t="shared" si="54"/>
        <v>45782</v>
      </c>
      <c r="G523" s="101">
        <f t="shared" si="55"/>
        <v>55</v>
      </c>
      <c r="H523" s="102">
        <f t="shared" si="52"/>
        <v>0</v>
      </c>
      <c r="K523" s="99" t="s">
        <v>2553</v>
      </c>
      <c r="L523" s="102">
        <f t="shared" si="56"/>
        <v>0</v>
      </c>
      <c r="M523" s="100">
        <v>45967</v>
      </c>
      <c r="N523" s="101">
        <v>56</v>
      </c>
      <c r="O523" s="101" t="str">
        <f t="shared" si="57"/>
        <v>31-60</v>
      </c>
      <c r="P523" s="101" t="str">
        <f t="shared" si="53"/>
        <v>High</v>
      </c>
    </row>
    <row r="524" spans="4:16" x14ac:dyDescent="0.3">
      <c r="D524" s="99" t="s">
        <v>2256</v>
      </c>
      <c r="E524" s="100">
        <v>45782</v>
      </c>
      <c r="F524" s="100" t="str">
        <f t="shared" si="54"/>
        <v/>
      </c>
      <c r="G524" s="101" t="str">
        <f t="shared" si="55"/>
        <v/>
      </c>
      <c r="H524" s="102" t="str">
        <f t="shared" si="52"/>
        <v/>
      </c>
      <c r="K524" s="99" t="s">
        <v>2554</v>
      </c>
      <c r="L524" s="102">
        <f t="shared" si="56"/>
        <v>1</v>
      </c>
      <c r="M524" s="100">
        <v>45919</v>
      </c>
      <c r="N524" s="101">
        <v>104</v>
      </c>
      <c r="O524" s="101" t="str">
        <f t="shared" si="57"/>
        <v>90+</v>
      </c>
      <c r="P524" s="101" t="str">
        <f t="shared" si="53"/>
        <v>Low</v>
      </c>
    </row>
    <row r="525" spans="4:16" x14ac:dyDescent="0.3">
      <c r="D525" s="99" t="s">
        <v>2257</v>
      </c>
      <c r="E525" s="100">
        <v>45775</v>
      </c>
      <c r="F525" s="100">
        <f t="shared" si="54"/>
        <v>45904</v>
      </c>
      <c r="G525" s="101">
        <f t="shared" si="55"/>
        <v>129</v>
      </c>
      <c r="H525" s="102">
        <f t="shared" si="52"/>
        <v>0</v>
      </c>
      <c r="K525" s="99" t="s">
        <v>2555</v>
      </c>
      <c r="L525" s="102">
        <f t="shared" si="56"/>
        <v>0</v>
      </c>
      <c r="M525" s="100">
        <v>45821</v>
      </c>
      <c r="N525" s="101">
        <v>202</v>
      </c>
      <c r="O525" s="101" t="str">
        <f t="shared" si="57"/>
        <v>90+</v>
      </c>
      <c r="P525" s="101" t="str">
        <f t="shared" si="53"/>
        <v>Low</v>
      </c>
    </row>
    <row r="526" spans="4:16" x14ac:dyDescent="0.3">
      <c r="D526" s="99" t="s">
        <v>2257</v>
      </c>
      <c r="E526" s="100">
        <v>45904</v>
      </c>
      <c r="F526" s="100">
        <f t="shared" si="54"/>
        <v>45937</v>
      </c>
      <c r="G526" s="101">
        <f t="shared" si="55"/>
        <v>33</v>
      </c>
      <c r="H526" s="102">
        <f t="shared" si="52"/>
        <v>0</v>
      </c>
      <c r="K526" s="99" t="s">
        <v>2556</v>
      </c>
      <c r="L526" s="102">
        <f t="shared" si="56"/>
        <v>1</v>
      </c>
      <c r="M526" s="100">
        <v>45996</v>
      </c>
      <c r="N526" s="101">
        <v>27</v>
      </c>
      <c r="O526" s="101" t="str">
        <f t="shared" si="57"/>
        <v>0-30</v>
      </c>
      <c r="P526" s="101" t="str">
        <f t="shared" si="53"/>
        <v>High</v>
      </c>
    </row>
    <row r="527" spans="4:16" x14ac:dyDescent="0.3">
      <c r="D527" s="99" t="s">
        <v>2257</v>
      </c>
      <c r="E527" s="100">
        <v>45937</v>
      </c>
      <c r="F527" s="100">
        <f t="shared" si="54"/>
        <v>45995</v>
      </c>
      <c r="G527" s="101">
        <f t="shared" si="55"/>
        <v>58</v>
      </c>
      <c r="H527" s="102">
        <f t="shared" si="52"/>
        <v>0</v>
      </c>
      <c r="K527" s="99" t="s">
        <v>2557</v>
      </c>
      <c r="L527" s="102">
        <f t="shared" si="56"/>
        <v>0</v>
      </c>
      <c r="M527" s="100">
        <v>45905</v>
      </c>
      <c r="N527" s="101">
        <v>118</v>
      </c>
      <c r="O527" s="101" t="str">
        <f t="shared" si="57"/>
        <v>90+</v>
      </c>
      <c r="P527" s="101" t="str">
        <f t="shared" si="53"/>
        <v>Low</v>
      </c>
    </row>
    <row r="528" spans="4:16" x14ac:dyDescent="0.3">
      <c r="D528" s="99" t="s">
        <v>2257</v>
      </c>
      <c r="E528" s="100">
        <v>45995</v>
      </c>
      <c r="F528" s="100" t="str">
        <f t="shared" si="54"/>
        <v/>
      </c>
      <c r="G528" s="101" t="str">
        <f t="shared" si="55"/>
        <v/>
      </c>
      <c r="H528" s="102" t="str">
        <f t="shared" si="52"/>
        <v/>
      </c>
      <c r="K528" s="99" t="s">
        <v>2558</v>
      </c>
      <c r="L528" s="102">
        <f t="shared" si="56"/>
        <v>0</v>
      </c>
      <c r="M528" s="100">
        <v>45950</v>
      </c>
      <c r="N528" s="101">
        <v>73</v>
      </c>
      <c r="O528" s="101" t="str">
        <f t="shared" si="57"/>
        <v>61-90</v>
      </c>
      <c r="P528" s="101" t="str">
        <f t="shared" si="53"/>
        <v>Low</v>
      </c>
    </row>
    <row r="529" spans="4:16" x14ac:dyDescent="0.3">
      <c r="D529" s="99" t="s">
        <v>2258</v>
      </c>
      <c r="E529" s="100">
        <v>45694</v>
      </c>
      <c r="F529" s="100">
        <f t="shared" si="54"/>
        <v>45807</v>
      </c>
      <c r="G529" s="101">
        <f t="shared" si="55"/>
        <v>113</v>
      </c>
      <c r="H529" s="102">
        <f t="shared" si="52"/>
        <v>0</v>
      </c>
      <c r="K529" s="99" t="s">
        <v>2559</v>
      </c>
      <c r="L529" s="102">
        <f t="shared" si="56"/>
        <v>1</v>
      </c>
      <c r="M529" s="100">
        <v>45905</v>
      </c>
      <c r="N529" s="101">
        <v>118</v>
      </c>
      <c r="O529" s="101" t="str">
        <f t="shared" si="57"/>
        <v>90+</v>
      </c>
      <c r="P529" s="101" t="str">
        <f t="shared" si="53"/>
        <v>Low</v>
      </c>
    </row>
    <row r="530" spans="4:16" x14ac:dyDescent="0.3">
      <c r="D530" s="99" t="s">
        <v>2258</v>
      </c>
      <c r="E530" s="100">
        <v>45807</v>
      </c>
      <c r="F530" s="100">
        <f t="shared" si="54"/>
        <v>45862</v>
      </c>
      <c r="G530" s="101">
        <f t="shared" si="55"/>
        <v>55</v>
      </c>
      <c r="H530" s="102">
        <f t="shared" si="52"/>
        <v>0</v>
      </c>
      <c r="K530" s="99" t="s">
        <v>2560</v>
      </c>
      <c r="L530" s="102">
        <f t="shared" si="56"/>
        <v>1</v>
      </c>
      <c r="M530" s="100">
        <v>45875</v>
      </c>
      <c r="N530" s="101">
        <v>148</v>
      </c>
      <c r="O530" s="101" t="str">
        <f t="shared" si="57"/>
        <v>90+</v>
      </c>
      <c r="P530" s="101" t="str">
        <f t="shared" si="53"/>
        <v>Low</v>
      </c>
    </row>
    <row r="531" spans="4:16" x14ac:dyDescent="0.3">
      <c r="D531" s="99" t="s">
        <v>2258</v>
      </c>
      <c r="E531" s="100">
        <v>45862</v>
      </c>
      <c r="F531" s="100" t="str">
        <f t="shared" si="54"/>
        <v/>
      </c>
      <c r="G531" s="101" t="str">
        <f t="shared" si="55"/>
        <v/>
      </c>
      <c r="H531" s="102" t="str">
        <f t="shared" si="52"/>
        <v/>
      </c>
      <c r="K531" s="99" t="s">
        <v>2561</v>
      </c>
      <c r="L531" s="102">
        <f t="shared" si="56"/>
        <v>0</v>
      </c>
      <c r="M531" s="100">
        <v>45985</v>
      </c>
      <c r="N531" s="101">
        <v>38</v>
      </c>
      <c r="O531" s="101" t="str">
        <f t="shared" si="57"/>
        <v>31-60</v>
      </c>
      <c r="P531" s="101" t="str">
        <f t="shared" si="53"/>
        <v>High</v>
      </c>
    </row>
    <row r="532" spans="4:16" x14ac:dyDescent="0.3">
      <c r="D532" s="99" t="s">
        <v>2259</v>
      </c>
      <c r="E532" s="100">
        <v>45763</v>
      </c>
      <c r="F532" s="100">
        <f t="shared" si="54"/>
        <v>45842</v>
      </c>
      <c r="G532" s="101">
        <f t="shared" si="55"/>
        <v>79</v>
      </c>
      <c r="H532" s="102">
        <f t="shared" si="52"/>
        <v>0</v>
      </c>
      <c r="K532" s="99" t="s">
        <v>2562</v>
      </c>
      <c r="L532" s="102">
        <f t="shared" si="56"/>
        <v>0</v>
      </c>
      <c r="M532" s="100">
        <v>45805</v>
      </c>
      <c r="N532" s="101">
        <v>218</v>
      </c>
      <c r="O532" s="101" t="str">
        <f t="shared" si="57"/>
        <v>90+</v>
      </c>
      <c r="P532" s="101" t="str">
        <f t="shared" si="53"/>
        <v>Low</v>
      </c>
    </row>
    <row r="533" spans="4:16" x14ac:dyDescent="0.3">
      <c r="D533" s="99" t="s">
        <v>2259</v>
      </c>
      <c r="E533" s="100">
        <v>45842</v>
      </c>
      <c r="F533" s="100" t="str">
        <f t="shared" si="54"/>
        <v/>
      </c>
      <c r="G533" s="101" t="str">
        <f t="shared" si="55"/>
        <v/>
      </c>
      <c r="H533" s="102" t="str">
        <f t="shared" si="52"/>
        <v/>
      </c>
      <c r="K533" s="99" t="s">
        <v>2563</v>
      </c>
      <c r="L533" s="102">
        <f t="shared" si="56"/>
        <v>1</v>
      </c>
      <c r="M533" s="100">
        <v>45895</v>
      </c>
      <c r="N533" s="101">
        <v>128</v>
      </c>
      <c r="O533" s="101" t="str">
        <f t="shared" si="57"/>
        <v>90+</v>
      </c>
      <c r="P533" s="101" t="str">
        <f t="shared" si="53"/>
        <v>Low</v>
      </c>
    </row>
    <row r="534" spans="4:16" x14ac:dyDescent="0.3">
      <c r="D534" s="99" t="s">
        <v>2260</v>
      </c>
      <c r="E534" s="100">
        <v>45742</v>
      </c>
      <c r="F534" s="100">
        <f t="shared" si="54"/>
        <v>45778</v>
      </c>
      <c r="G534" s="101">
        <f t="shared" si="55"/>
        <v>36</v>
      </c>
      <c r="H534" s="102">
        <f t="shared" si="52"/>
        <v>0</v>
      </c>
      <c r="K534" s="99" t="s">
        <v>2564</v>
      </c>
      <c r="L534" s="102">
        <f t="shared" si="56"/>
        <v>0</v>
      </c>
      <c r="M534" s="100">
        <v>45937</v>
      </c>
      <c r="N534" s="101">
        <v>86</v>
      </c>
      <c r="O534" s="101" t="str">
        <f t="shared" si="57"/>
        <v>61-90</v>
      </c>
      <c r="P534" s="101" t="str">
        <f t="shared" si="53"/>
        <v>Low</v>
      </c>
    </row>
    <row r="535" spans="4:16" x14ac:dyDescent="0.3">
      <c r="D535" s="99" t="s">
        <v>2260</v>
      </c>
      <c r="E535" s="100">
        <v>45778</v>
      </c>
      <c r="F535" s="100">
        <f t="shared" si="54"/>
        <v>45785</v>
      </c>
      <c r="G535" s="101">
        <f t="shared" si="55"/>
        <v>7</v>
      </c>
      <c r="H535" s="102">
        <f t="shared" si="52"/>
        <v>1</v>
      </c>
      <c r="K535" s="99" t="s">
        <v>2565</v>
      </c>
      <c r="L535" s="102">
        <f t="shared" si="56"/>
        <v>0</v>
      </c>
      <c r="M535" s="100">
        <v>46015</v>
      </c>
      <c r="N535" s="101">
        <v>8</v>
      </c>
      <c r="O535" s="101" t="str">
        <f t="shared" si="57"/>
        <v>0-30</v>
      </c>
      <c r="P535" s="101" t="str">
        <f t="shared" si="53"/>
        <v>High</v>
      </c>
    </row>
    <row r="536" spans="4:16" x14ac:dyDescent="0.3">
      <c r="D536" s="99" t="s">
        <v>2260</v>
      </c>
      <c r="E536" s="100">
        <v>45785</v>
      </c>
      <c r="F536" s="100">
        <f t="shared" si="54"/>
        <v>45796</v>
      </c>
      <c r="G536" s="101">
        <f t="shared" si="55"/>
        <v>11</v>
      </c>
      <c r="H536" s="102">
        <f t="shared" si="52"/>
        <v>1</v>
      </c>
      <c r="K536" s="99" t="s">
        <v>2566</v>
      </c>
      <c r="L536" s="102">
        <f t="shared" si="56"/>
        <v>0</v>
      </c>
      <c r="M536" s="100">
        <v>45658</v>
      </c>
      <c r="N536" s="101">
        <v>365</v>
      </c>
      <c r="O536" s="101" t="str">
        <f t="shared" si="57"/>
        <v>90+</v>
      </c>
      <c r="P536" s="101" t="str">
        <f t="shared" si="53"/>
        <v>Low</v>
      </c>
    </row>
    <row r="537" spans="4:16" x14ac:dyDescent="0.3">
      <c r="D537" s="99" t="s">
        <v>2260</v>
      </c>
      <c r="E537" s="100">
        <v>45796</v>
      </c>
      <c r="F537" s="100">
        <f t="shared" si="54"/>
        <v>45824</v>
      </c>
      <c r="G537" s="101">
        <f t="shared" si="55"/>
        <v>28</v>
      </c>
      <c r="H537" s="102">
        <f t="shared" si="52"/>
        <v>1</v>
      </c>
      <c r="K537" s="99" t="s">
        <v>2567</v>
      </c>
      <c r="L537" s="102">
        <f t="shared" si="56"/>
        <v>1</v>
      </c>
      <c r="M537" s="100">
        <v>45999</v>
      </c>
      <c r="N537" s="101">
        <v>24</v>
      </c>
      <c r="O537" s="101" t="str">
        <f t="shared" si="57"/>
        <v>0-30</v>
      </c>
      <c r="P537" s="101" t="str">
        <f t="shared" si="53"/>
        <v>High</v>
      </c>
    </row>
    <row r="538" spans="4:16" x14ac:dyDescent="0.3">
      <c r="D538" s="99" t="s">
        <v>2260</v>
      </c>
      <c r="E538" s="100">
        <v>45824</v>
      </c>
      <c r="F538" s="100">
        <f t="shared" si="54"/>
        <v>45965</v>
      </c>
      <c r="G538" s="101">
        <f t="shared" si="55"/>
        <v>141</v>
      </c>
      <c r="H538" s="102">
        <f t="shared" si="52"/>
        <v>0</v>
      </c>
      <c r="K538" s="99" t="s">
        <v>2568</v>
      </c>
      <c r="L538" s="102">
        <f t="shared" si="56"/>
        <v>0</v>
      </c>
      <c r="M538" s="100">
        <v>45994</v>
      </c>
      <c r="N538" s="101">
        <v>29</v>
      </c>
      <c r="O538" s="101" t="str">
        <f t="shared" si="57"/>
        <v>0-30</v>
      </c>
      <c r="P538" s="101" t="str">
        <f t="shared" si="53"/>
        <v>High</v>
      </c>
    </row>
    <row r="539" spans="4:16" x14ac:dyDescent="0.3">
      <c r="D539" s="99" t="s">
        <v>2260</v>
      </c>
      <c r="E539" s="100">
        <v>45965</v>
      </c>
      <c r="F539" s="100" t="str">
        <f t="shared" si="54"/>
        <v/>
      </c>
      <c r="G539" s="101" t="str">
        <f t="shared" si="55"/>
        <v/>
      </c>
      <c r="H539" s="102" t="str">
        <f t="shared" si="52"/>
        <v/>
      </c>
      <c r="K539" s="99" t="s">
        <v>2569</v>
      </c>
      <c r="L539" s="102">
        <f t="shared" si="56"/>
        <v>1</v>
      </c>
      <c r="M539" s="100">
        <v>45924</v>
      </c>
      <c r="N539" s="101">
        <v>99</v>
      </c>
      <c r="O539" s="101" t="str">
        <f t="shared" si="57"/>
        <v>90+</v>
      </c>
      <c r="P539" s="101" t="str">
        <f t="shared" si="53"/>
        <v>Low</v>
      </c>
    </row>
    <row r="540" spans="4:16" x14ac:dyDescent="0.3">
      <c r="D540" s="99" t="s">
        <v>2261</v>
      </c>
      <c r="E540" s="100">
        <v>45833</v>
      </c>
      <c r="F540" s="100" t="str">
        <f t="shared" si="54"/>
        <v/>
      </c>
      <c r="G540" s="101" t="str">
        <f t="shared" si="55"/>
        <v/>
      </c>
      <c r="H540" s="102" t="str">
        <f t="shared" si="52"/>
        <v/>
      </c>
      <c r="K540" s="99" t="s">
        <v>2570</v>
      </c>
      <c r="L540" s="102">
        <f t="shared" si="56"/>
        <v>1</v>
      </c>
      <c r="M540" s="100">
        <v>46013</v>
      </c>
      <c r="N540" s="101">
        <v>10</v>
      </c>
      <c r="O540" s="101" t="str">
        <f t="shared" si="57"/>
        <v>0-30</v>
      </c>
      <c r="P540" s="101" t="str">
        <f t="shared" si="53"/>
        <v>High</v>
      </c>
    </row>
    <row r="541" spans="4:16" x14ac:dyDescent="0.3">
      <c r="D541" s="99" t="s">
        <v>2262</v>
      </c>
      <c r="E541" s="100">
        <v>45747</v>
      </c>
      <c r="F541" s="100" t="str">
        <f t="shared" si="54"/>
        <v/>
      </c>
      <c r="G541" s="101" t="str">
        <f t="shared" si="55"/>
        <v/>
      </c>
      <c r="H541" s="102" t="str">
        <f t="shared" si="52"/>
        <v/>
      </c>
      <c r="K541" s="99" t="s">
        <v>2571</v>
      </c>
      <c r="L541" s="102">
        <f t="shared" si="56"/>
        <v>0</v>
      </c>
      <c r="M541" s="100">
        <v>45677</v>
      </c>
      <c r="N541" s="101">
        <v>346</v>
      </c>
      <c r="O541" s="101" t="str">
        <f t="shared" si="57"/>
        <v>90+</v>
      </c>
      <c r="P541" s="101" t="str">
        <f t="shared" si="53"/>
        <v>Low</v>
      </c>
    </row>
    <row r="542" spans="4:16" x14ac:dyDescent="0.3">
      <c r="D542" s="99" t="s">
        <v>2263</v>
      </c>
      <c r="E542" s="100">
        <v>45672</v>
      </c>
      <c r="F542" s="100">
        <f t="shared" si="54"/>
        <v>45673</v>
      </c>
      <c r="G542" s="101">
        <f t="shared" si="55"/>
        <v>1</v>
      </c>
      <c r="H542" s="102">
        <f t="shared" si="52"/>
        <v>1</v>
      </c>
      <c r="K542" s="99" t="s">
        <v>2572</v>
      </c>
      <c r="L542" s="102">
        <f t="shared" si="56"/>
        <v>1</v>
      </c>
      <c r="M542" s="100">
        <v>45742</v>
      </c>
      <c r="N542" s="101">
        <v>281</v>
      </c>
      <c r="O542" s="101" t="str">
        <f t="shared" si="57"/>
        <v>90+</v>
      </c>
      <c r="P542" s="101" t="str">
        <f t="shared" si="53"/>
        <v>Low</v>
      </c>
    </row>
    <row r="543" spans="4:16" x14ac:dyDescent="0.3">
      <c r="D543" s="99" t="s">
        <v>2263</v>
      </c>
      <c r="E543" s="100">
        <v>45673</v>
      </c>
      <c r="F543" s="100">
        <f t="shared" si="54"/>
        <v>45754</v>
      </c>
      <c r="G543" s="101">
        <f t="shared" si="55"/>
        <v>81</v>
      </c>
      <c r="H543" s="102">
        <f t="shared" si="52"/>
        <v>0</v>
      </c>
      <c r="K543" s="99" t="s">
        <v>2573</v>
      </c>
      <c r="L543" s="102">
        <f t="shared" si="56"/>
        <v>0</v>
      </c>
      <c r="M543" s="100">
        <v>45660</v>
      </c>
      <c r="N543" s="101">
        <v>363</v>
      </c>
      <c r="O543" s="101" t="str">
        <f t="shared" si="57"/>
        <v>90+</v>
      </c>
      <c r="P543" s="101" t="str">
        <f t="shared" si="53"/>
        <v>Low</v>
      </c>
    </row>
    <row r="544" spans="4:16" x14ac:dyDescent="0.3">
      <c r="D544" s="99" t="s">
        <v>2263</v>
      </c>
      <c r="E544" s="100">
        <v>45754</v>
      </c>
      <c r="F544" s="100">
        <f t="shared" si="54"/>
        <v>45915</v>
      </c>
      <c r="G544" s="101">
        <f t="shared" si="55"/>
        <v>161</v>
      </c>
      <c r="H544" s="102">
        <f t="shared" si="52"/>
        <v>0</v>
      </c>
      <c r="K544" s="99" t="s">
        <v>2574</v>
      </c>
      <c r="L544" s="102">
        <f t="shared" si="56"/>
        <v>0</v>
      </c>
      <c r="M544" s="100">
        <v>45911</v>
      </c>
      <c r="N544" s="101">
        <v>112</v>
      </c>
      <c r="O544" s="101" t="str">
        <f t="shared" si="57"/>
        <v>90+</v>
      </c>
      <c r="P544" s="101" t="str">
        <f t="shared" si="53"/>
        <v>Low</v>
      </c>
    </row>
    <row r="545" spans="4:16" x14ac:dyDescent="0.3">
      <c r="D545" s="99" t="s">
        <v>2263</v>
      </c>
      <c r="E545" s="100">
        <v>45915</v>
      </c>
      <c r="F545" s="100">
        <f t="shared" si="54"/>
        <v>45999</v>
      </c>
      <c r="G545" s="101">
        <f t="shared" si="55"/>
        <v>84</v>
      </c>
      <c r="H545" s="102">
        <f t="shared" si="52"/>
        <v>0</v>
      </c>
      <c r="K545" s="99" t="s">
        <v>2575</v>
      </c>
      <c r="L545" s="102">
        <f t="shared" si="56"/>
        <v>0</v>
      </c>
      <c r="M545" s="100">
        <v>46014</v>
      </c>
      <c r="N545" s="101">
        <v>9</v>
      </c>
      <c r="O545" s="101" t="str">
        <f t="shared" si="57"/>
        <v>0-30</v>
      </c>
      <c r="P545" s="101" t="str">
        <f t="shared" si="53"/>
        <v>High</v>
      </c>
    </row>
    <row r="546" spans="4:16" x14ac:dyDescent="0.3">
      <c r="D546" s="99" t="s">
        <v>2263</v>
      </c>
      <c r="E546" s="100">
        <v>45999</v>
      </c>
      <c r="F546" s="100">
        <f t="shared" si="54"/>
        <v>46000</v>
      </c>
      <c r="G546" s="101">
        <f t="shared" si="55"/>
        <v>1</v>
      </c>
      <c r="H546" s="102">
        <f t="shared" si="52"/>
        <v>1</v>
      </c>
      <c r="K546" s="99" t="s">
        <v>2576</v>
      </c>
      <c r="L546" s="102">
        <f t="shared" si="56"/>
        <v>0</v>
      </c>
      <c r="M546" s="100">
        <v>45992</v>
      </c>
      <c r="N546" s="101">
        <v>31</v>
      </c>
      <c r="O546" s="101" t="str">
        <f t="shared" si="57"/>
        <v>31-60</v>
      </c>
      <c r="P546" s="101" t="str">
        <f t="shared" si="53"/>
        <v>High</v>
      </c>
    </row>
    <row r="547" spans="4:16" x14ac:dyDescent="0.3">
      <c r="D547" s="99" t="s">
        <v>2263</v>
      </c>
      <c r="E547" s="100">
        <v>46000</v>
      </c>
      <c r="F547" s="100">
        <f t="shared" si="54"/>
        <v>46003</v>
      </c>
      <c r="G547" s="101">
        <f t="shared" si="55"/>
        <v>3</v>
      </c>
      <c r="H547" s="102">
        <f t="shared" si="52"/>
        <v>1</v>
      </c>
      <c r="K547" s="99" t="s">
        <v>2577</v>
      </c>
      <c r="L547" s="102">
        <f t="shared" si="56"/>
        <v>1</v>
      </c>
      <c r="M547" s="100">
        <v>46015</v>
      </c>
      <c r="N547" s="101">
        <v>8</v>
      </c>
      <c r="O547" s="101" t="str">
        <f t="shared" si="57"/>
        <v>0-30</v>
      </c>
      <c r="P547" s="101" t="str">
        <f t="shared" si="53"/>
        <v>High</v>
      </c>
    </row>
    <row r="548" spans="4:16" x14ac:dyDescent="0.3">
      <c r="D548" s="99" t="s">
        <v>2263</v>
      </c>
      <c r="E548" s="100">
        <v>46003</v>
      </c>
      <c r="F548" s="100" t="str">
        <f t="shared" si="54"/>
        <v/>
      </c>
      <c r="G548" s="101" t="str">
        <f t="shared" si="55"/>
        <v/>
      </c>
      <c r="H548" s="102" t="str">
        <f t="shared" si="52"/>
        <v/>
      </c>
      <c r="K548" s="99" t="s">
        <v>2578</v>
      </c>
      <c r="L548" s="102">
        <f t="shared" si="56"/>
        <v>0</v>
      </c>
      <c r="M548" s="100">
        <v>45666</v>
      </c>
      <c r="N548" s="101">
        <v>357</v>
      </c>
      <c r="O548" s="101" t="str">
        <f t="shared" si="57"/>
        <v>90+</v>
      </c>
      <c r="P548" s="101" t="str">
        <f t="shared" si="53"/>
        <v>Low</v>
      </c>
    </row>
    <row r="549" spans="4:16" x14ac:dyDescent="0.3">
      <c r="D549" s="99" t="s">
        <v>2264</v>
      </c>
      <c r="E549" s="100">
        <v>45862</v>
      </c>
      <c r="F549" s="100" t="str">
        <f t="shared" si="54"/>
        <v/>
      </c>
      <c r="G549" s="101" t="str">
        <f t="shared" si="55"/>
        <v/>
      </c>
      <c r="H549" s="102" t="str">
        <f t="shared" si="52"/>
        <v/>
      </c>
      <c r="K549" s="99" t="s">
        <v>2579</v>
      </c>
      <c r="L549" s="102">
        <f t="shared" si="56"/>
        <v>0</v>
      </c>
      <c r="M549" s="100">
        <v>45982</v>
      </c>
      <c r="N549" s="101">
        <v>41</v>
      </c>
      <c r="O549" s="101" t="str">
        <f t="shared" si="57"/>
        <v>31-60</v>
      </c>
      <c r="P549" s="101" t="str">
        <f t="shared" si="53"/>
        <v>High</v>
      </c>
    </row>
    <row r="550" spans="4:16" x14ac:dyDescent="0.3">
      <c r="D550" s="99" t="s">
        <v>2265</v>
      </c>
      <c r="E550" s="100">
        <v>45926</v>
      </c>
      <c r="F550" s="100" t="str">
        <f t="shared" si="54"/>
        <v/>
      </c>
      <c r="G550" s="101" t="str">
        <f t="shared" si="55"/>
        <v/>
      </c>
      <c r="H550" s="102" t="str">
        <f t="shared" si="52"/>
        <v/>
      </c>
      <c r="K550" s="99" t="s">
        <v>2580</v>
      </c>
      <c r="L550" s="102">
        <f t="shared" si="56"/>
        <v>1</v>
      </c>
      <c r="M550" s="100">
        <v>45982</v>
      </c>
      <c r="N550" s="101">
        <v>41</v>
      </c>
      <c r="O550" s="101" t="str">
        <f t="shared" si="57"/>
        <v>31-60</v>
      </c>
      <c r="P550" s="101" t="str">
        <f t="shared" si="53"/>
        <v>High</v>
      </c>
    </row>
    <row r="551" spans="4:16" x14ac:dyDescent="0.3">
      <c r="D551" s="99" t="s">
        <v>2266</v>
      </c>
      <c r="E551" s="100">
        <v>45720</v>
      </c>
      <c r="F551" s="100">
        <f t="shared" si="54"/>
        <v>45768</v>
      </c>
      <c r="G551" s="101">
        <f t="shared" si="55"/>
        <v>48</v>
      </c>
      <c r="H551" s="102">
        <f t="shared" si="52"/>
        <v>0</v>
      </c>
      <c r="K551" s="99" t="s">
        <v>2581</v>
      </c>
      <c r="L551" s="102">
        <f t="shared" si="56"/>
        <v>0</v>
      </c>
      <c r="M551" s="100">
        <v>45807</v>
      </c>
      <c r="N551" s="101">
        <v>216</v>
      </c>
      <c r="O551" s="101" t="str">
        <f t="shared" si="57"/>
        <v>90+</v>
      </c>
      <c r="P551" s="101" t="str">
        <f t="shared" si="53"/>
        <v>Low</v>
      </c>
    </row>
    <row r="552" spans="4:16" x14ac:dyDescent="0.3">
      <c r="D552" s="99" t="s">
        <v>2266</v>
      </c>
      <c r="E552" s="100">
        <v>45768</v>
      </c>
      <c r="F552" s="100">
        <f t="shared" si="54"/>
        <v>45793</v>
      </c>
      <c r="G552" s="101">
        <f t="shared" si="55"/>
        <v>25</v>
      </c>
      <c r="H552" s="102">
        <f t="shared" si="52"/>
        <v>1</v>
      </c>
      <c r="K552" s="99" t="s">
        <v>2582</v>
      </c>
      <c r="L552" s="102">
        <f t="shared" si="56"/>
        <v>1</v>
      </c>
      <c r="M552" s="100">
        <v>45763</v>
      </c>
      <c r="N552" s="101">
        <v>260</v>
      </c>
      <c r="O552" s="101" t="str">
        <f t="shared" si="57"/>
        <v>90+</v>
      </c>
      <c r="P552" s="101" t="str">
        <f t="shared" si="53"/>
        <v>Low</v>
      </c>
    </row>
    <row r="553" spans="4:16" x14ac:dyDescent="0.3">
      <c r="D553" s="99" t="s">
        <v>2266</v>
      </c>
      <c r="E553" s="100">
        <v>45793</v>
      </c>
      <c r="F553" s="100">
        <f t="shared" si="54"/>
        <v>45825</v>
      </c>
      <c r="G553" s="101">
        <f t="shared" si="55"/>
        <v>32</v>
      </c>
      <c r="H553" s="102">
        <f t="shared" si="52"/>
        <v>0</v>
      </c>
      <c r="K553" s="99" t="s">
        <v>2583</v>
      </c>
      <c r="L553" s="102">
        <f t="shared" si="56"/>
        <v>0</v>
      </c>
      <c r="M553" s="100">
        <v>45951</v>
      </c>
      <c r="N553" s="101">
        <v>72</v>
      </c>
      <c r="O553" s="101" t="str">
        <f t="shared" si="57"/>
        <v>61-90</v>
      </c>
      <c r="P553" s="101" t="str">
        <f t="shared" si="53"/>
        <v>Low</v>
      </c>
    </row>
    <row r="554" spans="4:16" x14ac:dyDescent="0.3">
      <c r="D554" s="99" t="s">
        <v>2266</v>
      </c>
      <c r="E554" s="100">
        <v>45825</v>
      </c>
      <c r="F554" s="100">
        <f t="shared" si="54"/>
        <v>45855</v>
      </c>
      <c r="G554" s="101">
        <f t="shared" si="55"/>
        <v>30</v>
      </c>
      <c r="H554" s="102">
        <f t="shared" si="52"/>
        <v>1</v>
      </c>
      <c r="K554" s="99" t="s">
        <v>2584</v>
      </c>
      <c r="L554" s="102">
        <f t="shared" si="56"/>
        <v>1</v>
      </c>
      <c r="M554" s="100">
        <v>45988</v>
      </c>
      <c r="N554" s="101">
        <v>35</v>
      </c>
      <c r="O554" s="101" t="str">
        <f t="shared" si="57"/>
        <v>31-60</v>
      </c>
      <c r="P554" s="101" t="str">
        <f t="shared" si="53"/>
        <v>High</v>
      </c>
    </row>
    <row r="555" spans="4:16" x14ac:dyDescent="0.3">
      <c r="D555" s="99" t="s">
        <v>2266</v>
      </c>
      <c r="E555" s="100">
        <v>45855</v>
      </c>
      <c r="F555" s="100">
        <f t="shared" si="54"/>
        <v>45895</v>
      </c>
      <c r="G555" s="101">
        <f t="shared" si="55"/>
        <v>40</v>
      </c>
      <c r="H555" s="102">
        <f t="shared" si="52"/>
        <v>0</v>
      </c>
      <c r="K555" s="99" t="s">
        <v>2585</v>
      </c>
      <c r="L555" s="102">
        <f t="shared" si="56"/>
        <v>0</v>
      </c>
      <c r="M555" s="100">
        <v>45952</v>
      </c>
      <c r="N555" s="101">
        <v>71</v>
      </c>
      <c r="O555" s="101" t="str">
        <f t="shared" si="57"/>
        <v>61-90</v>
      </c>
      <c r="P555" s="101" t="str">
        <f t="shared" si="53"/>
        <v>Low</v>
      </c>
    </row>
    <row r="556" spans="4:16" x14ac:dyDescent="0.3">
      <c r="D556" s="99" t="s">
        <v>2266</v>
      </c>
      <c r="E556" s="100">
        <v>45895</v>
      </c>
      <c r="F556" s="100">
        <f t="shared" si="54"/>
        <v>46021</v>
      </c>
      <c r="G556" s="101">
        <f t="shared" si="55"/>
        <v>126</v>
      </c>
      <c r="H556" s="102">
        <f t="shared" si="52"/>
        <v>0</v>
      </c>
      <c r="K556" s="99" t="s">
        <v>2586</v>
      </c>
      <c r="L556" s="102">
        <f t="shared" si="56"/>
        <v>0</v>
      </c>
      <c r="M556" s="100">
        <v>45778</v>
      </c>
      <c r="N556" s="101">
        <v>245</v>
      </c>
      <c r="O556" s="101" t="str">
        <f t="shared" si="57"/>
        <v>90+</v>
      </c>
      <c r="P556" s="101" t="str">
        <f t="shared" si="53"/>
        <v>Low</v>
      </c>
    </row>
    <row r="557" spans="4:16" x14ac:dyDescent="0.3">
      <c r="D557" s="99" t="s">
        <v>2266</v>
      </c>
      <c r="E557" s="100">
        <v>46021</v>
      </c>
      <c r="F557" s="100" t="str">
        <f t="shared" si="54"/>
        <v/>
      </c>
      <c r="G557" s="101" t="str">
        <f t="shared" si="55"/>
        <v/>
      </c>
      <c r="H557" s="102" t="str">
        <f t="shared" si="52"/>
        <v/>
      </c>
      <c r="K557" s="99" t="s">
        <v>2587</v>
      </c>
      <c r="L557" s="102">
        <f t="shared" si="56"/>
        <v>0</v>
      </c>
      <c r="M557" s="100">
        <v>45979</v>
      </c>
      <c r="N557" s="101">
        <v>44</v>
      </c>
      <c r="O557" s="101" t="str">
        <f t="shared" si="57"/>
        <v>31-60</v>
      </c>
      <c r="P557" s="101" t="str">
        <f t="shared" si="53"/>
        <v>High</v>
      </c>
    </row>
    <row r="558" spans="4:16" x14ac:dyDescent="0.3">
      <c r="D558" s="99" t="s">
        <v>2267</v>
      </c>
      <c r="E558" s="100">
        <v>45660</v>
      </c>
      <c r="F558" s="100">
        <f t="shared" si="54"/>
        <v>45848</v>
      </c>
      <c r="G558" s="101">
        <f t="shared" si="55"/>
        <v>188</v>
      </c>
      <c r="H558" s="102">
        <f t="shared" si="52"/>
        <v>0</v>
      </c>
      <c r="K558" s="99" t="s">
        <v>2588</v>
      </c>
      <c r="L558" s="102">
        <f t="shared" si="56"/>
        <v>0</v>
      </c>
      <c r="M558" s="100">
        <v>45938</v>
      </c>
      <c r="N558" s="101">
        <v>85</v>
      </c>
      <c r="O558" s="101" t="str">
        <f t="shared" si="57"/>
        <v>61-90</v>
      </c>
      <c r="P558" s="101" t="str">
        <f t="shared" si="53"/>
        <v>Low</v>
      </c>
    </row>
    <row r="559" spans="4:16" x14ac:dyDescent="0.3">
      <c r="D559" s="99" t="s">
        <v>2267</v>
      </c>
      <c r="E559" s="100">
        <v>45848</v>
      </c>
      <c r="F559" s="100">
        <f t="shared" si="54"/>
        <v>45910</v>
      </c>
      <c r="G559" s="101">
        <f t="shared" si="55"/>
        <v>62</v>
      </c>
      <c r="H559" s="102">
        <f t="shared" si="52"/>
        <v>0</v>
      </c>
      <c r="K559" s="99" t="s">
        <v>2589</v>
      </c>
      <c r="L559" s="102">
        <f t="shared" si="56"/>
        <v>0</v>
      </c>
      <c r="M559" s="100">
        <v>46008</v>
      </c>
      <c r="N559" s="101">
        <v>15</v>
      </c>
      <c r="O559" s="101" t="str">
        <f t="shared" si="57"/>
        <v>0-30</v>
      </c>
      <c r="P559" s="101" t="str">
        <f t="shared" si="53"/>
        <v>High</v>
      </c>
    </row>
    <row r="560" spans="4:16" x14ac:dyDescent="0.3">
      <c r="D560" s="99" t="s">
        <v>2267</v>
      </c>
      <c r="E560" s="100">
        <v>45910</v>
      </c>
      <c r="F560" s="100" t="str">
        <f t="shared" si="54"/>
        <v/>
      </c>
      <c r="G560" s="101" t="str">
        <f t="shared" si="55"/>
        <v/>
      </c>
      <c r="H560" s="102" t="str">
        <f t="shared" si="52"/>
        <v/>
      </c>
      <c r="K560" s="99" t="s">
        <v>2590</v>
      </c>
      <c r="L560" s="102">
        <f t="shared" si="56"/>
        <v>0</v>
      </c>
      <c r="M560" s="100">
        <v>45750</v>
      </c>
      <c r="N560" s="101">
        <v>273</v>
      </c>
      <c r="O560" s="101" t="str">
        <f t="shared" si="57"/>
        <v>90+</v>
      </c>
      <c r="P560" s="101" t="str">
        <f t="shared" si="53"/>
        <v>Low</v>
      </c>
    </row>
    <row r="561" spans="4:16" x14ac:dyDescent="0.3">
      <c r="D561" s="99" t="s">
        <v>2268</v>
      </c>
      <c r="E561" s="100">
        <v>45959</v>
      </c>
      <c r="F561" s="100" t="str">
        <f t="shared" si="54"/>
        <v/>
      </c>
      <c r="G561" s="101" t="str">
        <f t="shared" si="55"/>
        <v/>
      </c>
      <c r="H561" s="102" t="str">
        <f t="shared" si="52"/>
        <v/>
      </c>
      <c r="K561" s="99" t="s">
        <v>2591</v>
      </c>
      <c r="L561" s="102">
        <f t="shared" si="56"/>
        <v>1</v>
      </c>
      <c r="M561" s="100">
        <v>45754</v>
      </c>
      <c r="N561" s="101">
        <v>269</v>
      </c>
      <c r="O561" s="101" t="str">
        <f t="shared" si="57"/>
        <v>90+</v>
      </c>
      <c r="P561" s="101" t="str">
        <f t="shared" si="53"/>
        <v>Low</v>
      </c>
    </row>
    <row r="562" spans="4:16" x14ac:dyDescent="0.3">
      <c r="D562" s="99" t="s">
        <v>2269</v>
      </c>
      <c r="E562" s="100">
        <v>45796</v>
      </c>
      <c r="F562" s="100">
        <f t="shared" si="54"/>
        <v>45805</v>
      </c>
      <c r="G562" s="101">
        <f t="shared" si="55"/>
        <v>9</v>
      </c>
      <c r="H562" s="102">
        <f t="shared" si="52"/>
        <v>1</v>
      </c>
      <c r="K562" s="99" t="s">
        <v>2592</v>
      </c>
      <c r="L562" s="102">
        <f t="shared" si="56"/>
        <v>0</v>
      </c>
      <c r="M562" s="100">
        <v>46010</v>
      </c>
      <c r="N562" s="101">
        <v>13</v>
      </c>
      <c r="O562" s="101" t="str">
        <f t="shared" si="57"/>
        <v>0-30</v>
      </c>
      <c r="P562" s="101" t="str">
        <f t="shared" si="53"/>
        <v>High</v>
      </c>
    </row>
    <row r="563" spans="4:16" x14ac:dyDescent="0.3">
      <c r="D563" s="99" t="s">
        <v>2269</v>
      </c>
      <c r="E563" s="100">
        <v>45805</v>
      </c>
      <c r="F563" s="100" t="str">
        <f t="shared" si="54"/>
        <v/>
      </c>
      <c r="G563" s="101" t="str">
        <f t="shared" si="55"/>
        <v/>
      </c>
      <c r="H563" s="102" t="str">
        <f t="shared" si="52"/>
        <v/>
      </c>
      <c r="K563" s="99" t="s">
        <v>2593</v>
      </c>
      <c r="L563" s="102">
        <f t="shared" si="56"/>
        <v>0</v>
      </c>
      <c r="M563" s="100">
        <v>45722</v>
      </c>
      <c r="N563" s="101">
        <v>301</v>
      </c>
      <c r="O563" s="101" t="str">
        <f t="shared" si="57"/>
        <v>90+</v>
      </c>
      <c r="P563" s="101" t="str">
        <f t="shared" si="53"/>
        <v>Low</v>
      </c>
    </row>
    <row r="564" spans="4:16" x14ac:dyDescent="0.3">
      <c r="D564" s="99" t="s">
        <v>2270</v>
      </c>
      <c r="E564" s="100">
        <v>45875</v>
      </c>
      <c r="F564" s="100">
        <f t="shared" si="54"/>
        <v>45938</v>
      </c>
      <c r="G564" s="101">
        <f t="shared" si="55"/>
        <v>63</v>
      </c>
      <c r="H564" s="102">
        <f t="shared" si="52"/>
        <v>0</v>
      </c>
      <c r="K564" s="99" t="s">
        <v>2594</v>
      </c>
      <c r="L564" s="102">
        <f t="shared" si="56"/>
        <v>0</v>
      </c>
      <c r="M564" s="100">
        <v>45769</v>
      </c>
      <c r="N564" s="101">
        <v>254</v>
      </c>
      <c r="O564" s="101" t="str">
        <f t="shared" si="57"/>
        <v>90+</v>
      </c>
      <c r="P564" s="101" t="str">
        <f t="shared" si="53"/>
        <v>Low</v>
      </c>
    </row>
    <row r="565" spans="4:16" x14ac:dyDescent="0.3">
      <c r="D565" s="99" t="s">
        <v>2270</v>
      </c>
      <c r="E565" s="100">
        <v>45938</v>
      </c>
      <c r="F565" s="100" t="str">
        <f t="shared" si="54"/>
        <v/>
      </c>
      <c r="G565" s="101" t="str">
        <f t="shared" si="55"/>
        <v/>
      </c>
      <c r="H565" s="102" t="str">
        <f t="shared" si="52"/>
        <v/>
      </c>
      <c r="K565" s="99" t="s">
        <v>2595</v>
      </c>
      <c r="L565" s="102">
        <f t="shared" si="56"/>
        <v>0</v>
      </c>
      <c r="M565" s="100">
        <v>45987</v>
      </c>
      <c r="N565" s="101">
        <v>36</v>
      </c>
      <c r="O565" s="101" t="str">
        <f t="shared" si="57"/>
        <v>31-60</v>
      </c>
      <c r="P565" s="101" t="str">
        <f t="shared" si="53"/>
        <v>High</v>
      </c>
    </row>
    <row r="566" spans="4:16" x14ac:dyDescent="0.3">
      <c r="D566" s="99" t="s">
        <v>2271</v>
      </c>
      <c r="E566" s="100">
        <v>45672</v>
      </c>
      <c r="F566" s="100">
        <f t="shared" si="54"/>
        <v>45726</v>
      </c>
      <c r="G566" s="101">
        <f t="shared" si="55"/>
        <v>54</v>
      </c>
      <c r="H566" s="102">
        <f t="shared" si="52"/>
        <v>0</v>
      </c>
      <c r="K566" s="99" t="s">
        <v>2596</v>
      </c>
      <c r="L566" s="102">
        <f t="shared" si="56"/>
        <v>0</v>
      </c>
      <c r="M566" s="100">
        <v>45663</v>
      </c>
      <c r="N566" s="101">
        <v>360</v>
      </c>
      <c r="O566" s="101" t="str">
        <f t="shared" si="57"/>
        <v>90+</v>
      </c>
      <c r="P566" s="101" t="str">
        <f t="shared" si="53"/>
        <v>Low</v>
      </c>
    </row>
    <row r="567" spans="4:16" x14ac:dyDescent="0.3">
      <c r="D567" s="99" t="s">
        <v>2271</v>
      </c>
      <c r="E567" s="100">
        <v>45726</v>
      </c>
      <c r="F567" s="100" t="str">
        <f t="shared" si="54"/>
        <v/>
      </c>
      <c r="G567" s="101" t="str">
        <f t="shared" si="55"/>
        <v/>
      </c>
      <c r="H567" s="102" t="str">
        <f t="shared" si="52"/>
        <v/>
      </c>
      <c r="K567" s="99" t="s">
        <v>2597</v>
      </c>
      <c r="L567" s="102">
        <f t="shared" si="56"/>
        <v>0</v>
      </c>
      <c r="M567" s="100">
        <v>45842</v>
      </c>
      <c r="N567" s="101">
        <v>181</v>
      </c>
      <c r="O567" s="101" t="str">
        <f t="shared" si="57"/>
        <v>90+</v>
      </c>
      <c r="P567" s="101" t="str">
        <f t="shared" si="53"/>
        <v>Low</v>
      </c>
    </row>
    <row r="568" spans="4:16" x14ac:dyDescent="0.3">
      <c r="D568" s="99" t="s">
        <v>2272</v>
      </c>
      <c r="E568" s="100">
        <v>45952</v>
      </c>
      <c r="F568" s="100">
        <f t="shared" si="54"/>
        <v>45994</v>
      </c>
      <c r="G568" s="101">
        <f t="shared" si="55"/>
        <v>42</v>
      </c>
      <c r="H568" s="102">
        <f t="shared" si="52"/>
        <v>0</v>
      </c>
      <c r="K568" s="99" t="s">
        <v>2598</v>
      </c>
      <c r="L568" s="102">
        <f t="shared" si="56"/>
        <v>0</v>
      </c>
      <c r="M568" s="100">
        <v>46000</v>
      </c>
      <c r="N568" s="101">
        <v>23</v>
      </c>
      <c r="O568" s="101" t="str">
        <f t="shared" si="57"/>
        <v>0-30</v>
      </c>
      <c r="P568" s="101" t="str">
        <f t="shared" si="53"/>
        <v>High</v>
      </c>
    </row>
    <row r="569" spans="4:16" x14ac:dyDescent="0.3">
      <c r="D569" s="99" t="s">
        <v>2272</v>
      </c>
      <c r="E569" s="100">
        <v>45994</v>
      </c>
      <c r="F569" s="100" t="str">
        <f t="shared" si="54"/>
        <v/>
      </c>
      <c r="G569" s="101" t="str">
        <f t="shared" si="55"/>
        <v/>
      </c>
      <c r="H569" s="102" t="str">
        <f t="shared" si="52"/>
        <v/>
      </c>
      <c r="K569" s="99" t="s">
        <v>2599</v>
      </c>
      <c r="L569" s="102">
        <f t="shared" si="56"/>
        <v>0</v>
      </c>
      <c r="M569" s="100">
        <v>45940</v>
      </c>
      <c r="N569" s="101">
        <v>83</v>
      </c>
      <c r="O569" s="101" t="str">
        <f t="shared" si="57"/>
        <v>61-90</v>
      </c>
      <c r="P569" s="101" t="str">
        <f t="shared" si="53"/>
        <v>Low</v>
      </c>
    </row>
    <row r="570" spans="4:16" x14ac:dyDescent="0.3">
      <c r="D570" s="99" t="s">
        <v>2273</v>
      </c>
      <c r="E570" s="100">
        <v>45782</v>
      </c>
      <c r="F570" s="100">
        <f t="shared" si="54"/>
        <v>45923</v>
      </c>
      <c r="G570" s="101">
        <f t="shared" si="55"/>
        <v>141</v>
      </c>
      <c r="H570" s="102">
        <f t="shared" si="52"/>
        <v>0</v>
      </c>
      <c r="K570" s="99" t="s">
        <v>2600</v>
      </c>
      <c r="L570" s="102">
        <f t="shared" si="56"/>
        <v>0</v>
      </c>
      <c r="M570" s="100">
        <v>45742</v>
      </c>
      <c r="N570" s="101">
        <v>281</v>
      </c>
      <c r="O570" s="101" t="str">
        <f t="shared" si="57"/>
        <v>90+</v>
      </c>
      <c r="P570" s="101" t="str">
        <f t="shared" si="53"/>
        <v>Low</v>
      </c>
    </row>
    <row r="571" spans="4:16" x14ac:dyDescent="0.3">
      <c r="D571" s="99" t="s">
        <v>2273</v>
      </c>
      <c r="E571" s="100">
        <v>45923</v>
      </c>
      <c r="F571" s="100">
        <f t="shared" si="54"/>
        <v>45939</v>
      </c>
      <c r="G571" s="101">
        <f t="shared" si="55"/>
        <v>16</v>
      </c>
      <c r="H571" s="102">
        <f t="shared" si="52"/>
        <v>1</v>
      </c>
      <c r="K571" s="99" t="s">
        <v>2601</v>
      </c>
      <c r="L571" s="102">
        <f t="shared" si="56"/>
        <v>0</v>
      </c>
      <c r="M571" s="100">
        <v>45960</v>
      </c>
      <c r="N571" s="101">
        <v>63</v>
      </c>
      <c r="O571" s="101" t="str">
        <f t="shared" si="57"/>
        <v>61-90</v>
      </c>
      <c r="P571" s="101" t="str">
        <f t="shared" si="53"/>
        <v>Low</v>
      </c>
    </row>
    <row r="572" spans="4:16" x14ac:dyDescent="0.3">
      <c r="D572" s="99" t="s">
        <v>2273</v>
      </c>
      <c r="E572" s="100">
        <v>45939</v>
      </c>
      <c r="F572" s="100">
        <f t="shared" si="54"/>
        <v>45986</v>
      </c>
      <c r="G572" s="101">
        <f t="shared" si="55"/>
        <v>47</v>
      </c>
      <c r="H572" s="102">
        <f t="shared" si="52"/>
        <v>0</v>
      </c>
      <c r="K572" s="99" t="s">
        <v>2602</v>
      </c>
      <c r="L572" s="102">
        <f t="shared" si="56"/>
        <v>0</v>
      </c>
      <c r="M572" s="100">
        <v>46000</v>
      </c>
      <c r="N572" s="101">
        <v>23</v>
      </c>
      <c r="O572" s="101" t="str">
        <f t="shared" si="57"/>
        <v>0-30</v>
      </c>
      <c r="P572" s="101" t="str">
        <f t="shared" si="53"/>
        <v>High</v>
      </c>
    </row>
    <row r="573" spans="4:16" x14ac:dyDescent="0.3">
      <c r="D573" s="99" t="s">
        <v>2273</v>
      </c>
      <c r="E573" s="100">
        <v>45986</v>
      </c>
      <c r="F573" s="100" t="str">
        <f t="shared" si="54"/>
        <v/>
      </c>
      <c r="G573" s="101" t="str">
        <f t="shared" si="55"/>
        <v/>
      </c>
      <c r="H573" s="102" t="str">
        <f t="shared" si="52"/>
        <v/>
      </c>
      <c r="K573" s="99" t="s">
        <v>2603</v>
      </c>
      <c r="L573" s="102">
        <f t="shared" si="56"/>
        <v>0</v>
      </c>
      <c r="M573" s="100">
        <v>45790</v>
      </c>
      <c r="N573" s="101">
        <v>233</v>
      </c>
      <c r="O573" s="101" t="str">
        <f t="shared" si="57"/>
        <v>90+</v>
      </c>
      <c r="P573" s="101" t="str">
        <f t="shared" si="53"/>
        <v>Low</v>
      </c>
    </row>
    <row r="574" spans="4:16" x14ac:dyDescent="0.3">
      <c r="D574" s="99" t="s">
        <v>2274</v>
      </c>
      <c r="E574" s="100">
        <v>45722</v>
      </c>
      <c r="F574" s="100">
        <f t="shared" si="54"/>
        <v>45744</v>
      </c>
      <c r="G574" s="101">
        <f t="shared" si="55"/>
        <v>22</v>
      </c>
      <c r="H574" s="102">
        <f t="shared" si="52"/>
        <v>1</v>
      </c>
      <c r="K574" s="99" t="s">
        <v>2604</v>
      </c>
      <c r="L574" s="102">
        <f t="shared" si="56"/>
        <v>1</v>
      </c>
      <c r="M574" s="100">
        <v>45965</v>
      </c>
      <c r="N574" s="101">
        <v>58</v>
      </c>
      <c r="O574" s="101" t="str">
        <f t="shared" si="57"/>
        <v>31-60</v>
      </c>
      <c r="P574" s="101" t="str">
        <f t="shared" si="53"/>
        <v>High</v>
      </c>
    </row>
    <row r="575" spans="4:16" x14ac:dyDescent="0.3">
      <c r="D575" s="99" t="s">
        <v>2274</v>
      </c>
      <c r="E575" s="100">
        <v>45744</v>
      </c>
      <c r="F575" s="100">
        <f t="shared" si="54"/>
        <v>45982</v>
      </c>
      <c r="G575" s="101">
        <f t="shared" si="55"/>
        <v>238</v>
      </c>
      <c r="H575" s="102">
        <f t="shared" si="52"/>
        <v>0</v>
      </c>
      <c r="K575" s="99" t="s">
        <v>2605</v>
      </c>
      <c r="L575" s="102">
        <f t="shared" si="56"/>
        <v>1</v>
      </c>
      <c r="M575" s="100">
        <v>45952</v>
      </c>
      <c r="N575" s="101">
        <v>71</v>
      </c>
      <c r="O575" s="101" t="str">
        <f t="shared" si="57"/>
        <v>61-90</v>
      </c>
      <c r="P575" s="101" t="str">
        <f t="shared" si="53"/>
        <v>Low</v>
      </c>
    </row>
    <row r="576" spans="4:16" x14ac:dyDescent="0.3">
      <c r="D576" s="99" t="s">
        <v>2274</v>
      </c>
      <c r="E576" s="100">
        <v>45982</v>
      </c>
      <c r="F576" s="100" t="str">
        <f t="shared" si="54"/>
        <v/>
      </c>
      <c r="G576" s="101" t="str">
        <f t="shared" si="55"/>
        <v/>
      </c>
      <c r="H576" s="102" t="str">
        <f t="shared" si="52"/>
        <v/>
      </c>
      <c r="K576" s="99" t="s">
        <v>2606</v>
      </c>
      <c r="L576" s="102">
        <f t="shared" si="56"/>
        <v>0</v>
      </c>
      <c r="M576" s="100">
        <v>46015</v>
      </c>
      <c r="N576" s="101">
        <v>8</v>
      </c>
      <c r="O576" s="101" t="str">
        <f t="shared" si="57"/>
        <v>0-30</v>
      </c>
      <c r="P576" s="101" t="str">
        <f t="shared" si="53"/>
        <v>High</v>
      </c>
    </row>
    <row r="577" spans="4:16" x14ac:dyDescent="0.3">
      <c r="D577" s="99" t="s">
        <v>2275</v>
      </c>
      <c r="E577" s="100">
        <v>45712</v>
      </c>
      <c r="F577" s="100" t="str">
        <f t="shared" si="54"/>
        <v/>
      </c>
      <c r="G577" s="101" t="str">
        <f t="shared" si="55"/>
        <v/>
      </c>
      <c r="H577" s="102" t="str">
        <f t="shared" si="52"/>
        <v/>
      </c>
      <c r="K577" s="99" t="s">
        <v>2607</v>
      </c>
      <c r="L577" s="102">
        <f t="shared" si="56"/>
        <v>0</v>
      </c>
      <c r="M577" s="100">
        <v>45944</v>
      </c>
      <c r="N577" s="101">
        <v>79</v>
      </c>
      <c r="O577" s="101" t="str">
        <f t="shared" si="57"/>
        <v>61-90</v>
      </c>
      <c r="P577" s="101" t="str">
        <f t="shared" si="53"/>
        <v>Low</v>
      </c>
    </row>
    <row r="578" spans="4:16" x14ac:dyDescent="0.3">
      <c r="D578" s="99" t="s">
        <v>2276</v>
      </c>
      <c r="E578" s="100">
        <v>45790</v>
      </c>
      <c r="F578" s="100">
        <f t="shared" si="54"/>
        <v>45813</v>
      </c>
      <c r="G578" s="101">
        <f t="shared" si="55"/>
        <v>23</v>
      </c>
      <c r="H578" s="102">
        <f t="shared" si="52"/>
        <v>1</v>
      </c>
      <c r="K578" s="99" t="s">
        <v>2608</v>
      </c>
      <c r="L578" s="102">
        <f t="shared" si="56"/>
        <v>1</v>
      </c>
      <c r="M578" s="100">
        <v>45951</v>
      </c>
      <c r="N578" s="101">
        <v>72</v>
      </c>
      <c r="O578" s="101" t="str">
        <f t="shared" si="57"/>
        <v>61-90</v>
      </c>
      <c r="P578" s="101" t="str">
        <f t="shared" si="53"/>
        <v>Low</v>
      </c>
    </row>
    <row r="579" spans="4:16" x14ac:dyDescent="0.3">
      <c r="D579" s="99" t="s">
        <v>2276</v>
      </c>
      <c r="E579" s="100">
        <v>45813</v>
      </c>
      <c r="F579" s="100">
        <f t="shared" si="54"/>
        <v>45875</v>
      </c>
      <c r="G579" s="101">
        <f t="shared" si="55"/>
        <v>62</v>
      </c>
      <c r="H579" s="102">
        <f t="shared" si="52"/>
        <v>0</v>
      </c>
      <c r="K579" s="99" t="s">
        <v>2609</v>
      </c>
      <c r="L579" s="102">
        <f t="shared" si="56"/>
        <v>0</v>
      </c>
      <c r="M579" s="100">
        <v>45779</v>
      </c>
      <c r="N579" s="101">
        <v>244</v>
      </c>
      <c r="O579" s="101" t="str">
        <f t="shared" si="57"/>
        <v>90+</v>
      </c>
      <c r="P579" s="101" t="str">
        <f t="shared" si="53"/>
        <v>Low</v>
      </c>
    </row>
    <row r="580" spans="4:16" x14ac:dyDescent="0.3">
      <c r="D580" s="99" t="s">
        <v>2276</v>
      </c>
      <c r="E580" s="100">
        <v>45875</v>
      </c>
      <c r="F580" s="100">
        <f t="shared" si="54"/>
        <v>45884</v>
      </c>
      <c r="G580" s="101">
        <f t="shared" si="55"/>
        <v>9</v>
      </c>
      <c r="H580" s="102">
        <f t="shared" si="52"/>
        <v>1</v>
      </c>
      <c r="K580" s="99" t="s">
        <v>2610</v>
      </c>
      <c r="L580" s="102">
        <f t="shared" si="56"/>
        <v>0</v>
      </c>
      <c r="M580" s="100">
        <v>46008</v>
      </c>
      <c r="N580" s="101">
        <v>15</v>
      </c>
      <c r="O580" s="101" t="str">
        <f t="shared" si="57"/>
        <v>0-30</v>
      </c>
      <c r="P580" s="101" t="str">
        <f t="shared" si="53"/>
        <v>High</v>
      </c>
    </row>
    <row r="581" spans="4:16" x14ac:dyDescent="0.3">
      <c r="D581" s="99" t="s">
        <v>2276</v>
      </c>
      <c r="E581" s="100">
        <v>45884</v>
      </c>
      <c r="F581" s="100">
        <f t="shared" si="54"/>
        <v>45905</v>
      </c>
      <c r="G581" s="101">
        <f t="shared" si="55"/>
        <v>21</v>
      </c>
      <c r="H581" s="102">
        <f t="shared" si="52"/>
        <v>1</v>
      </c>
      <c r="K581" s="99" t="s">
        <v>2611</v>
      </c>
      <c r="L581" s="102">
        <f t="shared" si="56"/>
        <v>0</v>
      </c>
      <c r="M581" s="100">
        <v>46008</v>
      </c>
      <c r="N581" s="101">
        <v>15</v>
      </c>
      <c r="O581" s="101" t="str">
        <f t="shared" si="57"/>
        <v>0-30</v>
      </c>
      <c r="P581" s="101" t="str">
        <f t="shared" si="53"/>
        <v>High</v>
      </c>
    </row>
    <row r="582" spans="4:16" x14ac:dyDescent="0.3">
      <c r="D582" s="99" t="s">
        <v>2276</v>
      </c>
      <c r="E582" s="100">
        <v>45905</v>
      </c>
      <c r="F582" s="100">
        <f t="shared" si="54"/>
        <v>45952</v>
      </c>
      <c r="G582" s="101">
        <f t="shared" si="55"/>
        <v>47</v>
      </c>
      <c r="H582" s="102">
        <f t="shared" si="52"/>
        <v>0</v>
      </c>
      <c r="K582" s="99" t="s">
        <v>2612</v>
      </c>
      <c r="L582" s="102">
        <f t="shared" si="56"/>
        <v>1</v>
      </c>
      <c r="M582" s="100">
        <v>46017</v>
      </c>
      <c r="N582" s="101">
        <v>6</v>
      </c>
      <c r="O582" s="101" t="str">
        <f t="shared" si="57"/>
        <v>0-30</v>
      </c>
      <c r="P582" s="101" t="str">
        <f t="shared" si="53"/>
        <v>High</v>
      </c>
    </row>
    <row r="583" spans="4:16" x14ac:dyDescent="0.3">
      <c r="D583" s="99" t="s">
        <v>2276</v>
      </c>
      <c r="E583" s="100">
        <v>45952</v>
      </c>
      <c r="F583" s="100">
        <f t="shared" si="54"/>
        <v>45982</v>
      </c>
      <c r="G583" s="101">
        <f t="shared" si="55"/>
        <v>30</v>
      </c>
      <c r="H583" s="102">
        <f t="shared" ref="H583:H646" si="58">IF(G583="","",IF(G583&lt;=return_window,1,0))</f>
        <v>1</v>
      </c>
      <c r="K583" s="99" t="s">
        <v>2613</v>
      </c>
      <c r="L583" s="102">
        <f t="shared" si="56"/>
        <v>0</v>
      </c>
      <c r="M583" s="100">
        <v>45663</v>
      </c>
      <c r="N583" s="101">
        <v>360</v>
      </c>
      <c r="O583" s="101" t="str">
        <f t="shared" si="57"/>
        <v>90+</v>
      </c>
      <c r="P583" s="101" t="str">
        <f t="shared" ref="P583:P646" si="59">IF(N583&lt;=recency_threshold,"High","Low")</f>
        <v>Low</v>
      </c>
    </row>
    <row r="584" spans="4:16" x14ac:dyDescent="0.3">
      <c r="D584" s="99" t="s">
        <v>2276</v>
      </c>
      <c r="E584" s="100">
        <v>45982</v>
      </c>
      <c r="F584" s="100" t="str">
        <f t="shared" ref="F584:F647" si="60">IF(D584=D585,E585,"")</f>
        <v/>
      </c>
      <c r="G584" s="101" t="str">
        <f t="shared" ref="G584:G647" si="61">IF(F584="","",F584-E584)</f>
        <v/>
      </c>
      <c r="H584" s="102" t="str">
        <f t="shared" si="58"/>
        <v/>
      </c>
      <c r="K584" s="99" t="s">
        <v>2614</v>
      </c>
      <c r="L584" s="102">
        <f t="shared" ref="L584:L647" si="62">IF(SUMIFS($H$6:$H$2006,$D$6:$D$2006,K584),1,0)</f>
        <v>0</v>
      </c>
      <c r="M584" s="100">
        <v>45943</v>
      </c>
      <c r="N584" s="101">
        <v>80</v>
      </c>
      <c r="O584" s="101" t="str">
        <f t="shared" ref="O584:O647" si="63">VLOOKUP(N584,$A$15:$B$19,2,TRUE)</f>
        <v>61-90</v>
      </c>
      <c r="P584" s="101" t="str">
        <f t="shared" si="59"/>
        <v>Low</v>
      </c>
    </row>
    <row r="585" spans="4:16" x14ac:dyDescent="0.3">
      <c r="D585" s="99" t="s">
        <v>2277</v>
      </c>
      <c r="E585" s="100">
        <v>45678</v>
      </c>
      <c r="F585" s="100">
        <f t="shared" si="60"/>
        <v>45833</v>
      </c>
      <c r="G585" s="101">
        <f t="shared" si="61"/>
        <v>155</v>
      </c>
      <c r="H585" s="102">
        <f t="shared" si="58"/>
        <v>0</v>
      </c>
      <c r="K585" s="99" t="s">
        <v>2615</v>
      </c>
      <c r="L585" s="102">
        <f t="shared" si="62"/>
        <v>0</v>
      </c>
      <c r="M585" s="100">
        <v>45820</v>
      </c>
      <c r="N585" s="101">
        <v>203</v>
      </c>
      <c r="O585" s="101" t="str">
        <f t="shared" si="63"/>
        <v>90+</v>
      </c>
      <c r="P585" s="101" t="str">
        <f t="shared" si="59"/>
        <v>Low</v>
      </c>
    </row>
    <row r="586" spans="4:16" x14ac:dyDescent="0.3">
      <c r="D586" s="99" t="s">
        <v>2277</v>
      </c>
      <c r="E586" s="100">
        <v>45833</v>
      </c>
      <c r="F586" s="100" t="str">
        <f t="shared" si="60"/>
        <v/>
      </c>
      <c r="G586" s="101" t="str">
        <f t="shared" si="61"/>
        <v/>
      </c>
      <c r="H586" s="102" t="str">
        <f t="shared" si="58"/>
        <v/>
      </c>
      <c r="K586" s="99" t="s">
        <v>2616</v>
      </c>
      <c r="L586" s="102">
        <f t="shared" si="62"/>
        <v>0</v>
      </c>
      <c r="M586" s="100">
        <v>46021</v>
      </c>
      <c r="N586" s="101">
        <v>2</v>
      </c>
      <c r="O586" s="101" t="str">
        <f t="shared" si="63"/>
        <v>0-30</v>
      </c>
      <c r="P586" s="101" t="str">
        <f t="shared" si="59"/>
        <v>High</v>
      </c>
    </row>
    <row r="587" spans="4:16" x14ac:dyDescent="0.3">
      <c r="D587" s="99" t="s">
        <v>2278</v>
      </c>
      <c r="E587" s="100">
        <v>45751</v>
      </c>
      <c r="F587" s="100">
        <f t="shared" si="60"/>
        <v>45896</v>
      </c>
      <c r="G587" s="101">
        <f t="shared" si="61"/>
        <v>145</v>
      </c>
      <c r="H587" s="102">
        <f t="shared" si="58"/>
        <v>0</v>
      </c>
      <c r="K587" s="99" t="s">
        <v>2617</v>
      </c>
      <c r="L587" s="102">
        <f t="shared" si="62"/>
        <v>0</v>
      </c>
      <c r="M587" s="100">
        <v>45931</v>
      </c>
      <c r="N587" s="101">
        <v>92</v>
      </c>
      <c r="O587" s="101" t="str">
        <f t="shared" si="63"/>
        <v>90+</v>
      </c>
      <c r="P587" s="101" t="str">
        <f t="shared" si="59"/>
        <v>Low</v>
      </c>
    </row>
    <row r="588" spans="4:16" x14ac:dyDescent="0.3">
      <c r="D588" s="99" t="s">
        <v>2278</v>
      </c>
      <c r="E588" s="100">
        <v>45896</v>
      </c>
      <c r="F588" s="100" t="str">
        <f t="shared" si="60"/>
        <v/>
      </c>
      <c r="G588" s="101" t="str">
        <f t="shared" si="61"/>
        <v/>
      </c>
      <c r="H588" s="102" t="str">
        <f t="shared" si="58"/>
        <v/>
      </c>
      <c r="K588" s="99" t="s">
        <v>2618</v>
      </c>
      <c r="L588" s="102">
        <f t="shared" si="62"/>
        <v>1</v>
      </c>
      <c r="M588" s="100">
        <v>45947</v>
      </c>
      <c r="N588" s="101">
        <v>76</v>
      </c>
      <c r="O588" s="101" t="str">
        <f t="shared" si="63"/>
        <v>61-90</v>
      </c>
      <c r="P588" s="101" t="str">
        <f t="shared" si="59"/>
        <v>Low</v>
      </c>
    </row>
    <row r="589" spans="4:16" x14ac:dyDescent="0.3">
      <c r="D589" s="99" t="s">
        <v>2279</v>
      </c>
      <c r="E589" s="100">
        <v>45820</v>
      </c>
      <c r="F589" s="100" t="str">
        <f t="shared" si="60"/>
        <v/>
      </c>
      <c r="G589" s="101" t="str">
        <f t="shared" si="61"/>
        <v/>
      </c>
      <c r="H589" s="102" t="str">
        <f t="shared" si="58"/>
        <v/>
      </c>
      <c r="K589" s="99" t="s">
        <v>2619</v>
      </c>
      <c r="L589" s="102">
        <f t="shared" si="62"/>
        <v>1</v>
      </c>
      <c r="M589" s="100">
        <v>45944</v>
      </c>
      <c r="N589" s="101">
        <v>79</v>
      </c>
      <c r="O589" s="101" t="str">
        <f t="shared" si="63"/>
        <v>61-90</v>
      </c>
      <c r="P589" s="101" t="str">
        <f t="shared" si="59"/>
        <v>Low</v>
      </c>
    </row>
    <row r="590" spans="4:16" x14ac:dyDescent="0.3">
      <c r="D590" s="99" t="s">
        <v>2280</v>
      </c>
      <c r="E590" s="100">
        <v>45755</v>
      </c>
      <c r="F590" s="100">
        <f t="shared" si="60"/>
        <v>45824</v>
      </c>
      <c r="G590" s="101">
        <f t="shared" si="61"/>
        <v>69</v>
      </c>
      <c r="H590" s="102">
        <f t="shared" si="58"/>
        <v>0</v>
      </c>
      <c r="K590" s="99" t="s">
        <v>2620</v>
      </c>
      <c r="L590" s="102">
        <f t="shared" si="62"/>
        <v>0</v>
      </c>
      <c r="M590" s="100">
        <v>45821</v>
      </c>
      <c r="N590" s="101">
        <v>202</v>
      </c>
      <c r="O590" s="101" t="str">
        <f t="shared" si="63"/>
        <v>90+</v>
      </c>
      <c r="P590" s="101" t="str">
        <f t="shared" si="59"/>
        <v>Low</v>
      </c>
    </row>
    <row r="591" spans="4:16" x14ac:dyDescent="0.3">
      <c r="D591" s="99" t="s">
        <v>2280</v>
      </c>
      <c r="E591" s="100">
        <v>45824</v>
      </c>
      <c r="F591" s="100" t="str">
        <f t="shared" si="60"/>
        <v/>
      </c>
      <c r="G591" s="101" t="str">
        <f t="shared" si="61"/>
        <v/>
      </c>
      <c r="H591" s="102" t="str">
        <f t="shared" si="58"/>
        <v/>
      </c>
      <c r="K591" s="99" t="s">
        <v>2621</v>
      </c>
      <c r="L591" s="102">
        <f t="shared" si="62"/>
        <v>0</v>
      </c>
      <c r="M591" s="100">
        <v>45660</v>
      </c>
      <c r="N591" s="101">
        <v>363</v>
      </c>
      <c r="O591" s="101" t="str">
        <f t="shared" si="63"/>
        <v>90+</v>
      </c>
      <c r="P591" s="101" t="str">
        <f t="shared" si="59"/>
        <v>Low</v>
      </c>
    </row>
    <row r="592" spans="4:16" x14ac:dyDescent="0.3">
      <c r="D592" s="99" t="s">
        <v>2281</v>
      </c>
      <c r="E592" s="100">
        <v>45842</v>
      </c>
      <c r="F592" s="100" t="str">
        <f t="shared" si="60"/>
        <v/>
      </c>
      <c r="G592" s="101" t="str">
        <f t="shared" si="61"/>
        <v/>
      </c>
      <c r="H592" s="102" t="str">
        <f t="shared" si="58"/>
        <v/>
      </c>
      <c r="K592" s="99" t="s">
        <v>2622</v>
      </c>
      <c r="L592" s="102">
        <f t="shared" si="62"/>
        <v>0</v>
      </c>
      <c r="M592" s="100">
        <v>45894</v>
      </c>
      <c r="N592" s="101">
        <v>129</v>
      </c>
      <c r="O592" s="101" t="str">
        <f t="shared" si="63"/>
        <v>90+</v>
      </c>
      <c r="P592" s="101" t="str">
        <f t="shared" si="59"/>
        <v>Low</v>
      </c>
    </row>
    <row r="593" spans="4:16" x14ac:dyDescent="0.3">
      <c r="D593" s="99" t="s">
        <v>2282</v>
      </c>
      <c r="E593" s="100">
        <v>45740</v>
      </c>
      <c r="F593" s="100">
        <f t="shared" si="60"/>
        <v>45996</v>
      </c>
      <c r="G593" s="101">
        <f t="shared" si="61"/>
        <v>256</v>
      </c>
      <c r="H593" s="102">
        <f t="shared" si="58"/>
        <v>0</v>
      </c>
      <c r="K593" s="99" t="s">
        <v>2623</v>
      </c>
      <c r="L593" s="102">
        <f t="shared" si="62"/>
        <v>0</v>
      </c>
      <c r="M593" s="100">
        <v>45980</v>
      </c>
      <c r="N593" s="101">
        <v>43</v>
      </c>
      <c r="O593" s="101" t="str">
        <f t="shared" si="63"/>
        <v>31-60</v>
      </c>
      <c r="P593" s="101" t="str">
        <f t="shared" si="59"/>
        <v>High</v>
      </c>
    </row>
    <row r="594" spans="4:16" x14ac:dyDescent="0.3">
      <c r="D594" s="99" t="s">
        <v>2282</v>
      </c>
      <c r="E594" s="100">
        <v>45996</v>
      </c>
      <c r="F594" s="100">
        <f t="shared" si="60"/>
        <v>46008</v>
      </c>
      <c r="G594" s="101">
        <f t="shared" si="61"/>
        <v>12</v>
      </c>
      <c r="H594" s="102">
        <f t="shared" si="58"/>
        <v>1</v>
      </c>
      <c r="K594" s="99" t="s">
        <v>2624</v>
      </c>
      <c r="L594" s="102">
        <f t="shared" si="62"/>
        <v>0</v>
      </c>
      <c r="M594" s="100">
        <v>45988</v>
      </c>
      <c r="N594" s="101">
        <v>35</v>
      </c>
      <c r="O594" s="101" t="str">
        <f t="shared" si="63"/>
        <v>31-60</v>
      </c>
      <c r="P594" s="101" t="str">
        <f t="shared" si="59"/>
        <v>High</v>
      </c>
    </row>
    <row r="595" spans="4:16" x14ac:dyDescent="0.3">
      <c r="D595" s="99" t="s">
        <v>2282</v>
      </c>
      <c r="E595" s="100">
        <v>46008</v>
      </c>
      <c r="F595" s="100" t="str">
        <f t="shared" si="60"/>
        <v/>
      </c>
      <c r="G595" s="101" t="str">
        <f t="shared" si="61"/>
        <v/>
      </c>
      <c r="H595" s="102" t="str">
        <f t="shared" si="58"/>
        <v/>
      </c>
      <c r="K595" s="99" t="s">
        <v>2625</v>
      </c>
      <c r="L595" s="102">
        <f t="shared" si="62"/>
        <v>0</v>
      </c>
      <c r="M595" s="100">
        <v>45960</v>
      </c>
      <c r="N595" s="101">
        <v>63</v>
      </c>
      <c r="O595" s="101" t="str">
        <f t="shared" si="63"/>
        <v>61-90</v>
      </c>
      <c r="P595" s="101" t="str">
        <f t="shared" si="59"/>
        <v>Low</v>
      </c>
    </row>
    <row r="596" spans="4:16" x14ac:dyDescent="0.3">
      <c r="D596" s="99" t="s">
        <v>2283</v>
      </c>
      <c r="E596" s="100">
        <v>45677</v>
      </c>
      <c r="F596" s="100" t="str">
        <f t="shared" si="60"/>
        <v/>
      </c>
      <c r="G596" s="101" t="str">
        <f t="shared" si="61"/>
        <v/>
      </c>
      <c r="H596" s="102" t="str">
        <f t="shared" si="58"/>
        <v/>
      </c>
      <c r="K596" s="99" t="s">
        <v>2626</v>
      </c>
      <c r="L596" s="102">
        <f t="shared" si="62"/>
        <v>0</v>
      </c>
      <c r="M596" s="100">
        <v>46013</v>
      </c>
      <c r="N596" s="101">
        <v>10</v>
      </c>
      <c r="O596" s="101" t="str">
        <f t="shared" si="63"/>
        <v>0-30</v>
      </c>
      <c r="P596" s="101" t="str">
        <f t="shared" si="59"/>
        <v>High</v>
      </c>
    </row>
    <row r="597" spans="4:16" x14ac:dyDescent="0.3">
      <c r="D597" s="99" t="s">
        <v>2284</v>
      </c>
      <c r="E597" s="100">
        <v>45715</v>
      </c>
      <c r="F597" s="100" t="str">
        <f t="shared" si="60"/>
        <v/>
      </c>
      <c r="G597" s="101" t="str">
        <f t="shared" si="61"/>
        <v/>
      </c>
      <c r="H597" s="102" t="str">
        <f t="shared" si="58"/>
        <v/>
      </c>
      <c r="K597" s="99" t="s">
        <v>2627</v>
      </c>
      <c r="L597" s="102">
        <f t="shared" si="62"/>
        <v>0</v>
      </c>
      <c r="M597" s="100">
        <v>45922</v>
      </c>
      <c r="N597" s="101">
        <v>101</v>
      </c>
      <c r="O597" s="101" t="str">
        <f t="shared" si="63"/>
        <v>90+</v>
      </c>
      <c r="P597" s="101" t="str">
        <f t="shared" si="59"/>
        <v>Low</v>
      </c>
    </row>
    <row r="598" spans="4:16" x14ac:dyDescent="0.3">
      <c r="D598" s="99" t="s">
        <v>2285</v>
      </c>
      <c r="E598" s="100">
        <v>45881</v>
      </c>
      <c r="F598" s="100">
        <f t="shared" si="60"/>
        <v>46022</v>
      </c>
      <c r="G598" s="101">
        <f t="shared" si="61"/>
        <v>141</v>
      </c>
      <c r="H598" s="102">
        <f t="shared" si="58"/>
        <v>0</v>
      </c>
      <c r="K598" s="99" t="s">
        <v>2628</v>
      </c>
      <c r="L598" s="102">
        <f t="shared" si="62"/>
        <v>1</v>
      </c>
      <c r="M598" s="100">
        <v>45733</v>
      </c>
      <c r="N598" s="101">
        <v>290</v>
      </c>
      <c r="O598" s="101" t="str">
        <f t="shared" si="63"/>
        <v>90+</v>
      </c>
      <c r="P598" s="101" t="str">
        <f t="shared" si="59"/>
        <v>Low</v>
      </c>
    </row>
    <row r="599" spans="4:16" x14ac:dyDescent="0.3">
      <c r="D599" s="99" t="s">
        <v>2285</v>
      </c>
      <c r="E599" s="100">
        <v>46022</v>
      </c>
      <c r="F599" s="100" t="str">
        <f t="shared" si="60"/>
        <v/>
      </c>
      <c r="G599" s="101" t="str">
        <f t="shared" si="61"/>
        <v/>
      </c>
      <c r="H599" s="102" t="str">
        <f t="shared" si="58"/>
        <v/>
      </c>
      <c r="K599" s="99" t="s">
        <v>2629</v>
      </c>
      <c r="L599" s="102">
        <f t="shared" si="62"/>
        <v>0</v>
      </c>
      <c r="M599" s="100">
        <v>45821</v>
      </c>
      <c r="N599" s="101">
        <v>202</v>
      </c>
      <c r="O599" s="101" t="str">
        <f t="shared" si="63"/>
        <v>90+</v>
      </c>
      <c r="P599" s="101" t="str">
        <f t="shared" si="59"/>
        <v>Low</v>
      </c>
    </row>
    <row r="600" spans="4:16" x14ac:dyDescent="0.3">
      <c r="D600" s="99" t="s">
        <v>2286</v>
      </c>
      <c r="E600" s="100">
        <v>45945</v>
      </c>
      <c r="F600" s="100" t="str">
        <f t="shared" si="60"/>
        <v/>
      </c>
      <c r="G600" s="101" t="str">
        <f t="shared" si="61"/>
        <v/>
      </c>
      <c r="H600" s="102" t="str">
        <f t="shared" si="58"/>
        <v/>
      </c>
      <c r="K600" s="99" t="s">
        <v>2630</v>
      </c>
      <c r="L600" s="102">
        <f t="shared" si="62"/>
        <v>0</v>
      </c>
      <c r="M600" s="100">
        <v>46017</v>
      </c>
      <c r="N600" s="101">
        <v>6</v>
      </c>
      <c r="O600" s="101" t="str">
        <f t="shared" si="63"/>
        <v>0-30</v>
      </c>
      <c r="P600" s="101" t="str">
        <f t="shared" si="59"/>
        <v>High</v>
      </c>
    </row>
    <row r="601" spans="4:16" x14ac:dyDescent="0.3">
      <c r="D601" s="99" t="s">
        <v>2287</v>
      </c>
      <c r="E601" s="100">
        <v>45769</v>
      </c>
      <c r="F601" s="100">
        <f t="shared" si="60"/>
        <v>45930</v>
      </c>
      <c r="G601" s="101">
        <f t="shared" si="61"/>
        <v>161</v>
      </c>
      <c r="H601" s="102">
        <f t="shared" si="58"/>
        <v>0</v>
      </c>
      <c r="K601" s="99" t="s">
        <v>2631</v>
      </c>
      <c r="L601" s="102">
        <f t="shared" si="62"/>
        <v>0</v>
      </c>
      <c r="M601" s="100">
        <v>45992</v>
      </c>
      <c r="N601" s="101">
        <v>31</v>
      </c>
      <c r="O601" s="101" t="str">
        <f t="shared" si="63"/>
        <v>31-60</v>
      </c>
      <c r="P601" s="101" t="str">
        <f t="shared" si="59"/>
        <v>High</v>
      </c>
    </row>
    <row r="602" spans="4:16" x14ac:dyDescent="0.3">
      <c r="D602" s="99" t="s">
        <v>2287</v>
      </c>
      <c r="E602" s="100">
        <v>45930</v>
      </c>
      <c r="F602" s="100">
        <f t="shared" si="60"/>
        <v>45994</v>
      </c>
      <c r="G602" s="101">
        <f t="shared" si="61"/>
        <v>64</v>
      </c>
      <c r="H602" s="102">
        <f t="shared" si="58"/>
        <v>0</v>
      </c>
      <c r="K602" s="99" t="s">
        <v>2632</v>
      </c>
      <c r="L602" s="102">
        <f t="shared" si="62"/>
        <v>1</v>
      </c>
      <c r="M602" s="100">
        <v>45996</v>
      </c>
      <c r="N602" s="101">
        <v>27</v>
      </c>
      <c r="O602" s="101" t="str">
        <f t="shared" si="63"/>
        <v>0-30</v>
      </c>
      <c r="P602" s="101" t="str">
        <f t="shared" si="59"/>
        <v>High</v>
      </c>
    </row>
    <row r="603" spans="4:16" x14ac:dyDescent="0.3">
      <c r="D603" s="99" t="s">
        <v>2287</v>
      </c>
      <c r="E603" s="100">
        <v>45994</v>
      </c>
      <c r="F603" s="100" t="str">
        <f t="shared" si="60"/>
        <v/>
      </c>
      <c r="G603" s="101" t="str">
        <f t="shared" si="61"/>
        <v/>
      </c>
      <c r="H603" s="102" t="str">
        <f t="shared" si="58"/>
        <v/>
      </c>
      <c r="K603" s="99" t="s">
        <v>2633</v>
      </c>
      <c r="L603" s="102">
        <f t="shared" si="62"/>
        <v>1</v>
      </c>
      <c r="M603" s="100">
        <v>45978</v>
      </c>
      <c r="N603" s="101">
        <v>45</v>
      </c>
      <c r="O603" s="101" t="str">
        <f t="shared" si="63"/>
        <v>31-60</v>
      </c>
      <c r="P603" s="101" t="str">
        <f t="shared" si="59"/>
        <v>High</v>
      </c>
    </row>
    <row r="604" spans="4:16" x14ac:dyDescent="0.3">
      <c r="D604" s="99" t="s">
        <v>2288</v>
      </c>
      <c r="E604" s="100">
        <v>45678</v>
      </c>
      <c r="F604" s="100">
        <f t="shared" si="60"/>
        <v>45744</v>
      </c>
      <c r="G604" s="101">
        <f t="shared" si="61"/>
        <v>66</v>
      </c>
      <c r="H604" s="102">
        <f t="shared" si="58"/>
        <v>0</v>
      </c>
      <c r="K604" s="99" t="s">
        <v>2634</v>
      </c>
      <c r="L604" s="102">
        <f t="shared" si="62"/>
        <v>0</v>
      </c>
      <c r="M604" s="100">
        <v>45918</v>
      </c>
      <c r="N604" s="101">
        <v>105</v>
      </c>
      <c r="O604" s="101" t="str">
        <f t="shared" si="63"/>
        <v>90+</v>
      </c>
      <c r="P604" s="101" t="str">
        <f t="shared" si="59"/>
        <v>Low</v>
      </c>
    </row>
    <row r="605" spans="4:16" x14ac:dyDescent="0.3">
      <c r="D605" s="99" t="s">
        <v>2288</v>
      </c>
      <c r="E605" s="100">
        <v>45744</v>
      </c>
      <c r="F605" s="100" t="str">
        <f t="shared" si="60"/>
        <v/>
      </c>
      <c r="G605" s="101" t="str">
        <f t="shared" si="61"/>
        <v/>
      </c>
      <c r="H605" s="102" t="str">
        <f t="shared" si="58"/>
        <v/>
      </c>
      <c r="K605" s="99" t="s">
        <v>2635</v>
      </c>
      <c r="L605" s="102">
        <f t="shared" si="62"/>
        <v>0</v>
      </c>
      <c r="M605" s="100">
        <v>45954</v>
      </c>
      <c r="N605" s="101">
        <v>69</v>
      </c>
      <c r="O605" s="101" t="str">
        <f t="shared" si="63"/>
        <v>61-90</v>
      </c>
      <c r="P605" s="101" t="str">
        <f t="shared" si="59"/>
        <v>Low</v>
      </c>
    </row>
    <row r="606" spans="4:16" x14ac:dyDescent="0.3">
      <c r="D606" s="99" t="s">
        <v>2289</v>
      </c>
      <c r="E606" s="100">
        <v>45819</v>
      </c>
      <c r="F606" s="100" t="str">
        <f t="shared" si="60"/>
        <v/>
      </c>
      <c r="G606" s="101" t="str">
        <f t="shared" si="61"/>
        <v/>
      </c>
      <c r="H606" s="102" t="str">
        <f t="shared" si="58"/>
        <v/>
      </c>
      <c r="K606" s="99" t="s">
        <v>2636</v>
      </c>
      <c r="L606" s="102">
        <f t="shared" si="62"/>
        <v>0</v>
      </c>
      <c r="M606" s="100">
        <v>46003</v>
      </c>
      <c r="N606" s="101">
        <v>20</v>
      </c>
      <c r="O606" s="101" t="str">
        <f t="shared" si="63"/>
        <v>0-30</v>
      </c>
      <c r="P606" s="101" t="str">
        <f t="shared" si="59"/>
        <v>High</v>
      </c>
    </row>
    <row r="607" spans="4:16" x14ac:dyDescent="0.3">
      <c r="D607" s="99" t="s">
        <v>2290</v>
      </c>
      <c r="E607" s="100">
        <v>45831</v>
      </c>
      <c r="F607" s="100" t="str">
        <f t="shared" si="60"/>
        <v/>
      </c>
      <c r="G607" s="101" t="str">
        <f t="shared" si="61"/>
        <v/>
      </c>
      <c r="H607" s="102" t="str">
        <f t="shared" si="58"/>
        <v/>
      </c>
      <c r="K607" s="99" t="s">
        <v>2637</v>
      </c>
      <c r="L607" s="102">
        <f t="shared" si="62"/>
        <v>1</v>
      </c>
      <c r="M607" s="100">
        <v>45972</v>
      </c>
      <c r="N607" s="101">
        <v>51</v>
      </c>
      <c r="O607" s="101" t="str">
        <f t="shared" si="63"/>
        <v>31-60</v>
      </c>
      <c r="P607" s="101" t="str">
        <f t="shared" si="59"/>
        <v>High</v>
      </c>
    </row>
    <row r="608" spans="4:16" x14ac:dyDescent="0.3">
      <c r="D608" s="99" t="s">
        <v>2291</v>
      </c>
      <c r="E608" s="100">
        <v>45714</v>
      </c>
      <c r="F608" s="100">
        <f t="shared" si="60"/>
        <v>45716</v>
      </c>
      <c r="G608" s="101">
        <f t="shared" si="61"/>
        <v>2</v>
      </c>
      <c r="H608" s="102">
        <f t="shared" si="58"/>
        <v>1</v>
      </c>
      <c r="K608" s="99" t="s">
        <v>2638</v>
      </c>
      <c r="L608" s="102">
        <f t="shared" si="62"/>
        <v>0</v>
      </c>
      <c r="M608" s="100">
        <v>45721</v>
      </c>
      <c r="N608" s="101">
        <v>302</v>
      </c>
      <c r="O608" s="101" t="str">
        <f t="shared" si="63"/>
        <v>90+</v>
      </c>
      <c r="P608" s="101" t="str">
        <f t="shared" si="59"/>
        <v>Low</v>
      </c>
    </row>
    <row r="609" spans="4:16" x14ac:dyDescent="0.3">
      <c r="D609" s="99" t="s">
        <v>2291</v>
      </c>
      <c r="E609" s="100">
        <v>45716</v>
      </c>
      <c r="F609" s="100">
        <f t="shared" si="60"/>
        <v>45748</v>
      </c>
      <c r="G609" s="101">
        <f t="shared" si="61"/>
        <v>32</v>
      </c>
      <c r="H609" s="102">
        <f t="shared" si="58"/>
        <v>0</v>
      </c>
      <c r="K609" s="99" t="s">
        <v>2639</v>
      </c>
      <c r="L609" s="102">
        <f t="shared" si="62"/>
        <v>0</v>
      </c>
      <c r="M609" s="100">
        <v>45961</v>
      </c>
      <c r="N609" s="101">
        <v>62</v>
      </c>
      <c r="O609" s="101" t="str">
        <f t="shared" si="63"/>
        <v>61-90</v>
      </c>
      <c r="P609" s="101" t="str">
        <f t="shared" si="59"/>
        <v>Low</v>
      </c>
    </row>
    <row r="610" spans="4:16" x14ac:dyDescent="0.3">
      <c r="D610" s="99" t="s">
        <v>2291</v>
      </c>
      <c r="E610" s="100">
        <v>45748</v>
      </c>
      <c r="F610" s="100">
        <f t="shared" si="60"/>
        <v>45770</v>
      </c>
      <c r="G610" s="101">
        <f t="shared" si="61"/>
        <v>22</v>
      </c>
      <c r="H610" s="102">
        <f t="shared" si="58"/>
        <v>1</v>
      </c>
      <c r="K610" s="99" t="s">
        <v>2640</v>
      </c>
      <c r="L610" s="102">
        <f t="shared" si="62"/>
        <v>0</v>
      </c>
      <c r="M610" s="100">
        <v>45758</v>
      </c>
      <c r="N610" s="101">
        <v>265</v>
      </c>
      <c r="O610" s="101" t="str">
        <f t="shared" si="63"/>
        <v>90+</v>
      </c>
      <c r="P610" s="101" t="str">
        <f t="shared" si="59"/>
        <v>Low</v>
      </c>
    </row>
    <row r="611" spans="4:16" x14ac:dyDescent="0.3">
      <c r="D611" s="99" t="s">
        <v>2291</v>
      </c>
      <c r="E611" s="100">
        <v>45770</v>
      </c>
      <c r="F611" s="100">
        <f t="shared" si="60"/>
        <v>46017</v>
      </c>
      <c r="G611" s="101">
        <f t="shared" si="61"/>
        <v>247</v>
      </c>
      <c r="H611" s="102">
        <f t="shared" si="58"/>
        <v>0</v>
      </c>
      <c r="K611" s="99" t="s">
        <v>2641</v>
      </c>
      <c r="L611" s="102">
        <f t="shared" si="62"/>
        <v>1</v>
      </c>
      <c r="M611" s="100">
        <v>45840</v>
      </c>
      <c r="N611" s="101">
        <v>183</v>
      </c>
      <c r="O611" s="101" t="str">
        <f t="shared" si="63"/>
        <v>90+</v>
      </c>
      <c r="P611" s="101" t="str">
        <f t="shared" si="59"/>
        <v>Low</v>
      </c>
    </row>
    <row r="612" spans="4:16" x14ac:dyDescent="0.3">
      <c r="D612" s="99" t="s">
        <v>2291</v>
      </c>
      <c r="E612" s="100">
        <v>46017</v>
      </c>
      <c r="F612" s="100" t="str">
        <f t="shared" si="60"/>
        <v/>
      </c>
      <c r="G612" s="101" t="str">
        <f t="shared" si="61"/>
        <v/>
      </c>
      <c r="H612" s="102" t="str">
        <f t="shared" si="58"/>
        <v/>
      </c>
      <c r="K612" s="99" t="s">
        <v>2642</v>
      </c>
      <c r="L612" s="102">
        <f t="shared" si="62"/>
        <v>0</v>
      </c>
      <c r="M612" s="100">
        <v>45884</v>
      </c>
      <c r="N612" s="101">
        <v>139</v>
      </c>
      <c r="O612" s="101" t="str">
        <f t="shared" si="63"/>
        <v>90+</v>
      </c>
      <c r="P612" s="101" t="str">
        <f t="shared" si="59"/>
        <v>Low</v>
      </c>
    </row>
    <row r="613" spans="4:16" x14ac:dyDescent="0.3">
      <c r="D613" s="99" t="s">
        <v>2292</v>
      </c>
      <c r="E613" s="100">
        <v>45664</v>
      </c>
      <c r="F613" s="100">
        <f t="shared" si="60"/>
        <v>45722</v>
      </c>
      <c r="G613" s="101">
        <f t="shared" si="61"/>
        <v>58</v>
      </c>
      <c r="H613" s="102">
        <f t="shared" si="58"/>
        <v>0</v>
      </c>
      <c r="K613" s="99" t="s">
        <v>2643</v>
      </c>
      <c r="L613" s="102">
        <f t="shared" si="62"/>
        <v>0</v>
      </c>
      <c r="M613" s="100">
        <v>45807</v>
      </c>
      <c r="N613" s="101">
        <v>216</v>
      </c>
      <c r="O613" s="101" t="str">
        <f t="shared" si="63"/>
        <v>90+</v>
      </c>
      <c r="P613" s="101" t="str">
        <f t="shared" si="59"/>
        <v>Low</v>
      </c>
    </row>
    <row r="614" spans="4:16" x14ac:dyDescent="0.3">
      <c r="D614" s="99" t="s">
        <v>2292</v>
      </c>
      <c r="E614" s="100">
        <v>45722</v>
      </c>
      <c r="F614" s="100">
        <f t="shared" si="60"/>
        <v>45896</v>
      </c>
      <c r="G614" s="101">
        <f t="shared" si="61"/>
        <v>174</v>
      </c>
      <c r="H614" s="102">
        <f t="shared" si="58"/>
        <v>0</v>
      </c>
      <c r="K614" s="99" t="s">
        <v>2644</v>
      </c>
      <c r="L614" s="102">
        <f t="shared" si="62"/>
        <v>0</v>
      </c>
      <c r="M614" s="100">
        <v>45959</v>
      </c>
      <c r="N614" s="101">
        <v>64</v>
      </c>
      <c r="O614" s="101" t="str">
        <f t="shared" si="63"/>
        <v>61-90</v>
      </c>
      <c r="P614" s="101" t="str">
        <f t="shared" si="59"/>
        <v>Low</v>
      </c>
    </row>
    <row r="615" spans="4:16" x14ac:dyDescent="0.3">
      <c r="D615" s="99" t="s">
        <v>2292</v>
      </c>
      <c r="E615" s="100">
        <v>45896</v>
      </c>
      <c r="F615" s="100" t="str">
        <f t="shared" si="60"/>
        <v/>
      </c>
      <c r="G615" s="101" t="str">
        <f t="shared" si="61"/>
        <v/>
      </c>
      <c r="H615" s="102" t="str">
        <f t="shared" si="58"/>
        <v/>
      </c>
      <c r="K615" s="99" t="s">
        <v>2645</v>
      </c>
      <c r="L615" s="102">
        <f t="shared" si="62"/>
        <v>1</v>
      </c>
      <c r="M615" s="100">
        <v>45967</v>
      </c>
      <c r="N615" s="101">
        <v>56</v>
      </c>
      <c r="O615" s="101" t="str">
        <f t="shared" si="63"/>
        <v>31-60</v>
      </c>
      <c r="P615" s="101" t="str">
        <f t="shared" si="59"/>
        <v>High</v>
      </c>
    </row>
    <row r="616" spans="4:16" x14ac:dyDescent="0.3">
      <c r="D616" s="99" t="s">
        <v>2293</v>
      </c>
      <c r="E616" s="100">
        <v>45796</v>
      </c>
      <c r="F616" s="100">
        <f t="shared" si="60"/>
        <v>45910</v>
      </c>
      <c r="G616" s="101">
        <f t="shared" si="61"/>
        <v>114</v>
      </c>
      <c r="H616" s="102">
        <f t="shared" si="58"/>
        <v>0</v>
      </c>
      <c r="K616" s="99" t="s">
        <v>2646</v>
      </c>
      <c r="L616" s="102">
        <f t="shared" si="62"/>
        <v>0</v>
      </c>
      <c r="M616" s="100">
        <v>45951</v>
      </c>
      <c r="N616" s="101">
        <v>72</v>
      </c>
      <c r="O616" s="101" t="str">
        <f t="shared" si="63"/>
        <v>61-90</v>
      </c>
      <c r="P616" s="101" t="str">
        <f t="shared" si="59"/>
        <v>Low</v>
      </c>
    </row>
    <row r="617" spans="4:16" x14ac:dyDescent="0.3">
      <c r="D617" s="99" t="s">
        <v>2293</v>
      </c>
      <c r="E617" s="100">
        <v>45910</v>
      </c>
      <c r="F617" s="100">
        <f t="shared" si="60"/>
        <v>46007</v>
      </c>
      <c r="G617" s="101">
        <f t="shared" si="61"/>
        <v>97</v>
      </c>
      <c r="H617" s="102">
        <f t="shared" si="58"/>
        <v>0</v>
      </c>
      <c r="K617" s="99" t="s">
        <v>2647</v>
      </c>
      <c r="L617" s="102">
        <f t="shared" si="62"/>
        <v>1</v>
      </c>
      <c r="M617" s="100">
        <v>45937</v>
      </c>
      <c r="N617" s="101">
        <v>86</v>
      </c>
      <c r="O617" s="101" t="str">
        <f t="shared" si="63"/>
        <v>61-90</v>
      </c>
      <c r="P617" s="101" t="str">
        <f t="shared" si="59"/>
        <v>Low</v>
      </c>
    </row>
    <row r="618" spans="4:16" x14ac:dyDescent="0.3">
      <c r="D618" s="99" t="s">
        <v>2293</v>
      </c>
      <c r="E618" s="100">
        <v>46007</v>
      </c>
      <c r="F618" s="100" t="str">
        <f t="shared" si="60"/>
        <v/>
      </c>
      <c r="G618" s="101" t="str">
        <f t="shared" si="61"/>
        <v/>
      </c>
      <c r="H618" s="102" t="str">
        <f t="shared" si="58"/>
        <v/>
      </c>
      <c r="K618" s="99" t="s">
        <v>2648</v>
      </c>
      <c r="L618" s="102">
        <f t="shared" si="62"/>
        <v>0</v>
      </c>
      <c r="M618" s="100">
        <v>45716</v>
      </c>
      <c r="N618" s="101">
        <v>307</v>
      </c>
      <c r="O618" s="101" t="str">
        <f t="shared" si="63"/>
        <v>90+</v>
      </c>
      <c r="P618" s="101" t="str">
        <f t="shared" si="59"/>
        <v>Low</v>
      </c>
    </row>
    <row r="619" spans="4:16" x14ac:dyDescent="0.3">
      <c r="D619" s="99" t="s">
        <v>2294</v>
      </c>
      <c r="E619" s="100">
        <v>45905</v>
      </c>
      <c r="F619" s="100" t="str">
        <f t="shared" si="60"/>
        <v/>
      </c>
      <c r="G619" s="101" t="str">
        <f t="shared" si="61"/>
        <v/>
      </c>
      <c r="H619" s="102" t="str">
        <f t="shared" si="58"/>
        <v/>
      </c>
      <c r="K619" s="99" t="s">
        <v>2649</v>
      </c>
      <c r="L619" s="102">
        <f t="shared" si="62"/>
        <v>0</v>
      </c>
      <c r="M619" s="100">
        <v>45950</v>
      </c>
      <c r="N619" s="101">
        <v>73</v>
      </c>
      <c r="O619" s="101" t="str">
        <f t="shared" si="63"/>
        <v>61-90</v>
      </c>
      <c r="P619" s="101" t="str">
        <f t="shared" si="59"/>
        <v>Low</v>
      </c>
    </row>
    <row r="620" spans="4:16" x14ac:dyDescent="0.3">
      <c r="D620" s="99" t="s">
        <v>2295</v>
      </c>
      <c r="E620" s="100">
        <v>45756</v>
      </c>
      <c r="F620" s="100">
        <f t="shared" si="60"/>
        <v>45910</v>
      </c>
      <c r="G620" s="101">
        <f t="shared" si="61"/>
        <v>154</v>
      </c>
      <c r="H620" s="102">
        <f t="shared" si="58"/>
        <v>0</v>
      </c>
      <c r="K620" s="99" t="s">
        <v>2650</v>
      </c>
      <c r="L620" s="102">
        <f t="shared" si="62"/>
        <v>1</v>
      </c>
      <c r="M620" s="100">
        <v>45918</v>
      </c>
      <c r="N620" s="101">
        <v>105</v>
      </c>
      <c r="O620" s="101" t="str">
        <f t="shared" si="63"/>
        <v>90+</v>
      </c>
      <c r="P620" s="101" t="str">
        <f t="shared" si="59"/>
        <v>Low</v>
      </c>
    </row>
    <row r="621" spans="4:16" x14ac:dyDescent="0.3">
      <c r="D621" s="99" t="s">
        <v>2295</v>
      </c>
      <c r="E621" s="100">
        <v>45910</v>
      </c>
      <c r="F621" s="100" t="str">
        <f t="shared" si="60"/>
        <v/>
      </c>
      <c r="G621" s="101" t="str">
        <f t="shared" si="61"/>
        <v/>
      </c>
      <c r="H621" s="102" t="str">
        <f t="shared" si="58"/>
        <v/>
      </c>
      <c r="K621" s="99" t="s">
        <v>2651</v>
      </c>
      <c r="L621" s="102">
        <f t="shared" si="62"/>
        <v>0</v>
      </c>
      <c r="M621" s="100">
        <v>45950</v>
      </c>
      <c r="N621" s="101">
        <v>73</v>
      </c>
      <c r="O621" s="101" t="str">
        <f t="shared" si="63"/>
        <v>61-90</v>
      </c>
      <c r="P621" s="101" t="str">
        <f t="shared" si="59"/>
        <v>Low</v>
      </c>
    </row>
    <row r="622" spans="4:16" x14ac:dyDescent="0.3">
      <c r="D622" s="99" t="s">
        <v>2296</v>
      </c>
      <c r="E622" s="100">
        <v>45712</v>
      </c>
      <c r="F622" s="100">
        <f t="shared" si="60"/>
        <v>45968</v>
      </c>
      <c r="G622" s="101">
        <f t="shared" si="61"/>
        <v>256</v>
      </c>
      <c r="H622" s="102">
        <f t="shared" si="58"/>
        <v>0</v>
      </c>
      <c r="K622" s="99" t="s">
        <v>2652</v>
      </c>
      <c r="L622" s="102">
        <f t="shared" si="62"/>
        <v>0</v>
      </c>
      <c r="M622" s="100">
        <v>45950</v>
      </c>
      <c r="N622" s="101">
        <v>73</v>
      </c>
      <c r="O622" s="101" t="str">
        <f t="shared" si="63"/>
        <v>61-90</v>
      </c>
      <c r="P622" s="101" t="str">
        <f t="shared" si="59"/>
        <v>Low</v>
      </c>
    </row>
    <row r="623" spans="4:16" x14ac:dyDescent="0.3">
      <c r="D623" s="99" t="s">
        <v>2296</v>
      </c>
      <c r="E623" s="100">
        <v>45968</v>
      </c>
      <c r="F623" s="100">
        <f t="shared" si="60"/>
        <v>45978</v>
      </c>
      <c r="G623" s="101">
        <f t="shared" si="61"/>
        <v>10</v>
      </c>
      <c r="H623" s="102">
        <f t="shared" si="58"/>
        <v>1</v>
      </c>
      <c r="K623" s="99" t="s">
        <v>2653</v>
      </c>
      <c r="L623" s="102">
        <f t="shared" si="62"/>
        <v>0</v>
      </c>
      <c r="M623" s="100">
        <v>45778</v>
      </c>
      <c r="N623" s="101">
        <v>245</v>
      </c>
      <c r="O623" s="101" t="str">
        <f t="shared" si="63"/>
        <v>90+</v>
      </c>
      <c r="P623" s="101" t="str">
        <f t="shared" si="59"/>
        <v>Low</v>
      </c>
    </row>
    <row r="624" spans="4:16" x14ac:dyDescent="0.3">
      <c r="D624" s="99" t="s">
        <v>2296</v>
      </c>
      <c r="E624" s="100">
        <v>45978</v>
      </c>
      <c r="F624" s="100" t="str">
        <f t="shared" si="60"/>
        <v/>
      </c>
      <c r="G624" s="101" t="str">
        <f t="shared" si="61"/>
        <v/>
      </c>
      <c r="H624" s="102" t="str">
        <f t="shared" si="58"/>
        <v/>
      </c>
      <c r="K624" s="99" t="s">
        <v>2654</v>
      </c>
      <c r="L624" s="102">
        <f t="shared" si="62"/>
        <v>0</v>
      </c>
      <c r="M624" s="100">
        <v>45910</v>
      </c>
      <c r="N624" s="101">
        <v>113</v>
      </c>
      <c r="O624" s="101" t="str">
        <f t="shared" si="63"/>
        <v>90+</v>
      </c>
      <c r="P624" s="101" t="str">
        <f t="shared" si="59"/>
        <v>Low</v>
      </c>
    </row>
    <row r="625" spans="4:16" x14ac:dyDescent="0.3">
      <c r="D625" s="99" t="s">
        <v>2297</v>
      </c>
      <c r="E625" s="100">
        <v>45747</v>
      </c>
      <c r="F625" s="100">
        <f t="shared" si="60"/>
        <v>45807</v>
      </c>
      <c r="G625" s="101">
        <f t="shared" si="61"/>
        <v>60</v>
      </c>
      <c r="H625" s="102">
        <f t="shared" si="58"/>
        <v>0</v>
      </c>
      <c r="K625" s="99" t="s">
        <v>2655</v>
      </c>
      <c r="L625" s="102">
        <f t="shared" si="62"/>
        <v>0</v>
      </c>
      <c r="M625" s="100">
        <v>46003</v>
      </c>
      <c r="N625" s="101">
        <v>20</v>
      </c>
      <c r="O625" s="101" t="str">
        <f t="shared" si="63"/>
        <v>0-30</v>
      </c>
      <c r="P625" s="101" t="str">
        <f t="shared" si="59"/>
        <v>High</v>
      </c>
    </row>
    <row r="626" spans="4:16" x14ac:dyDescent="0.3">
      <c r="D626" s="99" t="s">
        <v>2297</v>
      </c>
      <c r="E626" s="100">
        <v>45807</v>
      </c>
      <c r="F626" s="100">
        <f t="shared" si="60"/>
        <v>45890</v>
      </c>
      <c r="G626" s="101">
        <f t="shared" si="61"/>
        <v>83</v>
      </c>
      <c r="H626" s="102">
        <f t="shared" si="58"/>
        <v>0</v>
      </c>
      <c r="K626" s="99" t="s">
        <v>2656</v>
      </c>
      <c r="L626" s="102">
        <f t="shared" si="62"/>
        <v>1</v>
      </c>
      <c r="M626" s="100">
        <v>46017</v>
      </c>
      <c r="N626" s="101">
        <v>6</v>
      </c>
      <c r="O626" s="101" t="str">
        <f t="shared" si="63"/>
        <v>0-30</v>
      </c>
      <c r="P626" s="101" t="str">
        <f t="shared" si="59"/>
        <v>High</v>
      </c>
    </row>
    <row r="627" spans="4:16" x14ac:dyDescent="0.3">
      <c r="D627" s="99" t="s">
        <v>2297</v>
      </c>
      <c r="E627" s="100">
        <v>45890</v>
      </c>
      <c r="F627" s="100" t="str">
        <f t="shared" si="60"/>
        <v/>
      </c>
      <c r="G627" s="101" t="str">
        <f t="shared" si="61"/>
        <v/>
      </c>
      <c r="H627" s="102" t="str">
        <f t="shared" si="58"/>
        <v/>
      </c>
      <c r="K627" s="99" t="s">
        <v>2657</v>
      </c>
      <c r="L627" s="102">
        <f t="shared" si="62"/>
        <v>1</v>
      </c>
      <c r="M627" s="100">
        <v>45855</v>
      </c>
      <c r="N627" s="101">
        <v>168</v>
      </c>
      <c r="O627" s="101" t="str">
        <f t="shared" si="63"/>
        <v>90+</v>
      </c>
      <c r="P627" s="101" t="str">
        <f t="shared" si="59"/>
        <v>Low</v>
      </c>
    </row>
    <row r="628" spans="4:16" x14ac:dyDescent="0.3">
      <c r="D628" s="99" t="s">
        <v>2298</v>
      </c>
      <c r="E628" s="100">
        <v>45694</v>
      </c>
      <c r="F628" s="100">
        <f t="shared" si="60"/>
        <v>45894</v>
      </c>
      <c r="G628" s="101">
        <f t="shared" si="61"/>
        <v>200</v>
      </c>
      <c r="H628" s="102">
        <f t="shared" si="58"/>
        <v>0</v>
      </c>
      <c r="K628" s="99" t="s">
        <v>2658</v>
      </c>
      <c r="L628" s="102">
        <f t="shared" si="62"/>
        <v>0</v>
      </c>
      <c r="M628" s="100">
        <v>45960</v>
      </c>
      <c r="N628" s="101">
        <v>63</v>
      </c>
      <c r="O628" s="101" t="str">
        <f t="shared" si="63"/>
        <v>61-90</v>
      </c>
      <c r="P628" s="101" t="str">
        <f t="shared" si="59"/>
        <v>Low</v>
      </c>
    </row>
    <row r="629" spans="4:16" x14ac:dyDescent="0.3">
      <c r="D629" s="99" t="s">
        <v>2298</v>
      </c>
      <c r="E629" s="100">
        <v>45894</v>
      </c>
      <c r="F629" s="100" t="str">
        <f t="shared" si="60"/>
        <v/>
      </c>
      <c r="G629" s="101" t="str">
        <f t="shared" si="61"/>
        <v/>
      </c>
      <c r="H629" s="102" t="str">
        <f t="shared" si="58"/>
        <v/>
      </c>
      <c r="K629" s="99" t="s">
        <v>2659</v>
      </c>
      <c r="L629" s="102">
        <f t="shared" si="62"/>
        <v>0</v>
      </c>
      <c r="M629" s="100">
        <v>45929</v>
      </c>
      <c r="N629" s="101">
        <v>94</v>
      </c>
      <c r="O629" s="101" t="str">
        <f t="shared" si="63"/>
        <v>90+</v>
      </c>
      <c r="P629" s="101" t="str">
        <f t="shared" si="59"/>
        <v>Low</v>
      </c>
    </row>
    <row r="630" spans="4:16" x14ac:dyDescent="0.3">
      <c r="D630" s="99" t="s">
        <v>2299</v>
      </c>
      <c r="E630" s="100">
        <v>45673</v>
      </c>
      <c r="F630" s="100">
        <f t="shared" si="60"/>
        <v>45834</v>
      </c>
      <c r="G630" s="101">
        <f t="shared" si="61"/>
        <v>161</v>
      </c>
      <c r="H630" s="102">
        <f t="shared" si="58"/>
        <v>0</v>
      </c>
      <c r="K630" s="99" t="s">
        <v>2660</v>
      </c>
      <c r="L630" s="102">
        <f t="shared" si="62"/>
        <v>0</v>
      </c>
      <c r="M630" s="100">
        <v>45950</v>
      </c>
      <c r="N630" s="101">
        <v>73</v>
      </c>
      <c r="O630" s="101" t="str">
        <f t="shared" si="63"/>
        <v>61-90</v>
      </c>
      <c r="P630" s="101" t="str">
        <f t="shared" si="59"/>
        <v>Low</v>
      </c>
    </row>
    <row r="631" spans="4:16" x14ac:dyDescent="0.3">
      <c r="D631" s="99" t="s">
        <v>2299</v>
      </c>
      <c r="E631" s="100">
        <v>45834</v>
      </c>
      <c r="F631" s="100">
        <f t="shared" si="60"/>
        <v>45888</v>
      </c>
      <c r="G631" s="101">
        <f t="shared" si="61"/>
        <v>54</v>
      </c>
      <c r="H631" s="102">
        <f t="shared" si="58"/>
        <v>0</v>
      </c>
      <c r="K631" s="99" t="s">
        <v>2661</v>
      </c>
      <c r="L631" s="102">
        <f t="shared" si="62"/>
        <v>0</v>
      </c>
      <c r="M631" s="100">
        <v>45919</v>
      </c>
      <c r="N631" s="101">
        <v>104</v>
      </c>
      <c r="O631" s="101" t="str">
        <f t="shared" si="63"/>
        <v>90+</v>
      </c>
      <c r="P631" s="101" t="str">
        <f t="shared" si="59"/>
        <v>Low</v>
      </c>
    </row>
    <row r="632" spans="4:16" x14ac:dyDescent="0.3">
      <c r="D632" s="99" t="s">
        <v>2299</v>
      </c>
      <c r="E632" s="100">
        <v>45888</v>
      </c>
      <c r="F632" s="100">
        <f t="shared" si="60"/>
        <v>45890</v>
      </c>
      <c r="G632" s="101">
        <f t="shared" si="61"/>
        <v>2</v>
      </c>
      <c r="H632" s="102">
        <f t="shared" si="58"/>
        <v>1</v>
      </c>
      <c r="K632" s="99" t="s">
        <v>2662</v>
      </c>
      <c r="L632" s="102">
        <f t="shared" si="62"/>
        <v>1</v>
      </c>
      <c r="M632" s="100">
        <v>45917</v>
      </c>
      <c r="N632" s="101">
        <v>106</v>
      </c>
      <c r="O632" s="101" t="str">
        <f t="shared" si="63"/>
        <v>90+</v>
      </c>
      <c r="P632" s="101" t="str">
        <f t="shared" si="59"/>
        <v>Low</v>
      </c>
    </row>
    <row r="633" spans="4:16" x14ac:dyDescent="0.3">
      <c r="D633" s="99" t="s">
        <v>2299</v>
      </c>
      <c r="E633" s="100">
        <v>45890</v>
      </c>
      <c r="F633" s="100">
        <f t="shared" si="60"/>
        <v>45924</v>
      </c>
      <c r="G633" s="101">
        <f t="shared" si="61"/>
        <v>34</v>
      </c>
      <c r="H633" s="102">
        <f t="shared" si="58"/>
        <v>0</v>
      </c>
      <c r="K633" s="99" t="s">
        <v>2663</v>
      </c>
      <c r="L633" s="102">
        <f t="shared" si="62"/>
        <v>1</v>
      </c>
      <c r="M633" s="100">
        <v>46014</v>
      </c>
      <c r="N633" s="101">
        <v>9</v>
      </c>
      <c r="O633" s="101" t="str">
        <f t="shared" si="63"/>
        <v>0-30</v>
      </c>
      <c r="P633" s="101" t="str">
        <f t="shared" si="59"/>
        <v>High</v>
      </c>
    </row>
    <row r="634" spans="4:16" x14ac:dyDescent="0.3">
      <c r="D634" s="99" t="s">
        <v>2299</v>
      </c>
      <c r="E634" s="100">
        <v>45924</v>
      </c>
      <c r="F634" s="100">
        <f t="shared" si="60"/>
        <v>45924</v>
      </c>
      <c r="G634" s="101">
        <f t="shared" si="61"/>
        <v>0</v>
      </c>
      <c r="H634" s="102">
        <f t="shared" si="58"/>
        <v>1</v>
      </c>
      <c r="K634" s="99" t="s">
        <v>2664</v>
      </c>
      <c r="L634" s="102">
        <f t="shared" si="62"/>
        <v>0</v>
      </c>
      <c r="M634" s="100">
        <v>45677</v>
      </c>
      <c r="N634" s="101">
        <v>346</v>
      </c>
      <c r="O634" s="101" t="str">
        <f t="shared" si="63"/>
        <v>90+</v>
      </c>
      <c r="P634" s="101" t="str">
        <f t="shared" si="59"/>
        <v>Low</v>
      </c>
    </row>
    <row r="635" spans="4:16" x14ac:dyDescent="0.3">
      <c r="D635" s="99" t="s">
        <v>2299</v>
      </c>
      <c r="E635" s="100">
        <v>45924</v>
      </c>
      <c r="F635" s="100" t="str">
        <f t="shared" si="60"/>
        <v/>
      </c>
      <c r="G635" s="101" t="str">
        <f t="shared" si="61"/>
        <v/>
      </c>
      <c r="H635" s="102" t="str">
        <f t="shared" si="58"/>
        <v/>
      </c>
      <c r="K635" s="99" t="s">
        <v>2665</v>
      </c>
      <c r="L635" s="102">
        <f t="shared" si="62"/>
        <v>0</v>
      </c>
      <c r="M635" s="100">
        <v>45965</v>
      </c>
      <c r="N635" s="101">
        <v>58</v>
      </c>
      <c r="O635" s="101" t="str">
        <f t="shared" si="63"/>
        <v>31-60</v>
      </c>
      <c r="P635" s="101" t="str">
        <f t="shared" si="59"/>
        <v>High</v>
      </c>
    </row>
    <row r="636" spans="4:16" x14ac:dyDescent="0.3">
      <c r="D636" s="99" t="s">
        <v>2300</v>
      </c>
      <c r="E636" s="100">
        <v>45741</v>
      </c>
      <c r="F636" s="100">
        <f t="shared" si="60"/>
        <v>45847</v>
      </c>
      <c r="G636" s="101">
        <f t="shared" si="61"/>
        <v>106</v>
      </c>
      <c r="H636" s="102">
        <f t="shared" si="58"/>
        <v>0</v>
      </c>
      <c r="K636" s="99" t="s">
        <v>2666</v>
      </c>
      <c r="L636" s="102">
        <f t="shared" si="62"/>
        <v>0</v>
      </c>
      <c r="M636" s="100">
        <v>45954</v>
      </c>
      <c r="N636" s="101">
        <v>69</v>
      </c>
      <c r="O636" s="101" t="str">
        <f t="shared" si="63"/>
        <v>61-90</v>
      </c>
      <c r="P636" s="101" t="str">
        <f t="shared" si="59"/>
        <v>Low</v>
      </c>
    </row>
    <row r="637" spans="4:16" x14ac:dyDescent="0.3">
      <c r="D637" s="99" t="s">
        <v>2300</v>
      </c>
      <c r="E637" s="100">
        <v>45847</v>
      </c>
      <c r="F637" s="100" t="str">
        <f t="shared" si="60"/>
        <v/>
      </c>
      <c r="G637" s="101" t="str">
        <f t="shared" si="61"/>
        <v/>
      </c>
      <c r="H637" s="102" t="str">
        <f t="shared" si="58"/>
        <v/>
      </c>
      <c r="K637" s="99" t="s">
        <v>2667</v>
      </c>
      <c r="L637" s="102">
        <f t="shared" si="62"/>
        <v>0</v>
      </c>
      <c r="M637" s="100">
        <v>45915</v>
      </c>
      <c r="N637" s="101">
        <v>108</v>
      </c>
      <c r="O637" s="101" t="str">
        <f t="shared" si="63"/>
        <v>90+</v>
      </c>
      <c r="P637" s="101" t="str">
        <f t="shared" si="59"/>
        <v>Low</v>
      </c>
    </row>
    <row r="638" spans="4:16" x14ac:dyDescent="0.3">
      <c r="D638" s="99" t="s">
        <v>2301</v>
      </c>
      <c r="E638" s="100">
        <v>45667</v>
      </c>
      <c r="F638" s="100">
        <f t="shared" si="60"/>
        <v>45778</v>
      </c>
      <c r="G638" s="101">
        <f t="shared" si="61"/>
        <v>111</v>
      </c>
      <c r="H638" s="102">
        <f t="shared" si="58"/>
        <v>0</v>
      </c>
      <c r="K638" s="99" t="s">
        <v>2668</v>
      </c>
      <c r="L638" s="102">
        <f t="shared" si="62"/>
        <v>1</v>
      </c>
      <c r="M638" s="100">
        <v>45978</v>
      </c>
      <c r="N638" s="101">
        <v>45</v>
      </c>
      <c r="O638" s="101" t="str">
        <f t="shared" si="63"/>
        <v>31-60</v>
      </c>
      <c r="P638" s="101" t="str">
        <f t="shared" si="59"/>
        <v>High</v>
      </c>
    </row>
    <row r="639" spans="4:16" x14ac:dyDescent="0.3">
      <c r="D639" s="99" t="s">
        <v>2301</v>
      </c>
      <c r="E639" s="100">
        <v>45778</v>
      </c>
      <c r="F639" s="100">
        <f t="shared" si="60"/>
        <v>45888</v>
      </c>
      <c r="G639" s="101">
        <f t="shared" si="61"/>
        <v>110</v>
      </c>
      <c r="H639" s="102">
        <f t="shared" si="58"/>
        <v>0</v>
      </c>
      <c r="K639" s="99" t="s">
        <v>2669</v>
      </c>
      <c r="L639" s="102">
        <f t="shared" si="62"/>
        <v>1</v>
      </c>
      <c r="M639" s="100">
        <v>46022</v>
      </c>
      <c r="N639" s="101">
        <v>1</v>
      </c>
      <c r="O639" s="101" t="str">
        <f t="shared" si="63"/>
        <v>0-30</v>
      </c>
      <c r="P639" s="101" t="str">
        <f t="shared" si="59"/>
        <v>High</v>
      </c>
    </row>
    <row r="640" spans="4:16" x14ac:dyDescent="0.3">
      <c r="D640" s="99" t="s">
        <v>2301</v>
      </c>
      <c r="E640" s="100">
        <v>45888</v>
      </c>
      <c r="F640" s="100">
        <f t="shared" si="60"/>
        <v>45911</v>
      </c>
      <c r="G640" s="101">
        <f t="shared" si="61"/>
        <v>23</v>
      </c>
      <c r="H640" s="102">
        <f t="shared" si="58"/>
        <v>1</v>
      </c>
      <c r="K640" s="99" t="s">
        <v>2670</v>
      </c>
      <c r="L640" s="102">
        <f t="shared" si="62"/>
        <v>0</v>
      </c>
      <c r="M640" s="100">
        <v>45772</v>
      </c>
      <c r="N640" s="101">
        <v>251</v>
      </c>
      <c r="O640" s="101" t="str">
        <f t="shared" si="63"/>
        <v>90+</v>
      </c>
      <c r="P640" s="101" t="str">
        <f t="shared" si="59"/>
        <v>Low</v>
      </c>
    </row>
    <row r="641" spans="4:16" x14ac:dyDescent="0.3">
      <c r="D641" s="99" t="s">
        <v>2301</v>
      </c>
      <c r="E641" s="100">
        <v>45911</v>
      </c>
      <c r="F641" s="100">
        <f t="shared" si="60"/>
        <v>45931</v>
      </c>
      <c r="G641" s="101">
        <f t="shared" si="61"/>
        <v>20</v>
      </c>
      <c r="H641" s="102">
        <f t="shared" si="58"/>
        <v>1</v>
      </c>
      <c r="K641" s="99" t="s">
        <v>2671</v>
      </c>
      <c r="L641" s="102">
        <f t="shared" si="62"/>
        <v>0</v>
      </c>
      <c r="M641" s="100">
        <v>45954</v>
      </c>
      <c r="N641" s="101">
        <v>69</v>
      </c>
      <c r="O641" s="101" t="str">
        <f t="shared" si="63"/>
        <v>61-90</v>
      </c>
      <c r="P641" s="101" t="str">
        <f t="shared" si="59"/>
        <v>Low</v>
      </c>
    </row>
    <row r="642" spans="4:16" x14ac:dyDescent="0.3">
      <c r="D642" s="99" t="s">
        <v>2301</v>
      </c>
      <c r="E642" s="100">
        <v>45931</v>
      </c>
      <c r="F642" s="100">
        <f t="shared" si="60"/>
        <v>45999</v>
      </c>
      <c r="G642" s="101">
        <f t="shared" si="61"/>
        <v>68</v>
      </c>
      <c r="H642" s="102">
        <f t="shared" si="58"/>
        <v>0</v>
      </c>
      <c r="K642" s="99" t="s">
        <v>2672</v>
      </c>
      <c r="L642" s="102">
        <f t="shared" si="62"/>
        <v>0</v>
      </c>
      <c r="M642" s="100">
        <v>45817</v>
      </c>
      <c r="N642" s="101">
        <v>206</v>
      </c>
      <c r="O642" s="101" t="str">
        <f t="shared" si="63"/>
        <v>90+</v>
      </c>
      <c r="P642" s="101" t="str">
        <f t="shared" si="59"/>
        <v>Low</v>
      </c>
    </row>
    <row r="643" spans="4:16" x14ac:dyDescent="0.3">
      <c r="D643" s="99" t="s">
        <v>2301</v>
      </c>
      <c r="E643" s="100">
        <v>45999</v>
      </c>
      <c r="F643" s="100" t="str">
        <f t="shared" si="60"/>
        <v/>
      </c>
      <c r="G643" s="101" t="str">
        <f t="shared" si="61"/>
        <v/>
      </c>
      <c r="H643" s="102" t="str">
        <f t="shared" si="58"/>
        <v/>
      </c>
      <c r="K643" s="99" t="s">
        <v>2673</v>
      </c>
      <c r="L643" s="102">
        <f t="shared" si="62"/>
        <v>1</v>
      </c>
      <c r="M643" s="100">
        <v>45999</v>
      </c>
      <c r="N643" s="101">
        <v>24</v>
      </c>
      <c r="O643" s="101" t="str">
        <f t="shared" si="63"/>
        <v>0-30</v>
      </c>
      <c r="P643" s="101" t="str">
        <f t="shared" si="59"/>
        <v>High</v>
      </c>
    </row>
    <row r="644" spans="4:16" x14ac:dyDescent="0.3">
      <c r="D644" s="99" t="s">
        <v>2302</v>
      </c>
      <c r="E644" s="100">
        <v>45677</v>
      </c>
      <c r="F644" s="100">
        <f t="shared" si="60"/>
        <v>45863</v>
      </c>
      <c r="G644" s="101">
        <f t="shared" si="61"/>
        <v>186</v>
      </c>
      <c r="H644" s="102">
        <f t="shared" si="58"/>
        <v>0</v>
      </c>
      <c r="K644" s="99" t="s">
        <v>2674</v>
      </c>
      <c r="L644" s="102">
        <f t="shared" si="62"/>
        <v>0</v>
      </c>
      <c r="M644" s="100">
        <v>45931</v>
      </c>
      <c r="N644" s="101">
        <v>92</v>
      </c>
      <c r="O644" s="101" t="str">
        <f t="shared" si="63"/>
        <v>90+</v>
      </c>
      <c r="P644" s="101" t="str">
        <f t="shared" si="59"/>
        <v>Low</v>
      </c>
    </row>
    <row r="645" spans="4:16" x14ac:dyDescent="0.3">
      <c r="D645" s="99" t="s">
        <v>2302</v>
      </c>
      <c r="E645" s="100">
        <v>45863</v>
      </c>
      <c r="F645" s="100">
        <f t="shared" si="60"/>
        <v>45882</v>
      </c>
      <c r="G645" s="101">
        <f t="shared" si="61"/>
        <v>19</v>
      </c>
      <c r="H645" s="102">
        <f t="shared" si="58"/>
        <v>1</v>
      </c>
      <c r="K645" s="99" t="s">
        <v>2675</v>
      </c>
      <c r="L645" s="102">
        <f t="shared" si="62"/>
        <v>0</v>
      </c>
      <c r="M645" s="100">
        <v>45762</v>
      </c>
      <c r="N645" s="101">
        <v>261</v>
      </c>
      <c r="O645" s="101" t="str">
        <f t="shared" si="63"/>
        <v>90+</v>
      </c>
      <c r="P645" s="101" t="str">
        <f t="shared" si="59"/>
        <v>Low</v>
      </c>
    </row>
    <row r="646" spans="4:16" x14ac:dyDescent="0.3">
      <c r="D646" s="99" t="s">
        <v>2302</v>
      </c>
      <c r="E646" s="100">
        <v>45882</v>
      </c>
      <c r="F646" s="100">
        <f t="shared" si="60"/>
        <v>45961</v>
      </c>
      <c r="G646" s="101">
        <f t="shared" si="61"/>
        <v>79</v>
      </c>
      <c r="H646" s="102">
        <f t="shared" si="58"/>
        <v>0</v>
      </c>
      <c r="K646" s="99" t="s">
        <v>2676</v>
      </c>
      <c r="L646" s="102">
        <f t="shared" si="62"/>
        <v>0</v>
      </c>
      <c r="M646" s="100">
        <v>45986</v>
      </c>
      <c r="N646" s="101">
        <v>37</v>
      </c>
      <c r="O646" s="101" t="str">
        <f t="shared" si="63"/>
        <v>31-60</v>
      </c>
      <c r="P646" s="101" t="str">
        <f t="shared" si="59"/>
        <v>High</v>
      </c>
    </row>
    <row r="647" spans="4:16" x14ac:dyDescent="0.3">
      <c r="D647" s="99" t="s">
        <v>2302</v>
      </c>
      <c r="E647" s="100">
        <v>45961</v>
      </c>
      <c r="F647" s="100" t="str">
        <f t="shared" si="60"/>
        <v/>
      </c>
      <c r="G647" s="101" t="str">
        <f t="shared" si="61"/>
        <v/>
      </c>
      <c r="H647" s="102" t="str">
        <f t="shared" ref="H647:H710" si="64">IF(G647="","",IF(G647&lt;=return_window,1,0))</f>
        <v/>
      </c>
      <c r="K647" s="99" t="s">
        <v>2677</v>
      </c>
      <c r="L647" s="102">
        <f t="shared" si="62"/>
        <v>0</v>
      </c>
      <c r="M647" s="100">
        <v>45929</v>
      </c>
      <c r="N647" s="101">
        <v>94</v>
      </c>
      <c r="O647" s="101" t="str">
        <f t="shared" si="63"/>
        <v>90+</v>
      </c>
      <c r="P647" s="101" t="str">
        <f t="shared" ref="P647:P710" si="65">IF(N647&lt;=recency_threshold,"High","Low")</f>
        <v>Low</v>
      </c>
    </row>
    <row r="648" spans="4:16" x14ac:dyDescent="0.3">
      <c r="D648" s="99" t="s">
        <v>2303</v>
      </c>
      <c r="E648" s="100">
        <v>45685</v>
      </c>
      <c r="F648" s="100">
        <f t="shared" ref="F648:F711" si="66">IF(D648=D649,E649,"")</f>
        <v>45985</v>
      </c>
      <c r="G648" s="101">
        <f t="shared" ref="G648:G711" si="67">IF(F648="","",F648-E648)</f>
        <v>300</v>
      </c>
      <c r="H648" s="102">
        <f t="shared" si="64"/>
        <v>0</v>
      </c>
      <c r="K648" s="99" t="s">
        <v>2678</v>
      </c>
      <c r="L648" s="102">
        <f t="shared" ref="L648:L711" si="68">IF(SUMIFS($H$6:$H$2006,$D$6:$D$2006,K648),1,0)</f>
        <v>0</v>
      </c>
      <c r="M648" s="100">
        <v>45673</v>
      </c>
      <c r="N648" s="101">
        <v>350</v>
      </c>
      <c r="O648" s="101" t="str">
        <f t="shared" ref="O648:O711" si="69">VLOOKUP(N648,$A$15:$B$19,2,TRUE)</f>
        <v>90+</v>
      </c>
      <c r="P648" s="101" t="str">
        <f t="shared" si="65"/>
        <v>Low</v>
      </c>
    </row>
    <row r="649" spans="4:16" x14ac:dyDescent="0.3">
      <c r="D649" s="99" t="s">
        <v>2303</v>
      </c>
      <c r="E649" s="100">
        <v>45985</v>
      </c>
      <c r="F649" s="100">
        <f t="shared" si="66"/>
        <v>46003</v>
      </c>
      <c r="G649" s="101">
        <f t="shared" si="67"/>
        <v>18</v>
      </c>
      <c r="H649" s="102">
        <f t="shared" si="64"/>
        <v>1</v>
      </c>
      <c r="K649" s="99" t="s">
        <v>2679</v>
      </c>
      <c r="L649" s="102">
        <f t="shared" si="68"/>
        <v>0</v>
      </c>
      <c r="M649" s="100">
        <v>45987</v>
      </c>
      <c r="N649" s="101">
        <v>36</v>
      </c>
      <c r="O649" s="101" t="str">
        <f t="shared" si="69"/>
        <v>31-60</v>
      </c>
      <c r="P649" s="101" t="str">
        <f t="shared" si="65"/>
        <v>High</v>
      </c>
    </row>
    <row r="650" spans="4:16" x14ac:dyDescent="0.3">
      <c r="D650" s="99" t="s">
        <v>2303</v>
      </c>
      <c r="E650" s="100">
        <v>46003</v>
      </c>
      <c r="F650" s="100" t="str">
        <f t="shared" si="66"/>
        <v/>
      </c>
      <c r="G650" s="101" t="str">
        <f t="shared" si="67"/>
        <v/>
      </c>
      <c r="H650" s="102" t="str">
        <f t="shared" si="64"/>
        <v/>
      </c>
      <c r="K650" s="99" t="s">
        <v>2680</v>
      </c>
      <c r="L650" s="102">
        <f t="shared" si="68"/>
        <v>0</v>
      </c>
      <c r="M650" s="100">
        <v>45863</v>
      </c>
      <c r="N650" s="101">
        <v>160</v>
      </c>
      <c r="O650" s="101" t="str">
        <f t="shared" si="69"/>
        <v>90+</v>
      </c>
      <c r="P650" s="101" t="str">
        <f t="shared" si="65"/>
        <v>Low</v>
      </c>
    </row>
    <row r="651" spans="4:16" x14ac:dyDescent="0.3">
      <c r="D651" s="99" t="s">
        <v>2304</v>
      </c>
      <c r="E651" s="100">
        <v>45866</v>
      </c>
      <c r="F651" s="100">
        <f t="shared" si="66"/>
        <v>45888</v>
      </c>
      <c r="G651" s="101">
        <f t="shared" si="67"/>
        <v>22</v>
      </c>
      <c r="H651" s="102">
        <f t="shared" si="64"/>
        <v>1</v>
      </c>
      <c r="K651" s="99" t="s">
        <v>2681</v>
      </c>
      <c r="L651" s="102">
        <f t="shared" si="68"/>
        <v>0</v>
      </c>
      <c r="M651" s="100">
        <v>46021</v>
      </c>
      <c r="N651" s="101">
        <v>2</v>
      </c>
      <c r="O651" s="101" t="str">
        <f t="shared" si="69"/>
        <v>0-30</v>
      </c>
      <c r="P651" s="101" t="str">
        <f t="shared" si="65"/>
        <v>High</v>
      </c>
    </row>
    <row r="652" spans="4:16" x14ac:dyDescent="0.3">
      <c r="D652" s="99" t="s">
        <v>2304</v>
      </c>
      <c r="E652" s="100">
        <v>45888</v>
      </c>
      <c r="F652" s="100" t="str">
        <f t="shared" si="66"/>
        <v/>
      </c>
      <c r="G652" s="101" t="str">
        <f t="shared" si="67"/>
        <v/>
      </c>
      <c r="H652" s="102" t="str">
        <f t="shared" si="64"/>
        <v/>
      </c>
      <c r="K652" s="99" t="s">
        <v>2682</v>
      </c>
      <c r="L652" s="102">
        <f t="shared" si="68"/>
        <v>0</v>
      </c>
      <c r="M652" s="100">
        <v>45952</v>
      </c>
      <c r="N652" s="101">
        <v>71</v>
      </c>
      <c r="O652" s="101" t="str">
        <f t="shared" si="69"/>
        <v>61-90</v>
      </c>
      <c r="P652" s="101" t="str">
        <f t="shared" si="65"/>
        <v>Low</v>
      </c>
    </row>
    <row r="653" spans="4:16" x14ac:dyDescent="0.3">
      <c r="D653" s="99" t="s">
        <v>2305</v>
      </c>
      <c r="E653" s="100">
        <v>45716</v>
      </c>
      <c r="F653" s="100">
        <f t="shared" si="66"/>
        <v>45721</v>
      </c>
      <c r="G653" s="101">
        <f t="shared" si="67"/>
        <v>5</v>
      </c>
      <c r="H653" s="102">
        <f t="shared" si="64"/>
        <v>1</v>
      </c>
      <c r="K653" s="99" t="s">
        <v>2683</v>
      </c>
      <c r="L653" s="102">
        <f t="shared" si="68"/>
        <v>0</v>
      </c>
      <c r="M653" s="100">
        <v>45658</v>
      </c>
      <c r="N653" s="101">
        <v>365</v>
      </c>
      <c r="O653" s="101" t="str">
        <f t="shared" si="69"/>
        <v>90+</v>
      </c>
      <c r="P653" s="101" t="str">
        <f t="shared" si="65"/>
        <v>Low</v>
      </c>
    </row>
    <row r="654" spans="4:16" x14ac:dyDescent="0.3">
      <c r="D654" s="99" t="s">
        <v>2305</v>
      </c>
      <c r="E654" s="100">
        <v>45721</v>
      </c>
      <c r="F654" s="100">
        <f t="shared" si="66"/>
        <v>45912</v>
      </c>
      <c r="G654" s="101">
        <f t="shared" si="67"/>
        <v>191</v>
      </c>
      <c r="H654" s="102">
        <f t="shared" si="64"/>
        <v>0</v>
      </c>
      <c r="K654" s="99" t="s">
        <v>2684</v>
      </c>
      <c r="L654" s="102">
        <f t="shared" si="68"/>
        <v>1</v>
      </c>
      <c r="M654" s="100">
        <v>46007</v>
      </c>
      <c r="N654" s="101">
        <v>16</v>
      </c>
      <c r="O654" s="101" t="str">
        <f t="shared" si="69"/>
        <v>0-30</v>
      </c>
      <c r="P654" s="101" t="str">
        <f t="shared" si="65"/>
        <v>High</v>
      </c>
    </row>
    <row r="655" spans="4:16" x14ac:dyDescent="0.3">
      <c r="D655" s="99" t="s">
        <v>2305</v>
      </c>
      <c r="E655" s="100">
        <v>45912</v>
      </c>
      <c r="F655" s="100" t="str">
        <f t="shared" si="66"/>
        <v/>
      </c>
      <c r="G655" s="101" t="str">
        <f t="shared" si="67"/>
        <v/>
      </c>
      <c r="H655" s="102" t="str">
        <f t="shared" si="64"/>
        <v/>
      </c>
      <c r="K655" s="99" t="s">
        <v>2685</v>
      </c>
      <c r="L655" s="102">
        <f t="shared" si="68"/>
        <v>1</v>
      </c>
      <c r="M655" s="100">
        <v>45996</v>
      </c>
      <c r="N655" s="101">
        <v>27</v>
      </c>
      <c r="O655" s="101" t="str">
        <f t="shared" si="69"/>
        <v>0-30</v>
      </c>
      <c r="P655" s="101" t="str">
        <f t="shared" si="65"/>
        <v>High</v>
      </c>
    </row>
    <row r="656" spans="4:16" x14ac:dyDescent="0.3">
      <c r="D656" s="99" t="s">
        <v>2306</v>
      </c>
      <c r="E656" s="100">
        <v>45988</v>
      </c>
      <c r="F656" s="100" t="str">
        <f t="shared" si="66"/>
        <v/>
      </c>
      <c r="G656" s="101" t="str">
        <f t="shared" si="67"/>
        <v/>
      </c>
      <c r="H656" s="102" t="str">
        <f t="shared" si="64"/>
        <v/>
      </c>
      <c r="K656" s="99" t="s">
        <v>2686</v>
      </c>
      <c r="L656" s="102">
        <f t="shared" si="68"/>
        <v>1</v>
      </c>
      <c r="M656" s="100">
        <v>46014</v>
      </c>
      <c r="N656" s="101">
        <v>9</v>
      </c>
      <c r="O656" s="101" t="str">
        <f t="shared" si="69"/>
        <v>0-30</v>
      </c>
      <c r="P656" s="101" t="str">
        <f t="shared" si="65"/>
        <v>High</v>
      </c>
    </row>
    <row r="657" spans="4:16" x14ac:dyDescent="0.3">
      <c r="D657" s="99" t="s">
        <v>2307</v>
      </c>
      <c r="E657" s="100">
        <v>45677</v>
      </c>
      <c r="F657" s="100">
        <f t="shared" si="66"/>
        <v>45890</v>
      </c>
      <c r="G657" s="101">
        <f t="shared" si="67"/>
        <v>213</v>
      </c>
      <c r="H657" s="102">
        <f t="shared" si="64"/>
        <v>0</v>
      </c>
      <c r="K657" s="99" t="s">
        <v>2687</v>
      </c>
      <c r="L657" s="102">
        <f t="shared" si="68"/>
        <v>0</v>
      </c>
      <c r="M657" s="100">
        <v>45848</v>
      </c>
      <c r="N657" s="101">
        <v>175</v>
      </c>
      <c r="O657" s="101" t="str">
        <f t="shared" si="69"/>
        <v>90+</v>
      </c>
      <c r="P657" s="101" t="str">
        <f t="shared" si="65"/>
        <v>Low</v>
      </c>
    </row>
    <row r="658" spans="4:16" x14ac:dyDescent="0.3">
      <c r="D658" s="99" t="s">
        <v>2307</v>
      </c>
      <c r="E658" s="100">
        <v>45890</v>
      </c>
      <c r="F658" s="100" t="str">
        <f t="shared" si="66"/>
        <v/>
      </c>
      <c r="G658" s="101" t="str">
        <f t="shared" si="67"/>
        <v/>
      </c>
      <c r="H658" s="102" t="str">
        <f t="shared" si="64"/>
        <v/>
      </c>
      <c r="K658" s="99" t="s">
        <v>2688</v>
      </c>
      <c r="L658" s="102">
        <f t="shared" si="68"/>
        <v>1</v>
      </c>
      <c r="M658" s="100">
        <v>46017</v>
      </c>
      <c r="N658" s="101">
        <v>6</v>
      </c>
      <c r="O658" s="101" t="str">
        <f t="shared" si="69"/>
        <v>0-30</v>
      </c>
      <c r="P658" s="101" t="str">
        <f t="shared" si="65"/>
        <v>High</v>
      </c>
    </row>
    <row r="659" spans="4:16" x14ac:dyDescent="0.3">
      <c r="D659" s="99" t="s">
        <v>2308</v>
      </c>
      <c r="E659" s="100">
        <v>45673</v>
      </c>
      <c r="F659" s="100" t="str">
        <f t="shared" si="66"/>
        <v/>
      </c>
      <c r="G659" s="101" t="str">
        <f t="shared" si="67"/>
        <v/>
      </c>
      <c r="H659" s="102" t="str">
        <f t="shared" si="64"/>
        <v/>
      </c>
      <c r="K659" s="99" t="s">
        <v>2689</v>
      </c>
      <c r="L659" s="102">
        <f t="shared" si="68"/>
        <v>0</v>
      </c>
      <c r="M659" s="100">
        <v>45666</v>
      </c>
      <c r="N659" s="101">
        <v>357</v>
      </c>
      <c r="O659" s="101" t="str">
        <f t="shared" si="69"/>
        <v>90+</v>
      </c>
      <c r="P659" s="101" t="str">
        <f t="shared" si="65"/>
        <v>Low</v>
      </c>
    </row>
    <row r="660" spans="4:16" x14ac:dyDescent="0.3">
      <c r="D660" s="99" t="s">
        <v>2309</v>
      </c>
      <c r="E660" s="100">
        <v>45698</v>
      </c>
      <c r="F660" s="100">
        <f t="shared" si="66"/>
        <v>45750</v>
      </c>
      <c r="G660" s="101">
        <f t="shared" si="67"/>
        <v>52</v>
      </c>
      <c r="H660" s="102">
        <f t="shared" si="64"/>
        <v>0</v>
      </c>
      <c r="K660" s="99" t="s">
        <v>2690</v>
      </c>
      <c r="L660" s="102">
        <f t="shared" si="68"/>
        <v>1</v>
      </c>
      <c r="M660" s="100">
        <v>45884</v>
      </c>
      <c r="N660" s="101">
        <v>139</v>
      </c>
      <c r="O660" s="101" t="str">
        <f t="shared" si="69"/>
        <v>90+</v>
      </c>
      <c r="P660" s="101" t="str">
        <f t="shared" si="65"/>
        <v>Low</v>
      </c>
    </row>
    <row r="661" spans="4:16" x14ac:dyDescent="0.3">
      <c r="D661" s="99" t="s">
        <v>2309</v>
      </c>
      <c r="E661" s="100">
        <v>45750</v>
      </c>
      <c r="F661" s="100">
        <f t="shared" si="66"/>
        <v>45775</v>
      </c>
      <c r="G661" s="101">
        <f t="shared" si="67"/>
        <v>25</v>
      </c>
      <c r="H661" s="102">
        <f t="shared" si="64"/>
        <v>1</v>
      </c>
      <c r="K661" s="99" t="s">
        <v>2691</v>
      </c>
      <c r="L661" s="102">
        <f t="shared" si="68"/>
        <v>1</v>
      </c>
      <c r="M661" s="100">
        <v>45987</v>
      </c>
      <c r="N661" s="101">
        <v>36</v>
      </c>
      <c r="O661" s="101" t="str">
        <f t="shared" si="69"/>
        <v>31-60</v>
      </c>
      <c r="P661" s="101" t="str">
        <f t="shared" si="65"/>
        <v>High</v>
      </c>
    </row>
    <row r="662" spans="4:16" x14ac:dyDescent="0.3">
      <c r="D662" s="99" t="s">
        <v>2309</v>
      </c>
      <c r="E662" s="100">
        <v>45775</v>
      </c>
      <c r="F662" s="100">
        <f t="shared" si="66"/>
        <v>45896</v>
      </c>
      <c r="G662" s="101">
        <f t="shared" si="67"/>
        <v>121</v>
      </c>
      <c r="H662" s="102">
        <f t="shared" si="64"/>
        <v>0</v>
      </c>
      <c r="K662" s="99" t="s">
        <v>2692</v>
      </c>
      <c r="L662" s="102">
        <f t="shared" si="68"/>
        <v>0</v>
      </c>
      <c r="M662" s="100">
        <v>45959</v>
      </c>
      <c r="N662" s="101">
        <v>64</v>
      </c>
      <c r="O662" s="101" t="str">
        <f t="shared" si="69"/>
        <v>61-90</v>
      </c>
      <c r="P662" s="101" t="str">
        <f t="shared" si="65"/>
        <v>Low</v>
      </c>
    </row>
    <row r="663" spans="4:16" x14ac:dyDescent="0.3">
      <c r="D663" s="99" t="s">
        <v>2309</v>
      </c>
      <c r="E663" s="100">
        <v>45896</v>
      </c>
      <c r="F663" s="100" t="str">
        <f t="shared" si="66"/>
        <v/>
      </c>
      <c r="G663" s="101" t="str">
        <f t="shared" si="67"/>
        <v/>
      </c>
      <c r="H663" s="102" t="str">
        <f t="shared" si="64"/>
        <v/>
      </c>
      <c r="K663" s="99" t="s">
        <v>2693</v>
      </c>
      <c r="L663" s="102">
        <f t="shared" si="68"/>
        <v>1</v>
      </c>
      <c r="M663" s="100">
        <v>45931</v>
      </c>
      <c r="N663" s="101">
        <v>92</v>
      </c>
      <c r="O663" s="101" t="str">
        <f t="shared" si="69"/>
        <v>90+</v>
      </c>
      <c r="P663" s="101" t="str">
        <f t="shared" si="65"/>
        <v>Low</v>
      </c>
    </row>
    <row r="664" spans="4:16" x14ac:dyDescent="0.3">
      <c r="D664" s="99" t="s">
        <v>2310</v>
      </c>
      <c r="E664" s="100">
        <v>45762</v>
      </c>
      <c r="F664" s="100">
        <f t="shared" si="66"/>
        <v>45854</v>
      </c>
      <c r="G664" s="101">
        <f t="shared" si="67"/>
        <v>92</v>
      </c>
      <c r="H664" s="102">
        <f t="shared" si="64"/>
        <v>0</v>
      </c>
      <c r="K664" s="99" t="s">
        <v>2694</v>
      </c>
      <c r="L664" s="102">
        <f t="shared" si="68"/>
        <v>0</v>
      </c>
      <c r="M664" s="100">
        <v>45775</v>
      </c>
      <c r="N664" s="101">
        <v>248</v>
      </c>
      <c r="O664" s="101" t="str">
        <f t="shared" si="69"/>
        <v>90+</v>
      </c>
      <c r="P664" s="101" t="str">
        <f t="shared" si="65"/>
        <v>Low</v>
      </c>
    </row>
    <row r="665" spans="4:16" x14ac:dyDescent="0.3">
      <c r="D665" s="99" t="s">
        <v>2310</v>
      </c>
      <c r="E665" s="100">
        <v>45854</v>
      </c>
      <c r="F665" s="100">
        <f t="shared" si="66"/>
        <v>45988</v>
      </c>
      <c r="G665" s="101">
        <f t="shared" si="67"/>
        <v>134</v>
      </c>
      <c r="H665" s="102">
        <f t="shared" si="64"/>
        <v>0</v>
      </c>
      <c r="K665" s="99" t="s">
        <v>2695</v>
      </c>
      <c r="L665" s="102">
        <f t="shared" si="68"/>
        <v>1</v>
      </c>
      <c r="M665" s="100">
        <v>46013</v>
      </c>
      <c r="N665" s="101">
        <v>10</v>
      </c>
      <c r="O665" s="101" t="str">
        <f t="shared" si="69"/>
        <v>0-30</v>
      </c>
      <c r="P665" s="101" t="str">
        <f t="shared" si="65"/>
        <v>High</v>
      </c>
    </row>
    <row r="666" spans="4:16" x14ac:dyDescent="0.3">
      <c r="D666" s="99" t="s">
        <v>2310</v>
      </c>
      <c r="E666" s="100">
        <v>45988</v>
      </c>
      <c r="F666" s="100" t="str">
        <f t="shared" si="66"/>
        <v/>
      </c>
      <c r="G666" s="101" t="str">
        <f t="shared" si="67"/>
        <v/>
      </c>
      <c r="H666" s="102" t="str">
        <f t="shared" si="64"/>
        <v/>
      </c>
      <c r="K666" s="99" t="s">
        <v>2696</v>
      </c>
      <c r="L666" s="102">
        <f t="shared" si="68"/>
        <v>0</v>
      </c>
      <c r="M666" s="100">
        <v>46022</v>
      </c>
      <c r="N666" s="101">
        <v>1</v>
      </c>
      <c r="O666" s="101" t="str">
        <f t="shared" si="69"/>
        <v>0-30</v>
      </c>
      <c r="P666" s="101" t="str">
        <f t="shared" si="65"/>
        <v>High</v>
      </c>
    </row>
    <row r="667" spans="4:16" x14ac:dyDescent="0.3">
      <c r="D667" s="99" t="s">
        <v>2311</v>
      </c>
      <c r="E667" s="100">
        <v>45674</v>
      </c>
      <c r="F667" s="100">
        <f t="shared" si="66"/>
        <v>45678</v>
      </c>
      <c r="G667" s="101">
        <f t="shared" si="67"/>
        <v>4</v>
      </c>
      <c r="H667" s="102">
        <f t="shared" si="64"/>
        <v>1</v>
      </c>
      <c r="K667" s="99" t="s">
        <v>2697</v>
      </c>
      <c r="L667" s="102">
        <f t="shared" si="68"/>
        <v>0</v>
      </c>
      <c r="M667" s="100">
        <v>45726</v>
      </c>
      <c r="N667" s="101">
        <v>297</v>
      </c>
      <c r="O667" s="101" t="str">
        <f t="shared" si="69"/>
        <v>90+</v>
      </c>
      <c r="P667" s="101" t="str">
        <f t="shared" si="65"/>
        <v>Low</v>
      </c>
    </row>
    <row r="668" spans="4:16" x14ac:dyDescent="0.3">
      <c r="D668" s="99" t="s">
        <v>2311</v>
      </c>
      <c r="E668" s="100">
        <v>45678</v>
      </c>
      <c r="F668" s="100" t="str">
        <f t="shared" si="66"/>
        <v/>
      </c>
      <c r="G668" s="101" t="str">
        <f t="shared" si="67"/>
        <v/>
      </c>
      <c r="H668" s="102" t="str">
        <f t="shared" si="64"/>
        <v/>
      </c>
      <c r="K668" s="99" t="s">
        <v>2698</v>
      </c>
      <c r="L668" s="102">
        <f t="shared" si="68"/>
        <v>0</v>
      </c>
      <c r="M668" s="100">
        <v>46015</v>
      </c>
      <c r="N668" s="101">
        <v>8</v>
      </c>
      <c r="O668" s="101" t="str">
        <f t="shared" si="69"/>
        <v>0-30</v>
      </c>
      <c r="P668" s="101" t="str">
        <f t="shared" si="65"/>
        <v>High</v>
      </c>
    </row>
    <row r="669" spans="4:16" x14ac:dyDescent="0.3">
      <c r="D669" s="99" t="s">
        <v>2312</v>
      </c>
      <c r="E669" s="100">
        <v>45660</v>
      </c>
      <c r="F669" s="100">
        <f t="shared" si="66"/>
        <v>45863</v>
      </c>
      <c r="G669" s="101">
        <f t="shared" si="67"/>
        <v>203</v>
      </c>
      <c r="H669" s="102">
        <f t="shared" si="64"/>
        <v>0</v>
      </c>
      <c r="K669" s="99" t="s">
        <v>2699</v>
      </c>
      <c r="L669" s="102">
        <f t="shared" si="68"/>
        <v>0</v>
      </c>
      <c r="M669" s="100">
        <v>45904</v>
      </c>
      <c r="N669" s="101">
        <v>119</v>
      </c>
      <c r="O669" s="101" t="str">
        <f t="shared" si="69"/>
        <v>90+</v>
      </c>
      <c r="P669" s="101" t="str">
        <f t="shared" si="65"/>
        <v>Low</v>
      </c>
    </row>
    <row r="670" spans="4:16" x14ac:dyDescent="0.3">
      <c r="D670" s="99" t="s">
        <v>2312</v>
      </c>
      <c r="E670" s="100">
        <v>45863</v>
      </c>
      <c r="F670" s="100">
        <f t="shared" si="66"/>
        <v>45896</v>
      </c>
      <c r="G670" s="101">
        <f t="shared" si="67"/>
        <v>33</v>
      </c>
      <c r="H670" s="102">
        <f t="shared" si="64"/>
        <v>0</v>
      </c>
      <c r="K670" s="99" t="s">
        <v>2700</v>
      </c>
      <c r="L670" s="102">
        <f t="shared" si="68"/>
        <v>0</v>
      </c>
      <c r="M670" s="100">
        <v>45805</v>
      </c>
      <c r="N670" s="101">
        <v>218</v>
      </c>
      <c r="O670" s="101" t="str">
        <f t="shared" si="69"/>
        <v>90+</v>
      </c>
      <c r="P670" s="101" t="str">
        <f t="shared" si="65"/>
        <v>Low</v>
      </c>
    </row>
    <row r="671" spans="4:16" x14ac:dyDescent="0.3">
      <c r="D671" s="99" t="s">
        <v>2312</v>
      </c>
      <c r="E671" s="100">
        <v>45896</v>
      </c>
      <c r="F671" s="100">
        <f t="shared" si="66"/>
        <v>45924</v>
      </c>
      <c r="G671" s="101">
        <f t="shared" si="67"/>
        <v>28</v>
      </c>
      <c r="H671" s="102">
        <f t="shared" si="64"/>
        <v>1</v>
      </c>
      <c r="K671" s="99" t="s">
        <v>2701</v>
      </c>
      <c r="L671" s="102">
        <f t="shared" si="68"/>
        <v>0</v>
      </c>
      <c r="M671" s="100">
        <v>45866</v>
      </c>
      <c r="N671" s="101">
        <v>157</v>
      </c>
      <c r="O671" s="101" t="str">
        <f t="shared" si="69"/>
        <v>90+</v>
      </c>
      <c r="P671" s="101" t="str">
        <f t="shared" si="65"/>
        <v>Low</v>
      </c>
    </row>
    <row r="672" spans="4:16" x14ac:dyDescent="0.3">
      <c r="D672" s="99" t="s">
        <v>2312</v>
      </c>
      <c r="E672" s="100">
        <v>45924</v>
      </c>
      <c r="F672" s="100">
        <f t="shared" si="66"/>
        <v>46010</v>
      </c>
      <c r="G672" s="101">
        <f t="shared" si="67"/>
        <v>86</v>
      </c>
      <c r="H672" s="102">
        <f t="shared" si="64"/>
        <v>0</v>
      </c>
      <c r="K672" s="99" t="s">
        <v>2702</v>
      </c>
      <c r="L672" s="102">
        <f t="shared" si="68"/>
        <v>0</v>
      </c>
      <c r="M672" s="100">
        <v>45678</v>
      </c>
      <c r="N672" s="101">
        <v>345</v>
      </c>
      <c r="O672" s="101" t="str">
        <f t="shared" si="69"/>
        <v>90+</v>
      </c>
      <c r="P672" s="101" t="str">
        <f t="shared" si="65"/>
        <v>Low</v>
      </c>
    </row>
    <row r="673" spans="4:16" x14ac:dyDescent="0.3">
      <c r="D673" s="99" t="s">
        <v>2312</v>
      </c>
      <c r="E673" s="100">
        <v>46010</v>
      </c>
      <c r="F673" s="100" t="str">
        <f t="shared" si="66"/>
        <v/>
      </c>
      <c r="G673" s="101" t="str">
        <f t="shared" si="67"/>
        <v/>
      </c>
      <c r="H673" s="102" t="str">
        <f t="shared" si="64"/>
        <v/>
      </c>
      <c r="K673" s="99" t="s">
        <v>2703</v>
      </c>
      <c r="L673" s="102">
        <f t="shared" si="68"/>
        <v>0</v>
      </c>
      <c r="M673" s="100">
        <v>45980</v>
      </c>
      <c r="N673" s="101">
        <v>43</v>
      </c>
      <c r="O673" s="101" t="str">
        <f t="shared" si="69"/>
        <v>31-60</v>
      </c>
      <c r="P673" s="101" t="str">
        <f t="shared" si="65"/>
        <v>High</v>
      </c>
    </row>
    <row r="674" spans="4:16" x14ac:dyDescent="0.3">
      <c r="D674" s="99" t="s">
        <v>2313</v>
      </c>
      <c r="E674" s="100">
        <v>45966</v>
      </c>
      <c r="F674" s="100" t="str">
        <f t="shared" si="66"/>
        <v/>
      </c>
      <c r="G674" s="101" t="str">
        <f t="shared" si="67"/>
        <v/>
      </c>
      <c r="H674" s="102" t="str">
        <f t="shared" si="64"/>
        <v/>
      </c>
      <c r="K674" s="99" t="s">
        <v>2704</v>
      </c>
      <c r="L674" s="102">
        <f t="shared" si="68"/>
        <v>0</v>
      </c>
      <c r="M674" s="100">
        <v>45947</v>
      </c>
      <c r="N674" s="101">
        <v>76</v>
      </c>
      <c r="O674" s="101" t="str">
        <f t="shared" si="69"/>
        <v>61-90</v>
      </c>
      <c r="P674" s="101" t="str">
        <f t="shared" si="65"/>
        <v>Low</v>
      </c>
    </row>
    <row r="675" spans="4:16" x14ac:dyDescent="0.3">
      <c r="D675" s="99" t="s">
        <v>2314</v>
      </c>
      <c r="E675" s="100">
        <v>45881</v>
      </c>
      <c r="F675" s="100">
        <f t="shared" si="66"/>
        <v>45959</v>
      </c>
      <c r="G675" s="101">
        <f t="shared" si="67"/>
        <v>78</v>
      </c>
      <c r="H675" s="102">
        <f t="shared" si="64"/>
        <v>0</v>
      </c>
      <c r="K675" s="99" t="s">
        <v>2705</v>
      </c>
      <c r="L675" s="102">
        <f t="shared" si="68"/>
        <v>0</v>
      </c>
      <c r="M675" s="100">
        <v>46017</v>
      </c>
      <c r="N675" s="101">
        <v>6</v>
      </c>
      <c r="O675" s="101" t="str">
        <f t="shared" si="69"/>
        <v>0-30</v>
      </c>
      <c r="P675" s="101" t="str">
        <f t="shared" si="65"/>
        <v>High</v>
      </c>
    </row>
    <row r="676" spans="4:16" x14ac:dyDescent="0.3">
      <c r="D676" s="99" t="s">
        <v>2314</v>
      </c>
      <c r="E676" s="100">
        <v>45959</v>
      </c>
      <c r="F676" s="100" t="str">
        <f t="shared" si="66"/>
        <v/>
      </c>
      <c r="G676" s="101" t="str">
        <f t="shared" si="67"/>
        <v/>
      </c>
      <c r="H676" s="102" t="str">
        <f t="shared" si="64"/>
        <v/>
      </c>
      <c r="K676" s="99" t="s">
        <v>2706</v>
      </c>
      <c r="L676" s="102">
        <f t="shared" si="68"/>
        <v>1</v>
      </c>
      <c r="M676" s="100">
        <v>46014</v>
      </c>
      <c r="N676" s="101">
        <v>9</v>
      </c>
      <c r="O676" s="101" t="str">
        <f t="shared" si="69"/>
        <v>0-30</v>
      </c>
      <c r="P676" s="101" t="str">
        <f t="shared" si="65"/>
        <v>High</v>
      </c>
    </row>
    <row r="677" spans="4:16" x14ac:dyDescent="0.3">
      <c r="D677" s="99" t="s">
        <v>2315</v>
      </c>
      <c r="E677" s="100">
        <v>45848</v>
      </c>
      <c r="F677" s="100" t="str">
        <f t="shared" si="66"/>
        <v/>
      </c>
      <c r="G677" s="101" t="str">
        <f t="shared" si="67"/>
        <v/>
      </c>
      <c r="H677" s="102" t="str">
        <f t="shared" si="64"/>
        <v/>
      </c>
      <c r="K677" s="99" t="s">
        <v>2707</v>
      </c>
      <c r="L677" s="102">
        <f t="shared" si="68"/>
        <v>0</v>
      </c>
      <c r="M677" s="100">
        <v>45807</v>
      </c>
      <c r="N677" s="101">
        <v>216</v>
      </c>
      <c r="O677" s="101" t="str">
        <f t="shared" si="69"/>
        <v>90+</v>
      </c>
      <c r="P677" s="101" t="str">
        <f t="shared" si="65"/>
        <v>Low</v>
      </c>
    </row>
    <row r="678" spans="4:16" x14ac:dyDescent="0.3">
      <c r="D678" s="99" t="s">
        <v>2316</v>
      </c>
      <c r="E678" s="100">
        <v>45763</v>
      </c>
      <c r="F678" s="100">
        <f t="shared" si="66"/>
        <v>45890</v>
      </c>
      <c r="G678" s="101">
        <f t="shared" si="67"/>
        <v>127</v>
      </c>
      <c r="H678" s="102">
        <f t="shared" si="64"/>
        <v>0</v>
      </c>
      <c r="K678" s="99" t="s">
        <v>2708</v>
      </c>
      <c r="L678" s="102">
        <f t="shared" si="68"/>
        <v>1</v>
      </c>
      <c r="M678" s="100">
        <v>46008</v>
      </c>
      <c r="N678" s="101">
        <v>15</v>
      </c>
      <c r="O678" s="101" t="str">
        <f t="shared" si="69"/>
        <v>0-30</v>
      </c>
      <c r="P678" s="101" t="str">
        <f t="shared" si="65"/>
        <v>High</v>
      </c>
    </row>
    <row r="679" spans="4:16" x14ac:dyDescent="0.3">
      <c r="D679" s="99" t="s">
        <v>2316</v>
      </c>
      <c r="E679" s="100">
        <v>45890</v>
      </c>
      <c r="F679" s="100" t="str">
        <f t="shared" si="66"/>
        <v/>
      </c>
      <c r="G679" s="101" t="str">
        <f t="shared" si="67"/>
        <v/>
      </c>
      <c r="H679" s="102" t="str">
        <f t="shared" si="64"/>
        <v/>
      </c>
      <c r="K679" s="99" t="s">
        <v>2709</v>
      </c>
      <c r="L679" s="102">
        <f t="shared" si="68"/>
        <v>0</v>
      </c>
      <c r="M679" s="100">
        <v>45714</v>
      </c>
      <c r="N679" s="101">
        <v>309</v>
      </c>
      <c r="O679" s="101" t="str">
        <f t="shared" si="69"/>
        <v>90+</v>
      </c>
      <c r="P679" s="101" t="str">
        <f t="shared" si="65"/>
        <v>Low</v>
      </c>
    </row>
    <row r="680" spans="4:16" x14ac:dyDescent="0.3">
      <c r="D680" s="99" t="s">
        <v>2317</v>
      </c>
      <c r="E680" s="100">
        <v>45912</v>
      </c>
      <c r="F680" s="100" t="str">
        <f t="shared" si="66"/>
        <v/>
      </c>
      <c r="G680" s="101" t="str">
        <f t="shared" si="67"/>
        <v/>
      </c>
      <c r="H680" s="102" t="str">
        <f t="shared" si="64"/>
        <v/>
      </c>
      <c r="K680" s="99" t="s">
        <v>2710</v>
      </c>
      <c r="L680" s="102">
        <f t="shared" si="68"/>
        <v>0</v>
      </c>
      <c r="M680" s="100">
        <v>46016</v>
      </c>
      <c r="N680" s="101">
        <v>7</v>
      </c>
      <c r="O680" s="101" t="str">
        <f t="shared" si="69"/>
        <v>0-30</v>
      </c>
      <c r="P680" s="101" t="str">
        <f t="shared" si="65"/>
        <v>High</v>
      </c>
    </row>
    <row r="681" spans="4:16" x14ac:dyDescent="0.3">
      <c r="D681" s="99" t="s">
        <v>2318</v>
      </c>
      <c r="E681" s="100">
        <v>45926</v>
      </c>
      <c r="F681" s="100">
        <f t="shared" si="66"/>
        <v>45978</v>
      </c>
      <c r="G681" s="101">
        <f t="shared" si="67"/>
        <v>52</v>
      </c>
      <c r="H681" s="102">
        <f t="shared" si="64"/>
        <v>0</v>
      </c>
      <c r="K681" s="99" t="s">
        <v>2711</v>
      </c>
      <c r="L681" s="102">
        <f t="shared" si="68"/>
        <v>1</v>
      </c>
      <c r="M681" s="100">
        <v>45772</v>
      </c>
      <c r="N681" s="101">
        <v>251</v>
      </c>
      <c r="O681" s="101" t="str">
        <f t="shared" si="69"/>
        <v>90+</v>
      </c>
      <c r="P681" s="101" t="str">
        <f t="shared" si="65"/>
        <v>Low</v>
      </c>
    </row>
    <row r="682" spans="4:16" x14ac:dyDescent="0.3">
      <c r="D682" s="99" t="s">
        <v>2318</v>
      </c>
      <c r="E682" s="100">
        <v>45978</v>
      </c>
      <c r="F682" s="100" t="str">
        <f t="shared" si="66"/>
        <v/>
      </c>
      <c r="G682" s="101" t="str">
        <f t="shared" si="67"/>
        <v/>
      </c>
      <c r="H682" s="102" t="str">
        <f t="shared" si="64"/>
        <v/>
      </c>
      <c r="K682" s="99" t="s">
        <v>2712</v>
      </c>
      <c r="L682" s="102">
        <f t="shared" si="68"/>
        <v>0</v>
      </c>
      <c r="M682" s="100">
        <v>45908</v>
      </c>
      <c r="N682" s="101">
        <v>115</v>
      </c>
      <c r="O682" s="101" t="str">
        <f t="shared" si="69"/>
        <v>90+</v>
      </c>
      <c r="P682" s="101" t="str">
        <f t="shared" si="65"/>
        <v>Low</v>
      </c>
    </row>
    <row r="683" spans="4:16" x14ac:dyDescent="0.3">
      <c r="D683" s="99" t="s">
        <v>2319</v>
      </c>
      <c r="E683" s="100">
        <v>45664</v>
      </c>
      <c r="F683" s="100">
        <f t="shared" si="66"/>
        <v>45785</v>
      </c>
      <c r="G683" s="101">
        <f t="shared" si="67"/>
        <v>121</v>
      </c>
      <c r="H683" s="102">
        <f t="shared" si="64"/>
        <v>0</v>
      </c>
      <c r="K683" s="99" t="s">
        <v>2713</v>
      </c>
      <c r="L683" s="102">
        <f t="shared" si="68"/>
        <v>0</v>
      </c>
      <c r="M683" s="100">
        <v>45672</v>
      </c>
      <c r="N683" s="101">
        <v>351</v>
      </c>
      <c r="O683" s="101" t="str">
        <f t="shared" si="69"/>
        <v>90+</v>
      </c>
      <c r="P683" s="101" t="str">
        <f t="shared" si="65"/>
        <v>Low</v>
      </c>
    </row>
    <row r="684" spans="4:16" x14ac:dyDescent="0.3">
      <c r="D684" s="99" t="s">
        <v>2319</v>
      </c>
      <c r="E684" s="100">
        <v>45785</v>
      </c>
      <c r="F684" s="100">
        <f t="shared" si="66"/>
        <v>46022</v>
      </c>
      <c r="G684" s="101">
        <f t="shared" si="67"/>
        <v>237</v>
      </c>
      <c r="H684" s="102">
        <f t="shared" si="64"/>
        <v>0</v>
      </c>
      <c r="K684" s="99" t="s">
        <v>2714</v>
      </c>
      <c r="L684" s="102">
        <f t="shared" si="68"/>
        <v>0</v>
      </c>
      <c r="M684" s="100">
        <v>45967</v>
      </c>
      <c r="N684" s="101">
        <v>56</v>
      </c>
      <c r="O684" s="101" t="str">
        <f t="shared" si="69"/>
        <v>31-60</v>
      </c>
      <c r="P684" s="101" t="str">
        <f t="shared" si="65"/>
        <v>High</v>
      </c>
    </row>
    <row r="685" spans="4:16" x14ac:dyDescent="0.3">
      <c r="D685" s="99" t="s">
        <v>2319</v>
      </c>
      <c r="E685" s="100">
        <v>46022</v>
      </c>
      <c r="F685" s="100" t="str">
        <f t="shared" si="66"/>
        <v/>
      </c>
      <c r="G685" s="101" t="str">
        <f t="shared" si="67"/>
        <v/>
      </c>
      <c r="H685" s="102" t="str">
        <f t="shared" si="64"/>
        <v/>
      </c>
      <c r="K685" s="99" t="s">
        <v>2715</v>
      </c>
      <c r="L685" s="102">
        <f t="shared" si="68"/>
        <v>0</v>
      </c>
      <c r="M685" s="100">
        <v>45777</v>
      </c>
      <c r="N685" s="101">
        <v>246</v>
      </c>
      <c r="O685" s="101" t="str">
        <f t="shared" si="69"/>
        <v>90+</v>
      </c>
      <c r="P685" s="101" t="str">
        <f t="shared" si="65"/>
        <v>Low</v>
      </c>
    </row>
    <row r="686" spans="4:16" x14ac:dyDescent="0.3">
      <c r="D686" s="99" t="s">
        <v>2320</v>
      </c>
      <c r="E686" s="100">
        <v>45770</v>
      </c>
      <c r="F686" s="100">
        <f t="shared" si="66"/>
        <v>45820</v>
      </c>
      <c r="G686" s="101">
        <f t="shared" si="67"/>
        <v>50</v>
      </c>
      <c r="H686" s="102">
        <f t="shared" si="64"/>
        <v>0</v>
      </c>
      <c r="K686" s="99" t="s">
        <v>2716</v>
      </c>
      <c r="L686" s="102">
        <f t="shared" si="68"/>
        <v>0</v>
      </c>
      <c r="M686" s="100">
        <v>45812</v>
      </c>
      <c r="N686" s="101">
        <v>211</v>
      </c>
      <c r="O686" s="101" t="str">
        <f t="shared" si="69"/>
        <v>90+</v>
      </c>
      <c r="P686" s="101" t="str">
        <f t="shared" si="65"/>
        <v>Low</v>
      </c>
    </row>
    <row r="687" spans="4:16" x14ac:dyDescent="0.3">
      <c r="D687" s="99" t="s">
        <v>2320</v>
      </c>
      <c r="E687" s="100">
        <v>45820</v>
      </c>
      <c r="F687" s="100" t="str">
        <f t="shared" si="66"/>
        <v/>
      </c>
      <c r="G687" s="101" t="str">
        <f t="shared" si="67"/>
        <v/>
      </c>
      <c r="H687" s="102" t="str">
        <f t="shared" si="64"/>
        <v/>
      </c>
      <c r="K687" s="99" t="s">
        <v>2717</v>
      </c>
      <c r="L687" s="102">
        <f t="shared" si="68"/>
        <v>0</v>
      </c>
      <c r="M687" s="100">
        <v>45959</v>
      </c>
      <c r="N687" s="101">
        <v>64</v>
      </c>
      <c r="O687" s="101" t="str">
        <f t="shared" si="69"/>
        <v>61-90</v>
      </c>
      <c r="P687" s="101" t="str">
        <f t="shared" si="65"/>
        <v>Low</v>
      </c>
    </row>
    <row r="688" spans="4:16" x14ac:dyDescent="0.3">
      <c r="D688" s="99" t="s">
        <v>2321</v>
      </c>
      <c r="E688" s="100">
        <v>45666</v>
      </c>
      <c r="F688" s="100" t="str">
        <f t="shared" si="66"/>
        <v/>
      </c>
      <c r="G688" s="101" t="str">
        <f t="shared" si="67"/>
        <v/>
      </c>
      <c r="H688" s="102" t="str">
        <f t="shared" si="64"/>
        <v/>
      </c>
      <c r="K688" s="99" t="s">
        <v>2718</v>
      </c>
      <c r="L688" s="102">
        <f t="shared" si="68"/>
        <v>0</v>
      </c>
      <c r="M688" s="100">
        <v>45910</v>
      </c>
      <c r="N688" s="101">
        <v>113</v>
      </c>
      <c r="O688" s="101" t="str">
        <f t="shared" si="69"/>
        <v>90+</v>
      </c>
      <c r="P688" s="101" t="str">
        <f t="shared" si="65"/>
        <v>Low</v>
      </c>
    </row>
    <row r="689" spans="4:16" x14ac:dyDescent="0.3">
      <c r="D689" s="99" t="s">
        <v>2322</v>
      </c>
      <c r="E689" s="100">
        <v>45919</v>
      </c>
      <c r="F689" s="100" t="str">
        <f t="shared" si="66"/>
        <v/>
      </c>
      <c r="G689" s="101" t="str">
        <f t="shared" si="67"/>
        <v/>
      </c>
      <c r="H689" s="102" t="str">
        <f t="shared" si="64"/>
        <v/>
      </c>
      <c r="K689" s="99" t="s">
        <v>2719</v>
      </c>
      <c r="L689" s="102">
        <f t="shared" si="68"/>
        <v>1</v>
      </c>
      <c r="M689" s="100">
        <v>45996</v>
      </c>
      <c r="N689" s="101">
        <v>27</v>
      </c>
      <c r="O689" s="101" t="str">
        <f t="shared" si="69"/>
        <v>0-30</v>
      </c>
      <c r="P689" s="101" t="str">
        <f t="shared" si="65"/>
        <v>High</v>
      </c>
    </row>
    <row r="690" spans="4:16" x14ac:dyDescent="0.3">
      <c r="D690" s="99" t="s">
        <v>2323</v>
      </c>
      <c r="E690" s="100">
        <v>45694</v>
      </c>
      <c r="F690" s="100">
        <f t="shared" si="66"/>
        <v>45750</v>
      </c>
      <c r="G690" s="101">
        <f t="shared" si="67"/>
        <v>56</v>
      </c>
      <c r="H690" s="102">
        <f t="shared" si="64"/>
        <v>0</v>
      </c>
      <c r="K690" s="99" t="s">
        <v>2720</v>
      </c>
      <c r="L690" s="102">
        <f t="shared" si="68"/>
        <v>0</v>
      </c>
      <c r="M690" s="100">
        <v>45940</v>
      </c>
      <c r="N690" s="101">
        <v>83</v>
      </c>
      <c r="O690" s="101" t="str">
        <f t="shared" si="69"/>
        <v>61-90</v>
      </c>
      <c r="P690" s="101" t="str">
        <f t="shared" si="65"/>
        <v>Low</v>
      </c>
    </row>
    <row r="691" spans="4:16" x14ac:dyDescent="0.3">
      <c r="D691" s="99" t="s">
        <v>2323</v>
      </c>
      <c r="E691" s="100">
        <v>45750</v>
      </c>
      <c r="F691" s="100">
        <f t="shared" si="66"/>
        <v>45764</v>
      </c>
      <c r="G691" s="101">
        <f t="shared" si="67"/>
        <v>14</v>
      </c>
      <c r="H691" s="102">
        <f t="shared" si="64"/>
        <v>1</v>
      </c>
      <c r="K691" s="99" t="s">
        <v>2721</v>
      </c>
      <c r="L691" s="102">
        <f t="shared" si="68"/>
        <v>0</v>
      </c>
      <c r="M691" s="100">
        <v>46007</v>
      </c>
      <c r="N691" s="101">
        <v>16</v>
      </c>
      <c r="O691" s="101" t="str">
        <f t="shared" si="69"/>
        <v>0-30</v>
      </c>
      <c r="P691" s="101" t="str">
        <f t="shared" si="65"/>
        <v>High</v>
      </c>
    </row>
    <row r="692" spans="4:16" x14ac:dyDescent="0.3">
      <c r="D692" s="99" t="s">
        <v>2323</v>
      </c>
      <c r="E692" s="100">
        <v>45764</v>
      </c>
      <c r="F692" s="100" t="str">
        <f t="shared" si="66"/>
        <v/>
      </c>
      <c r="G692" s="101" t="str">
        <f t="shared" si="67"/>
        <v/>
      </c>
      <c r="H692" s="102" t="str">
        <f t="shared" si="64"/>
        <v/>
      </c>
      <c r="K692" s="99" t="s">
        <v>2722</v>
      </c>
      <c r="L692" s="102">
        <f t="shared" si="68"/>
        <v>0</v>
      </c>
      <c r="M692" s="100">
        <v>45959</v>
      </c>
      <c r="N692" s="101">
        <v>64</v>
      </c>
      <c r="O692" s="101" t="str">
        <f t="shared" si="69"/>
        <v>61-90</v>
      </c>
      <c r="P692" s="101" t="str">
        <f t="shared" si="65"/>
        <v>Low</v>
      </c>
    </row>
    <row r="693" spans="4:16" x14ac:dyDescent="0.3">
      <c r="D693" s="99" t="s">
        <v>2324</v>
      </c>
      <c r="E693" s="100">
        <v>45771</v>
      </c>
      <c r="F693" s="100" t="str">
        <f t="shared" si="66"/>
        <v/>
      </c>
      <c r="G693" s="101" t="str">
        <f t="shared" si="67"/>
        <v/>
      </c>
      <c r="H693" s="102" t="str">
        <f t="shared" si="64"/>
        <v/>
      </c>
      <c r="K693" s="99" t="s">
        <v>2723</v>
      </c>
      <c r="L693" s="102">
        <f t="shared" si="68"/>
        <v>1</v>
      </c>
      <c r="M693" s="100">
        <v>45968</v>
      </c>
      <c r="N693" s="101">
        <v>55</v>
      </c>
      <c r="O693" s="101" t="str">
        <f t="shared" si="69"/>
        <v>31-60</v>
      </c>
      <c r="P693" s="101" t="str">
        <f t="shared" si="65"/>
        <v>High</v>
      </c>
    </row>
    <row r="694" spans="4:16" x14ac:dyDescent="0.3">
      <c r="D694" s="99" t="s">
        <v>2325</v>
      </c>
      <c r="E694" s="100">
        <v>45861</v>
      </c>
      <c r="F694" s="100">
        <f t="shared" si="66"/>
        <v>45884</v>
      </c>
      <c r="G694" s="101">
        <f t="shared" si="67"/>
        <v>23</v>
      </c>
      <c r="H694" s="102">
        <f t="shared" si="64"/>
        <v>1</v>
      </c>
      <c r="K694" s="99" t="s">
        <v>2724</v>
      </c>
      <c r="L694" s="102">
        <f t="shared" si="68"/>
        <v>0</v>
      </c>
      <c r="M694" s="100">
        <v>46014</v>
      </c>
      <c r="N694" s="101">
        <v>9</v>
      </c>
      <c r="O694" s="101" t="str">
        <f t="shared" si="69"/>
        <v>0-30</v>
      </c>
      <c r="P694" s="101" t="str">
        <f t="shared" si="65"/>
        <v>High</v>
      </c>
    </row>
    <row r="695" spans="4:16" x14ac:dyDescent="0.3">
      <c r="D695" s="99" t="s">
        <v>2325</v>
      </c>
      <c r="E695" s="100">
        <v>45884</v>
      </c>
      <c r="F695" s="100">
        <f t="shared" si="66"/>
        <v>45910</v>
      </c>
      <c r="G695" s="101">
        <f t="shared" si="67"/>
        <v>26</v>
      </c>
      <c r="H695" s="102">
        <f t="shared" si="64"/>
        <v>1</v>
      </c>
      <c r="K695" s="99" t="s">
        <v>2725</v>
      </c>
      <c r="L695" s="102">
        <f t="shared" si="68"/>
        <v>0</v>
      </c>
      <c r="M695" s="100">
        <v>45987</v>
      </c>
      <c r="N695" s="101">
        <v>36</v>
      </c>
      <c r="O695" s="101" t="str">
        <f t="shared" si="69"/>
        <v>31-60</v>
      </c>
      <c r="P695" s="101" t="str">
        <f t="shared" si="65"/>
        <v>High</v>
      </c>
    </row>
    <row r="696" spans="4:16" x14ac:dyDescent="0.3">
      <c r="D696" s="99" t="s">
        <v>2325</v>
      </c>
      <c r="E696" s="100">
        <v>45910</v>
      </c>
      <c r="F696" s="100" t="str">
        <f t="shared" si="66"/>
        <v/>
      </c>
      <c r="G696" s="101" t="str">
        <f t="shared" si="67"/>
        <v/>
      </c>
      <c r="H696" s="102" t="str">
        <f t="shared" si="64"/>
        <v/>
      </c>
      <c r="K696" s="99" t="s">
        <v>2726</v>
      </c>
      <c r="L696" s="102">
        <f t="shared" si="68"/>
        <v>0</v>
      </c>
      <c r="M696" s="100">
        <v>45979</v>
      </c>
      <c r="N696" s="101">
        <v>44</v>
      </c>
      <c r="O696" s="101" t="str">
        <f t="shared" si="69"/>
        <v>31-60</v>
      </c>
      <c r="P696" s="101" t="str">
        <f t="shared" si="65"/>
        <v>High</v>
      </c>
    </row>
    <row r="697" spans="4:16" x14ac:dyDescent="0.3">
      <c r="D697" s="99" t="s">
        <v>2326</v>
      </c>
      <c r="E697" s="100">
        <v>45985</v>
      </c>
      <c r="F697" s="100">
        <f t="shared" si="66"/>
        <v>45992</v>
      </c>
      <c r="G697" s="101">
        <f t="shared" si="67"/>
        <v>7</v>
      </c>
      <c r="H697" s="102">
        <f t="shared" si="64"/>
        <v>1</v>
      </c>
      <c r="K697" s="99" t="s">
        <v>2727</v>
      </c>
      <c r="L697" s="102">
        <f t="shared" si="68"/>
        <v>1</v>
      </c>
      <c r="M697" s="100">
        <v>45988</v>
      </c>
      <c r="N697" s="101">
        <v>35</v>
      </c>
      <c r="O697" s="101" t="str">
        <f t="shared" si="69"/>
        <v>31-60</v>
      </c>
      <c r="P697" s="101" t="str">
        <f t="shared" si="65"/>
        <v>High</v>
      </c>
    </row>
    <row r="698" spans="4:16" x14ac:dyDescent="0.3">
      <c r="D698" s="99" t="s">
        <v>2326</v>
      </c>
      <c r="E698" s="100">
        <v>45992</v>
      </c>
      <c r="F698" s="100">
        <f t="shared" si="66"/>
        <v>46022</v>
      </c>
      <c r="G698" s="101">
        <f t="shared" si="67"/>
        <v>30</v>
      </c>
      <c r="H698" s="102">
        <f t="shared" si="64"/>
        <v>1</v>
      </c>
      <c r="K698" s="99" t="s">
        <v>2728</v>
      </c>
      <c r="L698" s="102">
        <f t="shared" si="68"/>
        <v>0</v>
      </c>
      <c r="M698" s="100">
        <v>45966</v>
      </c>
      <c r="N698" s="101">
        <v>57</v>
      </c>
      <c r="O698" s="101" t="str">
        <f t="shared" si="69"/>
        <v>31-60</v>
      </c>
      <c r="P698" s="101" t="str">
        <f t="shared" si="65"/>
        <v>High</v>
      </c>
    </row>
    <row r="699" spans="4:16" x14ac:dyDescent="0.3">
      <c r="D699" s="99" t="s">
        <v>2326</v>
      </c>
      <c r="E699" s="100">
        <v>46022</v>
      </c>
      <c r="F699" s="100" t="str">
        <f t="shared" si="66"/>
        <v/>
      </c>
      <c r="G699" s="101" t="str">
        <f t="shared" si="67"/>
        <v/>
      </c>
      <c r="H699" s="102" t="str">
        <f t="shared" si="64"/>
        <v/>
      </c>
      <c r="K699" s="99" t="s">
        <v>2729</v>
      </c>
      <c r="L699" s="102">
        <f t="shared" si="68"/>
        <v>1</v>
      </c>
      <c r="M699" s="100">
        <v>45937</v>
      </c>
      <c r="N699" s="101">
        <v>86</v>
      </c>
      <c r="O699" s="101" t="str">
        <f t="shared" si="69"/>
        <v>61-90</v>
      </c>
      <c r="P699" s="101" t="str">
        <f t="shared" si="65"/>
        <v>Low</v>
      </c>
    </row>
    <row r="700" spans="4:16" x14ac:dyDescent="0.3">
      <c r="D700" s="99" t="s">
        <v>2327</v>
      </c>
      <c r="E700" s="100">
        <v>45716</v>
      </c>
      <c r="F700" s="100">
        <f t="shared" si="66"/>
        <v>45922</v>
      </c>
      <c r="G700" s="101">
        <f t="shared" si="67"/>
        <v>206</v>
      </c>
      <c r="H700" s="102">
        <f t="shared" si="64"/>
        <v>0</v>
      </c>
      <c r="K700" s="99" t="s">
        <v>2730</v>
      </c>
      <c r="L700" s="102">
        <f t="shared" si="68"/>
        <v>0</v>
      </c>
      <c r="M700" s="100">
        <v>45926</v>
      </c>
      <c r="N700" s="101">
        <v>97</v>
      </c>
      <c r="O700" s="101" t="str">
        <f t="shared" si="69"/>
        <v>90+</v>
      </c>
      <c r="P700" s="101" t="str">
        <f t="shared" si="65"/>
        <v>Low</v>
      </c>
    </row>
    <row r="701" spans="4:16" x14ac:dyDescent="0.3">
      <c r="D701" s="99" t="s">
        <v>2327</v>
      </c>
      <c r="E701" s="100">
        <v>45922</v>
      </c>
      <c r="F701" s="100">
        <f t="shared" si="66"/>
        <v>45923</v>
      </c>
      <c r="G701" s="101">
        <f t="shared" si="67"/>
        <v>1</v>
      </c>
      <c r="H701" s="102">
        <f t="shared" si="64"/>
        <v>1</v>
      </c>
      <c r="K701" s="99" t="s">
        <v>2731</v>
      </c>
      <c r="L701" s="102">
        <f t="shared" si="68"/>
        <v>1</v>
      </c>
      <c r="M701" s="100">
        <v>45882</v>
      </c>
      <c r="N701" s="101">
        <v>141</v>
      </c>
      <c r="O701" s="101" t="str">
        <f t="shared" si="69"/>
        <v>90+</v>
      </c>
      <c r="P701" s="101" t="str">
        <f t="shared" si="65"/>
        <v>Low</v>
      </c>
    </row>
    <row r="702" spans="4:16" x14ac:dyDescent="0.3">
      <c r="D702" s="99" t="s">
        <v>2327</v>
      </c>
      <c r="E702" s="100">
        <v>45923</v>
      </c>
      <c r="F702" s="100">
        <f t="shared" si="66"/>
        <v>45996</v>
      </c>
      <c r="G702" s="101">
        <f t="shared" si="67"/>
        <v>73</v>
      </c>
      <c r="H702" s="102">
        <f t="shared" si="64"/>
        <v>0</v>
      </c>
      <c r="K702" s="99" t="s">
        <v>2732</v>
      </c>
      <c r="L702" s="102">
        <f t="shared" si="68"/>
        <v>0</v>
      </c>
      <c r="M702" s="100">
        <v>46015</v>
      </c>
      <c r="N702" s="101">
        <v>8</v>
      </c>
      <c r="O702" s="101" t="str">
        <f t="shared" si="69"/>
        <v>0-30</v>
      </c>
      <c r="P702" s="101" t="str">
        <f t="shared" si="65"/>
        <v>High</v>
      </c>
    </row>
    <row r="703" spans="4:16" x14ac:dyDescent="0.3">
      <c r="D703" s="99" t="s">
        <v>2327</v>
      </c>
      <c r="E703" s="100">
        <v>45996</v>
      </c>
      <c r="F703" s="100" t="str">
        <f t="shared" si="66"/>
        <v/>
      </c>
      <c r="G703" s="101" t="str">
        <f t="shared" si="67"/>
        <v/>
      </c>
      <c r="H703" s="102" t="str">
        <f t="shared" si="64"/>
        <v/>
      </c>
      <c r="K703" s="99" t="s">
        <v>2733</v>
      </c>
      <c r="L703" s="102">
        <f t="shared" si="68"/>
        <v>0</v>
      </c>
      <c r="M703" s="100">
        <v>45980</v>
      </c>
      <c r="N703" s="101">
        <v>43</v>
      </c>
      <c r="O703" s="101" t="str">
        <f t="shared" si="69"/>
        <v>31-60</v>
      </c>
      <c r="P703" s="101" t="str">
        <f t="shared" si="65"/>
        <v>High</v>
      </c>
    </row>
    <row r="704" spans="4:16" x14ac:dyDescent="0.3">
      <c r="D704" s="99" t="s">
        <v>2328</v>
      </c>
      <c r="E704" s="100">
        <v>45831</v>
      </c>
      <c r="F704" s="100">
        <f t="shared" si="66"/>
        <v>45849</v>
      </c>
      <c r="G704" s="101">
        <f t="shared" si="67"/>
        <v>18</v>
      </c>
      <c r="H704" s="102">
        <f t="shared" si="64"/>
        <v>1</v>
      </c>
      <c r="K704" s="99" t="s">
        <v>2734</v>
      </c>
      <c r="L704" s="102">
        <f t="shared" si="68"/>
        <v>0</v>
      </c>
      <c r="M704" s="100">
        <v>45972</v>
      </c>
      <c r="N704" s="101">
        <v>51</v>
      </c>
      <c r="O704" s="101" t="str">
        <f t="shared" si="69"/>
        <v>31-60</v>
      </c>
      <c r="P704" s="101" t="str">
        <f t="shared" si="65"/>
        <v>High</v>
      </c>
    </row>
    <row r="705" spans="4:16" x14ac:dyDescent="0.3">
      <c r="D705" s="99" t="s">
        <v>2328</v>
      </c>
      <c r="E705" s="100">
        <v>45849</v>
      </c>
      <c r="F705" s="100">
        <f t="shared" si="66"/>
        <v>45994</v>
      </c>
      <c r="G705" s="101">
        <f t="shared" si="67"/>
        <v>145</v>
      </c>
      <c r="H705" s="102">
        <f t="shared" si="64"/>
        <v>0</v>
      </c>
      <c r="K705" s="99" t="s">
        <v>2735</v>
      </c>
      <c r="L705" s="102">
        <f t="shared" si="68"/>
        <v>0</v>
      </c>
      <c r="M705" s="100">
        <v>45698</v>
      </c>
      <c r="N705" s="101">
        <v>325</v>
      </c>
      <c r="O705" s="101" t="str">
        <f t="shared" si="69"/>
        <v>90+</v>
      </c>
      <c r="P705" s="101" t="str">
        <f t="shared" si="65"/>
        <v>Low</v>
      </c>
    </row>
    <row r="706" spans="4:16" x14ac:dyDescent="0.3">
      <c r="D706" s="99" t="s">
        <v>2328</v>
      </c>
      <c r="E706" s="100">
        <v>45994</v>
      </c>
      <c r="F706" s="100" t="str">
        <f t="shared" si="66"/>
        <v/>
      </c>
      <c r="G706" s="101" t="str">
        <f t="shared" si="67"/>
        <v/>
      </c>
      <c r="H706" s="102" t="str">
        <f t="shared" si="64"/>
        <v/>
      </c>
      <c r="K706" s="99" t="s">
        <v>2736</v>
      </c>
      <c r="L706" s="102">
        <f t="shared" si="68"/>
        <v>0</v>
      </c>
      <c r="M706" s="100">
        <v>45908</v>
      </c>
      <c r="N706" s="101">
        <v>115</v>
      </c>
      <c r="O706" s="101" t="str">
        <f t="shared" si="69"/>
        <v>90+</v>
      </c>
      <c r="P706" s="101" t="str">
        <f t="shared" si="65"/>
        <v>Low</v>
      </c>
    </row>
    <row r="707" spans="4:16" x14ac:dyDescent="0.3">
      <c r="D707" s="99" t="s">
        <v>2329</v>
      </c>
      <c r="E707" s="100">
        <v>45747</v>
      </c>
      <c r="F707" s="100">
        <f t="shared" si="66"/>
        <v>46022</v>
      </c>
      <c r="G707" s="101">
        <f t="shared" si="67"/>
        <v>275</v>
      </c>
      <c r="H707" s="102">
        <f t="shared" si="64"/>
        <v>0</v>
      </c>
      <c r="K707" s="99" t="s">
        <v>2737</v>
      </c>
      <c r="L707" s="102">
        <f t="shared" si="68"/>
        <v>0</v>
      </c>
      <c r="M707" s="100">
        <v>45924</v>
      </c>
      <c r="N707" s="101">
        <v>99</v>
      </c>
      <c r="O707" s="101" t="str">
        <f t="shared" si="69"/>
        <v>90+</v>
      </c>
      <c r="P707" s="101" t="str">
        <f t="shared" si="65"/>
        <v>Low</v>
      </c>
    </row>
    <row r="708" spans="4:16" x14ac:dyDescent="0.3">
      <c r="D708" s="99" t="s">
        <v>2329</v>
      </c>
      <c r="E708" s="100">
        <v>46022</v>
      </c>
      <c r="F708" s="100" t="str">
        <f t="shared" si="66"/>
        <v/>
      </c>
      <c r="G708" s="101" t="str">
        <f t="shared" si="67"/>
        <v/>
      </c>
      <c r="H708" s="102" t="str">
        <f t="shared" si="64"/>
        <v/>
      </c>
      <c r="K708" s="99" t="s">
        <v>2738</v>
      </c>
      <c r="L708" s="102">
        <f t="shared" si="68"/>
        <v>1</v>
      </c>
      <c r="M708" s="100">
        <v>45992</v>
      </c>
      <c r="N708" s="101">
        <v>31</v>
      </c>
      <c r="O708" s="101" t="str">
        <f t="shared" si="69"/>
        <v>31-60</v>
      </c>
      <c r="P708" s="101" t="str">
        <f t="shared" si="65"/>
        <v>High</v>
      </c>
    </row>
    <row r="709" spans="4:16" x14ac:dyDescent="0.3">
      <c r="D709" s="99" t="s">
        <v>2330</v>
      </c>
      <c r="E709" s="100">
        <v>45658</v>
      </c>
      <c r="F709" s="100">
        <f t="shared" si="66"/>
        <v>45712</v>
      </c>
      <c r="G709" s="101">
        <f t="shared" si="67"/>
        <v>54</v>
      </c>
      <c r="H709" s="102">
        <f t="shared" si="64"/>
        <v>0</v>
      </c>
      <c r="K709" s="99" t="s">
        <v>2739</v>
      </c>
      <c r="L709" s="102">
        <f t="shared" si="68"/>
        <v>1</v>
      </c>
      <c r="M709" s="100">
        <v>45994</v>
      </c>
      <c r="N709" s="101">
        <v>29</v>
      </c>
      <c r="O709" s="101" t="str">
        <f t="shared" si="69"/>
        <v>0-30</v>
      </c>
      <c r="P709" s="101" t="str">
        <f t="shared" si="65"/>
        <v>High</v>
      </c>
    </row>
    <row r="710" spans="4:16" x14ac:dyDescent="0.3">
      <c r="D710" s="99" t="s">
        <v>2330</v>
      </c>
      <c r="E710" s="100">
        <v>45712</v>
      </c>
      <c r="F710" s="100">
        <f t="shared" si="66"/>
        <v>45750</v>
      </c>
      <c r="G710" s="101">
        <f t="shared" si="67"/>
        <v>38</v>
      </c>
      <c r="H710" s="102">
        <f t="shared" si="64"/>
        <v>0</v>
      </c>
      <c r="K710" s="99" t="s">
        <v>2740</v>
      </c>
      <c r="L710" s="102">
        <f t="shared" si="68"/>
        <v>1</v>
      </c>
      <c r="M710" s="100">
        <v>45992</v>
      </c>
      <c r="N710" s="101">
        <v>31</v>
      </c>
      <c r="O710" s="101" t="str">
        <f t="shared" si="69"/>
        <v>31-60</v>
      </c>
      <c r="P710" s="101" t="str">
        <f t="shared" si="65"/>
        <v>High</v>
      </c>
    </row>
    <row r="711" spans="4:16" x14ac:dyDescent="0.3">
      <c r="D711" s="99" t="s">
        <v>2330</v>
      </c>
      <c r="E711" s="100">
        <v>45750</v>
      </c>
      <c r="F711" s="100" t="str">
        <f t="shared" si="66"/>
        <v/>
      </c>
      <c r="G711" s="101" t="str">
        <f t="shared" si="67"/>
        <v/>
      </c>
      <c r="H711" s="102" t="str">
        <f t="shared" ref="H711:H774" si="70">IF(G711="","",IF(G711&lt;=return_window,1,0))</f>
        <v/>
      </c>
      <c r="K711" s="99" t="s">
        <v>2741</v>
      </c>
      <c r="L711" s="102">
        <f t="shared" si="68"/>
        <v>0</v>
      </c>
      <c r="M711" s="100">
        <v>45819</v>
      </c>
      <c r="N711" s="101">
        <v>204</v>
      </c>
      <c r="O711" s="101" t="str">
        <f t="shared" si="69"/>
        <v>90+</v>
      </c>
      <c r="P711" s="101" t="str">
        <f t="shared" ref="P711:P774" si="71">IF(N711&lt;=recency_threshold,"High","Low")</f>
        <v>Low</v>
      </c>
    </row>
    <row r="712" spans="4:16" x14ac:dyDescent="0.3">
      <c r="D712" s="99" t="s">
        <v>2331</v>
      </c>
      <c r="E712" s="100">
        <v>45912</v>
      </c>
      <c r="F712" s="100" t="str">
        <f t="shared" ref="F712:F775" si="72">IF(D712=D713,E713,"")</f>
        <v/>
      </c>
      <c r="G712" s="101" t="str">
        <f t="shared" ref="G712:G775" si="73">IF(F712="","",F712-E712)</f>
        <v/>
      </c>
      <c r="H712" s="102" t="str">
        <f t="shared" si="70"/>
        <v/>
      </c>
      <c r="K712" s="99" t="s">
        <v>2742</v>
      </c>
      <c r="L712" s="102">
        <f t="shared" ref="L712:L775" si="74">IF(SUMIFS($H$6:$H$2006,$D$6:$D$2006,K712),1,0)</f>
        <v>0</v>
      </c>
      <c r="M712" s="100">
        <v>45968</v>
      </c>
      <c r="N712" s="101">
        <v>55</v>
      </c>
      <c r="O712" s="101" t="str">
        <f t="shared" ref="O712:O775" si="75">VLOOKUP(N712,$A$15:$B$19,2,TRUE)</f>
        <v>31-60</v>
      </c>
      <c r="P712" s="101" t="str">
        <f t="shared" si="71"/>
        <v>High</v>
      </c>
    </row>
    <row r="713" spans="4:16" x14ac:dyDescent="0.3">
      <c r="D713" s="99" t="s">
        <v>2332</v>
      </c>
      <c r="E713" s="100">
        <v>45672</v>
      </c>
      <c r="F713" s="100" t="str">
        <f t="shared" si="72"/>
        <v/>
      </c>
      <c r="G713" s="101" t="str">
        <f t="shared" si="73"/>
        <v/>
      </c>
      <c r="H713" s="102" t="str">
        <f t="shared" si="70"/>
        <v/>
      </c>
      <c r="K713" s="99" t="s">
        <v>2743</v>
      </c>
      <c r="L713" s="102">
        <f t="shared" si="74"/>
        <v>0</v>
      </c>
      <c r="M713" s="100">
        <v>45747</v>
      </c>
      <c r="N713" s="101">
        <v>276</v>
      </c>
      <c r="O713" s="101" t="str">
        <f t="shared" si="75"/>
        <v>90+</v>
      </c>
      <c r="P713" s="101" t="str">
        <f t="shared" si="71"/>
        <v>Low</v>
      </c>
    </row>
    <row r="714" spans="4:16" x14ac:dyDescent="0.3">
      <c r="D714" s="99" t="s">
        <v>2333</v>
      </c>
      <c r="E714" s="100">
        <v>45667</v>
      </c>
      <c r="F714" s="100">
        <f t="shared" si="72"/>
        <v>45728</v>
      </c>
      <c r="G714" s="101">
        <f t="shared" si="73"/>
        <v>61</v>
      </c>
      <c r="H714" s="102">
        <f t="shared" si="70"/>
        <v>0</v>
      </c>
      <c r="K714" s="99" t="s">
        <v>2744</v>
      </c>
      <c r="L714" s="102">
        <f t="shared" si="74"/>
        <v>0</v>
      </c>
      <c r="M714" s="100">
        <v>45995</v>
      </c>
      <c r="N714" s="101">
        <v>28</v>
      </c>
      <c r="O714" s="101" t="str">
        <f t="shared" si="75"/>
        <v>0-30</v>
      </c>
      <c r="P714" s="101" t="str">
        <f t="shared" si="71"/>
        <v>High</v>
      </c>
    </row>
    <row r="715" spans="4:16" x14ac:dyDescent="0.3">
      <c r="D715" s="99" t="s">
        <v>2333</v>
      </c>
      <c r="E715" s="100">
        <v>45728</v>
      </c>
      <c r="F715" s="100">
        <f t="shared" si="72"/>
        <v>45848</v>
      </c>
      <c r="G715" s="101">
        <f t="shared" si="73"/>
        <v>120</v>
      </c>
      <c r="H715" s="102">
        <f t="shared" si="70"/>
        <v>0</v>
      </c>
      <c r="K715" s="99" t="s">
        <v>2745</v>
      </c>
      <c r="L715" s="102">
        <f t="shared" si="74"/>
        <v>0</v>
      </c>
      <c r="M715" s="100">
        <v>45673</v>
      </c>
      <c r="N715" s="101">
        <v>350</v>
      </c>
      <c r="O715" s="101" t="str">
        <f t="shared" si="75"/>
        <v>90+</v>
      </c>
      <c r="P715" s="101" t="str">
        <f t="shared" si="71"/>
        <v>Low</v>
      </c>
    </row>
    <row r="716" spans="4:16" x14ac:dyDescent="0.3">
      <c r="D716" s="99" t="s">
        <v>2333</v>
      </c>
      <c r="E716" s="100">
        <v>45848</v>
      </c>
      <c r="F716" s="100" t="str">
        <f t="shared" si="72"/>
        <v/>
      </c>
      <c r="G716" s="101" t="str">
        <f t="shared" si="73"/>
        <v/>
      </c>
      <c r="H716" s="102" t="str">
        <f t="shared" si="70"/>
        <v/>
      </c>
      <c r="K716" s="99" t="s">
        <v>2746</v>
      </c>
      <c r="L716" s="102">
        <f t="shared" si="74"/>
        <v>1</v>
      </c>
      <c r="M716" s="100">
        <v>46015</v>
      </c>
      <c r="N716" s="101">
        <v>8</v>
      </c>
      <c r="O716" s="101" t="str">
        <f t="shared" si="75"/>
        <v>0-30</v>
      </c>
      <c r="P716" s="101" t="str">
        <f t="shared" si="71"/>
        <v>High</v>
      </c>
    </row>
    <row r="717" spans="4:16" x14ac:dyDescent="0.3">
      <c r="D717" s="99" t="s">
        <v>2334</v>
      </c>
      <c r="E717" s="100">
        <v>45754</v>
      </c>
      <c r="F717" s="100">
        <f t="shared" si="72"/>
        <v>45779</v>
      </c>
      <c r="G717" s="101">
        <f t="shared" si="73"/>
        <v>25</v>
      </c>
      <c r="H717" s="102">
        <f t="shared" si="70"/>
        <v>1</v>
      </c>
      <c r="K717" s="99" t="s">
        <v>2747</v>
      </c>
      <c r="L717" s="102">
        <f t="shared" si="74"/>
        <v>0</v>
      </c>
      <c r="M717" s="100">
        <v>45959</v>
      </c>
      <c r="N717" s="101">
        <v>64</v>
      </c>
      <c r="O717" s="101" t="str">
        <f t="shared" si="75"/>
        <v>61-90</v>
      </c>
      <c r="P717" s="101" t="str">
        <f t="shared" si="71"/>
        <v>Low</v>
      </c>
    </row>
    <row r="718" spans="4:16" x14ac:dyDescent="0.3">
      <c r="D718" s="99" t="s">
        <v>2334</v>
      </c>
      <c r="E718" s="100">
        <v>45779</v>
      </c>
      <c r="F718" s="100">
        <f t="shared" si="72"/>
        <v>45987</v>
      </c>
      <c r="G718" s="101">
        <f t="shared" si="73"/>
        <v>208</v>
      </c>
      <c r="H718" s="102">
        <f t="shared" si="70"/>
        <v>0</v>
      </c>
      <c r="K718" s="99" t="s">
        <v>2748</v>
      </c>
      <c r="L718" s="102">
        <f t="shared" si="74"/>
        <v>0</v>
      </c>
      <c r="M718" s="100">
        <v>45825</v>
      </c>
      <c r="N718" s="101">
        <v>198</v>
      </c>
      <c r="O718" s="101" t="str">
        <f t="shared" si="75"/>
        <v>90+</v>
      </c>
      <c r="P718" s="101" t="str">
        <f t="shared" si="71"/>
        <v>Low</v>
      </c>
    </row>
    <row r="719" spans="4:16" x14ac:dyDescent="0.3">
      <c r="D719" s="99" t="s">
        <v>2334</v>
      </c>
      <c r="E719" s="100">
        <v>45987</v>
      </c>
      <c r="F719" s="100" t="str">
        <f t="shared" si="72"/>
        <v/>
      </c>
      <c r="G719" s="101" t="str">
        <f t="shared" si="73"/>
        <v/>
      </c>
      <c r="H719" s="102" t="str">
        <f t="shared" si="70"/>
        <v/>
      </c>
      <c r="K719" s="99" t="s">
        <v>2749</v>
      </c>
      <c r="L719" s="102">
        <f t="shared" si="74"/>
        <v>0</v>
      </c>
      <c r="M719" s="100">
        <v>45728</v>
      </c>
      <c r="N719" s="101">
        <v>295</v>
      </c>
      <c r="O719" s="101" t="str">
        <f t="shared" si="75"/>
        <v>90+</v>
      </c>
      <c r="P719" s="101" t="str">
        <f t="shared" si="71"/>
        <v>Low</v>
      </c>
    </row>
    <row r="720" spans="4:16" x14ac:dyDescent="0.3">
      <c r="D720" s="99" t="s">
        <v>2335</v>
      </c>
      <c r="E720" s="100">
        <v>45762</v>
      </c>
      <c r="F720" s="100">
        <f t="shared" si="72"/>
        <v>45778</v>
      </c>
      <c r="G720" s="101">
        <f t="shared" si="73"/>
        <v>16</v>
      </c>
      <c r="H720" s="102">
        <f t="shared" si="70"/>
        <v>1</v>
      </c>
      <c r="K720" s="99" t="s">
        <v>2750</v>
      </c>
      <c r="L720" s="102">
        <f t="shared" si="74"/>
        <v>0</v>
      </c>
      <c r="M720" s="100">
        <v>46022</v>
      </c>
      <c r="N720" s="101">
        <v>1</v>
      </c>
      <c r="O720" s="101" t="str">
        <f t="shared" si="75"/>
        <v>0-30</v>
      </c>
      <c r="P720" s="101" t="str">
        <f t="shared" si="71"/>
        <v>High</v>
      </c>
    </row>
    <row r="721" spans="4:16" x14ac:dyDescent="0.3">
      <c r="D721" s="99" t="s">
        <v>2335</v>
      </c>
      <c r="E721" s="100">
        <v>45778</v>
      </c>
      <c r="F721" s="100" t="str">
        <f t="shared" si="72"/>
        <v/>
      </c>
      <c r="G721" s="101" t="str">
        <f t="shared" si="73"/>
        <v/>
      </c>
      <c r="H721" s="102" t="str">
        <f t="shared" si="70"/>
        <v/>
      </c>
      <c r="K721" s="99" t="s">
        <v>2751</v>
      </c>
      <c r="L721" s="102">
        <f t="shared" si="74"/>
        <v>0</v>
      </c>
      <c r="M721" s="100">
        <v>45968</v>
      </c>
      <c r="N721" s="101">
        <v>55</v>
      </c>
      <c r="O721" s="101" t="str">
        <f t="shared" si="75"/>
        <v>31-60</v>
      </c>
      <c r="P721" s="101" t="str">
        <f t="shared" si="71"/>
        <v>High</v>
      </c>
    </row>
    <row r="722" spans="4:16" x14ac:dyDescent="0.3">
      <c r="D722" s="99" t="s">
        <v>2336</v>
      </c>
      <c r="E722" s="100">
        <v>45923</v>
      </c>
      <c r="F722" s="100" t="str">
        <f t="shared" si="72"/>
        <v/>
      </c>
      <c r="G722" s="101" t="str">
        <f t="shared" si="73"/>
        <v/>
      </c>
      <c r="H722" s="102" t="str">
        <f t="shared" si="70"/>
        <v/>
      </c>
      <c r="K722" s="99" t="s">
        <v>2752</v>
      </c>
      <c r="L722" s="102">
        <f t="shared" si="74"/>
        <v>0</v>
      </c>
      <c r="M722" s="100">
        <v>46013</v>
      </c>
      <c r="N722" s="101">
        <v>10</v>
      </c>
      <c r="O722" s="101" t="str">
        <f t="shared" si="75"/>
        <v>0-30</v>
      </c>
      <c r="P722" s="101" t="str">
        <f t="shared" si="71"/>
        <v>High</v>
      </c>
    </row>
    <row r="723" spans="4:16" x14ac:dyDescent="0.3">
      <c r="D723" s="99" t="s">
        <v>2337</v>
      </c>
      <c r="E723" s="100">
        <v>45729</v>
      </c>
      <c r="F723" s="100" t="str">
        <f t="shared" si="72"/>
        <v/>
      </c>
      <c r="G723" s="101" t="str">
        <f t="shared" si="73"/>
        <v/>
      </c>
      <c r="H723" s="102" t="str">
        <f t="shared" si="70"/>
        <v/>
      </c>
      <c r="K723" s="99" t="s">
        <v>2753</v>
      </c>
      <c r="L723" s="102">
        <f t="shared" si="74"/>
        <v>1</v>
      </c>
      <c r="M723" s="100">
        <v>45978</v>
      </c>
      <c r="N723" s="101">
        <v>45</v>
      </c>
      <c r="O723" s="101" t="str">
        <f t="shared" si="75"/>
        <v>31-60</v>
      </c>
      <c r="P723" s="101" t="str">
        <f t="shared" si="71"/>
        <v>High</v>
      </c>
    </row>
    <row r="724" spans="4:16" x14ac:dyDescent="0.3">
      <c r="D724" s="99" t="s">
        <v>2338</v>
      </c>
      <c r="E724" s="100">
        <v>46010</v>
      </c>
      <c r="F724" s="100" t="str">
        <f t="shared" si="72"/>
        <v/>
      </c>
      <c r="G724" s="101" t="str">
        <f t="shared" si="73"/>
        <v/>
      </c>
      <c r="H724" s="102" t="str">
        <f t="shared" si="70"/>
        <v/>
      </c>
      <c r="K724" s="99" t="s">
        <v>2754</v>
      </c>
      <c r="L724" s="102">
        <f t="shared" si="74"/>
        <v>1</v>
      </c>
      <c r="M724" s="100">
        <v>45999</v>
      </c>
      <c r="N724" s="101">
        <v>24</v>
      </c>
      <c r="O724" s="101" t="str">
        <f t="shared" si="75"/>
        <v>0-30</v>
      </c>
      <c r="P724" s="101" t="str">
        <f t="shared" si="71"/>
        <v>High</v>
      </c>
    </row>
    <row r="725" spans="4:16" x14ac:dyDescent="0.3">
      <c r="D725" s="99" t="s">
        <v>2339</v>
      </c>
      <c r="E725" s="100">
        <v>45931</v>
      </c>
      <c r="F725" s="100">
        <f t="shared" si="72"/>
        <v>45979</v>
      </c>
      <c r="G725" s="101">
        <f t="shared" si="73"/>
        <v>48</v>
      </c>
      <c r="H725" s="102">
        <f t="shared" si="70"/>
        <v>0</v>
      </c>
      <c r="K725" s="99" t="s">
        <v>2755</v>
      </c>
      <c r="L725" s="102">
        <f t="shared" si="74"/>
        <v>0</v>
      </c>
      <c r="M725" s="100">
        <v>45874</v>
      </c>
      <c r="N725" s="101">
        <v>149</v>
      </c>
      <c r="O725" s="101" t="str">
        <f t="shared" si="75"/>
        <v>90+</v>
      </c>
      <c r="P725" s="101" t="str">
        <f t="shared" si="71"/>
        <v>Low</v>
      </c>
    </row>
    <row r="726" spans="4:16" x14ac:dyDescent="0.3">
      <c r="D726" s="99" t="s">
        <v>2339</v>
      </c>
      <c r="E726" s="100">
        <v>45979</v>
      </c>
      <c r="F726" s="100" t="str">
        <f t="shared" si="72"/>
        <v/>
      </c>
      <c r="G726" s="101" t="str">
        <f t="shared" si="73"/>
        <v/>
      </c>
      <c r="H726" s="102" t="str">
        <f t="shared" si="70"/>
        <v/>
      </c>
      <c r="K726" s="99" t="s">
        <v>2756</v>
      </c>
      <c r="L726" s="102">
        <f t="shared" si="74"/>
        <v>0</v>
      </c>
      <c r="M726" s="100">
        <v>46015</v>
      </c>
      <c r="N726" s="101">
        <v>8</v>
      </c>
      <c r="O726" s="101" t="str">
        <f t="shared" si="75"/>
        <v>0-30</v>
      </c>
      <c r="P726" s="101" t="str">
        <f t="shared" si="71"/>
        <v>High</v>
      </c>
    </row>
    <row r="727" spans="4:16" x14ac:dyDescent="0.3">
      <c r="D727" s="99" t="s">
        <v>2340</v>
      </c>
      <c r="E727" s="100">
        <v>45842</v>
      </c>
      <c r="F727" s="100" t="str">
        <f t="shared" si="72"/>
        <v/>
      </c>
      <c r="G727" s="101" t="str">
        <f t="shared" si="73"/>
        <v/>
      </c>
      <c r="H727" s="102" t="str">
        <f t="shared" si="70"/>
        <v/>
      </c>
      <c r="K727" s="99" t="s">
        <v>2757</v>
      </c>
      <c r="L727" s="102">
        <f t="shared" si="74"/>
        <v>1</v>
      </c>
      <c r="M727" s="100">
        <v>45960</v>
      </c>
      <c r="N727" s="101">
        <v>63</v>
      </c>
      <c r="O727" s="101" t="str">
        <f t="shared" si="75"/>
        <v>61-90</v>
      </c>
      <c r="P727" s="101" t="str">
        <f t="shared" si="71"/>
        <v>Low</v>
      </c>
    </row>
    <row r="728" spans="4:16" x14ac:dyDescent="0.3">
      <c r="D728" s="99" t="s">
        <v>2341</v>
      </c>
      <c r="E728" s="100">
        <v>45779</v>
      </c>
      <c r="F728" s="100" t="str">
        <f t="shared" si="72"/>
        <v/>
      </c>
      <c r="G728" s="101" t="str">
        <f t="shared" si="73"/>
        <v/>
      </c>
      <c r="H728" s="102" t="str">
        <f t="shared" si="70"/>
        <v/>
      </c>
      <c r="K728" s="99" t="s">
        <v>2758</v>
      </c>
      <c r="L728" s="102">
        <f t="shared" si="74"/>
        <v>0</v>
      </c>
      <c r="M728" s="100">
        <v>45849</v>
      </c>
      <c r="N728" s="101">
        <v>174</v>
      </c>
      <c r="O728" s="101" t="str">
        <f t="shared" si="75"/>
        <v>90+</v>
      </c>
      <c r="P728" s="101" t="str">
        <f t="shared" si="71"/>
        <v>Low</v>
      </c>
    </row>
    <row r="729" spans="4:16" x14ac:dyDescent="0.3">
      <c r="D729" s="99" t="s">
        <v>2342</v>
      </c>
      <c r="E729" s="100">
        <v>45854</v>
      </c>
      <c r="F729" s="100">
        <f t="shared" si="72"/>
        <v>45874</v>
      </c>
      <c r="G729" s="101">
        <f t="shared" si="73"/>
        <v>20</v>
      </c>
      <c r="H729" s="102">
        <f t="shared" si="70"/>
        <v>1</v>
      </c>
      <c r="K729" s="99" t="s">
        <v>2759</v>
      </c>
      <c r="L729" s="102">
        <f t="shared" si="74"/>
        <v>1</v>
      </c>
      <c r="M729" s="100">
        <v>45754</v>
      </c>
      <c r="N729" s="101">
        <v>269</v>
      </c>
      <c r="O729" s="101" t="str">
        <f t="shared" si="75"/>
        <v>90+</v>
      </c>
      <c r="P729" s="101" t="str">
        <f t="shared" si="71"/>
        <v>Low</v>
      </c>
    </row>
    <row r="730" spans="4:16" x14ac:dyDescent="0.3">
      <c r="D730" s="99" t="s">
        <v>2342</v>
      </c>
      <c r="E730" s="100">
        <v>45874</v>
      </c>
      <c r="F730" s="100" t="str">
        <f t="shared" si="72"/>
        <v/>
      </c>
      <c r="G730" s="101" t="str">
        <f t="shared" si="73"/>
        <v/>
      </c>
      <c r="H730" s="102" t="str">
        <f t="shared" si="70"/>
        <v/>
      </c>
      <c r="K730" s="99" t="s">
        <v>2760</v>
      </c>
      <c r="L730" s="102">
        <f t="shared" si="74"/>
        <v>0</v>
      </c>
      <c r="M730" s="100">
        <v>45912</v>
      </c>
      <c r="N730" s="101">
        <v>111</v>
      </c>
      <c r="O730" s="101" t="str">
        <f t="shared" si="75"/>
        <v>90+</v>
      </c>
      <c r="P730" s="101" t="str">
        <f t="shared" si="71"/>
        <v>Low</v>
      </c>
    </row>
    <row r="731" spans="4:16" x14ac:dyDescent="0.3">
      <c r="D731" s="99" t="s">
        <v>2343</v>
      </c>
      <c r="E731" s="100">
        <v>45807</v>
      </c>
      <c r="F731" s="100">
        <f t="shared" si="72"/>
        <v>45912</v>
      </c>
      <c r="G731" s="101">
        <f t="shared" si="73"/>
        <v>105</v>
      </c>
      <c r="H731" s="102">
        <f t="shared" si="70"/>
        <v>0</v>
      </c>
      <c r="K731" s="99" t="s">
        <v>2761</v>
      </c>
      <c r="L731" s="102">
        <f t="shared" si="74"/>
        <v>0</v>
      </c>
      <c r="M731" s="100">
        <v>46016</v>
      </c>
      <c r="N731" s="101">
        <v>7</v>
      </c>
      <c r="O731" s="101" t="str">
        <f t="shared" si="75"/>
        <v>0-30</v>
      </c>
      <c r="P731" s="101" t="str">
        <f t="shared" si="71"/>
        <v>High</v>
      </c>
    </row>
    <row r="732" spans="4:16" x14ac:dyDescent="0.3">
      <c r="D732" s="99" t="s">
        <v>2343</v>
      </c>
      <c r="E732" s="100">
        <v>45912</v>
      </c>
      <c r="F732" s="100" t="str">
        <f t="shared" si="72"/>
        <v/>
      </c>
      <c r="G732" s="101" t="str">
        <f t="shared" si="73"/>
        <v/>
      </c>
      <c r="H732" s="102" t="str">
        <f t="shared" si="70"/>
        <v/>
      </c>
      <c r="K732" s="99" t="s">
        <v>2762</v>
      </c>
      <c r="L732" s="102">
        <f t="shared" si="74"/>
        <v>0</v>
      </c>
      <c r="M732" s="100">
        <v>45961</v>
      </c>
      <c r="N732" s="101">
        <v>62</v>
      </c>
      <c r="O732" s="101" t="str">
        <f t="shared" si="75"/>
        <v>61-90</v>
      </c>
      <c r="P732" s="101" t="str">
        <f t="shared" si="71"/>
        <v>Low</v>
      </c>
    </row>
    <row r="733" spans="4:16" x14ac:dyDescent="0.3">
      <c r="D733" s="99" t="s">
        <v>2344</v>
      </c>
      <c r="E733" s="100">
        <v>46017</v>
      </c>
      <c r="F733" s="100" t="str">
        <f t="shared" si="72"/>
        <v/>
      </c>
      <c r="G733" s="101" t="str">
        <f t="shared" si="73"/>
        <v/>
      </c>
      <c r="H733" s="102" t="str">
        <f t="shared" si="70"/>
        <v/>
      </c>
      <c r="K733" s="99" t="s">
        <v>2763</v>
      </c>
      <c r="L733" s="102">
        <f t="shared" si="74"/>
        <v>1</v>
      </c>
      <c r="M733" s="100">
        <v>45982</v>
      </c>
      <c r="N733" s="101">
        <v>41</v>
      </c>
      <c r="O733" s="101" t="str">
        <f t="shared" si="75"/>
        <v>31-60</v>
      </c>
      <c r="P733" s="101" t="str">
        <f t="shared" si="71"/>
        <v>High</v>
      </c>
    </row>
    <row r="734" spans="4:16" x14ac:dyDescent="0.3">
      <c r="D734" s="99" t="s">
        <v>2345</v>
      </c>
      <c r="E734" s="100">
        <v>45664</v>
      </c>
      <c r="F734" s="100">
        <f t="shared" si="72"/>
        <v>45772</v>
      </c>
      <c r="G734" s="101">
        <f t="shared" si="73"/>
        <v>108</v>
      </c>
      <c r="H734" s="102">
        <f t="shared" si="70"/>
        <v>0</v>
      </c>
      <c r="K734" s="99" t="s">
        <v>2764</v>
      </c>
      <c r="L734" s="102">
        <f t="shared" si="74"/>
        <v>0</v>
      </c>
      <c r="M734" s="100">
        <v>45952</v>
      </c>
      <c r="N734" s="101">
        <v>71</v>
      </c>
      <c r="O734" s="101" t="str">
        <f t="shared" si="75"/>
        <v>61-90</v>
      </c>
      <c r="P734" s="101" t="str">
        <f t="shared" si="71"/>
        <v>Low</v>
      </c>
    </row>
    <row r="735" spans="4:16" x14ac:dyDescent="0.3">
      <c r="D735" s="99" t="s">
        <v>2345</v>
      </c>
      <c r="E735" s="100">
        <v>45772</v>
      </c>
      <c r="F735" s="100">
        <f t="shared" si="72"/>
        <v>45792</v>
      </c>
      <c r="G735" s="101">
        <f t="shared" si="73"/>
        <v>20</v>
      </c>
      <c r="H735" s="102">
        <f t="shared" si="70"/>
        <v>1</v>
      </c>
      <c r="K735" s="99" t="s">
        <v>2765</v>
      </c>
      <c r="L735" s="102">
        <f t="shared" si="74"/>
        <v>0</v>
      </c>
      <c r="M735" s="100">
        <v>45905</v>
      </c>
      <c r="N735" s="101">
        <v>118</v>
      </c>
      <c r="O735" s="101" t="str">
        <f t="shared" si="75"/>
        <v>90+</v>
      </c>
      <c r="P735" s="101" t="str">
        <f t="shared" si="71"/>
        <v>Low</v>
      </c>
    </row>
    <row r="736" spans="4:16" x14ac:dyDescent="0.3">
      <c r="D736" s="99" t="s">
        <v>2345</v>
      </c>
      <c r="E736" s="100">
        <v>45792</v>
      </c>
      <c r="F736" s="100">
        <f t="shared" si="72"/>
        <v>45840</v>
      </c>
      <c r="G736" s="101">
        <f t="shared" si="73"/>
        <v>48</v>
      </c>
      <c r="H736" s="102">
        <f t="shared" si="70"/>
        <v>0</v>
      </c>
      <c r="K736" s="99" t="s">
        <v>2766</v>
      </c>
      <c r="L736" s="102">
        <f t="shared" si="74"/>
        <v>0</v>
      </c>
      <c r="M736" s="100">
        <v>45659</v>
      </c>
      <c r="N736" s="101">
        <v>364</v>
      </c>
      <c r="O736" s="101" t="str">
        <f t="shared" si="75"/>
        <v>90+</v>
      </c>
      <c r="P736" s="101" t="str">
        <f t="shared" si="71"/>
        <v>Low</v>
      </c>
    </row>
    <row r="737" spans="4:16" x14ac:dyDescent="0.3">
      <c r="D737" s="99" t="s">
        <v>2345</v>
      </c>
      <c r="E737" s="100">
        <v>45840</v>
      </c>
      <c r="F737" s="100">
        <f t="shared" si="72"/>
        <v>45848</v>
      </c>
      <c r="G737" s="101">
        <f t="shared" si="73"/>
        <v>8</v>
      </c>
      <c r="H737" s="102">
        <f t="shared" si="70"/>
        <v>1</v>
      </c>
      <c r="K737" s="99" t="s">
        <v>2767</v>
      </c>
      <c r="L737" s="102">
        <f t="shared" si="74"/>
        <v>0</v>
      </c>
      <c r="M737" s="100">
        <v>45950</v>
      </c>
      <c r="N737" s="101">
        <v>73</v>
      </c>
      <c r="O737" s="101" t="str">
        <f t="shared" si="75"/>
        <v>61-90</v>
      </c>
      <c r="P737" s="101" t="str">
        <f t="shared" si="71"/>
        <v>Low</v>
      </c>
    </row>
    <row r="738" spans="4:16" x14ac:dyDescent="0.3">
      <c r="D738" s="99" t="s">
        <v>2345</v>
      </c>
      <c r="E738" s="100">
        <v>45848</v>
      </c>
      <c r="F738" s="100">
        <f t="shared" si="72"/>
        <v>45875</v>
      </c>
      <c r="G738" s="101">
        <f t="shared" si="73"/>
        <v>27</v>
      </c>
      <c r="H738" s="102">
        <f t="shared" si="70"/>
        <v>1</v>
      </c>
      <c r="K738" s="99" t="s">
        <v>2768</v>
      </c>
      <c r="L738" s="102">
        <f t="shared" si="74"/>
        <v>0</v>
      </c>
      <c r="M738" s="100">
        <v>45789</v>
      </c>
      <c r="N738" s="101">
        <v>234</v>
      </c>
      <c r="O738" s="101" t="str">
        <f t="shared" si="75"/>
        <v>90+</v>
      </c>
      <c r="P738" s="101" t="str">
        <f t="shared" si="71"/>
        <v>Low</v>
      </c>
    </row>
    <row r="739" spans="4:16" x14ac:dyDescent="0.3">
      <c r="D739" s="99" t="s">
        <v>2345</v>
      </c>
      <c r="E739" s="100">
        <v>45875</v>
      </c>
      <c r="F739" s="100" t="str">
        <f t="shared" si="72"/>
        <v/>
      </c>
      <c r="G739" s="101" t="str">
        <f t="shared" si="73"/>
        <v/>
      </c>
      <c r="H739" s="102" t="str">
        <f t="shared" si="70"/>
        <v/>
      </c>
      <c r="K739" s="99" t="s">
        <v>2769</v>
      </c>
      <c r="L739" s="102">
        <f t="shared" si="74"/>
        <v>0</v>
      </c>
      <c r="M739" s="100">
        <v>45978</v>
      </c>
      <c r="N739" s="101">
        <v>45</v>
      </c>
      <c r="O739" s="101" t="str">
        <f t="shared" si="75"/>
        <v>31-60</v>
      </c>
      <c r="P739" s="101" t="str">
        <f t="shared" si="71"/>
        <v>High</v>
      </c>
    </row>
    <row r="740" spans="4:16" x14ac:dyDescent="0.3">
      <c r="D740" s="99" t="s">
        <v>2346</v>
      </c>
      <c r="E740" s="100">
        <v>45715</v>
      </c>
      <c r="F740" s="100">
        <f t="shared" si="72"/>
        <v>45747</v>
      </c>
      <c r="G740" s="101">
        <f t="shared" si="73"/>
        <v>32</v>
      </c>
      <c r="H740" s="102">
        <f t="shared" si="70"/>
        <v>0</v>
      </c>
      <c r="K740" s="99" t="s">
        <v>2770</v>
      </c>
      <c r="L740" s="102">
        <f t="shared" si="74"/>
        <v>0</v>
      </c>
      <c r="M740" s="100">
        <v>45831</v>
      </c>
      <c r="N740" s="101">
        <v>192</v>
      </c>
      <c r="O740" s="101" t="str">
        <f t="shared" si="75"/>
        <v>90+</v>
      </c>
      <c r="P740" s="101" t="str">
        <f t="shared" si="71"/>
        <v>Low</v>
      </c>
    </row>
    <row r="741" spans="4:16" x14ac:dyDescent="0.3">
      <c r="D741" s="99" t="s">
        <v>2346</v>
      </c>
      <c r="E741" s="100">
        <v>45747</v>
      </c>
      <c r="F741" s="100">
        <f t="shared" si="72"/>
        <v>45931</v>
      </c>
      <c r="G741" s="101">
        <f t="shared" si="73"/>
        <v>184</v>
      </c>
      <c r="H741" s="102">
        <f t="shared" si="70"/>
        <v>0</v>
      </c>
      <c r="K741" s="99" t="s">
        <v>2771</v>
      </c>
      <c r="L741" s="102">
        <f t="shared" si="74"/>
        <v>0</v>
      </c>
      <c r="M741" s="100">
        <v>45768</v>
      </c>
      <c r="N741" s="101">
        <v>255</v>
      </c>
      <c r="O741" s="101" t="str">
        <f t="shared" si="75"/>
        <v>90+</v>
      </c>
      <c r="P741" s="101" t="str">
        <f t="shared" si="71"/>
        <v>Low</v>
      </c>
    </row>
    <row r="742" spans="4:16" x14ac:dyDescent="0.3">
      <c r="D742" s="99" t="s">
        <v>2346</v>
      </c>
      <c r="E742" s="100">
        <v>45931</v>
      </c>
      <c r="F742" s="100">
        <f t="shared" si="72"/>
        <v>46007</v>
      </c>
      <c r="G742" s="101">
        <f t="shared" si="73"/>
        <v>76</v>
      </c>
      <c r="H742" s="102">
        <f t="shared" si="70"/>
        <v>0</v>
      </c>
      <c r="K742" s="99" t="s">
        <v>2772</v>
      </c>
      <c r="L742" s="102">
        <f t="shared" si="74"/>
        <v>0</v>
      </c>
      <c r="M742" s="100">
        <v>46022</v>
      </c>
      <c r="N742" s="101">
        <v>1</v>
      </c>
      <c r="O742" s="101" t="str">
        <f t="shared" si="75"/>
        <v>0-30</v>
      </c>
      <c r="P742" s="101" t="str">
        <f t="shared" si="71"/>
        <v>High</v>
      </c>
    </row>
    <row r="743" spans="4:16" x14ac:dyDescent="0.3">
      <c r="D743" s="99" t="s">
        <v>2346</v>
      </c>
      <c r="E743" s="100">
        <v>46007</v>
      </c>
      <c r="F743" s="100" t="str">
        <f t="shared" si="72"/>
        <v/>
      </c>
      <c r="G743" s="101" t="str">
        <f t="shared" si="73"/>
        <v/>
      </c>
      <c r="H743" s="102" t="str">
        <f t="shared" si="70"/>
        <v/>
      </c>
      <c r="K743" s="99" t="s">
        <v>2773</v>
      </c>
      <c r="L743" s="102">
        <f t="shared" si="74"/>
        <v>1</v>
      </c>
      <c r="M743" s="100">
        <v>45840</v>
      </c>
      <c r="N743" s="101">
        <v>183</v>
      </c>
      <c r="O743" s="101" t="str">
        <f t="shared" si="75"/>
        <v>90+</v>
      </c>
      <c r="P743" s="101" t="str">
        <f t="shared" si="71"/>
        <v>Low</v>
      </c>
    </row>
    <row r="744" spans="4:16" x14ac:dyDescent="0.3">
      <c r="D744" s="99" t="s">
        <v>2347</v>
      </c>
      <c r="E744" s="100">
        <v>45667</v>
      </c>
      <c r="F744" s="100">
        <f t="shared" si="72"/>
        <v>45838</v>
      </c>
      <c r="G744" s="101">
        <f t="shared" si="73"/>
        <v>171</v>
      </c>
      <c r="H744" s="102">
        <f t="shared" si="70"/>
        <v>0</v>
      </c>
      <c r="K744" s="99" t="s">
        <v>2774</v>
      </c>
      <c r="L744" s="102">
        <f t="shared" si="74"/>
        <v>1</v>
      </c>
      <c r="M744" s="100">
        <v>45994</v>
      </c>
      <c r="N744" s="101">
        <v>29</v>
      </c>
      <c r="O744" s="101" t="str">
        <f t="shared" si="75"/>
        <v>0-30</v>
      </c>
      <c r="P744" s="101" t="str">
        <f t="shared" si="71"/>
        <v>High</v>
      </c>
    </row>
    <row r="745" spans="4:16" x14ac:dyDescent="0.3">
      <c r="D745" s="99" t="s">
        <v>2347</v>
      </c>
      <c r="E745" s="100">
        <v>45838</v>
      </c>
      <c r="F745" s="100">
        <f t="shared" si="72"/>
        <v>46014</v>
      </c>
      <c r="G745" s="101">
        <f t="shared" si="73"/>
        <v>176</v>
      </c>
      <c r="H745" s="102">
        <f t="shared" si="70"/>
        <v>0</v>
      </c>
      <c r="K745" s="99" t="s">
        <v>2775</v>
      </c>
      <c r="L745" s="102">
        <f t="shared" si="74"/>
        <v>0</v>
      </c>
      <c r="M745" s="100">
        <v>45952</v>
      </c>
      <c r="N745" s="101">
        <v>71</v>
      </c>
      <c r="O745" s="101" t="str">
        <f t="shared" si="75"/>
        <v>61-90</v>
      </c>
      <c r="P745" s="101" t="str">
        <f t="shared" si="71"/>
        <v>Low</v>
      </c>
    </row>
    <row r="746" spans="4:16" x14ac:dyDescent="0.3">
      <c r="D746" s="99" t="s">
        <v>2347</v>
      </c>
      <c r="E746" s="100">
        <v>46014</v>
      </c>
      <c r="F746" s="100" t="str">
        <f t="shared" si="72"/>
        <v/>
      </c>
      <c r="G746" s="101" t="str">
        <f t="shared" si="73"/>
        <v/>
      </c>
      <c r="H746" s="102" t="str">
        <f t="shared" si="70"/>
        <v/>
      </c>
      <c r="K746" s="99" t="s">
        <v>2776</v>
      </c>
      <c r="L746" s="102">
        <f t="shared" si="74"/>
        <v>0</v>
      </c>
      <c r="M746" s="100">
        <v>46007</v>
      </c>
      <c r="N746" s="101">
        <v>16</v>
      </c>
      <c r="O746" s="101" t="str">
        <f t="shared" si="75"/>
        <v>0-30</v>
      </c>
      <c r="P746" s="101" t="str">
        <f t="shared" si="71"/>
        <v>High</v>
      </c>
    </row>
    <row r="747" spans="4:16" x14ac:dyDescent="0.3">
      <c r="D747" s="99" t="s">
        <v>2348</v>
      </c>
      <c r="E747" s="100">
        <v>45910</v>
      </c>
      <c r="F747" s="100" t="str">
        <f t="shared" si="72"/>
        <v/>
      </c>
      <c r="G747" s="101" t="str">
        <f t="shared" si="73"/>
        <v/>
      </c>
      <c r="H747" s="102" t="str">
        <f t="shared" si="70"/>
        <v/>
      </c>
      <c r="K747" s="99" t="s">
        <v>2777</v>
      </c>
      <c r="L747" s="102">
        <f t="shared" si="74"/>
        <v>1</v>
      </c>
      <c r="M747" s="100">
        <v>46007</v>
      </c>
      <c r="N747" s="101">
        <v>16</v>
      </c>
      <c r="O747" s="101" t="str">
        <f t="shared" si="75"/>
        <v>0-30</v>
      </c>
      <c r="P747" s="101" t="str">
        <f t="shared" si="71"/>
        <v>High</v>
      </c>
    </row>
    <row r="748" spans="4:16" x14ac:dyDescent="0.3">
      <c r="D748" s="99" t="s">
        <v>2349</v>
      </c>
      <c r="E748" s="100">
        <v>45852</v>
      </c>
      <c r="F748" s="100">
        <f t="shared" si="72"/>
        <v>45909</v>
      </c>
      <c r="G748" s="101">
        <f t="shared" si="73"/>
        <v>57</v>
      </c>
      <c r="H748" s="102">
        <f t="shared" si="70"/>
        <v>0</v>
      </c>
      <c r="K748" s="99" t="s">
        <v>2778</v>
      </c>
      <c r="L748" s="102">
        <f t="shared" si="74"/>
        <v>0</v>
      </c>
      <c r="M748" s="100">
        <v>45863</v>
      </c>
      <c r="N748" s="101">
        <v>160</v>
      </c>
      <c r="O748" s="101" t="str">
        <f t="shared" si="75"/>
        <v>90+</v>
      </c>
      <c r="P748" s="101" t="str">
        <f t="shared" si="71"/>
        <v>Low</v>
      </c>
    </row>
    <row r="749" spans="4:16" x14ac:dyDescent="0.3">
      <c r="D749" s="99" t="s">
        <v>2349</v>
      </c>
      <c r="E749" s="100">
        <v>45909</v>
      </c>
      <c r="F749" s="100" t="str">
        <f t="shared" si="72"/>
        <v/>
      </c>
      <c r="G749" s="101" t="str">
        <f t="shared" si="73"/>
        <v/>
      </c>
      <c r="H749" s="102" t="str">
        <f t="shared" si="70"/>
        <v/>
      </c>
      <c r="K749" s="99" t="s">
        <v>2779</v>
      </c>
      <c r="L749" s="102">
        <f t="shared" si="74"/>
        <v>1</v>
      </c>
      <c r="M749" s="100">
        <v>45992</v>
      </c>
      <c r="N749" s="101">
        <v>31</v>
      </c>
      <c r="O749" s="101" t="str">
        <f t="shared" si="75"/>
        <v>31-60</v>
      </c>
      <c r="P749" s="101" t="str">
        <f t="shared" si="71"/>
        <v>High</v>
      </c>
    </row>
    <row r="750" spans="4:16" x14ac:dyDescent="0.3">
      <c r="D750" s="99" t="s">
        <v>2350</v>
      </c>
      <c r="E750" s="100">
        <v>45687</v>
      </c>
      <c r="F750" s="100" t="str">
        <f t="shared" si="72"/>
        <v/>
      </c>
      <c r="G750" s="101" t="str">
        <f t="shared" si="73"/>
        <v/>
      </c>
      <c r="H750" s="102" t="str">
        <f t="shared" si="70"/>
        <v/>
      </c>
      <c r="K750" s="99" t="s">
        <v>2780</v>
      </c>
      <c r="L750" s="102">
        <f t="shared" si="74"/>
        <v>1</v>
      </c>
      <c r="M750" s="100">
        <v>45982</v>
      </c>
      <c r="N750" s="101">
        <v>41</v>
      </c>
      <c r="O750" s="101" t="str">
        <f t="shared" si="75"/>
        <v>31-60</v>
      </c>
      <c r="P750" s="101" t="str">
        <f t="shared" si="71"/>
        <v>High</v>
      </c>
    </row>
    <row r="751" spans="4:16" x14ac:dyDescent="0.3">
      <c r="D751" s="99" t="s">
        <v>2351</v>
      </c>
      <c r="E751" s="100">
        <v>45768</v>
      </c>
      <c r="F751" s="100">
        <f t="shared" si="72"/>
        <v>45775</v>
      </c>
      <c r="G751" s="101">
        <f t="shared" si="73"/>
        <v>7</v>
      </c>
      <c r="H751" s="102">
        <f t="shared" si="70"/>
        <v>1</v>
      </c>
      <c r="K751" s="99" t="s">
        <v>2781</v>
      </c>
      <c r="L751" s="102">
        <f t="shared" si="74"/>
        <v>0</v>
      </c>
      <c r="M751" s="100">
        <v>46015</v>
      </c>
      <c r="N751" s="101">
        <v>8</v>
      </c>
      <c r="O751" s="101" t="str">
        <f t="shared" si="75"/>
        <v>0-30</v>
      </c>
      <c r="P751" s="101" t="str">
        <f t="shared" si="71"/>
        <v>High</v>
      </c>
    </row>
    <row r="752" spans="4:16" x14ac:dyDescent="0.3">
      <c r="D752" s="99" t="s">
        <v>2351</v>
      </c>
      <c r="E752" s="100">
        <v>45775</v>
      </c>
      <c r="F752" s="100">
        <f t="shared" si="72"/>
        <v>45874</v>
      </c>
      <c r="G752" s="101">
        <f t="shared" si="73"/>
        <v>99</v>
      </c>
      <c r="H752" s="102">
        <f t="shared" si="70"/>
        <v>0</v>
      </c>
      <c r="K752" s="99" t="s">
        <v>2782</v>
      </c>
      <c r="L752" s="102">
        <f t="shared" si="74"/>
        <v>0</v>
      </c>
      <c r="M752" s="100">
        <v>45847</v>
      </c>
      <c r="N752" s="101">
        <v>176</v>
      </c>
      <c r="O752" s="101" t="str">
        <f t="shared" si="75"/>
        <v>90+</v>
      </c>
      <c r="P752" s="101" t="str">
        <f t="shared" si="71"/>
        <v>Low</v>
      </c>
    </row>
    <row r="753" spans="4:16" x14ac:dyDescent="0.3">
      <c r="D753" s="99" t="s">
        <v>2351</v>
      </c>
      <c r="E753" s="100">
        <v>45874</v>
      </c>
      <c r="F753" s="100" t="str">
        <f t="shared" si="72"/>
        <v/>
      </c>
      <c r="G753" s="101" t="str">
        <f t="shared" si="73"/>
        <v/>
      </c>
      <c r="H753" s="102" t="str">
        <f t="shared" si="70"/>
        <v/>
      </c>
      <c r="K753" s="99" t="s">
        <v>2783</v>
      </c>
      <c r="L753" s="102">
        <f t="shared" si="74"/>
        <v>1</v>
      </c>
      <c r="M753" s="100">
        <v>45926</v>
      </c>
      <c r="N753" s="101">
        <v>97</v>
      </c>
      <c r="O753" s="101" t="str">
        <f t="shared" si="75"/>
        <v>90+</v>
      </c>
      <c r="P753" s="101" t="str">
        <f t="shared" si="71"/>
        <v>Low</v>
      </c>
    </row>
    <row r="754" spans="4:16" x14ac:dyDescent="0.3">
      <c r="D754" s="99" t="s">
        <v>2352</v>
      </c>
      <c r="E754" s="100">
        <v>45922</v>
      </c>
      <c r="F754" s="100" t="str">
        <f t="shared" si="72"/>
        <v/>
      </c>
      <c r="G754" s="101" t="str">
        <f t="shared" si="73"/>
        <v/>
      </c>
      <c r="H754" s="102" t="str">
        <f t="shared" si="70"/>
        <v/>
      </c>
      <c r="K754" s="99" t="s">
        <v>2784</v>
      </c>
      <c r="L754" s="102">
        <f t="shared" si="74"/>
        <v>0</v>
      </c>
      <c r="M754" s="100">
        <v>45740</v>
      </c>
      <c r="N754" s="101">
        <v>283</v>
      </c>
      <c r="O754" s="101" t="str">
        <f t="shared" si="75"/>
        <v>90+</v>
      </c>
      <c r="P754" s="101" t="str">
        <f t="shared" si="71"/>
        <v>Low</v>
      </c>
    </row>
    <row r="755" spans="4:16" x14ac:dyDescent="0.3">
      <c r="D755" s="99" t="s">
        <v>2353</v>
      </c>
      <c r="E755" s="100">
        <v>45848</v>
      </c>
      <c r="F755" s="100">
        <f t="shared" si="72"/>
        <v>45895</v>
      </c>
      <c r="G755" s="101">
        <f t="shared" si="73"/>
        <v>47</v>
      </c>
      <c r="H755" s="102">
        <f t="shared" si="70"/>
        <v>0</v>
      </c>
      <c r="K755" s="99" t="s">
        <v>2785</v>
      </c>
      <c r="L755" s="102">
        <f t="shared" si="74"/>
        <v>0</v>
      </c>
      <c r="M755" s="100">
        <v>45961</v>
      </c>
      <c r="N755" s="101">
        <v>62</v>
      </c>
      <c r="O755" s="101" t="str">
        <f t="shared" si="75"/>
        <v>61-90</v>
      </c>
      <c r="P755" s="101" t="str">
        <f t="shared" si="71"/>
        <v>Low</v>
      </c>
    </row>
    <row r="756" spans="4:16" x14ac:dyDescent="0.3">
      <c r="D756" s="99" t="s">
        <v>2353</v>
      </c>
      <c r="E756" s="100">
        <v>45895</v>
      </c>
      <c r="F756" s="100">
        <f t="shared" si="72"/>
        <v>45967</v>
      </c>
      <c r="G756" s="101">
        <f t="shared" si="73"/>
        <v>72</v>
      </c>
      <c r="H756" s="102">
        <f t="shared" si="70"/>
        <v>0</v>
      </c>
      <c r="K756" s="99" t="s">
        <v>2786</v>
      </c>
      <c r="L756" s="102">
        <f t="shared" si="74"/>
        <v>1</v>
      </c>
      <c r="M756" s="100">
        <v>45978</v>
      </c>
      <c r="N756" s="101">
        <v>45</v>
      </c>
      <c r="O756" s="101" t="str">
        <f t="shared" si="75"/>
        <v>31-60</v>
      </c>
      <c r="P756" s="101" t="str">
        <f t="shared" si="71"/>
        <v>High</v>
      </c>
    </row>
    <row r="757" spans="4:16" x14ac:dyDescent="0.3">
      <c r="D757" s="99" t="s">
        <v>2353</v>
      </c>
      <c r="E757" s="100">
        <v>45967</v>
      </c>
      <c r="F757" s="100" t="str">
        <f t="shared" si="72"/>
        <v/>
      </c>
      <c r="G757" s="101" t="str">
        <f t="shared" si="73"/>
        <v/>
      </c>
      <c r="H757" s="102" t="str">
        <f t="shared" si="70"/>
        <v/>
      </c>
      <c r="K757" s="99" t="s">
        <v>2787</v>
      </c>
      <c r="L757" s="102">
        <f t="shared" si="74"/>
        <v>0</v>
      </c>
      <c r="M757" s="100">
        <v>45874</v>
      </c>
      <c r="N757" s="101">
        <v>149</v>
      </c>
      <c r="O757" s="101" t="str">
        <f t="shared" si="75"/>
        <v>90+</v>
      </c>
      <c r="P757" s="101" t="str">
        <f t="shared" si="71"/>
        <v>Low</v>
      </c>
    </row>
    <row r="758" spans="4:16" x14ac:dyDescent="0.3">
      <c r="D758" s="99" t="s">
        <v>2354</v>
      </c>
      <c r="E758" s="100">
        <v>46022</v>
      </c>
      <c r="F758" s="100" t="str">
        <f t="shared" si="72"/>
        <v/>
      </c>
      <c r="G758" s="101" t="str">
        <f t="shared" si="73"/>
        <v/>
      </c>
      <c r="H758" s="102" t="str">
        <f t="shared" si="70"/>
        <v/>
      </c>
      <c r="K758" s="99" t="s">
        <v>2788</v>
      </c>
      <c r="L758" s="102">
        <f t="shared" si="74"/>
        <v>1</v>
      </c>
      <c r="M758" s="100">
        <v>45922</v>
      </c>
      <c r="N758" s="101">
        <v>101</v>
      </c>
      <c r="O758" s="101" t="str">
        <f t="shared" si="75"/>
        <v>90+</v>
      </c>
      <c r="P758" s="101" t="str">
        <f t="shared" si="71"/>
        <v>Low</v>
      </c>
    </row>
    <row r="759" spans="4:16" x14ac:dyDescent="0.3">
      <c r="D759" s="99" t="s">
        <v>2355</v>
      </c>
      <c r="E759" s="100">
        <v>45673</v>
      </c>
      <c r="F759" s="100">
        <f t="shared" si="72"/>
        <v>45680</v>
      </c>
      <c r="G759" s="101">
        <f t="shared" si="73"/>
        <v>7</v>
      </c>
      <c r="H759" s="102">
        <f t="shared" si="70"/>
        <v>1</v>
      </c>
      <c r="K759" s="99" t="s">
        <v>2789</v>
      </c>
      <c r="L759" s="102">
        <f t="shared" si="74"/>
        <v>1</v>
      </c>
      <c r="M759" s="100">
        <v>45854</v>
      </c>
      <c r="N759" s="101">
        <v>169</v>
      </c>
      <c r="O759" s="101" t="str">
        <f t="shared" si="75"/>
        <v>90+</v>
      </c>
      <c r="P759" s="101" t="str">
        <f t="shared" si="71"/>
        <v>Low</v>
      </c>
    </row>
    <row r="760" spans="4:16" x14ac:dyDescent="0.3">
      <c r="D760" s="99" t="s">
        <v>2355</v>
      </c>
      <c r="E760" s="100">
        <v>45680</v>
      </c>
      <c r="F760" s="100">
        <f t="shared" si="72"/>
        <v>45972</v>
      </c>
      <c r="G760" s="101">
        <f t="shared" si="73"/>
        <v>292</v>
      </c>
      <c r="H760" s="102">
        <f t="shared" si="70"/>
        <v>0</v>
      </c>
      <c r="K760" s="99" t="s">
        <v>2790</v>
      </c>
      <c r="L760" s="102">
        <f t="shared" si="74"/>
        <v>0</v>
      </c>
      <c r="M760" s="100">
        <v>45930</v>
      </c>
      <c r="N760" s="101">
        <v>93</v>
      </c>
      <c r="O760" s="101" t="str">
        <f t="shared" si="75"/>
        <v>90+</v>
      </c>
      <c r="P760" s="101" t="str">
        <f t="shared" si="71"/>
        <v>Low</v>
      </c>
    </row>
    <row r="761" spans="4:16" x14ac:dyDescent="0.3">
      <c r="D761" s="99" t="s">
        <v>2355</v>
      </c>
      <c r="E761" s="100">
        <v>45972</v>
      </c>
      <c r="F761" s="100" t="str">
        <f t="shared" si="72"/>
        <v/>
      </c>
      <c r="G761" s="101" t="str">
        <f t="shared" si="73"/>
        <v/>
      </c>
      <c r="H761" s="102" t="str">
        <f t="shared" si="70"/>
        <v/>
      </c>
      <c r="K761" s="99" t="s">
        <v>2791</v>
      </c>
      <c r="L761" s="102">
        <f t="shared" si="74"/>
        <v>0</v>
      </c>
      <c r="M761" s="100">
        <v>45659</v>
      </c>
      <c r="N761" s="101">
        <v>364</v>
      </c>
      <c r="O761" s="101" t="str">
        <f t="shared" si="75"/>
        <v>90+</v>
      </c>
      <c r="P761" s="101" t="str">
        <f t="shared" si="71"/>
        <v>Low</v>
      </c>
    </row>
    <row r="762" spans="4:16" x14ac:dyDescent="0.3">
      <c r="D762" s="99" t="s">
        <v>2356</v>
      </c>
      <c r="E762" s="100">
        <v>45667</v>
      </c>
      <c r="F762" s="100">
        <f t="shared" si="72"/>
        <v>45701</v>
      </c>
      <c r="G762" s="101">
        <f t="shared" si="73"/>
        <v>34</v>
      </c>
      <c r="H762" s="102">
        <f t="shared" si="70"/>
        <v>0</v>
      </c>
      <c r="K762" s="99" t="s">
        <v>2792</v>
      </c>
      <c r="L762" s="102">
        <f t="shared" si="74"/>
        <v>0</v>
      </c>
      <c r="M762" s="100">
        <v>45996</v>
      </c>
      <c r="N762" s="101">
        <v>27</v>
      </c>
      <c r="O762" s="101" t="str">
        <f t="shared" si="75"/>
        <v>0-30</v>
      </c>
      <c r="P762" s="101" t="str">
        <f t="shared" si="71"/>
        <v>High</v>
      </c>
    </row>
    <row r="763" spans="4:16" x14ac:dyDescent="0.3">
      <c r="D763" s="99" t="s">
        <v>2356</v>
      </c>
      <c r="E763" s="100">
        <v>45701</v>
      </c>
      <c r="F763" s="100">
        <f t="shared" si="72"/>
        <v>45754</v>
      </c>
      <c r="G763" s="101">
        <f t="shared" si="73"/>
        <v>53</v>
      </c>
      <c r="H763" s="102">
        <f t="shared" si="70"/>
        <v>0</v>
      </c>
      <c r="K763" s="99" t="s">
        <v>2793</v>
      </c>
      <c r="L763" s="102">
        <f t="shared" si="74"/>
        <v>0</v>
      </c>
      <c r="M763" s="100">
        <v>45699</v>
      </c>
      <c r="N763" s="101">
        <v>324</v>
      </c>
      <c r="O763" s="101" t="str">
        <f t="shared" si="75"/>
        <v>90+</v>
      </c>
      <c r="P763" s="101" t="str">
        <f t="shared" si="71"/>
        <v>Low</v>
      </c>
    </row>
    <row r="764" spans="4:16" x14ac:dyDescent="0.3">
      <c r="D764" s="99" t="s">
        <v>2356</v>
      </c>
      <c r="E764" s="100">
        <v>45754</v>
      </c>
      <c r="F764" s="100">
        <f t="shared" si="72"/>
        <v>45778</v>
      </c>
      <c r="G764" s="101">
        <f t="shared" si="73"/>
        <v>24</v>
      </c>
      <c r="H764" s="102">
        <f t="shared" si="70"/>
        <v>1</v>
      </c>
      <c r="K764" s="99" t="s">
        <v>2794</v>
      </c>
      <c r="L764" s="102">
        <f t="shared" si="74"/>
        <v>0</v>
      </c>
      <c r="M764" s="100">
        <v>45799</v>
      </c>
      <c r="N764" s="101">
        <v>224</v>
      </c>
      <c r="O764" s="101" t="str">
        <f t="shared" si="75"/>
        <v>90+</v>
      </c>
      <c r="P764" s="101" t="str">
        <f t="shared" si="71"/>
        <v>Low</v>
      </c>
    </row>
    <row r="765" spans="4:16" x14ac:dyDescent="0.3">
      <c r="D765" s="99" t="s">
        <v>2356</v>
      </c>
      <c r="E765" s="100">
        <v>45778</v>
      </c>
      <c r="F765" s="100">
        <f t="shared" si="72"/>
        <v>45918</v>
      </c>
      <c r="G765" s="101">
        <f t="shared" si="73"/>
        <v>140</v>
      </c>
      <c r="H765" s="102">
        <f t="shared" si="70"/>
        <v>0</v>
      </c>
      <c r="K765" s="99" t="s">
        <v>2795</v>
      </c>
      <c r="L765" s="102">
        <f t="shared" si="74"/>
        <v>0</v>
      </c>
      <c r="M765" s="100">
        <v>45835</v>
      </c>
      <c r="N765" s="101">
        <v>188</v>
      </c>
      <c r="O765" s="101" t="str">
        <f t="shared" si="75"/>
        <v>90+</v>
      </c>
      <c r="P765" s="101" t="str">
        <f t="shared" si="71"/>
        <v>Low</v>
      </c>
    </row>
    <row r="766" spans="4:16" x14ac:dyDescent="0.3">
      <c r="D766" s="99" t="s">
        <v>2356</v>
      </c>
      <c r="E766" s="100">
        <v>45918</v>
      </c>
      <c r="F766" s="100" t="str">
        <f t="shared" si="72"/>
        <v/>
      </c>
      <c r="G766" s="101" t="str">
        <f t="shared" si="73"/>
        <v/>
      </c>
      <c r="H766" s="102" t="str">
        <f t="shared" si="70"/>
        <v/>
      </c>
      <c r="K766" s="99" t="s">
        <v>2796</v>
      </c>
      <c r="L766" s="102">
        <f t="shared" si="74"/>
        <v>1</v>
      </c>
      <c r="M766" s="100">
        <v>45874</v>
      </c>
      <c r="N766" s="101">
        <v>149</v>
      </c>
      <c r="O766" s="101" t="str">
        <f t="shared" si="75"/>
        <v>90+</v>
      </c>
      <c r="P766" s="101" t="str">
        <f t="shared" si="71"/>
        <v>Low</v>
      </c>
    </row>
    <row r="767" spans="4:16" x14ac:dyDescent="0.3">
      <c r="D767" s="99" t="s">
        <v>2357</v>
      </c>
      <c r="E767" s="100">
        <v>45875</v>
      </c>
      <c r="F767" s="100" t="str">
        <f t="shared" si="72"/>
        <v/>
      </c>
      <c r="G767" s="101" t="str">
        <f t="shared" si="73"/>
        <v/>
      </c>
      <c r="H767" s="102" t="str">
        <f t="shared" si="70"/>
        <v/>
      </c>
      <c r="K767" s="99" t="s">
        <v>2797</v>
      </c>
      <c r="L767" s="102">
        <f t="shared" si="74"/>
        <v>0</v>
      </c>
      <c r="M767" s="100">
        <v>45978</v>
      </c>
      <c r="N767" s="101">
        <v>45</v>
      </c>
      <c r="O767" s="101" t="str">
        <f t="shared" si="75"/>
        <v>31-60</v>
      </c>
      <c r="P767" s="101" t="str">
        <f t="shared" si="71"/>
        <v>High</v>
      </c>
    </row>
    <row r="768" spans="4:16" x14ac:dyDescent="0.3">
      <c r="D768" s="99" t="s">
        <v>2358</v>
      </c>
      <c r="E768" s="100">
        <v>45699</v>
      </c>
      <c r="F768" s="100" t="str">
        <f t="shared" si="72"/>
        <v/>
      </c>
      <c r="G768" s="101" t="str">
        <f t="shared" si="73"/>
        <v/>
      </c>
      <c r="H768" s="102" t="str">
        <f t="shared" si="70"/>
        <v/>
      </c>
      <c r="K768" s="99" t="s">
        <v>2798</v>
      </c>
      <c r="L768" s="102">
        <f t="shared" si="74"/>
        <v>0</v>
      </c>
      <c r="M768" s="100">
        <v>45764</v>
      </c>
      <c r="N768" s="101">
        <v>259</v>
      </c>
      <c r="O768" s="101" t="str">
        <f t="shared" si="75"/>
        <v>90+</v>
      </c>
      <c r="P768" s="101" t="str">
        <f t="shared" si="71"/>
        <v>Low</v>
      </c>
    </row>
    <row r="769" spans="4:16" x14ac:dyDescent="0.3">
      <c r="D769" s="99" t="s">
        <v>2359</v>
      </c>
      <c r="E769" s="100">
        <v>45714</v>
      </c>
      <c r="F769" s="100">
        <f t="shared" si="72"/>
        <v>45840</v>
      </c>
      <c r="G769" s="101">
        <f t="shared" si="73"/>
        <v>126</v>
      </c>
      <c r="H769" s="102">
        <f t="shared" si="70"/>
        <v>0</v>
      </c>
      <c r="K769" s="99" t="s">
        <v>2799</v>
      </c>
      <c r="L769" s="102">
        <f t="shared" si="74"/>
        <v>0</v>
      </c>
      <c r="M769" s="100">
        <v>45883</v>
      </c>
      <c r="N769" s="101">
        <v>140</v>
      </c>
      <c r="O769" s="101" t="str">
        <f t="shared" si="75"/>
        <v>90+</v>
      </c>
      <c r="P769" s="101" t="str">
        <f t="shared" si="71"/>
        <v>Low</v>
      </c>
    </row>
    <row r="770" spans="4:16" x14ac:dyDescent="0.3">
      <c r="D770" s="99" t="s">
        <v>2359</v>
      </c>
      <c r="E770" s="100">
        <v>45840</v>
      </c>
      <c r="F770" s="100">
        <f t="shared" si="72"/>
        <v>46014</v>
      </c>
      <c r="G770" s="101">
        <f t="shared" si="73"/>
        <v>174</v>
      </c>
      <c r="H770" s="102">
        <f t="shared" si="70"/>
        <v>0</v>
      </c>
      <c r="K770" s="99" t="s">
        <v>2800</v>
      </c>
      <c r="L770" s="102">
        <f t="shared" si="74"/>
        <v>0</v>
      </c>
      <c r="M770" s="100">
        <v>45883</v>
      </c>
      <c r="N770" s="101">
        <v>140</v>
      </c>
      <c r="O770" s="101" t="str">
        <f t="shared" si="75"/>
        <v>90+</v>
      </c>
      <c r="P770" s="101" t="str">
        <f t="shared" si="71"/>
        <v>Low</v>
      </c>
    </row>
    <row r="771" spans="4:16" x14ac:dyDescent="0.3">
      <c r="D771" s="99" t="s">
        <v>2359</v>
      </c>
      <c r="E771" s="100">
        <v>46014</v>
      </c>
      <c r="F771" s="100" t="str">
        <f t="shared" si="72"/>
        <v/>
      </c>
      <c r="G771" s="101" t="str">
        <f t="shared" si="73"/>
        <v/>
      </c>
      <c r="H771" s="102" t="str">
        <f t="shared" si="70"/>
        <v/>
      </c>
      <c r="K771" s="99" t="s">
        <v>2801</v>
      </c>
      <c r="L771" s="102">
        <f t="shared" si="74"/>
        <v>1</v>
      </c>
      <c r="M771" s="100">
        <v>45974</v>
      </c>
      <c r="N771" s="101">
        <v>49</v>
      </c>
      <c r="O771" s="101" t="str">
        <f t="shared" si="75"/>
        <v>31-60</v>
      </c>
      <c r="P771" s="101" t="str">
        <f t="shared" si="71"/>
        <v>High</v>
      </c>
    </row>
    <row r="772" spans="4:16" x14ac:dyDescent="0.3">
      <c r="D772" s="99" t="s">
        <v>2360</v>
      </c>
      <c r="E772" s="100">
        <v>45714</v>
      </c>
      <c r="F772" s="100" t="str">
        <f t="shared" si="72"/>
        <v/>
      </c>
      <c r="G772" s="101" t="str">
        <f t="shared" si="73"/>
        <v/>
      </c>
      <c r="H772" s="102" t="str">
        <f t="shared" si="70"/>
        <v/>
      </c>
      <c r="K772" s="99" t="s">
        <v>2802</v>
      </c>
      <c r="L772" s="102">
        <f t="shared" si="74"/>
        <v>0</v>
      </c>
      <c r="M772" s="100">
        <v>45967</v>
      </c>
      <c r="N772" s="101">
        <v>56</v>
      </c>
      <c r="O772" s="101" t="str">
        <f t="shared" si="75"/>
        <v>31-60</v>
      </c>
      <c r="P772" s="101" t="str">
        <f t="shared" si="71"/>
        <v>High</v>
      </c>
    </row>
    <row r="773" spans="4:16" x14ac:dyDescent="0.3">
      <c r="D773" s="99" t="s">
        <v>2361</v>
      </c>
      <c r="E773" s="100">
        <v>45693</v>
      </c>
      <c r="F773" s="100" t="str">
        <f t="shared" si="72"/>
        <v/>
      </c>
      <c r="G773" s="101" t="str">
        <f t="shared" si="73"/>
        <v/>
      </c>
      <c r="H773" s="102" t="str">
        <f t="shared" si="70"/>
        <v/>
      </c>
      <c r="K773" s="99" t="s">
        <v>2803</v>
      </c>
      <c r="L773" s="102">
        <f t="shared" si="74"/>
        <v>0</v>
      </c>
      <c r="M773" s="100">
        <v>45740</v>
      </c>
      <c r="N773" s="101">
        <v>283</v>
      </c>
      <c r="O773" s="101" t="str">
        <f t="shared" si="75"/>
        <v>90+</v>
      </c>
      <c r="P773" s="101" t="str">
        <f t="shared" si="71"/>
        <v>Low</v>
      </c>
    </row>
    <row r="774" spans="4:16" x14ac:dyDescent="0.3">
      <c r="D774" s="99" t="s">
        <v>2362</v>
      </c>
      <c r="E774" s="100">
        <v>45659</v>
      </c>
      <c r="F774" s="100">
        <f t="shared" si="72"/>
        <v>45680</v>
      </c>
      <c r="G774" s="101">
        <f t="shared" si="73"/>
        <v>21</v>
      </c>
      <c r="H774" s="102">
        <f t="shared" si="70"/>
        <v>1</v>
      </c>
      <c r="K774" s="99" t="s">
        <v>2804</v>
      </c>
      <c r="L774" s="102">
        <f t="shared" si="74"/>
        <v>0</v>
      </c>
      <c r="M774" s="100">
        <v>45959</v>
      </c>
      <c r="N774" s="101">
        <v>64</v>
      </c>
      <c r="O774" s="101" t="str">
        <f t="shared" si="75"/>
        <v>61-90</v>
      </c>
      <c r="P774" s="101" t="str">
        <f t="shared" si="71"/>
        <v>Low</v>
      </c>
    </row>
    <row r="775" spans="4:16" x14ac:dyDescent="0.3">
      <c r="D775" s="99" t="s">
        <v>2362</v>
      </c>
      <c r="E775" s="100">
        <v>45680</v>
      </c>
      <c r="F775" s="100">
        <f t="shared" si="72"/>
        <v>45701</v>
      </c>
      <c r="G775" s="101">
        <f t="shared" si="73"/>
        <v>21</v>
      </c>
      <c r="H775" s="102">
        <f t="shared" ref="H775:H838" si="76">IF(G775="","",IF(G775&lt;=return_window,1,0))</f>
        <v>1</v>
      </c>
      <c r="K775" s="99" t="s">
        <v>2805</v>
      </c>
      <c r="L775" s="102">
        <f t="shared" si="74"/>
        <v>0</v>
      </c>
      <c r="M775" s="100">
        <v>45986</v>
      </c>
      <c r="N775" s="101">
        <v>37</v>
      </c>
      <c r="O775" s="101" t="str">
        <f t="shared" si="75"/>
        <v>31-60</v>
      </c>
      <c r="P775" s="101" t="str">
        <f t="shared" ref="P775:P818" si="77">IF(N775&lt;=recency_threshold,"High","Low")</f>
        <v>High</v>
      </c>
    </row>
    <row r="776" spans="4:16" x14ac:dyDescent="0.3">
      <c r="D776" s="99" t="s">
        <v>2362</v>
      </c>
      <c r="E776" s="100">
        <v>45701</v>
      </c>
      <c r="F776" s="100">
        <f t="shared" ref="F776:F839" si="78">IF(D776=D777,E777,"")</f>
        <v>45807</v>
      </c>
      <c r="G776" s="101">
        <f t="shared" ref="G776:G839" si="79">IF(F776="","",F776-E776)</f>
        <v>106</v>
      </c>
      <c r="H776" s="102">
        <f t="shared" si="76"/>
        <v>0</v>
      </c>
      <c r="K776" s="99" t="s">
        <v>2806</v>
      </c>
      <c r="L776" s="102">
        <f t="shared" ref="L776:L818" si="80">IF(SUMIFS($H$6:$H$2006,$D$6:$D$2006,K776),1,0)</f>
        <v>1</v>
      </c>
      <c r="M776" s="100">
        <v>45875</v>
      </c>
      <c r="N776" s="101">
        <v>148</v>
      </c>
      <c r="O776" s="101" t="str">
        <f t="shared" ref="O776:O818" si="81">VLOOKUP(N776,$A$15:$B$19,2,TRUE)</f>
        <v>90+</v>
      </c>
      <c r="P776" s="101" t="str">
        <f t="shared" si="77"/>
        <v>Low</v>
      </c>
    </row>
    <row r="777" spans="4:16" x14ac:dyDescent="0.3">
      <c r="D777" s="99" t="s">
        <v>2362</v>
      </c>
      <c r="E777" s="100">
        <v>45807</v>
      </c>
      <c r="F777" s="100">
        <f t="shared" si="78"/>
        <v>45847</v>
      </c>
      <c r="G777" s="101">
        <f t="shared" si="79"/>
        <v>40</v>
      </c>
      <c r="H777" s="102">
        <f t="shared" si="76"/>
        <v>0</v>
      </c>
      <c r="K777" s="99" t="s">
        <v>2807</v>
      </c>
      <c r="L777" s="102">
        <f t="shared" si="80"/>
        <v>1</v>
      </c>
      <c r="M777" s="100">
        <v>45911</v>
      </c>
      <c r="N777" s="101">
        <v>112</v>
      </c>
      <c r="O777" s="101" t="str">
        <f t="shared" si="81"/>
        <v>90+</v>
      </c>
      <c r="P777" s="101" t="str">
        <f t="shared" si="77"/>
        <v>Low</v>
      </c>
    </row>
    <row r="778" spans="4:16" x14ac:dyDescent="0.3">
      <c r="D778" s="99" t="s">
        <v>2362</v>
      </c>
      <c r="E778" s="100">
        <v>45847</v>
      </c>
      <c r="F778" s="100">
        <f t="shared" si="78"/>
        <v>45930</v>
      </c>
      <c r="G778" s="101">
        <f t="shared" si="79"/>
        <v>83</v>
      </c>
      <c r="H778" s="102">
        <f t="shared" si="76"/>
        <v>0</v>
      </c>
      <c r="K778" s="99" t="s">
        <v>2808</v>
      </c>
      <c r="L778" s="102">
        <f t="shared" si="80"/>
        <v>1</v>
      </c>
      <c r="M778" s="100">
        <v>46008</v>
      </c>
      <c r="N778" s="101">
        <v>15</v>
      </c>
      <c r="O778" s="101" t="str">
        <f t="shared" si="81"/>
        <v>0-30</v>
      </c>
      <c r="P778" s="101" t="str">
        <f t="shared" si="77"/>
        <v>High</v>
      </c>
    </row>
    <row r="779" spans="4:16" x14ac:dyDescent="0.3">
      <c r="D779" s="99" t="s">
        <v>2362</v>
      </c>
      <c r="E779" s="100">
        <v>45930</v>
      </c>
      <c r="F779" s="100">
        <f t="shared" si="78"/>
        <v>45960</v>
      </c>
      <c r="G779" s="101">
        <f t="shared" si="79"/>
        <v>30</v>
      </c>
      <c r="H779" s="102">
        <f t="shared" si="76"/>
        <v>1</v>
      </c>
      <c r="K779" s="99" t="s">
        <v>2809</v>
      </c>
      <c r="L779" s="102">
        <f t="shared" si="80"/>
        <v>1</v>
      </c>
      <c r="M779" s="100">
        <v>45924</v>
      </c>
      <c r="N779" s="101">
        <v>99</v>
      </c>
      <c r="O779" s="101" t="str">
        <f t="shared" si="81"/>
        <v>90+</v>
      </c>
      <c r="P779" s="101" t="str">
        <f t="shared" si="77"/>
        <v>Low</v>
      </c>
    </row>
    <row r="780" spans="4:16" x14ac:dyDescent="0.3">
      <c r="D780" s="99" t="s">
        <v>2362</v>
      </c>
      <c r="E780" s="100">
        <v>45960</v>
      </c>
      <c r="F780" s="100" t="str">
        <f t="shared" si="78"/>
        <v/>
      </c>
      <c r="G780" s="101" t="str">
        <f t="shared" si="79"/>
        <v/>
      </c>
      <c r="H780" s="102" t="str">
        <f t="shared" si="76"/>
        <v/>
      </c>
      <c r="K780" s="99" t="s">
        <v>2810</v>
      </c>
      <c r="L780" s="102">
        <f t="shared" si="80"/>
        <v>0</v>
      </c>
      <c r="M780" s="100">
        <v>45940</v>
      </c>
      <c r="N780" s="101">
        <v>83</v>
      </c>
      <c r="O780" s="101" t="str">
        <f t="shared" si="81"/>
        <v>61-90</v>
      </c>
      <c r="P780" s="101" t="str">
        <f t="shared" si="77"/>
        <v>Low</v>
      </c>
    </row>
    <row r="781" spans="4:16" x14ac:dyDescent="0.3">
      <c r="D781" s="99" t="s">
        <v>2363</v>
      </c>
      <c r="E781" s="100">
        <v>45712</v>
      </c>
      <c r="F781" s="100">
        <f t="shared" si="78"/>
        <v>45924</v>
      </c>
      <c r="G781" s="101">
        <f t="shared" si="79"/>
        <v>212</v>
      </c>
      <c r="H781" s="102">
        <f t="shared" si="76"/>
        <v>0</v>
      </c>
      <c r="K781" s="99" t="s">
        <v>2811</v>
      </c>
      <c r="L781" s="102">
        <f t="shared" si="80"/>
        <v>0</v>
      </c>
      <c r="M781" s="100">
        <v>45833</v>
      </c>
      <c r="N781" s="101">
        <v>190</v>
      </c>
      <c r="O781" s="101" t="str">
        <f t="shared" si="81"/>
        <v>90+</v>
      </c>
      <c r="P781" s="101" t="str">
        <f t="shared" si="77"/>
        <v>Low</v>
      </c>
    </row>
    <row r="782" spans="4:16" x14ac:dyDescent="0.3">
      <c r="D782" s="99" t="s">
        <v>2363</v>
      </c>
      <c r="E782" s="100">
        <v>45924</v>
      </c>
      <c r="F782" s="100">
        <f t="shared" si="78"/>
        <v>45925</v>
      </c>
      <c r="G782" s="101">
        <f t="shared" si="79"/>
        <v>1</v>
      </c>
      <c r="H782" s="102">
        <f t="shared" si="76"/>
        <v>1</v>
      </c>
      <c r="K782" s="99" t="s">
        <v>2812</v>
      </c>
      <c r="L782" s="102">
        <f t="shared" si="80"/>
        <v>0</v>
      </c>
      <c r="M782" s="100">
        <v>45807</v>
      </c>
      <c r="N782" s="101">
        <v>216</v>
      </c>
      <c r="O782" s="101" t="str">
        <f t="shared" si="81"/>
        <v>90+</v>
      </c>
      <c r="P782" s="101" t="str">
        <f t="shared" si="77"/>
        <v>Low</v>
      </c>
    </row>
    <row r="783" spans="4:16" x14ac:dyDescent="0.3">
      <c r="D783" s="99" t="s">
        <v>2363</v>
      </c>
      <c r="E783" s="100">
        <v>45925</v>
      </c>
      <c r="F783" s="100">
        <f t="shared" si="78"/>
        <v>45974</v>
      </c>
      <c r="G783" s="101">
        <f t="shared" si="79"/>
        <v>49</v>
      </c>
      <c r="H783" s="102">
        <f t="shared" si="76"/>
        <v>0</v>
      </c>
      <c r="K783" s="99" t="s">
        <v>2813</v>
      </c>
      <c r="L783" s="102">
        <f t="shared" si="80"/>
        <v>0</v>
      </c>
      <c r="M783" s="100">
        <v>45673</v>
      </c>
      <c r="N783" s="101">
        <v>350</v>
      </c>
      <c r="O783" s="101" t="str">
        <f t="shared" si="81"/>
        <v>90+</v>
      </c>
      <c r="P783" s="101" t="str">
        <f t="shared" si="77"/>
        <v>Low</v>
      </c>
    </row>
    <row r="784" spans="4:16" x14ac:dyDescent="0.3">
      <c r="D784" s="99" t="s">
        <v>2363</v>
      </c>
      <c r="E784" s="100">
        <v>45974</v>
      </c>
      <c r="F784" s="100" t="str">
        <f t="shared" si="78"/>
        <v/>
      </c>
      <c r="G784" s="101" t="str">
        <f t="shared" si="79"/>
        <v/>
      </c>
      <c r="H784" s="102" t="str">
        <f t="shared" si="76"/>
        <v/>
      </c>
      <c r="K784" s="99" t="s">
        <v>2814</v>
      </c>
      <c r="L784" s="102">
        <f t="shared" si="80"/>
        <v>0</v>
      </c>
      <c r="M784" s="100">
        <v>46000</v>
      </c>
      <c r="N784" s="101">
        <v>23</v>
      </c>
      <c r="O784" s="101" t="str">
        <f t="shared" si="81"/>
        <v>0-30</v>
      </c>
      <c r="P784" s="101" t="str">
        <f t="shared" si="77"/>
        <v>High</v>
      </c>
    </row>
    <row r="785" spans="4:16" x14ac:dyDescent="0.3">
      <c r="D785" s="99" t="s">
        <v>2364</v>
      </c>
      <c r="E785" s="100">
        <v>45793</v>
      </c>
      <c r="F785" s="100">
        <f t="shared" si="78"/>
        <v>45831</v>
      </c>
      <c r="G785" s="101">
        <f t="shared" si="79"/>
        <v>38</v>
      </c>
      <c r="H785" s="102">
        <f t="shared" si="76"/>
        <v>0</v>
      </c>
      <c r="K785" s="99" t="s">
        <v>2815</v>
      </c>
      <c r="L785" s="102">
        <f t="shared" si="80"/>
        <v>1</v>
      </c>
      <c r="M785" s="100">
        <v>45994</v>
      </c>
      <c r="N785" s="101">
        <v>29</v>
      </c>
      <c r="O785" s="101" t="str">
        <f t="shared" si="81"/>
        <v>0-30</v>
      </c>
      <c r="P785" s="101" t="str">
        <f t="shared" si="77"/>
        <v>High</v>
      </c>
    </row>
    <row r="786" spans="4:16" x14ac:dyDescent="0.3">
      <c r="D786" s="99" t="s">
        <v>2364</v>
      </c>
      <c r="E786" s="100">
        <v>45831</v>
      </c>
      <c r="F786" s="100">
        <f t="shared" si="78"/>
        <v>45919</v>
      </c>
      <c r="G786" s="101">
        <f t="shared" si="79"/>
        <v>88</v>
      </c>
      <c r="H786" s="102">
        <f t="shared" si="76"/>
        <v>0</v>
      </c>
      <c r="K786" s="99" t="s">
        <v>2816</v>
      </c>
      <c r="L786" s="102">
        <f t="shared" si="80"/>
        <v>1</v>
      </c>
      <c r="M786" s="100">
        <v>45881</v>
      </c>
      <c r="N786" s="101">
        <v>142</v>
      </c>
      <c r="O786" s="101" t="str">
        <f t="shared" si="81"/>
        <v>90+</v>
      </c>
      <c r="P786" s="101" t="str">
        <f t="shared" si="77"/>
        <v>Low</v>
      </c>
    </row>
    <row r="787" spans="4:16" x14ac:dyDescent="0.3">
      <c r="D787" s="99" t="s">
        <v>2364</v>
      </c>
      <c r="E787" s="100">
        <v>45919</v>
      </c>
      <c r="F787" s="100">
        <f t="shared" si="78"/>
        <v>45937</v>
      </c>
      <c r="G787" s="101">
        <f t="shared" si="79"/>
        <v>18</v>
      </c>
      <c r="H787" s="102">
        <f t="shared" si="76"/>
        <v>1</v>
      </c>
      <c r="K787" s="99" t="s">
        <v>2817</v>
      </c>
      <c r="L787" s="102">
        <f t="shared" si="80"/>
        <v>1</v>
      </c>
      <c r="M787" s="100">
        <v>45917</v>
      </c>
      <c r="N787" s="101">
        <v>106</v>
      </c>
      <c r="O787" s="101" t="str">
        <f t="shared" si="81"/>
        <v>90+</v>
      </c>
      <c r="P787" s="101" t="str">
        <f t="shared" si="77"/>
        <v>Low</v>
      </c>
    </row>
    <row r="788" spans="4:16" x14ac:dyDescent="0.3">
      <c r="D788" s="99" t="s">
        <v>2364</v>
      </c>
      <c r="E788" s="100">
        <v>45937</v>
      </c>
      <c r="F788" s="100" t="str">
        <f t="shared" si="78"/>
        <v/>
      </c>
      <c r="G788" s="101" t="str">
        <f t="shared" si="79"/>
        <v/>
      </c>
      <c r="H788" s="102" t="str">
        <f t="shared" si="76"/>
        <v/>
      </c>
      <c r="K788" s="99" t="s">
        <v>2818</v>
      </c>
      <c r="L788" s="102">
        <f t="shared" si="80"/>
        <v>1</v>
      </c>
      <c r="M788" s="100">
        <v>45988</v>
      </c>
      <c r="N788" s="101">
        <v>35</v>
      </c>
      <c r="O788" s="101" t="str">
        <f t="shared" si="81"/>
        <v>31-60</v>
      </c>
      <c r="P788" s="101" t="str">
        <f t="shared" si="77"/>
        <v>High</v>
      </c>
    </row>
    <row r="789" spans="4:16" x14ac:dyDescent="0.3">
      <c r="D789" s="99" t="s">
        <v>2365</v>
      </c>
      <c r="E789" s="100">
        <v>45722</v>
      </c>
      <c r="F789" s="100">
        <f t="shared" si="78"/>
        <v>45825</v>
      </c>
      <c r="G789" s="101">
        <f t="shared" si="79"/>
        <v>103</v>
      </c>
      <c r="H789" s="102">
        <f t="shared" si="76"/>
        <v>0</v>
      </c>
      <c r="K789" s="99" t="s">
        <v>2819</v>
      </c>
      <c r="L789" s="102">
        <f t="shared" si="80"/>
        <v>0</v>
      </c>
      <c r="M789" s="100">
        <v>45938</v>
      </c>
      <c r="N789" s="101">
        <v>85</v>
      </c>
      <c r="O789" s="101" t="str">
        <f t="shared" si="81"/>
        <v>61-90</v>
      </c>
      <c r="P789" s="101" t="str">
        <f t="shared" si="77"/>
        <v>Low</v>
      </c>
    </row>
    <row r="790" spans="4:16" x14ac:dyDescent="0.3">
      <c r="D790" s="99" t="s">
        <v>2365</v>
      </c>
      <c r="E790" s="100">
        <v>45825</v>
      </c>
      <c r="F790" s="100">
        <f t="shared" si="78"/>
        <v>45919</v>
      </c>
      <c r="G790" s="101">
        <f t="shared" si="79"/>
        <v>94</v>
      </c>
      <c r="H790" s="102">
        <f t="shared" si="76"/>
        <v>0</v>
      </c>
      <c r="K790" s="99" t="s">
        <v>2820</v>
      </c>
      <c r="L790" s="102">
        <f t="shared" si="80"/>
        <v>1</v>
      </c>
      <c r="M790" s="100">
        <v>46015</v>
      </c>
      <c r="N790" s="101">
        <v>8</v>
      </c>
      <c r="O790" s="101" t="str">
        <f t="shared" si="81"/>
        <v>0-30</v>
      </c>
      <c r="P790" s="101" t="str">
        <f t="shared" si="77"/>
        <v>High</v>
      </c>
    </row>
    <row r="791" spans="4:16" x14ac:dyDescent="0.3">
      <c r="D791" s="99" t="s">
        <v>2365</v>
      </c>
      <c r="E791" s="100">
        <v>45919</v>
      </c>
      <c r="F791" s="100">
        <f t="shared" si="78"/>
        <v>45978</v>
      </c>
      <c r="G791" s="101">
        <f t="shared" si="79"/>
        <v>59</v>
      </c>
      <c r="H791" s="102">
        <f t="shared" si="76"/>
        <v>0</v>
      </c>
      <c r="K791" s="99" t="s">
        <v>2821</v>
      </c>
      <c r="L791" s="102">
        <f t="shared" si="80"/>
        <v>0</v>
      </c>
      <c r="M791" s="100">
        <v>45909</v>
      </c>
      <c r="N791" s="101">
        <v>114</v>
      </c>
      <c r="O791" s="101" t="str">
        <f t="shared" si="81"/>
        <v>90+</v>
      </c>
      <c r="P791" s="101" t="str">
        <f t="shared" si="77"/>
        <v>Low</v>
      </c>
    </row>
    <row r="792" spans="4:16" x14ac:dyDescent="0.3">
      <c r="D792" s="99" t="s">
        <v>2365</v>
      </c>
      <c r="E792" s="100">
        <v>45978</v>
      </c>
      <c r="F792" s="100" t="str">
        <f t="shared" si="78"/>
        <v/>
      </c>
      <c r="G792" s="101" t="str">
        <f t="shared" si="79"/>
        <v/>
      </c>
      <c r="H792" s="102" t="str">
        <f t="shared" si="76"/>
        <v/>
      </c>
      <c r="K792" s="99" t="s">
        <v>2822</v>
      </c>
      <c r="L792" s="102">
        <f t="shared" si="80"/>
        <v>0</v>
      </c>
      <c r="M792" s="100">
        <v>45922</v>
      </c>
      <c r="N792" s="101">
        <v>101</v>
      </c>
      <c r="O792" s="101" t="str">
        <f t="shared" si="81"/>
        <v>90+</v>
      </c>
      <c r="P792" s="101" t="str">
        <f t="shared" si="77"/>
        <v>Low</v>
      </c>
    </row>
    <row r="793" spans="4:16" x14ac:dyDescent="0.3">
      <c r="D793" s="99" t="s">
        <v>2366</v>
      </c>
      <c r="E793" s="100">
        <v>45799</v>
      </c>
      <c r="F793" s="100">
        <f t="shared" si="78"/>
        <v>46003</v>
      </c>
      <c r="G793" s="101">
        <f t="shared" si="79"/>
        <v>204</v>
      </c>
      <c r="H793" s="102">
        <f t="shared" si="76"/>
        <v>0</v>
      </c>
      <c r="K793" s="99" t="s">
        <v>2823</v>
      </c>
      <c r="L793" s="102">
        <f t="shared" si="80"/>
        <v>0</v>
      </c>
      <c r="M793" s="100">
        <v>46022</v>
      </c>
      <c r="N793" s="101">
        <v>1</v>
      </c>
      <c r="O793" s="101" t="str">
        <f t="shared" si="81"/>
        <v>0-30</v>
      </c>
      <c r="P793" s="101" t="str">
        <f t="shared" si="77"/>
        <v>High</v>
      </c>
    </row>
    <row r="794" spans="4:16" x14ac:dyDescent="0.3">
      <c r="D794" s="99" t="s">
        <v>2366</v>
      </c>
      <c r="E794" s="100">
        <v>46003</v>
      </c>
      <c r="F794" s="100" t="str">
        <f t="shared" si="78"/>
        <v/>
      </c>
      <c r="G794" s="101" t="str">
        <f t="shared" si="79"/>
        <v/>
      </c>
      <c r="H794" s="102" t="str">
        <f t="shared" si="76"/>
        <v/>
      </c>
      <c r="K794" s="99" t="s">
        <v>2824</v>
      </c>
      <c r="L794" s="102">
        <f t="shared" si="80"/>
        <v>1</v>
      </c>
      <c r="M794" s="100">
        <v>45992</v>
      </c>
      <c r="N794" s="101">
        <v>31</v>
      </c>
      <c r="O794" s="101" t="str">
        <f t="shared" si="81"/>
        <v>31-60</v>
      </c>
      <c r="P794" s="101" t="str">
        <f t="shared" si="77"/>
        <v>High</v>
      </c>
    </row>
    <row r="795" spans="4:16" x14ac:dyDescent="0.3">
      <c r="D795" s="99" t="s">
        <v>2367</v>
      </c>
      <c r="E795" s="100">
        <v>45790</v>
      </c>
      <c r="F795" s="100">
        <f t="shared" si="78"/>
        <v>45793</v>
      </c>
      <c r="G795" s="101">
        <f t="shared" si="79"/>
        <v>3</v>
      </c>
      <c r="H795" s="102">
        <f t="shared" si="76"/>
        <v>1</v>
      </c>
      <c r="K795" s="99" t="s">
        <v>2825</v>
      </c>
      <c r="L795" s="102">
        <f t="shared" si="80"/>
        <v>1</v>
      </c>
      <c r="M795" s="100">
        <v>45995</v>
      </c>
      <c r="N795" s="101">
        <v>28</v>
      </c>
      <c r="O795" s="101" t="str">
        <f t="shared" si="81"/>
        <v>0-30</v>
      </c>
      <c r="P795" s="101" t="str">
        <f t="shared" si="77"/>
        <v>High</v>
      </c>
    </row>
    <row r="796" spans="4:16" x14ac:dyDescent="0.3">
      <c r="D796" s="99" t="s">
        <v>2367</v>
      </c>
      <c r="E796" s="100">
        <v>45793</v>
      </c>
      <c r="F796" s="100" t="str">
        <f t="shared" si="78"/>
        <v/>
      </c>
      <c r="G796" s="101" t="str">
        <f t="shared" si="79"/>
        <v/>
      </c>
      <c r="H796" s="102" t="str">
        <f t="shared" si="76"/>
        <v/>
      </c>
      <c r="K796" s="99" t="s">
        <v>2826</v>
      </c>
      <c r="L796" s="102">
        <f t="shared" si="80"/>
        <v>0</v>
      </c>
      <c r="M796" s="100">
        <v>45750</v>
      </c>
      <c r="N796" s="101">
        <v>273</v>
      </c>
      <c r="O796" s="101" t="str">
        <f t="shared" si="81"/>
        <v>90+</v>
      </c>
      <c r="P796" s="101" t="str">
        <f t="shared" si="77"/>
        <v>Low</v>
      </c>
    </row>
    <row r="797" spans="4:16" x14ac:dyDescent="0.3">
      <c r="D797" s="99" t="s">
        <v>2368</v>
      </c>
      <c r="E797" s="100">
        <v>45931</v>
      </c>
      <c r="F797" s="100" t="str">
        <f t="shared" si="78"/>
        <v/>
      </c>
      <c r="G797" s="101" t="str">
        <f t="shared" si="79"/>
        <v/>
      </c>
      <c r="H797" s="102" t="str">
        <f t="shared" si="76"/>
        <v/>
      </c>
      <c r="K797" s="99" t="s">
        <v>2827</v>
      </c>
      <c r="L797" s="102">
        <f t="shared" si="80"/>
        <v>1</v>
      </c>
      <c r="M797" s="100">
        <v>45842</v>
      </c>
      <c r="N797" s="101">
        <v>181</v>
      </c>
      <c r="O797" s="101" t="str">
        <f t="shared" si="81"/>
        <v>90+</v>
      </c>
      <c r="P797" s="101" t="str">
        <f t="shared" si="77"/>
        <v>Low</v>
      </c>
    </row>
    <row r="798" spans="4:16" x14ac:dyDescent="0.3">
      <c r="D798" s="99" t="s">
        <v>2369</v>
      </c>
      <c r="E798" s="100">
        <v>45769</v>
      </c>
      <c r="F798" s="100" t="str">
        <f t="shared" si="78"/>
        <v/>
      </c>
      <c r="G798" s="101" t="str">
        <f t="shared" si="79"/>
        <v/>
      </c>
      <c r="H798" s="102" t="str">
        <f t="shared" si="76"/>
        <v/>
      </c>
      <c r="K798" s="99" t="s">
        <v>2828</v>
      </c>
      <c r="L798" s="102">
        <f t="shared" si="80"/>
        <v>0</v>
      </c>
      <c r="M798" s="100">
        <v>46013</v>
      </c>
      <c r="N798" s="101">
        <v>10</v>
      </c>
      <c r="O798" s="101" t="str">
        <f t="shared" si="81"/>
        <v>0-30</v>
      </c>
      <c r="P798" s="101" t="str">
        <f t="shared" si="77"/>
        <v>High</v>
      </c>
    </row>
    <row r="799" spans="4:16" x14ac:dyDescent="0.3">
      <c r="D799" s="99" t="s">
        <v>2370</v>
      </c>
      <c r="E799" s="100">
        <v>45987</v>
      </c>
      <c r="F799" s="100">
        <f t="shared" si="78"/>
        <v>45994</v>
      </c>
      <c r="G799" s="101">
        <f t="shared" si="79"/>
        <v>7</v>
      </c>
      <c r="H799" s="102">
        <f t="shared" si="76"/>
        <v>1</v>
      </c>
      <c r="K799" s="99" t="s">
        <v>2829</v>
      </c>
      <c r="L799" s="102">
        <f t="shared" si="80"/>
        <v>0</v>
      </c>
      <c r="M799" s="100">
        <v>46016</v>
      </c>
      <c r="N799" s="101">
        <v>7</v>
      </c>
      <c r="O799" s="101" t="str">
        <f t="shared" si="81"/>
        <v>0-30</v>
      </c>
      <c r="P799" s="101" t="str">
        <f t="shared" si="77"/>
        <v>High</v>
      </c>
    </row>
    <row r="800" spans="4:16" x14ac:dyDescent="0.3">
      <c r="D800" s="99" t="s">
        <v>2370</v>
      </c>
      <c r="E800" s="100">
        <v>45994</v>
      </c>
      <c r="F800" s="100" t="str">
        <f t="shared" si="78"/>
        <v/>
      </c>
      <c r="G800" s="101" t="str">
        <f t="shared" si="79"/>
        <v/>
      </c>
      <c r="H800" s="102" t="str">
        <f t="shared" si="76"/>
        <v/>
      </c>
      <c r="K800" s="99" t="s">
        <v>2830</v>
      </c>
      <c r="L800" s="102">
        <f t="shared" si="80"/>
        <v>1</v>
      </c>
      <c r="M800" s="100">
        <v>45954</v>
      </c>
      <c r="N800" s="101">
        <v>69</v>
      </c>
      <c r="O800" s="101" t="str">
        <f t="shared" si="81"/>
        <v>61-90</v>
      </c>
      <c r="P800" s="101" t="str">
        <f t="shared" si="77"/>
        <v>Low</v>
      </c>
    </row>
    <row r="801" spans="4:16" x14ac:dyDescent="0.3">
      <c r="D801" s="99" t="s">
        <v>2371</v>
      </c>
      <c r="E801" s="100">
        <v>45855</v>
      </c>
      <c r="F801" s="100">
        <f t="shared" si="78"/>
        <v>45974</v>
      </c>
      <c r="G801" s="101">
        <f t="shared" si="79"/>
        <v>119</v>
      </c>
      <c r="H801" s="102">
        <f t="shared" si="76"/>
        <v>0</v>
      </c>
      <c r="K801" s="99" t="s">
        <v>2831</v>
      </c>
      <c r="L801" s="102">
        <f t="shared" si="80"/>
        <v>1</v>
      </c>
      <c r="M801" s="100">
        <v>45827</v>
      </c>
      <c r="N801" s="101">
        <v>196</v>
      </c>
      <c r="O801" s="101" t="str">
        <f t="shared" si="81"/>
        <v>90+</v>
      </c>
      <c r="P801" s="101" t="str">
        <f t="shared" si="77"/>
        <v>Low</v>
      </c>
    </row>
    <row r="802" spans="4:16" x14ac:dyDescent="0.3">
      <c r="D802" s="99" t="s">
        <v>2371</v>
      </c>
      <c r="E802" s="100">
        <v>45974</v>
      </c>
      <c r="F802" s="100" t="str">
        <f t="shared" si="78"/>
        <v/>
      </c>
      <c r="G802" s="101" t="str">
        <f t="shared" si="79"/>
        <v/>
      </c>
      <c r="H802" s="102" t="str">
        <f t="shared" si="76"/>
        <v/>
      </c>
      <c r="K802" s="99" t="s">
        <v>2832</v>
      </c>
      <c r="L802" s="102">
        <f t="shared" si="80"/>
        <v>0</v>
      </c>
      <c r="M802" s="100">
        <v>45799</v>
      </c>
      <c r="N802" s="101">
        <v>224</v>
      </c>
      <c r="O802" s="101" t="str">
        <f t="shared" si="81"/>
        <v>90+</v>
      </c>
      <c r="P802" s="101" t="str">
        <f t="shared" si="77"/>
        <v>Low</v>
      </c>
    </row>
    <row r="803" spans="4:16" x14ac:dyDescent="0.3">
      <c r="D803" s="99" t="s">
        <v>2372</v>
      </c>
      <c r="E803" s="100">
        <v>45743</v>
      </c>
      <c r="F803" s="100">
        <f t="shared" si="78"/>
        <v>45945</v>
      </c>
      <c r="G803" s="101">
        <f t="shared" si="79"/>
        <v>202</v>
      </c>
      <c r="H803" s="102">
        <f t="shared" si="76"/>
        <v>0</v>
      </c>
      <c r="K803" s="99" t="s">
        <v>2833</v>
      </c>
      <c r="L803" s="102">
        <f t="shared" si="80"/>
        <v>0</v>
      </c>
      <c r="M803" s="100">
        <v>45951</v>
      </c>
      <c r="N803" s="101">
        <v>72</v>
      </c>
      <c r="O803" s="101" t="str">
        <f t="shared" si="81"/>
        <v>61-90</v>
      </c>
      <c r="P803" s="101" t="str">
        <f t="shared" si="77"/>
        <v>Low</v>
      </c>
    </row>
    <row r="804" spans="4:16" x14ac:dyDescent="0.3">
      <c r="D804" s="99" t="s">
        <v>2372</v>
      </c>
      <c r="E804" s="100">
        <v>45945</v>
      </c>
      <c r="F804" s="100" t="str">
        <f t="shared" si="78"/>
        <v/>
      </c>
      <c r="G804" s="101" t="str">
        <f t="shared" si="79"/>
        <v/>
      </c>
      <c r="H804" s="102" t="str">
        <f t="shared" si="76"/>
        <v/>
      </c>
      <c r="K804" s="99" t="s">
        <v>2834</v>
      </c>
      <c r="L804" s="102">
        <f t="shared" si="80"/>
        <v>1</v>
      </c>
      <c r="M804" s="100">
        <v>45848</v>
      </c>
      <c r="N804" s="101">
        <v>175</v>
      </c>
      <c r="O804" s="101" t="str">
        <f t="shared" si="81"/>
        <v>90+</v>
      </c>
      <c r="P804" s="101" t="str">
        <f t="shared" si="77"/>
        <v>Low</v>
      </c>
    </row>
    <row r="805" spans="4:16" x14ac:dyDescent="0.3">
      <c r="D805" s="99" t="s">
        <v>2373</v>
      </c>
      <c r="E805" s="100">
        <v>45687</v>
      </c>
      <c r="F805" s="100">
        <f t="shared" si="78"/>
        <v>45951</v>
      </c>
      <c r="G805" s="101">
        <f t="shared" si="79"/>
        <v>264</v>
      </c>
      <c r="H805" s="102">
        <f t="shared" si="76"/>
        <v>0</v>
      </c>
      <c r="K805" s="99" t="s">
        <v>2835</v>
      </c>
      <c r="L805" s="102">
        <f t="shared" si="80"/>
        <v>0</v>
      </c>
      <c r="M805" s="100">
        <v>45701</v>
      </c>
      <c r="N805" s="101">
        <v>322</v>
      </c>
      <c r="O805" s="101" t="str">
        <f t="shared" si="81"/>
        <v>90+</v>
      </c>
      <c r="P805" s="101" t="str">
        <f t="shared" si="77"/>
        <v>Low</v>
      </c>
    </row>
    <row r="806" spans="4:16" x14ac:dyDescent="0.3">
      <c r="D806" s="99" t="s">
        <v>2373</v>
      </c>
      <c r="E806" s="100">
        <v>45951</v>
      </c>
      <c r="F806" s="100" t="str">
        <f t="shared" si="78"/>
        <v/>
      </c>
      <c r="G806" s="101" t="str">
        <f t="shared" si="79"/>
        <v/>
      </c>
      <c r="H806" s="102" t="str">
        <f t="shared" si="76"/>
        <v/>
      </c>
      <c r="K806" s="99" t="s">
        <v>2836</v>
      </c>
      <c r="L806" s="102">
        <f t="shared" si="80"/>
        <v>0</v>
      </c>
      <c r="M806" s="100">
        <v>45716</v>
      </c>
      <c r="N806" s="101">
        <v>307</v>
      </c>
      <c r="O806" s="101" t="str">
        <f t="shared" si="81"/>
        <v>90+</v>
      </c>
      <c r="P806" s="101" t="str">
        <f t="shared" si="77"/>
        <v>Low</v>
      </c>
    </row>
    <row r="807" spans="4:16" x14ac:dyDescent="0.3">
      <c r="D807" s="99" t="s">
        <v>2374</v>
      </c>
      <c r="E807" s="100">
        <v>45714</v>
      </c>
      <c r="F807" s="100" t="str">
        <f t="shared" si="78"/>
        <v/>
      </c>
      <c r="G807" s="101" t="str">
        <f t="shared" si="79"/>
        <v/>
      </c>
      <c r="H807" s="102" t="str">
        <f t="shared" si="76"/>
        <v/>
      </c>
      <c r="K807" s="99" t="s">
        <v>2837</v>
      </c>
      <c r="L807" s="102">
        <f t="shared" si="80"/>
        <v>1</v>
      </c>
      <c r="M807" s="100">
        <v>45999</v>
      </c>
      <c r="N807" s="101">
        <v>24</v>
      </c>
      <c r="O807" s="101" t="str">
        <f t="shared" si="81"/>
        <v>0-30</v>
      </c>
      <c r="P807" s="101" t="str">
        <f t="shared" si="77"/>
        <v>High</v>
      </c>
    </row>
    <row r="808" spans="4:16" x14ac:dyDescent="0.3">
      <c r="D808" s="99" t="s">
        <v>2375</v>
      </c>
      <c r="E808" s="100">
        <v>45931</v>
      </c>
      <c r="F808" s="100" t="str">
        <f t="shared" si="78"/>
        <v/>
      </c>
      <c r="G808" s="101" t="str">
        <f t="shared" si="79"/>
        <v/>
      </c>
      <c r="H808" s="102" t="str">
        <f t="shared" si="76"/>
        <v/>
      </c>
      <c r="K808" s="99" t="s">
        <v>2838</v>
      </c>
      <c r="L808" s="102">
        <f>IF(SUMIFS($H$6:$H$2006,$D$6:$D$2006,K808),1,0)</f>
        <v>0</v>
      </c>
      <c r="M808" s="100">
        <v>45726</v>
      </c>
      <c r="N808" s="101">
        <v>297</v>
      </c>
      <c r="O808" s="101" t="str">
        <f t="shared" si="81"/>
        <v>90+</v>
      </c>
      <c r="P808" s="101" t="str">
        <f t="shared" si="77"/>
        <v>Low</v>
      </c>
    </row>
    <row r="809" spans="4:16" x14ac:dyDescent="0.3">
      <c r="D809" s="99" t="s">
        <v>2376</v>
      </c>
      <c r="E809" s="100">
        <v>45813</v>
      </c>
      <c r="F809" s="100">
        <f t="shared" si="78"/>
        <v>45820</v>
      </c>
      <c r="G809" s="101">
        <f t="shared" si="79"/>
        <v>7</v>
      </c>
      <c r="H809" s="102">
        <f t="shared" si="76"/>
        <v>1</v>
      </c>
      <c r="K809" s="99" t="s">
        <v>2839</v>
      </c>
      <c r="L809" s="102">
        <f t="shared" si="80"/>
        <v>0</v>
      </c>
      <c r="M809" s="100">
        <v>45918</v>
      </c>
      <c r="N809" s="101">
        <v>105</v>
      </c>
      <c r="O809" s="101" t="str">
        <f t="shared" si="81"/>
        <v>90+</v>
      </c>
      <c r="P809" s="101" t="str">
        <f t="shared" si="77"/>
        <v>Low</v>
      </c>
    </row>
    <row r="810" spans="4:16" x14ac:dyDescent="0.3">
      <c r="D810" s="99" t="s">
        <v>2376</v>
      </c>
      <c r="E810" s="100">
        <v>45820</v>
      </c>
      <c r="F810" s="100">
        <f t="shared" si="78"/>
        <v>45825</v>
      </c>
      <c r="G810" s="101">
        <f t="shared" si="79"/>
        <v>5</v>
      </c>
      <c r="H810" s="102">
        <f t="shared" si="76"/>
        <v>1</v>
      </c>
      <c r="K810" s="99" t="s">
        <v>2840</v>
      </c>
      <c r="L810" s="102">
        <f t="shared" si="80"/>
        <v>0</v>
      </c>
      <c r="M810" s="100">
        <v>45698</v>
      </c>
      <c r="N810" s="101">
        <v>325</v>
      </c>
      <c r="O810" s="101" t="str">
        <f t="shared" si="81"/>
        <v>90+</v>
      </c>
      <c r="P810" s="101" t="str">
        <f t="shared" si="77"/>
        <v>Low</v>
      </c>
    </row>
    <row r="811" spans="4:16" x14ac:dyDescent="0.3">
      <c r="D811" s="99" t="s">
        <v>2376</v>
      </c>
      <c r="E811" s="100">
        <v>45825</v>
      </c>
      <c r="F811" s="100">
        <f t="shared" si="78"/>
        <v>45831</v>
      </c>
      <c r="G811" s="101">
        <f t="shared" si="79"/>
        <v>6</v>
      </c>
      <c r="H811" s="102">
        <f t="shared" si="76"/>
        <v>1</v>
      </c>
      <c r="K811" s="99" t="s">
        <v>2841</v>
      </c>
      <c r="L811" s="102">
        <f t="shared" si="80"/>
        <v>0</v>
      </c>
      <c r="M811" s="100">
        <v>45875</v>
      </c>
      <c r="N811" s="101">
        <v>148</v>
      </c>
      <c r="O811" s="101" t="str">
        <f t="shared" si="81"/>
        <v>90+</v>
      </c>
      <c r="P811" s="101" t="str">
        <f t="shared" si="77"/>
        <v>Low</v>
      </c>
    </row>
    <row r="812" spans="4:16" x14ac:dyDescent="0.3">
      <c r="D812" s="99" t="s">
        <v>2376</v>
      </c>
      <c r="E812" s="100">
        <v>45831</v>
      </c>
      <c r="F812" s="100">
        <f t="shared" si="78"/>
        <v>45960</v>
      </c>
      <c r="G812" s="101">
        <f t="shared" si="79"/>
        <v>129</v>
      </c>
      <c r="H812" s="102">
        <f t="shared" si="76"/>
        <v>0</v>
      </c>
      <c r="K812" s="99" t="s">
        <v>2842</v>
      </c>
      <c r="L812" s="102">
        <f t="shared" si="80"/>
        <v>0</v>
      </c>
      <c r="M812" s="100">
        <v>46008</v>
      </c>
      <c r="N812" s="101">
        <v>15</v>
      </c>
      <c r="O812" s="101" t="str">
        <f t="shared" si="81"/>
        <v>0-30</v>
      </c>
      <c r="P812" s="101" t="str">
        <f t="shared" si="77"/>
        <v>High</v>
      </c>
    </row>
    <row r="813" spans="4:16" x14ac:dyDescent="0.3">
      <c r="D813" s="99" t="s">
        <v>2376</v>
      </c>
      <c r="E813" s="100">
        <v>45960</v>
      </c>
      <c r="F813" s="100">
        <f t="shared" si="78"/>
        <v>46007</v>
      </c>
      <c r="G813" s="101">
        <f t="shared" si="79"/>
        <v>47</v>
      </c>
      <c r="H813" s="102">
        <f t="shared" si="76"/>
        <v>0</v>
      </c>
      <c r="K813" s="99" t="s">
        <v>2843</v>
      </c>
      <c r="L813" s="102">
        <f t="shared" si="80"/>
        <v>1</v>
      </c>
      <c r="M813" s="100">
        <v>45861</v>
      </c>
      <c r="N813" s="101">
        <v>162</v>
      </c>
      <c r="O813" s="101" t="str">
        <f t="shared" si="81"/>
        <v>90+</v>
      </c>
      <c r="P813" s="101" t="str">
        <f t="shared" si="77"/>
        <v>Low</v>
      </c>
    </row>
    <row r="814" spans="4:16" x14ac:dyDescent="0.3">
      <c r="D814" s="99" t="s">
        <v>2376</v>
      </c>
      <c r="E814" s="100">
        <v>46007</v>
      </c>
      <c r="F814" s="100" t="str">
        <f t="shared" si="78"/>
        <v/>
      </c>
      <c r="G814" s="101" t="str">
        <f t="shared" si="79"/>
        <v/>
      </c>
      <c r="H814" s="102" t="str">
        <f t="shared" si="76"/>
        <v/>
      </c>
      <c r="K814" s="99" t="s">
        <v>2844</v>
      </c>
      <c r="L814" s="102">
        <f t="shared" si="80"/>
        <v>1</v>
      </c>
      <c r="M814" s="100">
        <v>46014</v>
      </c>
      <c r="N814" s="101">
        <v>9</v>
      </c>
      <c r="O814" s="101" t="str">
        <f t="shared" si="81"/>
        <v>0-30</v>
      </c>
      <c r="P814" s="101" t="str">
        <f t="shared" si="77"/>
        <v>High</v>
      </c>
    </row>
    <row r="815" spans="4:16" x14ac:dyDescent="0.3">
      <c r="D815" s="99" t="s">
        <v>2377</v>
      </c>
      <c r="E815" s="100">
        <v>45968</v>
      </c>
      <c r="F815" s="100" t="str">
        <f t="shared" si="78"/>
        <v/>
      </c>
      <c r="G815" s="101" t="str">
        <f t="shared" si="79"/>
        <v/>
      </c>
      <c r="H815" s="102" t="str">
        <f t="shared" si="76"/>
        <v/>
      </c>
      <c r="K815" s="99" t="s">
        <v>2845</v>
      </c>
      <c r="L815" s="102">
        <f t="shared" si="80"/>
        <v>1</v>
      </c>
      <c r="M815" s="100">
        <v>45918</v>
      </c>
      <c r="N815" s="101">
        <v>105</v>
      </c>
      <c r="O815" s="101" t="str">
        <f t="shared" si="81"/>
        <v>90+</v>
      </c>
      <c r="P815" s="101" t="str">
        <f t="shared" si="77"/>
        <v>Low</v>
      </c>
    </row>
    <row r="816" spans="4:16" x14ac:dyDescent="0.3">
      <c r="D816" s="99" t="s">
        <v>2378</v>
      </c>
      <c r="E816" s="100">
        <v>46021</v>
      </c>
      <c r="F816" s="100" t="str">
        <f t="shared" si="78"/>
        <v/>
      </c>
      <c r="G816" s="101" t="str">
        <f t="shared" si="79"/>
        <v/>
      </c>
      <c r="H816" s="102" t="str">
        <f t="shared" si="76"/>
        <v/>
      </c>
      <c r="K816" s="99" t="s">
        <v>2846</v>
      </c>
      <c r="L816" s="102">
        <f t="shared" si="80"/>
        <v>0</v>
      </c>
      <c r="M816" s="100">
        <v>45918</v>
      </c>
      <c r="N816" s="101">
        <v>105</v>
      </c>
      <c r="O816" s="101" t="str">
        <f t="shared" si="81"/>
        <v>90+</v>
      </c>
      <c r="P816" s="101" t="str">
        <f t="shared" si="77"/>
        <v>Low</v>
      </c>
    </row>
    <row r="817" spans="4:16" x14ac:dyDescent="0.3">
      <c r="D817" s="99" t="s">
        <v>2379</v>
      </c>
      <c r="E817" s="100">
        <v>45782</v>
      </c>
      <c r="F817" s="100">
        <f t="shared" si="78"/>
        <v>45911</v>
      </c>
      <c r="G817" s="101">
        <f t="shared" si="79"/>
        <v>129</v>
      </c>
      <c r="H817" s="102">
        <f t="shared" si="76"/>
        <v>0</v>
      </c>
      <c r="K817" s="99" t="s">
        <v>2847</v>
      </c>
      <c r="L817" s="102">
        <f t="shared" si="80"/>
        <v>1</v>
      </c>
      <c r="M817" s="100">
        <v>45943</v>
      </c>
      <c r="N817" s="101">
        <v>80</v>
      </c>
      <c r="O817" s="101" t="str">
        <f t="shared" si="81"/>
        <v>61-90</v>
      </c>
      <c r="P817" s="101" t="str">
        <f t="shared" si="77"/>
        <v>Low</v>
      </c>
    </row>
    <row r="818" spans="4:16" x14ac:dyDescent="0.3">
      <c r="D818" s="99" t="s">
        <v>2379</v>
      </c>
      <c r="E818" s="100">
        <v>45911</v>
      </c>
      <c r="F818" s="100" t="str">
        <f t="shared" si="78"/>
        <v/>
      </c>
      <c r="G818" s="101" t="str">
        <f t="shared" si="79"/>
        <v/>
      </c>
      <c r="H818" s="102" t="str">
        <f t="shared" si="76"/>
        <v/>
      </c>
      <c r="K818" s="99" t="s">
        <v>2848</v>
      </c>
      <c r="L818" s="102">
        <f t="shared" si="80"/>
        <v>0</v>
      </c>
      <c r="M818" s="100">
        <v>45855</v>
      </c>
      <c r="N818" s="101">
        <v>168</v>
      </c>
      <c r="O818" s="101" t="str">
        <f t="shared" si="81"/>
        <v>90+</v>
      </c>
      <c r="P818" s="101" t="str">
        <f t="shared" si="77"/>
        <v>Low</v>
      </c>
    </row>
    <row r="819" spans="4:16" x14ac:dyDescent="0.3">
      <c r="D819" s="99" t="s">
        <v>2380</v>
      </c>
      <c r="E819" s="100">
        <v>45674</v>
      </c>
      <c r="F819" s="100">
        <f t="shared" si="78"/>
        <v>45979</v>
      </c>
      <c r="G819" s="101">
        <f t="shared" si="79"/>
        <v>305</v>
      </c>
      <c r="H819" s="102">
        <f t="shared" si="76"/>
        <v>0</v>
      </c>
    </row>
    <row r="820" spans="4:16" x14ac:dyDescent="0.3">
      <c r="D820" s="99" t="s">
        <v>2380</v>
      </c>
      <c r="E820" s="100">
        <v>45979</v>
      </c>
      <c r="F820" s="100" t="str">
        <f t="shared" si="78"/>
        <v/>
      </c>
      <c r="G820" s="101" t="str">
        <f t="shared" si="79"/>
        <v/>
      </c>
      <c r="H820" s="102" t="str">
        <f t="shared" si="76"/>
        <v/>
      </c>
    </row>
    <row r="821" spans="4:16" x14ac:dyDescent="0.3">
      <c r="D821" s="99" t="s">
        <v>2381</v>
      </c>
      <c r="E821" s="100">
        <v>45790</v>
      </c>
      <c r="F821" s="100">
        <f t="shared" si="78"/>
        <v>45925</v>
      </c>
      <c r="G821" s="101">
        <f t="shared" si="79"/>
        <v>135</v>
      </c>
      <c r="H821" s="102">
        <f t="shared" si="76"/>
        <v>0</v>
      </c>
    </row>
    <row r="822" spans="4:16" x14ac:dyDescent="0.3">
      <c r="D822" s="99" t="s">
        <v>2381</v>
      </c>
      <c r="E822" s="100">
        <v>45925</v>
      </c>
      <c r="F822" s="100" t="str">
        <f t="shared" si="78"/>
        <v/>
      </c>
      <c r="G822" s="101" t="str">
        <f t="shared" si="79"/>
        <v/>
      </c>
      <c r="H822" s="102" t="str">
        <f t="shared" si="76"/>
        <v/>
      </c>
    </row>
    <row r="823" spans="4:16" x14ac:dyDescent="0.3">
      <c r="D823" s="99" t="s">
        <v>2382</v>
      </c>
      <c r="E823" s="100">
        <v>45979</v>
      </c>
      <c r="F823" s="100" t="str">
        <f t="shared" si="78"/>
        <v/>
      </c>
      <c r="G823" s="101" t="str">
        <f t="shared" si="79"/>
        <v/>
      </c>
      <c r="H823" s="102" t="str">
        <f t="shared" si="76"/>
        <v/>
      </c>
    </row>
    <row r="824" spans="4:16" x14ac:dyDescent="0.3">
      <c r="D824" s="99" t="s">
        <v>2383</v>
      </c>
      <c r="E824" s="100">
        <v>45748</v>
      </c>
      <c r="F824" s="100" t="str">
        <f t="shared" si="78"/>
        <v/>
      </c>
      <c r="G824" s="101" t="str">
        <f t="shared" si="79"/>
        <v/>
      </c>
      <c r="H824" s="102" t="str">
        <f t="shared" si="76"/>
        <v/>
      </c>
    </row>
    <row r="825" spans="4:16" x14ac:dyDescent="0.3">
      <c r="D825" s="99" t="s">
        <v>2384</v>
      </c>
      <c r="E825" s="100">
        <v>45910</v>
      </c>
      <c r="F825" s="100" t="str">
        <f t="shared" si="78"/>
        <v/>
      </c>
      <c r="G825" s="101" t="str">
        <f t="shared" si="79"/>
        <v/>
      </c>
      <c r="H825" s="102" t="str">
        <f t="shared" si="76"/>
        <v/>
      </c>
    </row>
    <row r="826" spans="4:16" x14ac:dyDescent="0.3">
      <c r="D826" s="99" t="s">
        <v>2385</v>
      </c>
      <c r="E826" s="100">
        <v>45778</v>
      </c>
      <c r="F826" s="100">
        <f t="shared" si="78"/>
        <v>45789</v>
      </c>
      <c r="G826" s="101">
        <f t="shared" si="79"/>
        <v>11</v>
      </c>
      <c r="H826" s="102">
        <f t="shared" si="76"/>
        <v>1</v>
      </c>
    </row>
    <row r="827" spans="4:16" x14ac:dyDescent="0.3">
      <c r="D827" s="99" t="s">
        <v>2385</v>
      </c>
      <c r="E827" s="100">
        <v>45789</v>
      </c>
      <c r="F827" s="100">
        <f t="shared" si="78"/>
        <v>46003</v>
      </c>
      <c r="G827" s="101">
        <f t="shared" si="79"/>
        <v>214</v>
      </c>
      <c r="H827" s="102">
        <f t="shared" si="76"/>
        <v>0</v>
      </c>
    </row>
    <row r="828" spans="4:16" x14ac:dyDescent="0.3">
      <c r="D828" s="99" t="s">
        <v>2385</v>
      </c>
      <c r="E828" s="100">
        <v>46003</v>
      </c>
      <c r="F828" s="100" t="str">
        <f t="shared" si="78"/>
        <v/>
      </c>
      <c r="G828" s="101" t="str">
        <f t="shared" si="79"/>
        <v/>
      </c>
      <c r="H828" s="102" t="str">
        <f t="shared" si="76"/>
        <v/>
      </c>
    </row>
    <row r="829" spans="4:16" x14ac:dyDescent="0.3">
      <c r="D829" s="99" t="s">
        <v>2386</v>
      </c>
      <c r="E829" s="100">
        <v>45882</v>
      </c>
      <c r="F829" s="100">
        <f t="shared" si="78"/>
        <v>45940</v>
      </c>
      <c r="G829" s="101">
        <f t="shared" si="79"/>
        <v>58</v>
      </c>
      <c r="H829" s="102">
        <f t="shared" si="76"/>
        <v>0</v>
      </c>
    </row>
    <row r="830" spans="4:16" x14ac:dyDescent="0.3">
      <c r="D830" s="99" t="s">
        <v>2386</v>
      </c>
      <c r="E830" s="100">
        <v>45940</v>
      </c>
      <c r="F830" s="100" t="str">
        <f t="shared" si="78"/>
        <v/>
      </c>
      <c r="G830" s="101" t="str">
        <f t="shared" si="79"/>
        <v/>
      </c>
      <c r="H830" s="102" t="str">
        <f t="shared" si="76"/>
        <v/>
      </c>
    </row>
    <row r="831" spans="4:16" x14ac:dyDescent="0.3">
      <c r="D831" s="99" t="s">
        <v>2387</v>
      </c>
      <c r="E831" s="100">
        <v>45741</v>
      </c>
      <c r="F831" s="100">
        <f t="shared" si="78"/>
        <v>45861</v>
      </c>
      <c r="G831" s="101">
        <f t="shared" si="79"/>
        <v>120</v>
      </c>
      <c r="H831" s="102">
        <f t="shared" si="76"/>
        <v>0</v>
      </c>
    </row>
    <row r="832" spans="4:16" x14ac:dyDescent="0.3">
      <c r="D832" s="99" t="s">
        <v>2387</v>
      </c>
      <c r="E832" s="100">
        <v>45861</v>
      </c>
      <c r="F832" s="100">
        <f t="shared" si="78"/>
        <v>45982</v>
      </c>
      <c r="G832" s="101">
        <f t="shared" si="79"/>
        <v>121</v>
      </c>
      <c r="H832" s="102">
        <f t="shared" si="76"/>
        <v>0</v>
      </c>
    </row>
    <row r="833" spans="4:8" x14ac:dyDescent="0.3">
      <c r="D833" s="99" t="s">
        <v>2387</v>
      </c>
      <c r="E833" s="100">
        <v>45982</v>
      </c>
      <c r="F833" s="100" t="str">
        <f t="shared" si="78"/>
        <v/>
      </c>
      <c r="G833" s="101" t="str">
        <f t="shared" si="79"/>
        <v/>
      </c>
      <c r="H833" s="102" t="str">
        <f t="shared" si="76"/>
        <v/>
      </c>
    </row>
    <row r="834" spans="4:8" x14ac:dyDescent="0.3">
      <c r="D834" s="99" t="s">
        <v>2388</v>
      </c>
      <c r="E834" s="100">
        <v>45849</v>
      </c>
      <c r="F834" s="100" t="str">
        <f t="shared" si="78"/>
        <v/>
      </c>
      <c r="G834" s="101" t="str">
        <f t="shared" si="79"/>
        <v/>
      </c>
      <c r="H834" s="102" t="str">
        <f t="shared" si="76"/>
        <v/>
      </c>
    </row>
    <row r="835" spans="4:8" x14ac:dyDescent="0.3">
      <c r="D835" s="99" t="s">
        <v>2389</v>
      </c>
      <c r="E835" s="100">
        <v>45931</v>
      </c>
      <c r="F835" s="100" t="str">
        <f t="shared" si="78"/>
        <v/>
      </c>
      <c r="G835" s="101" t="str">
        <f t="shared" si="79"/>
        <v/>
      </c>
      <c r="H835" s="102" t="str">
        <f t="shared" si="76"/>
        <v/>
      </c>
    </row>
    <row r="836" spans="4:8" x14ac:dyDescent="0.3">
      <c r="D836" s="99" t="s">
        <v>2390</v>
      </c>
      <c r="E836" s="100">
        <v>45848</v>
      </c>
      <c r="F836" s="100" t="str">
        <f t="shared" si="78"/>
        <v/>
      </c>
      <c r="G836" s="101" t="str">
        <f t="shared" si="79"/>
        <v/>
      </c>
      <c r="H836" s="102" t="str">
        <f t="shared" si="76"/>
        <v/>
      </c>
    </row>
    <row r="837" spans="4:8" x14ac:dyDescent="0.3">
      <c r="D837" s="99" t="s">
        <v>2391</v>
      </c>
      <c r="E837" s="100">
        <v>45863</v>
      </c>
      <c r="F837" s="100">
        <f t="shared" si="78"/>
        <v>45910</v>
      </c>
      <c r="G837" s="101">
        <f t="shared" si="79"/>
        <v>47</v>
      </c>
      <c r="H837" s="102">
        <f t="shared" si="76"/>
        <v>0</v>
      </c>
    </row>
    <row r="838" spans="4:8" x14ac:dyDescent="0.3">
      <c r="D838" s="99" t="s">
        <v>2391</v>
      </c>
      <c r="E838" s="100">
        <v>45910</v>
      </c>
      <c r="F838" s="100">
        <f t="shared" si="78"/>
        <v>46014</v>
      </c>
      <c r="G838" s="101">
        <f t="shared" si="79"/>
        <v>104</v>
      </c>
      <c r="H838" s="102">
        <f t="shared" si="76"/>
        <v>0</v>
      </c>
    </row>
    <row r="839" spans="4:8" x14ac:dyDescent="0.3">
      <c r="D839" s="99" t="s">
        <v>2391</v>
      </c>
      <c r="E839" s="100">
        <v>46014</v>
      </c>
      <c r="F839" s="100">
        <f t="shared" si="78"/>
        <v>46016</v>
      </c>
      <c r="G839" s="101">
        <f t="shared" si="79"/>
        <v>2</v>
      </c>
      <c r="H839" s="102">
        <f t="shared" ref="H839:H902" si="82">IF(G839="","",IF(G839&lt;=return_window,1,0))</f>
        <v>1</v>
      </c>
    </row>
    <row r="840" spans="4:8" x14ac:dyDescent="0.3">
      <c r="D840" s="99" t="s">
        <v>2391</v>
      </c>
      <c r="E840" s="100">
        <v>46016</v>
      </c>
      <c r="F840" s="100" t="str">
        <f t="shared" ref="F840:F903" si="83">IF(D840=D841,E841,"")</f>
        <v/>
      </c>
      <c r="G840" s="101" t="str">
        <f t="shared" ref="G840:G903" si="84">IF(F840="","",F840-E840)</f>
        <v/>
      </c>
      <c r="H840" s="102" t="str">
        <f t="shared" si="82"/>
        <v/>
      </c>
    </row>
    <row r="841" spans="4:8" x14ac:dyDescent="0.3">
      <c r="D841" s="99" t="s">
        <v>2392</v>
      </c>
      <c r="E841" s="100">
        <v>45665</v>
      </c>
      <c r="F841" s="100">
        <f t="shared" si="83"/>
        <v>45677</v>
      </c>
      <c r="G841" s="101">
        <f t="shared" si="84"/>
        <v>12</v>
      </c>
      <c r="H841" s="102">
        <f t="shared" si="82"/>
        <v>1</v>
      </c>
    </row>
    <row r="842" spans="4:8" x14ac:dyDescent="0.3">
      <c r="D842" s="99" t="s">
        <v>2392</v>
      </c>
      <c r="E842" s="100">
        <v>45677</v>
      </c>
      <c r="F842" s="100">
        <f t="shared" si="83"/>
        <v>45825</v>
      </c>
      <c r="G842" s="101">
        <f t="shared" si="84"/>
        <v>148</v>
      </c>
      <c r="H842" s="102">
        <f t="shared" si="82"/>
        <v>0</v>
      </c>
    </row>
    <row r="843" spans="4:8" x14ac:dyDescent="0.3">
      <c r="D843" s="99" t="s">
        <v>2392</v>
      </c>
      <c r="E843" s="100">
        <v>45825</v>
      </c>
      <c r="F843" s="100">
        <f t="shared" si="83"/>
        <v>45849</v>
      </c>
      <c r="G843" s="101">
        <f t="shared" si="84"/>
        <v>24</v>
      </c>
      <c r="H843" s="102">
        <f t="shared" si="82"/>
        <v>1</v>
      </c>
    </row>
    <row r="844" spans="4:8" x14ac:dyDescent="0.3">
      <c r="D844" s="99" t="s">
        <v>2392</v>
      </c>
      <c r="E844" s="100">
        <v>45849</v>
      </c>
      <c r="F844" s="100">
        <f t="shared" si="83"/>
        <v>45896</v>
      </c>
      <c r="G844" s="101">
        <f t="shared" si="84"/>
        <v>47</v>
      </c>
      <c r="H844" s="102">
        <f t="shared" si="82"/>
        <v>0</v>
      </c>
    </row>
    <row r="845" spans="4:8" x14ac:dyDescent="0.3">
      <c r="D845" s="99" t="s">
        <v>2392</v>
      </c>
      <c r="E845" s="100">
        <v>45896</v>
      </c>
      <c r="F845" s="100">
        <f t="shared" si="83"/>
        <v>45968</v>
      </c>
      <c r="G845" s="101">
        <f t="shared" si="84"/>
        <v>72</v>
      </c>
      <c r="H845" s="102">
        <f t="shared" si="82"/>
        <v>0</v>
      </c>
    </row>
    <row r="846" spans="4:8" x14ac:dyDescent="0.3">
      <c r="D846" s="99" t="s">
        <v>2392</v>
      </c>
      <c r="E846" s="100">
        <v>45968</v>
      </c>
      <c r="F846" s="100" t="str">
        <f t="shared" si="83"/>
        <v/>
      </c>
      <c r="G846" s="101" t="str">
        <f t="shared" si="84"/>
        <v/>
      </c>
      <c r="H846" s="102" t="str">
        <f t="shared" si="82"/>
        <v/>
      </c>
    </row>
    <row r="847" spans="4:8" x14ac:dyDescent="0.3">
      <c r="D847" s="99" t="s">
        <v>2393</v>
      </c>
      <c r="E847" s="100">
        <v>45663</v>
      </c>
      <c r="F847" s="100" t="str">
        <f t="shared" si="83"/>
        <v/>
      </c>
      <c r="G847" s="101" t="str">
        <f t="shared" si="84"/>
        <v/>
      </c>
      <c r="H847" s="102" t="str">
        <f t="shared" si="82"/>
        <v/>
      </c>
    </row>
    <row r="848" spans="4:8" x14ac:dyDescent="0.3">
      <c r="D848" s="99" t="s">
        <v>2394</v>
      </c>
      <c r="E848" s="100">
        <v>45758</v>
      </c>
      <c r="F848" s="100">
        <f t="shared" si="83"/>
        <v>45796</v>
      </c>
      <c r="G848" s="101">
        <f t="shared" si="84"/>
        <v>38</v>
      </c>
      <c r="H848" s="102">
        <f t="shared" si="82"/>
        <v>0</v>
      </c>
    </row>
    <row r="849" spans="4:8" x14ac:dyDescent="0.3">
      <c r="D849" s="99" t="s">
        <v>2394</v>
      </c>
      <c r="E849" s="100">
        <v>45796</v>
      </c>
      <c r="F849" s="100">
        <f t="shared" si="83"/>
        <v>45883</v>
      </c>
      <c r="G849" s="101">
        <f t="shared" si="84"/>
        <v>87</v>
      </c>
      <c r="H849" s="102">
        <f t="shared" si="82"/>
        <v>0</v>
      </c>
    </row>
    <row r="850" spans="4:8" x14ac:dyDescent="0.3">
      <c r="D850" s="99" t="s">
        <v>2394</v>
      </c>
      <c r="E850" s="100">
        <v>45883</v>
      </c>
      <c r="F850" s="100" t="str">
        <f t="shared" si="83"/>
        <v/>
      </c>
      <c r="G850" s="101" t="str">
        <f t="shared" si="84"/>
        <v/>
      </c>
      <c r="H850" s="102" t="str">
        <f t="shared" si="82"/>
        <v/>
      </c>
    </row>
    <row r="851" spans="4:8" x14ac:dyDescent="0.3">
      <c r="D851" s="99" t="s">
        <v>2395</v>
      </c>
      <c r="E851" s="100">
        <v>45667</v>
      </c>
      <c r="F851" s="100">
        <f t="shared" si="83"/>
        <v>45772</v>
      </c>
      <c r="G851" s="101">
        <f t="shared" si="84"/>
        <v>105</v>
      </c>
      <c r="H851" s="102">
        <f t="shared" si="82"/>
        <v>0</v>
      </c>
    </row>
    <row r="852" spans="4:8" x14ac:dyDescent="0.3">
      <c r="D852" s="99" t="s">
        <v>2395</v>
      </c>
      <c r="E852" s="100">
        <v>45772</v>
      </c>
      <c r="F852" s="100">
        <f t="shared" si="83"/>
        <v>45777</v>
      </c>
      <c r="G852" s="101">
        <f t="shared" si="84"/>
        <v>5</v>
      </c>
      <c r="H852" s="102">
        <f t="shared" si="82"/>
        <v>1</v>
      </c>
    </row>
    <row r="853" spans="4:8" x14ac:dyDescent="0.3">
      <c r="D853" s="99" t="s">
        <v>2395</v>
      </c>
      <c r="E853" s="100">
        <v>45777</v>
      </c>
      <c r="F853" s="100" t="str">
        <f t="shared" si="83"/>
        <v/>
      </c>
      <c r="G853" s="101" t="str">
        <f t="shared" si="84"/>
        <v/>
      </c>
      <c r="H853" s="102" t="str">
        <f t="shared" si="82"/>
        <v/>
      </c>
    </row>
    <row r="854" spans="4:8" x14ac:dyDescent="0.3">
      <c r="D854" s="99" t="s">
        <v>2396</v>
      </c>
      <c r="E854" s="100">
        <v>45747</v>
      </c>
      <c r="F854" s="100">
        <f t="shared" si="83"/>
        <v>45799</v>
      </c>
      <c r="G854" s="101">
        <f t="shared" si="84"/>
        <v>52</v>
      </c>
      <c r="H854" s="102">
        <f t="shared" si="82"/>
        <v>0</v>
      </c>
    </row>
    <row r="855" spans="4:8" x14ac:dyDescent="0.3">
      <c r="D855" s="99" t="s">
        <v>2396</v>
      </c>
      <c r="E855" s="100">
        <v>45799</v>
      </c>
      <c r="F855" s="100" t="str">
        <f t="shared" si="83"/>
        <v/>
      </c>
      <c r="G855" s="101" t="str">
        <f t="shared" si="84"/>
        <v/>
      </c>
      <c r="H855" s="102" t="str">
        <f t="shared" si="82"/>
        <v/>
      </c>
    </row>
    <row r="856" spans="4:8" x14ac:dyDescent="0.3">
      <c r="D856" s="99" t="s">
        <v>2397</v>
      </c>
      <c r="E856" s="100">
        <v>45904</v>
      </c>
      <c r="F856" s="100">
        <f t="shared" si="83"/>
        <v>45926</v>
      </c>
      <c r="G856" s="101">
        <f t="shared" si="84"/>
        <v>22</v>
      </c>
      <c r="H856" s="102">
        <f t="shared" si="82"/>
        <v>1</v>
      </c>
    </row>
    <row r="857" spans="4:8" x14ac:dyDescent="0.3">
      <c r="D857" s="99" t="s">
        <v>2397</v>
      </c>
      <c r="E857" s="100">
        <v>45926</v>
      </c>
      <c r="F857" s="100">
        <f t="shared" si="83"/>
        <v>45950</v>
      </c>
      <c r="G857" s="101">
        <f t="shared" si="84"/>
        <v>24</v>
      </c>
      <c r="H857" s="102">
        <f t="shared" si="82"/>
        <v>1</v>
      </c>
    </row>
    <row r="858" spans="4:8" x14ac:dyDescent="0.3">
      <c r="D858" s="99" t="s">
        <v>2397</v>
      </c>
      <c r="E858" s="100">
        <v>45950</v>
      </c>
      <c r="F858" s="100" t="str">
        <f t="shared" si="83"/>
        <v/>
      </c>
      <c r="G858" s="101" t="str">
        <f t="shared" si="84"/>
        <v/>
      </c>
      <c r="H858" s="102" t="str">
        <f t="shared" si="82"/>
        <v/>
      </c>
    </row>
    <row r="859" spans="4:8" x14ac:dyDescent="0.3">
      <c r="D859" s="99" t="s">
        <v>2398</v>
      </c>
      <c r="E859" s="100">
        <v>45748</v>
      </c>
      <c r="F859" s="100" t="str">
        <f t="shared" si="83"/>
        <v/>
      </c>
      <c r="G859" s="101" t="str">
        <f t="shared" si="84"/>
        <v/>
      </c>
      <c r="H859" s="102" t="str">
        <f t="shared" si="82"/>
        <v/>
      </c>
    </row>
    <row r="860" spans="4:8" x14ac:dyDescent="0.3">
      <c r="D860" s="99" t="s">
        <v>2399</v>
      </c>
      <c r="E860" s="100">
        <v>45667</v>
      </c>
      <c r="F860" s="100" t="str">
        <f t="shared" si="83"/>
        <v/>
      </c>
      <c r="G860" s="101" t="str">
        <f t="shared" si="84"/>
        <v/>
      </c>
      <c r="H860" s="102" t="str">
        <f t="shared" si="82"/>
        <v/>
      </c>
    </row>
    <row r="861" spans="4:8" x14ac:dyDescent="0.3">
      <c r="D861" s="99" t="s">
        <v>2400</v>
      </c>
      <c r="E861" s="100">
        <v>45714</v>
      </c>
      <c r="F861" s="100">
        <f t="shared" si="83"/>
        <v>45848</v>
      </c>
      <c r="G861" s="101">
        <f t="shared" si="84"/>
        <v>134</v>
      </c>
      <c r="H861" s="102">
        <f t="shared" si="82"/>
        <v>0</v>
      </c>
    </row>
    <row r="862" spans="4:8" x14ac:dyDescent="0.3">
      <c r="D862" s="99" t="s">
        <v>2400</v>
      </c>
      <c r="E862" s="100">
        <v>45848</v>
      </c>
      <c r="F862" s="100" t="str">
        <f t="shared" si="83"/>
        <v/>
      </c>
      <c r="G862" s="101" t="str">
        <f t="shared" si="84"/>
        <v/>
      </c>
      <c r="H862" s="102" t="str">
        <f t="shared" si="82"/>
        <v/>
      </c>
    </row>
    <row r="863" spans="4:8" x14ac:dyDescent="0.3">
      <c r="D863" s="99" t="s">
        <v>2401</v>
      </c>
      <c r="E863" s="100">
        <v>46003</v>
      </c>
      <c r="F863" s="100" t="str">
        <f t="shared" si="83"/>
        <v/>
      </c>
      <c r="G863" s="101" t="str">
        <f t="shared" si="84"/>
        <v/>
      </c>
      <c r="H863" s="102" t="str">
        <f t="shared" si="82"/>
        <v/>
      </c>
    </row>
    <row r="864" spans="4:8" x14ac:dyDescent="0.3">
      <c r="D864" s="99" t="s">
        <v>2402</v>
      </c>
      <c r="E864" s="100">
        <v>45680</v>
      </c>
      <c r="F864" s="100">
        <f t="shared" si="83"/>
        <v>45895</v>
      </c>
      <c r="G864" s="101">
        <f t="shared" si="84"/>
        <v>215</v>
      </c>
      <c r="H864" s="102">
        <f t="shared" si="82"/>
        <v>0</v>
      </c>
    </row>
    <row r="865" spans="4:8" x14ac:dyDescent="0.3">
      <c r="D865" s="99" t="s">
        <v>2402</v>
      </c>
      <c r="E865" s="100">
        <v>45895</v>
      </c>
      <c r="F865" s="100">
        <f t="shared" si="83"/>
        <v>45961</v>
      </c>
      <c r="G865" s="101">
        <f t="shared" si="84"/>
        <v>66</v>
      </c>
      <c r="H865" s="102">
        <f t="shared" si="82"/>
        <v>0</v>
      </c>
    </row>
    <row r="866" spans="4:8" x14ac:dyDescent="0.3">
      <c r="D866" s="99" t="s">
        <v>2402</v>
      </c>
      <c r="E866" s="100">
        <v>45961</v>
      </c>
      <c r="F866" s="100" t="str">
        <f t="shared" si="83"/>
        <v/>
      </c>
      <c r="G866" s="101" t="str">
        <f t="shared" si="84"/>
        <v/>
      </c>
      <c r="H866" s="102" t="str">
        <f t="shared" si="82"/>
        <v/>
      </c>
    </row>
    <row r="867" spans="4:8" x14ac:dyDescent="0.3">
      <c r="D867" s="99" t="s">
        <v>2403</v>
      </c>
      <c r="E867" s="100">
        <v>45779</v>
      </c>
      <c r="F867" s="100">
        <f t="shared" si="83"/>
        <v>45888</v>
      </c>
      <c r="G867" s="101">
        <f t="shared" si="84"/>
        <v>109</v>
      </c>
      <c r="H867" s="102">
        <f t="shared" si="82"/>
        <v>0</v>
      </c>
    </row>
    <row r="868" spans="4:8" x14ac:dyDescent="0.3">
      <c r="D868" s="99" t="s">
        <v>2403</v>
      </c>
      <c r="E868" s="100">
        <v>45888</v>
      </c>
      <c r="F868" s="100">
        <f t="shared" si="83"/>
        <v>45929</v>
      </c>
      <c r="G868" s="101">
        <f t="shared" si="84"/>
        <v>41</v>
      </c>
      <c r="H868" s="102">
        <f t="shared" si="82"/>
        <v>0</v>
      </c>
    </row>
    <row r="869" spans="4:8" x14ac:dyDescent="0.3">
      <c r="D869" s="99" t="s">
        <v>2403</v>
      </c>
      <c r="E869" s="100">
        <v>45929</v>
      </c>
      <c r="F869" s="100" t="str">
        <f t="shared" si="83"/>
        <v/>
      </c>
      <c r="G869" s="101" t="str">
        <f t="shared" si="84"/>
        <v/>
      </c>
      <c r="H869" s="102" t="str">
        <f t="shared" si="82"/>
        <v/>
      </c>
    </row>
    <row r="870" spans="4:8" x14ac:dyDescent="0.3">
      <c r="D870" s="99" t="s">
        <v>2404</v>
      </c>
      <c r="E870" s="100">
        <v>45775</v>
      </c>
      <c r="F870" s="100">
        <f t="shared" si="83"/>
        <v>45833</v>
      </c>
      <c r="G870" s="101">
        <f t="shared" si="84"/>
        <v>58</v>
      </c>
      <c r="H870" s="102">
        <f t="shared" si="82"/>
        <v>0</v>
      </c>
    </row>
    <row r="871" spans="4:8" x14ac:dyDescent="0.3">
      <c r="D871" s="99" t="s">
        <v>2404</v>
      </c>
      <c r="E871" s="100">
        <v>45833</v>
      </c>
      <c r="F871" s="100">
        <f t="shared" si="83"/>
        <v>45944</v>
      </c>
      <c r="G871" s="101">
        <f t="shared" si="84"/>
        <v>111</v>
      </c>
      <c r="H871" s="102">
        <f t="shared" si="82"/>
        <v>0</v>
      </c>
    </row>
    <row r="872" spans="4:8" x14ac:dyDescent="0.3">
      <c r="D872" s="99" t="s">
        <v>2404</v>
      </c>
      <c r="E872" s="100">
        <v>45944</v>
      </c>
      <c r="F872" s="100">
        <f t="shared" si="83"/>
        <v>45968</v>
      </c>
      <c r="G872" s="101">
        <f t="shared" si="84"/>
        <v>24</v>
      </c>
      <c r="H872" s="102">
        <f t="shared" si="82"/>
        <v>1</v>
      </c>
    </row>
    <row r="873" spans="4:8" x14ac:dyDescent="0.3">
      <c r="D873" s="99" t="s">
        <v>2404</v>
      </c>
      <c r="E873" s="100">
        <v>45968</v>
      </c>
      <c r="F873" s="100" t="str">
        <f t="shared" si="83"/>
        <v/>
      </c>
      <c r="G873" s="101" t="str">
        <f t="shared" si="84"/>
        <v/>
      </c>
      <c r="H873" s="102" t="str">
        <f t="shared" si="82"/>
        <v/>
      </c>
    </row>
    <row r="874" spans="4:8" x14ac:dyDescent="0.3">
      <c r="D874" s="99" t="s">
        <v>2405</v>
      </c>
      <c r="E874" s="100">
        <v>45730</v>
      </c>
      <c r="F874" s="100" t="str">
        <f t="shared" si="83"/>
        <v/>
      </c>
      <c r="G874" s="101" t="str">
        <f t="shared" si="84"/>
        <v/>
      </c>
      <c r="H874" s="102" t="str">
        <f t="shared" si="82"/>
        <v/>
      </c>
    </row>
    <row r="875" spans="4:8" x14ac:dyDescent="0.3">
      <c r="D875" s="99" t="s">
        <v>2406</v>
      </c>
      <c r="E875" s="100">
        <v>45768</v>
      </c>
      <c r="F875" s="100" t="str">
        <f t="shared" si="83"/>
        <v/>
      </c>
      <c r="G875" s="101" t="str">
        <f t="shared" si="84"/>
        <v/>
      </c>
      <c r="H875" s="102" t="str">
        <f t="shared" si="82"/>
        <v/>
      </c>
    </row>
    <row r="876" spans="4:8" x14ac:dyDescent="0.3">
      <c r="D876" s="99" t="s">
        <v>2407</v>
      </c>
      <c r="E876" s="100">
        <v>45896</v>
      </c>
      <c r="F876" s="100" t="str">
        <f t="shared" si="83"/>
        <v/>
      </c>
      <c r="G876" s="101" t="str">
        <f t="shared" si="84"/>
        <v/>
      </c>
      <c r="H876" s="102" t="str">
        <f t="shared" si="82"/>
        <v/>
      </c>
    </row>
    <row r="877" spans="4:8" x14ac:dyDescent="0.3">
      <c r="D877" s="99" t="s">
        <v>2408</v>
      </c>
      <c r="E877" s="100">
        <v>45937</v>
      </c>
      <c r="F877" s="100" t="str">
        <f t="shared" si="83"/>
        <v/>
      </c>
      <c r="G877" s="101" t="str">
        <f t="shared" si="84"/>
        <v/>
      </c>
      <c r="H877" s="102" t="str">
        <f t="shared" si="82"/>
        <v/>
      </c>
    </row>
    <row r="878" spans="4:8" x14ac:dyDescent="0.3">
      <c r="D878" s="99" t="s">
        <v>2409</v>
      </c>
      <c r="E878" s="100">
        <v>45659</v>
      </c>
      <c r="F878" s="100">
        <f t="shared" si="83"/>
        <v>45824</v>
      </c>
      <c r="G878" s="101">
        <f t="shared" si="84"/>
        <v>165</v>
      </c>
      <c r="H878" s="102">
        <f t="shared" si="82"/>
        <v>0</v>
      </c>
    </row>
    <row r="879" spans="4:8" x14ac:dyDescent="0.3">
      <c r="D879" s="99" t="s">
        <v>2409</v>
      </c>
      <c r="E879" s="100">
        <v>45824</v>
      </c>
      <c r="F879" s="100">
        <f t="shared" si="83"/>
        <v>46003</v>
      </c>
      <c r="G879" s="101">
        <f t="shared" si="84"/>
        <v>179</v>
      </c>
      <c r="H879" s="102">
        <f t="shared" si="82"/>
        <v>0</v>
      </c>
    </row>
    <row r="880" spans="4:8" x14ac:dyDescent="0.3">
      <c r="D880" s="99" t="s">
        <v>2409</v>
      </c>
      <c r="E880" s="100">
        <v>46003</v>
      </c>
      <c r="F880" s="100" t="str">
        <f t="shared" si="83"/>
        <v/>
      </c>
      <c r="G880" s="101" t="str">
        <f t="shared" si="84"/>
        <v/>
      </c>
      <c r="H880" s="102" t="str">
        <f t="shared" si="82"/>
        <v/>
      </c>
    </row>
    <row r="881" spans="4:8" x14ac:dyDescent="0.3">
      <c r="D881" s="99" t="s">
        <v>2410</v>
      </c>
      <c r="E881" s="100">
        <v>45716</v>
      </c>
      <c r="F881" s="100">
        <f t="shared" si="83"/>
        <v>45895</v>
      </c>
      <c r="G881" s="101">
        <f t="shared" si="84"/>
        <v>179</v>
      </c>
      <c r="H881" s="102">
        <f t="shared" si="82"/>
        <v>0</v>
      </c>
    </row>
    <row r="882" spans="4:8" x14ac:dyDescent="0.3">
      <c r="D882" s="99" t="s">
        <v>2410</v>
      </c>
      <c r="E882" s="100">
        <v>45895</v>
      </c>
      <c r="F882" s="100">
        <f t="shared" si="83"/>
        <v>45947</v>
      </c>
      <c r="G882" s="101">
        <f t="shared" si="84"/>
        <v>52</v>
      </c>
      <c r="H882" s="102">
        <f t="shared" si="82"/>
        <v>0</v>
      </c>
    </row>
    <row r="883" spans="4:8" x14ac:dyDescent="0.3">
      <c r="D883" s="99" t="s">
        <v>2410</v>
      </c>
      <c r="E883" s="100">
        <v>45947</v>
      </c>
      <c r="F883" s="100" t="str">
        <f t="shared" si="83"/>
        <v/>
      </c>
      <c r="G883" s="101" t="str">
        <f t="shared" si="84"/>
        <v/>
      </c>
      <c r="H883" s="102" t="str">
        <f t="shared" si="82"/>
        <v/>
      </c>
    </row>
    <row r="884" spans="4:8" x14ac:dyDescent="0.3">
      <c r="D884" s="99" t="s">
        <v>2411</v>
      </c>
      <c r="E884" s="100">
        <v>45720</v>
      </c>
      <c r="F884" s="100">
        <f t="shared" si="83"/>
        <v>45763</v>
      </c>
      <c r="G884" s="101">
        <f t="shared" si="84"/>
        <v>43</v>
      </c>
      <c r="H884" s="102">
        <f t="shared" si="82"/>
        <v>0</v>
      </c>
    </row>
    <row r="885" spans="4:8" x14ac:dyDescent="0.3">
      <c r="D885" s="99" t="s">
        <v>2411</v>
      </c>
      <c r="E885" s="100">
        <v>45763</v>
      </c>
      <c r="F885" s="100">
        <f t="shared" si="83"/>
        <v>45923</v>
      </c>
      <c r="G885" s="101">
        <f t="shared" si="84"/>
        <v>160</v>
      </c>
      <c r="H885" s="102">
        <f t="shared" si="82"/>
        <v>0</v>
      </c>
    </row>
    <row r="886" spans="4:8" x14ac:dyDescent="0.3">
      <c r="D886" s="99" t="s">
        <v>2411</v>
      </c>
      <c r="E886" s="100">
        <v>45923</v>
      </c>
      <c r="F886" s="100" t="str">
        <f t="shared" si="83"/>
        <v/>
      </c>
      <c r="G886" s="101" t="str">
        <f t="shared" si="84"/>
        <v/>
      </c>
      <c r="H886" s="102" t="str">
        <f t="shared" si="82"/>
        <v/>
      </c>
    </row>
    <row r="887" spans="4:8" x14ac:dyDescent="0.3">
      <c r="D887" s="99" t="s">
        <v>2412</v>
      </c>
      <c r="E887" s="100">
        <v>45812</v>
      </c>
      <c r="F887" s="100" t="str">
        <f t="shared" si="83"/>
        <v/>
      </c>
      <c r="G887" s="101" t="str">
        <f t="shared" si="84"/>
        <v/>
      </c>
      <c r="H887" s="102" t="str">
        <f t="shared" si="82"/>
        <v/>
      </c>
    </row>
    <row r="888" spans="4:8" x14ac:dyDescent="0.3">
      <c r="D888" s="99" t="s">
        <v>2413</v>
      </c>
      <c r="E888" s="100">
        <v>45755</v>
      </c>
      <c r="F888" s="100">
        <f t="shared" si="83"/>
        <v>45769</v>
      </c>
      <c r="G888" s="101">
        <f t="shared" si="84"/>
        <v>14</v>
      </c>
      <c r="H888" s="102">
        <f t="shared" si="82"/>
        <v>1</v>
      </c>
    </row>
    <row r="889" spans="4:8" x14ac:dyDescent="0.3">
      <c r="D889" s="99" t="s">
        <v>2413</v>
      </c>
      <c r="E889" s="100">
        <v>45769</v>
      </c>
      <c r="F889" s="100">
        <f t="shared" si="83"/>
        <v>45775</v>
      </c>
      <c r="G889" s="101">
        <f t="shared" si="84"/>
        <v>6</v>
      </c>
      <c r="H889" s="102">
        <f t="shared" si="82"/>
        <v>1</v>
      </c>
    </row>
    <row r="890" spans="4:8" x14ac:dyDescent="0.3">
      <c r="D890" s="99" t="s">
        <v>2413</v>
      </c>
      <c r="E890" s="100">
        <v>45775</v>
      </c>
      <c r="F890" s="100">
        <f t="shared" si="83"/>
        <v>45995</v>
      </c>
      <c r="G890" s="101">
        <f t="shared" si="84"/>
        <v>220</v>
      </c>
      <c r="H890" s="102">
        <f t="shared" si="82"/>
        <v>0</v>
      </c>
    </row>
    <row r="891" spans="4:8" x14ac:dyDescent="0.3">
      <c r="D891" s="99" t="s">
        <v>2413</v>
      </c>
      <c r="E891" s="100">
        <v>45995</v>
      </c>
      <c r="F891" s="100" t="str">
        <f t="shared" si="83"/>
        <v/>
      </c>
      <c r="G891" s="101" t="str">
        <f t="shared" si="84"/>
        <v/>
      </c>
      <c r="H891" s="102" t="str">
        <f t="shared" si="82"/>
        <v/>
      </c>
    </row>
    <row r="892" spans="4:8" x14ac:dyDescent="0.3">
      <c r="D892" s="99" t="s">
        <v>2414</v>
      </c>
      <c r="E892" s="100">
        <v>45799</v>
      </c>
      <c r="F892" s="100">
        <f t="shared" si="83"/>
        <v>45992</v>
      </c>
      <c r="G892" s="101">
        <f t="shared" si="84"/>
        <v>193</v>
      </c>
      <c r="H892" s="102">
        <f t="shared" si="82"/>
        <v>0</v>
      </c>
    </row>
    <row r="893" spans="4:8" x14ac:dyDescent="0.3">
      <c r="D893" s="99" t="s">
        <v>2414</v>
      </c>
      <c r="E893" s="100">
        <v>45992</v>
      </c>
      <c r="F893" s="100" t="str">
        <f t="shared" si="83"/>
        <v/>
      </c>
      <c r="G893" s="101" t="str">
        <f t="shared" si="84"/>
        <v/>
      </c>
      <c r="H893" s="102" t="str">
        <f t="shared" si="82"/>
        <v/>
      </c>
    </row>
    <row r="894" spans="4:8" x14ac:dyDescent="0.3">
      <c r="D894" s="99" t="s">
        <v>2415</v>
      </c>
      <c r="E894" s="100">
        <v>45677</v>
      </c>
      <c r="F894" s="100">
        <f t="shared" si="83"/>
        <v>45805</v>
      </c>
      <c r="G894" s="101">
        <f t="shared" si="84"/>
        <v>128</v>
      </c>
      <c r="H894" s="102">
        <f t="shared" si="82"/>
        <v>0</v>
      </c>
    </row>
    <row r="895" spans="4:8" x14ac:dyDescent="0.3">
      <c r="D895" s="99" t="s">
        <v>2415</v>
      </c>
      <c r="E895" s="100">
        <v>45805</v>
      </c>
      <c r="F895" s="100">
        <f t="shared" si="83"/>
        <v>45894</v>
      </c>
      <c r="G895" s="101">
        <f t="shared" si="84"/>
        <v>89</v>
      </c>
      <c r="H895" s="102">
        <f t="shared" si="82"/>
        <v>0</v>
      </c>
    </row>
    <row r="896" spans="4:8" x14ac:dyDescent="0.3">
      <c r="D896" s="99" t="s">
        <v>2415</v>
      </c>
      <c r="E896" s="100">
        <v>45894</v>
      </c>
      <c r="F896" s="100" t="str">
        <f t="shared" si="83"/>
        <v/>
      </c>
      <c r="G896" s="101" t="str">
        <f t="shared" si="84"/>
        <v/>
      </c>
      <c r="H896" s="102" t="str">
        <f t="shared" si="82"/>
        <v/>
      </c>
    </row>
    <row r="897" spans="4:8" x14ac:dyDescent="0.3">
      <c r="D897" s="99" t="s">
        <v>2416</v>
      </c>
      <c r="E897" s="100">
        <v>45889</v>
      </c>
      <c r="F897" s="100">
        <f t="shared" si="83"/>
        <v>45986</v>
      </c>
      <c r="G897" s="101">
        <f t="shared" si="84"/>
        <v>97</v>
      </c>
      <c r="H897" s="102">
        <f t="shared" si="82"/>
        <v>0</v>
      </c>
    </row>
    <row r="898" spans="4:8" x14ac:dyDescent="0.3">
      <c r="D898" s="99" t="s">
        <v>2416</v>
      </c>
      <c r="E898" s="100">
        <v>45986</v>
      </c>
      <c r="F898" s="100" t="str">
        <f t="shared" si="83"/>
        <v/>
      </c>
      <c r="G898" s="101" t="str">
        <f t="shared" si="84"/>
        <v/>
      </c>
      <c r="H898" s="102" t="str">
        <f t="shared" si="82"/>
        <v/>
      </c>
    </row>
    <row r="899" spans="4:8" x14ac:dyDescent="0.3">
      <c r="D899" s="99" t="s">
        <v>2417</v>
      </c>
      <c r="E899" s="100">
        <v>45863</v>
      </c>
      <c r="F899" s="100" t="str">
        <f t="shared" si="83"/>
        <v/>
      </c>
      <c r="G899" s="101" t="str">
        <f t="shared" si="84"/>
        <v/>
      </c>
      <c r="H899" s="102" t="str">
        <f t="shared" si="82"/>
        <v/>
      </c>
    </row>
    <row r="900" spans="4:8" x14ac:dyDescent="0.3">
      <c r="D900" s="99" t="s">
        <v>2418</v>
      </c>
      <c r="E900" s="100">
        <v>45890</v>
      </c>
      <c r="F900" s="100" t="str">
        <f t="shared" si="83"/>
        <v/>
      </c>
      <c r="G900" s="101" t="str">
        <f t="shared" si="84"/>
        <v/>
      </c>
      <c r="H900" s="102" t="str">
        <f t="shared" si="82"/>
        <v/>
      </c>
    </row>
    <row r="901" spans="4:8" x14ac:dyDescent="0.3">
      <c r="D901" s="99" t="s">
        <v>2419</v>
      </c>
      <c r="E901" s="100">
        <v>45952</v>
      </c>
      <c r="F901" s="100" t="str">
        <f t="shared" si="83"/>
        <v/>
      </c>
      <c r="G901" s="101" t="str">
        <f t="shared" si="84"/>
        <v/>
      </c>
      <c r="H901" s="102" t="str">
        <f t="shared" si="82"/>
        <v/>
      </c>
    </row>
    <row r="902" spans="4:8" x14ac:dyDescent="0.3">
      <c r="D902" s="99" t="s">
        <v>2420</v>
      </c>
      <c r="E902" s="100">
        <v>45674</v>
      </c>
      <c r="F902" s="100">
        <f t="shared" si="83"/>
        <v>45728</v>
      </c>
      <c r="G902" s="101">
        <f t="shared" si="84"/>
        <v>54</v>
      </c>
      <c r="H902" s="102">
        <f t="shared" si="82"/>
        <v>0</v>
      </c>
    </row>
    <row r="903" spans="4:8" x14ac:dyDescent="0.3">
      <c r="D903" s="99" t="s">
        <v>2420</v>
      </c>
      <c r="E903" s="100">
        <v>45728</v>
      </c>
      <c r="F903" s="100">
        <f t="shared" si="83"/>
        <v>45750</v>
      </c>
      <c r="G903" s="101">
        <f t="shared" si="84"/>
        <v>22</v>
      </c>
      <c r="H903" s="102">
        <f t="shared" ref="H903:H966" si="85">IF(G903="","",IF(G903&lt;=return_window,1,0))</f>
        <v>1</v>
      </c>
    </row>
    <row r="904" spans="4:8" x14ac:dyDescent="0.3">
      <c r="D904" s="99" t="s">
        <v>2420</v>
      </c>
      <c r="E904" s="100">
        <v>45750</v>
      </c>
      <c r="F904" s="100">
        <f t="shared" ref="F904:F967" si="86">IF(D904=D905,E905,"")</f>
        <v>45834</v>
      </c>
      <c r="G904" s="101">
        <f t="shared" ref="G904:G967" si="87">IF(F904="","",F904-E904)</f>
        <v>84</v>
      </c>
      <c r="H904" s="102">
        <f t="shared" si="85"/>
        <v>0</v>
      </c>
    </row>
    <row r="905" spans="4:8" x14ac:dyDescent="0.3">
      <c r="D905" s="99" t="s">
        <v>2420</v>
      </c>
      <c r="E905" s="100">
        <v>45834</v>
      </c>
      <c r="F905" s="100">
        <f t="shared" si="86"/>
        <v>45959</v>
      </c>
      <c r="G905" s="101">
        <f t="shared" si="87"/>
        <v>125</v>
      </c>
      <c r="H905" s="102">
        <f t="shared" si="85"/>
        <v>0</v>
      </c>
    </row>
    <row r="906" spans="4:8" x14ac:dyDescent="0.3">
      <c r="D906" s="99" t="s">
        <v>2420</v>
      </c>
      <c r="E906" s="100">
        <v>45959</v>
      </c>
      <c r="F906" s="100">
        <f t="shared" si="86"/>
        <v>45979</v>
      </c>
      <c r="G906" s="101">
        <f t="shared" si="87"/>
        <v>20</v>
      </c>
      <c r="H906" s="102">
        <f t="shared" si="85"/>
        <v>1</v>
      </c>
    </row>
    <row r="907" spans="4:8" x14ac:dyDescent="0.3">
      <c r="D907" s="99" t="s">
        <v>2420</v>
      </c>
      <c r="E907" s="100">
        <v>45979</v>
      </c>
      <c r="F907" s="100">
        <f t="shared" si="86"/>
        <v>46013</v>
      </c>
      <c r="G907" s="101">
        <f t="shared" si="87"/>
        <v>34</v>
      </c>
      <c r="H907" s="102">
        <f t="shared" si="85"/>
        <v>0</v>
      </c>
    </row>
    <row r="908" spans="4:8" x14ac:dyDescent="0.3">
      <c r="D908" s="99" t="s">
        <v>2420</v>
      </c>
      <c r="E908" s="100">
        <v>46013</v>
      </c>
      <c r="F908" s="100" t="str">
        <f t="shared" si="86"/>
        <v/>
      </c>
      <c r="G908" s="101" t="str">
        <f t="shared" si="87"/>
        <v/>
      </c>
      <c r="H908" s="102" t="str">
        <f t="shared" si="85"/>
        <v/>
      </c>
    </row>
    <row r="909" spans="4:8" x14ac:dyDescent="0.3">
      <c r="D909" s="99" t="s">
        <v>2421</v>
      </c>
      <c r="E909" s="100">
        <v>45785</v>
      </c>
      <c r="F909" s="100">
        <f t="shared" si="86"/>
        <v>45799</v>
      </c>
      <c r="G909" s="101">
        <f t="shared" si="87"/>
        <v>14</v>
      </c>
      <c r="H909" s="102">
        <f t="shared" si="85"/>
        <v>1</v>
      </c>
    </row>
    <row r="910" spans="4:8" x14ac:dyDescent="0.3">
      <c r="D910" s="99" t="s">
        <v>2421</v>
      </c>
      <c r="E910" s="100">
        <v>45799</v>
      </c>
      <c r="F910" s="100" t="str">
        <f t="shared" si="86"/>
        <v/>
      </c>
      <c r="G910" s="101" t="str">
        <f t="shared" si="87"/>
        <v/>
      </c>
      <c r="H910" s="102" t="str">
        <f t="shared" si="85"/>
        <v/>
      </c>
    </row>
    <row r="911" spans="4:8" x14ac:dyDescent="0.3">
      <c r="D911" s="99" t="s">
        <v>2422</v>
      </c>
      <c r="E911" s="100">
        <v>45714</v>
      </c>
      <c r="F911" s="100">
        <f t="shared" si="86"/>
        <v>45762</v>
      </c>
      <c r="G911" s="101">
        <f t="shared" si="87"/>
        <v>48</v>
      </c>
      <c r="H911" s="102">
        <f t="shared" si="85"/>
        <v>0</v>
      </c>
    </row>
    <row r="912" spans="4:8" x14ac:dyDescent="0.3">
      <c r="D912" s="99" t="s">
        <v>2422</v>
      </c>
      <c r="E912" s="100">
        <v>45762</v>
      </c>
      <c r="F912" s="100" t="str">
        <f t="shared" si="86"/>
        <v/>
      </c>
      <c r="G912" s="101" t="str">
        <f t="shared" si="87"/>
        <v/>
      </c>
      <c r="H912" s="102" t="str">
        <f t="shared" si="85"/>
        <v/>
      </c>
    </row>
    <row r="913" spans="4:8" x14ac:dyDescent="0.3">
      <c r="D913" s="99" t="s">
        <v>2423</v>
      </c>
      <c r="E913" s="100">
        <v>46010</v>
      </c>
      <c r="F913" s="100" t="str">
        <f t="shared" si="86"/>
        <v/>
      </c>
      <c r="G913" s="101" t="str">
        <f t="shared" si="87"/>
        <v/>
      </c>
      <c r="H913" s="102" t="str">
        <f t="shared" si="85"/>
        <v/>
      </c>
    </row>
    <row r="914" spans="4:8" x14ac:dyDescent="0.3">
      <c r="D914" s="99" t="s">
        <v>2424</v>
      </c>
      <c r="E914" s="100">
        <v>46003</v>
      </c>
      <c r="F914" s="100" t="str">
        <f t="shared" si="86"/>
        <v/>
      </c>
      <c r="G914" s="101" t="str">
        <f t="shared" si="87"/>
        <v/>
      </c>
      <c r="H914" s="102" t="str">
        <f t="shared" si="85"/>
        <v/>
      </c>
    </row>
    <row r="915" spans="4:8" x14ac:dyDescent="0.3">
      <c r="D915" s="99" t="s">
        <v>2425</v>
      </c>
      <c r="E915" s="100">
        <v>45679</v>
      </c>
      <c r="F915" s="100">
        <f t="shared" si="86"/>
        <v>45960</v>
      </c>
      <c r="G915" s="101">
        <f t="shared" si="87"/>
        <v>281</v>
      </c>
      <c r="H915" s="102">
        <f t="shared" si="85"/>
        <v>0</v>
      </c>
    </row>
    <row r="916" spans="4:8" x14ac:dyDescent="0.3">
      <c r="D916" s="99" t="s">
        <v>2425</v>
      </c>
      <c r="E916" s="100">
        <v>45960</v>
      </c>
      <c r="F916" s="100" t="str">
        <f t="shared" si="86"/>
        <v/>
      </c>
      <c r="G916" s="101" t="str">
        <f t="shared" si="87"/>
        <v/>
      </c>
      <c r="H916" s="102" t="str">
        <f t="shared" si="85"/>
        <v/>
      </c>
    </row>
    <row r="917" spans="4:8" x14ac:dyDescent="0.3">
      <c r="D917" s="99" t="s">
        <v>2426</v>
      </c>
      <c r="E917" s="100">
        <v>45842</v>
      </c>
      <c r="F917" s="100">
        <f t="shared" si="86"/>
        <v>45965</v>
      </c>
      <c r="G917" s="101">
        <f t="shared" si="87"/>
        <v>123</v>
      </c>
      <c r="H917" s="102">
        <f t="shared" si="85"/>
        <v>0</v>
      </c>
    </row>
    <row r="918" spans="4:8" x14ac:dyDescent="0.3">
      <c r="D918" s="99" t="s">
        <v>2426</v>
      </c>
      <c r="E918" s="100">
        <v>45965</v>
      </c>
      <c r="F918" s="100" t="str">
        <f t="shared" si="86"/>
        <v/>
      </c>
      <c r="G918" s="101" t="str">
        <f t="shared" si="87"/>
        <v/>
      </c>
      <c r="H918" s="102" t="str">
        <f t="shared" si="85"/>
        <v/>
      </c>
    </row>
    <row r="919" spans="4:8" x14ac:dyDescent="0.3">
      <c r="D919" s="99" t="s">
        <v>2427</v>
      </c>
      <c r="E919" s="100">
        <v>45817</v>
      </c>
      <c r="F919" s="100">
        <f t="shared" si="86"/>
        <v>45924</v>
      </c>
      <c r="G919" s="101">
        <f t="shared" si="87"/>
        <v>107</v>
      </c>
      <c r="H919" s="102">
        <f t="shared" si="85"/>
        <v>0</v>
      </c>
    </row>
    <row r="920" spans="4:8" x14ac:dyDescent="0.3">
      <c r="D920" s="99" t="s">
        <v>2427</v>
      </c>
      <c r="E920" s="100">
        <v>45924</v>
      </c>
      <c r="F920" s="100" t="str">
        <f t="shared" si="86"/>
        <v/>
      </c>
      <c r="G920" s="101" t="str">
        <f t="shared" si="87"/>
        <v/>
      </c>
      <c r="H920" s="102" t="str">
        <f t="shared" si="85"/>
        <v/>
      </c>
    </row>
    <row r="921" spans="4:8" x14ac:dyDescent="0.3">
      <c r="D921" s="99" t="s">
        <v>2428</v>
      </c>
      <c r="E921" s="100">
        <v>45968</v>
      </c>
      <c r="F921" s="100" t="str">
        <f t="shared" si="86"/>
        <v/>
      </c>
      <c r="G921" s="101" t="str">
        <f t="shared" si="87"/>
        <v/>
      </c>
      <c r="H921" s="102" t="str">
        <f t="shared" si="85"/>
        <v/>
      </c>
    </row>
    <row r="922" spans="4:8" x14ac:dyDescent="0.3">
      <c r="D922" s="99" t="s">
        <v>2429</v>
      </c>
      <c r="E922" s="100">
        <v>45694</v>
      </c>
      <c r="F922" s="100">
        <f t="shared" si="86"/>
        <v>45817</v>
      </c>
      <c r="G922" s="101">
        <f t="shared" si="87"/>
        <v>123</v>
      </c>
      <c r="H922" s="102">
        <f t="shared" si="85"/>
        <v>0</v>
      </c>
    </row>
    <row r="923" spans="4:8" x14ac:dyDescent="0.3">
      <c r="D923" s="99" t="s">
        <v>2429</v>
      </c>
      <c r="E923" s="100">
        <v>45817</v>
      </c>
      <c r="F923" s="100">
        <f t="shared" si="86"/>
        <v>45895</v>
      </c>
      <c r="G923" s="101">
        <f t="shared" si="87"/>
        <v>78</v>
      </c>
      <c r="H923" s="102">
        <f t="shared" si="85"/>
        <v>0</v>
      </c>
    </row>
    <row r="924" spans="4:8" x14ac:dyDescent="0.3">
      <c r="D924" s="99" t="s">
        <v>2429</v>
      </c>
      <c r="E924" s="100">
        <v>45895</v>
      </c>
      <c r="F924" s="100">
        <f t="shared" si="86"/>
        <v>45959</v>
      </c>
      <c r="G924" s="101">
        <f t="shared" si="87"/>
        <v>64</v>
      </c>
      <c r="H924" s="102">
        <f t="shared" si="85"/>
        <v>0</v>
      </c>
    </row>
    <row r="925" spans="4:8" x14ac:dyDescent="0.3">
      <c r="D925" s="99" t="s">
        <v>2429</v>
      </c>
      <c r="E925" s="100">
        <v>45959</v>
      </c>
      <c r="F925" s="100">
        <f t="shared" si="86"/>
        <v>45965</v>
      </c>
      <c r="G925" s="101">
        <f t="shared" si="87"/>
        <v>6</v>
      </c>
      <c r="H925" s="102">
        <f t="shared" si="85"/>
        <v>1</v>
      </c>
    </row>
    <row r="926" spans="4:8" x14ac:dyDescent="0.3">
      <c r="D926" s="99" t="s">
        <v>2429</v>
      </c>
      <c r="E926" s="100">
        <v>45965</v>
      </c>
      <c r="F926" s="100">
        <f t="shared" si="86"/>
        <v>45979</v>
      </c>
      <c r="G926" s="101">
        <f t="shared" si="87"/>
        <v>14</v>
      </c>
      <c r="H926" s="102">
        <f t="shared" si="85"/>
        <v>1</v>
      </c>
    </row>
    <row r="927" spans="4:8" x14ac:dyDescent="0.3">
      <c r="D927" s="99" t="s">
        <v>2429</v>
      </c>
      <c r="E927" s="100">
        <v>45979</v>
      </c>
      <c r="F927" s="100" t="str">
        <f t="shared" si="86"/>
        <v/>
      </c>
      <c r="G927" s="101" t="str">
        <f t="shared" si="87"/>
        <v/>
      </c>
      <c r="H927" s="102" t="str">
        <f t="shared" si="85"/>
        <v/>
      </c>
    </row>
    <row r="928" spans="4:8" x14ac:dyDescent="0.3">
      <c r="D928" s="99" t="s">
        <v>2430</v>
      </c>
      <c r="E928" s="100">
        <v>45961</v>
      </c>
      <c r="F928" s="100" t="str">
        <f t="shared" si="86"/>
        <v/>
      </c>
      <c r="G928" s="101" t="str">
        <f t="shared" si="87"/>
        <v/>
      </c>
      <c r="H928" s="102" t="str">
        <f t="shared" si="85"/>
        <v/>
      </c>
    </row>
    <row r="929" spans="4:8" x14ac:dyDescent="0.3">
      <c r="D929" s="99" t="s">
        <v>2431</v>
      </c>
      <c r="E929" s="100">
        <v>45812</v>
      </c>
      <c r="F929" s="100">
        <f t="shared" si="86"/>
        <v>45910</v>
      </c>
      <c r="G929" s="101">
        <f t="shared" si="87"/>
        <v>98</v>
      </c>
      <c r="H929" s="102">
        <f t="shared" si="85"/>
        <v>0</v>
      </c>
    </row>
    <row r="930" spans="4:8" x14ac:dyDescent="0.3">
      <c r="D930" s="99" t="s">
        <v>2431</v>
      </c>
      <c r="E930" s="100">
        <v>45910</v>
      </c>
      <c r="F930" s="100" t="str">
        <f t="shared" si="86"/>
        <v/>
      </c>
      <c r="G930" s="101" t="str">
        <f t="shared" si="87"/>
        <v/>
      </c>
      <c r="H930" s="102" t="str">
        <f t="shared" si="85"/>
        <v/>
      </c>
    </row>
    <row r="931" spans="4:8" x14ac:dyDescent="0.3">
      <c r="D931" s="99" t="s">
        <v>2432</v>
      </c>
      <c r="E931" s="100">
        <v>45665</v>
      </c>
      <c r="F931" s="100">
        <f t="shared" si="86"/>
        <v>45678</v>
      </c>
      <c r="G931" s="101">
        <f t="shared" si="87"/>
        <v>13</v>
      </c>
      <c r="H931" s="102">
        <f t="shared" si="85"/>
        <v>1</v>
      </c>
    </row>
    <row r="932" spans="4:8" x14ac:dyDescent="0.3">
      <c r="D932" s="99" t="s">
        <v>2432</v>
      </c>
      <c r="E932" s="100">
        <v>45678</v>
      </c>
      <c r="F932" s="100">
        <f t="shared" si="86"/>
        <v>45729</v>
      </c>
      <c r="G932" s="101">
        <f t="shared" si="87"/>
        <v>51</v>
      </c>
      <c r="H932" s="102">
        <f t="shared" si="85"/>
        <v>0</v>
      </c>
    </row>
    <row r="933" spans="4:8" x14ac:dyDescent="0.3">
      <c r="D933" s="99" t="s">
        <v>2432</v>
      </c>
      <c r="E933" s="100">
        <v>45729</v>
      </c>
      <c r="F933" s="100">
        <f t="shared" si="86"/>
        <v>45756</v>
      </c>
      <c r="G933" s="101">
        <f t="shared" si="87"/>
        <v>27</v>
      </c>
      <c r="H933" s="102">
        <f t="shared" si="85"/>
        <v>1</v>
      </c>
    </row>
    <row r="934" spans="4:8" x14ac:dyDescent="0.3">
      <c r="D934" s="99" t="s">
        <v>2432</v>
      </c>
      <c r="E934" s="100">
        <v>45756</v>
      </c>
      <c r="F934" s="100">
        <f t="shared" si="86"/>
        <v>45779</v>
      </c>
      <c r="G934" s="101">
        <f t="shared" si="87"/>
        <v>23</v>
      </c>
      <c r="H934" s="102">
        <f t="shared" si="85"/>
        <v>1</v>
      </c>
    </row>
    <row r="935" spans="4:8" x14ac:dyDescent="0.3">
      <c r="D935" s="99" t="s">
        <v>2432</v>
      </c>
      <c r="E935" s="100">
        <v>45779</v>
      </c>
      <c r="F935" s="100">
        <f t="shared" si="86"/>
        <v>45813</v>
      </c>
      <c r="G935" s="101">
        <f t="shared" si="87"/>
        <v>34</v>
      </c>
      <c r="H935" s="102">
        <f t="shared" si="85"/>
        <v>0</v>
      </c>
    </row>
    <row r="936" spans="4:8" x14ac:dyDescent="0.3">
      <c r="D936" s="99" t="s">
        <v>2432</v>
      </c>
      <c r="E936" s="100">
        <v>45813</v>
      </c>
      <c r="F936" s="100">
        <f t="shared" si="86"/>
        <v>45817</v>
      </c>
      <c r="G936" s="101">
        <f t="shared" si="87"/>
        <v>4</v>
      </c>
      <c r="H936" s="102">
        <f t="shared" si="85"/>
        <v>1</v>
      </c>
    </row>
    <row r="937" spans="4:8" x14ac:dyDescent="0.3">
      <c r="D937" s="99" t="s">
        <v>2432</v>
      </c>
      <c r="E937" s="100">
        <v>45817</v>
      </c>
      <c r="F937" s="100">
        <f t="shared" si="86"/>
        <v>45895</v>
      </c>
      <c r="G937" s="101">
        <f t="shared" si="87"/>
        <v>78</v>
      </c>
      <c r="H937" s="102">
        <f t="shared" si="85"/>
        <v>0</v>
      </c>
    </row>
    <row r="938" spans="4:8" x14ac:dyDescent="0.3">
      <c r="D938" s="99" t="s">
        <v>2432</v>
      </c>
      <c r="E938" s="100">
        <v>45895</v>
      </c>
      <c r="F938" s="100">
        <f t="shared" si="86"/>
        <v>45910</v>
      </c>
      <c r="G938" s="101">
        <f t="shared" si="87"/>
        <v>15</v>
      </c>
      <c r="H938" s="102">
        <f t="shared" si="85"/>
        <v>1</v>
      </c>
    </row>
    <row r="939" spans="4:8" x14ac:dyDescent="0.3">
      <c r="D939" s="99" t="s">
        <v>2432</v>
      </c>
      <c r="E939" s="100">
        <v>45910</v>
      </c>
      <c r="F939" s="100" t="str">
        <f t="shared" si="86"/>
        <v/>
      </c>
      <c r="G939" s="101" t="str">
        <f t="shared" si="87"/>
        <v/>
      </c>
      <c r="H939" s="102" t="str">
        <f t="shared" si="85"/>
        <v/>
      </c>
    </row>
    <row r="940" spans="4:8" x14ac:dyDescent="0.3">
      <c r="D940" s="99" t="s">
        <v>2433</v>
      </c>
      <c r="E940" s="100">
        <v>45755</v>
      </c>
      <c r="F940" s="100" t="str">
        <f t="shared" si="86"/>
        <v/>
      </c>
      <c r="G940" s="101" t="str">
        <f t="shared" si="87"/>
        <v/>
      </c>
      <c r="H940" s="102" t="str">
        <f t="shared" si="85"/>
        <v/>
      </c>
    </row>
    <row r="941" spans="4:8" x14ac:dyDescent="0.3">
      <c r="D941" s="99" t="s">
        <v>2434</v>
      </c>
      <c r="E941" s="100">
        <v>45730</v>
      </c>
      <c r="F941" s="100">
        <f t="shared" si="86"/>
        <v>45777</v>
      </c>
      <c r="G941" s="101">
        <f t="shared" si="87"/>
        <v>47</v>
      </c>
      <c r="H941" s="102">
        <f t="shared" si="85"/>
        <v>0</v>
      </c>
    </row>
    <row r="942" spans="4:8" x14ac:dyDescent="0.3">
      <c r="D942" s="99" t="s">
        <v>2434</v>
      </c>
      <c r="E942" s="100">
        <v>45777</v>
      </c>
      <c r="F942" s="100" t="str">
        <f t="shared" si="86"/>
        <v/>
      </c>
      <c r="G942" s="101" t="str">
        <f t="shared" si="87"/>
        <v/>
      </c>
      <c r="H942" s="102" t="str">
        <f t="shared" si="85"/>
        <v/>
      </c>
    </row>
    <row r="943" spans="4:8" x14ac:dyDescent="0.3">
      <c r="D943" s="99" t="s">
        <v>2435</v>
      </c>
      <c r="E943" s="100">
        <v>45720</v>
      </c>
      <c r="F943" s="100">
        <f t="shared" si="86"/>
        <v>45747</v>
      </c>
      <c r="G943" s="101">
        <f t="shared" si="87"/>
        <v>27</v>
      </c>
      <c r="H943" s="102">
        <f t="shared" si="85"/>
        <v>1</v>
      </c>
    </row>
    <row r="944" spans="4:8" x14ac:dyDescent="0.3">
      <c r="D944" s="99" t="s">
        <v>2435</v>
      </c>
      <c r="E944" s="100">
        <v>45747</v>
      </c>
      <c r="F944" s="100">
        <f t="shared" si="86"/>
        <v>45931</v>
      </c>
      <c r="G944" s="101">
        <f t="shared" si="87"/>
        <v>184</v>
      </c>
      <c r="H944" s="102">
        <f t="shared" si="85"/>
        <v>0</v>
      </c>
    </row>
    <row r="945" spans="4:8" x14ac:dyDescent="0.3">
      <c r="D945" s="99" t="s">
        <v>2435</v>
      </c>
      <c r="E945" s="100">
        <v>45931</v>
      </c>
      <c r="F945" s="100" t="str">
        <f t="shared" si="86"/>
        <v/>
      </c>
      <c r="G945" s="101" t="str">
        <f t="shared" si="87"/>
        <v/>
      </c>
      <c r="H945" s="102" t="str">
        <f t="shared" si="85"/>
        <v/>
      </c>
    </row>
    <row r="946" spans="4:8" x14ac:dyDescent="0.3">
      <c r="D946" s="99" t="s">
        <v>2436</v>
      </c>
      <c r="E946" s="100">
        <v>45874</v>
      </c>
      <c r="F946" s="100" t="str">
        <f t="shared" si="86"/>
        <v/>
      </c>
      <c r="G946" s="101" t="str">
        <f t="shared" si="87"/>
        <v/>
      </c>
      <c r="H946" s="102" t="str">
        <f t="shared" si="85"/>
        <v/>
      </c>
    </row>
    <row r="947" spans="4:8" x14ac:dyDescent="0.3">
      <c r="D947" s="99" t="s">
        <v>2437</v>
      </c>
      <c r="E947" s="100">
        <v>45751</v>
      </c>
      <c r="F947" s="100">
        <f t="shared" si="86"/>
        <v>45863</v>
      </c>
      <c r="G947" s="101">
        <f t="shared" si="87"/>
        <v>112</v>
      </c>
      <c r="H947" s="102">
        <f t="shared" si="85"/>
        <v>0</v>
      </c>
    </row>
    <row r="948" spans="4:8" x14ac:dyDescent="0.3">
      <c r="D948" s="99" t="s">
        <v>2437</v>
      </c>
      <c r="E948" s="100">
        <v>45863</v>
      </c>
      <c r="F948" s="100">
        <f t="shared" si="86"/>
        <v>45883</v>
      </c>
      <c r="G948" s="101">
        <f t="shared" si="87"/>
        <v>20</v>
      </c>
      <c r="H948" s="102">
        <f t="shared" si="85"/>
        <v>1</v>
      </c>
    </row>
    <row r="949" spans="4:8" x14ac:dyDescent="0.3">
      <c r="D949" s="99" t="s">
        <v>2437</v>
      </c>
      <c r="E949" s="100">
        <v>45883</v>
      </c>
      <c r="F949" s="100">
        <f t="shared" si="86"/>
        <v>45940</v>
      </c>
      <c r="G949" s="101">
        <f t="shared" si="87"/>
        <v>57</v>
      </c>
      <c r="H949" s="102">
        <f t="shared" si="85"/>
        <v>0</v>
      </c>
    </row>
    <row r="950" spans="4:8" x14ac:dyDescent="0.3">
      <c r="D950" s="99" t="s">
        <v>2437</v>
      </c>
      <c r="E950" s="100">
        <v>45940</v>
      </c>
      <c r="F950" s="100" t="str">
        <f t="shared" si="86"/>
        <v/>
      </c>
      <c r="G950" s="101" t="str">
        <f t="shared" si="87"/>
        <v/>
      </c>
      <c r="H950" s="102" t="str">
        <f t="shared" si="85"/>
        <v/>
      </c>
    </row>
    <row r="951" spans="4:8" x14ac:dyDescent="0.3">
      <c r="D951" s="99" t="s">
        <v>2438</v>
      </c>
      <c r="E951" s="100">
        <v>46000</v>
      </c>
      <c r="F951" s="100" t="str">
        <f t="shared" si="86"/>
        <v/>
      </c>
      <c r="G951" s="101" t="str">
        <f t="shared" si="87"/>
        <v/>
      </c>
      <c r="H951" s="102" t="str">
        <f t="shared" si="85"/>
        <v/>
      </c>
    </row>
    <row r="952" spans="4:8" x14ac:dyDescent="0.3">
      <c r="D952" s="99" t="s">
        <v>2439</v>
      </c>
      <c r="E952" s="100">
        <v>45874</v>
      </c>
      <c r="F952" s="100" t="str">
        <f t="shared" si="86"/>
        <v/>
      </c>
      <c r="G952" s="101" t="str">
        <f t="shared" si="87"/>
        <v/>
      </c>
      <c r="H952" s="102" t="str">
        <f t="shared" si="85"/>
        <v/>
      </c>
    </row>
    <row r="953" spans="4:8" x14ac:dyDescent="0.3">
      <c r="D953" s="99" t="s">
        <v>2440</v>
      </c>
      <c r="E953" s="100">
        <v>45721</v>
      </c>
      <c r="F953" s="100">
        <f t="shared" si="86"/>
        <v>45792</v>
      </c>
      <c r="G953" s="101">
        <f t="shared" si="87"/>
        <v>71</v>
      </c>
      <c r="H953" s="102">
        <f t="shared" si="85"/>
        <v>0</v>
      </c>
    </row>
    <row r="954" spans="4:8" x14ac:dyDescent="0.3">
      <c r="D954" s="99" t="s">
        <v>2440</v>
      </c>
      <c r="E954" s="100">
        <v>45792</v>
      </c>
      <c r="F954" s="100">
        <f t="shared" si="86"/>
        <v>45980</v>
      </c>
      <c r="G954" s="101">
        <f t="shared" si="87"/>
        <v>188</v>
      </c>
      <c r="H954" s="102">
        <f t="shared" si="85"/>
        <v>0</v>
      </c>
    </row>
    <row r="955" spans="4:8" x14ac:dyDescent="0.3">
      <c r="D955" s="99" t="s">
        <v>2440</v>
      </c>
      <c r="E955" s="100">
        <v>45980</v>
      </c>
      <c r="F955" s="100" t="str">
        <f t="shared" si="86"/>
        <v/>
      </c>
      <c r="G955" s="101" t="str">
        <f t="shared" si="87"/>
        <v/>
      </c>
      <c r="H955" s="102" t="str">
        <f t="shared" si="85"/>
        <v/>
      </c>
    </row>
    <row r="956" spans="4:8" x14ac:dyDescent="0.3">
      <c r="D956" s="99" t="s">
        <v>2441</v>
      </c>
      <c r="E956" s="100">
        <v>45833</v>
      </c>
      <c r="F956" s="100">
        <f t="shared" si="86"/>
        <v>45929</v>
      </c>
      <c r="G956" s="101">
        <f t="shared" si="87"/>
        <v>96</v>
      </c>
      <c r="H956" s="102">
        <f t="shared" si="85"/>
        <v>0</v>
      </c>
    </row>
    <row r="957" spans="4:8" x14ac:dyDescent="0.3">
      <c r="D957" s="99" t="s">
        <v>2441</v>
      </c>
      <c r="E957" s="100">
        <v>45929</v>
      </c>
      <c r="F957" s="100" t="str">
        <f t="shared" si="86"/>
        <v/>
      </c>
      <c r="G957" s="101" t="str">
        <f t="shared" si="87"/>
        <v/>
      </c>
      <c r="H957" s="102" t="str">
        <f t="shared" si="85"/>
        <v/>
      </c>
    </row>
    <row r="958" spans="4:8" x14ac:dyDescent="0.3">
      <c r="D958" s="99" t="s">
        <v>2442</v>
      </c>
      <c r="E958" s="100">
        <v>45769</v>
      </c>
      <c r="F958" s="100">
        <f t="shared" si="86"/>
        <v>45798</v>
      </c>
      <c r="G958" s="101">
        <f t="shared" si="87"/>
        <v>29</v>
      </c>
      <c r="H958" s="102">
        <f t="shared" si="85"/>
        <v>1</v>
      </c>
    </row>
    <row r="959" spans="4:8" x14ac:dyDescent="0.3">
      <c r="D959" s="99" t="s">
        <v>2442</v>
      </c>
      <c r="E959" s="100">
        <v>45798</v>
      </c>
      <c r="F959" s="100" t="str">
        <f t="shared" si="86"/>
        <v/>
      </c>
      <c r="G959" s="101" t="str">
        <f t="shared" si="87"/>
        <v/>
      </c>
      <c r="H959" s="102" t="str">
        <f t="shared" si="85"/>
        <v/>
      </c>
    </row>
    <row r="960" spans="4:8" x14ac:dyDescent="0.3">
      <c r="D960" s="99" t="s">
        <v>2443</v>
      </c>
      <c r="E960" s="100">
        <v>45728</v>
      </c>
      <c r="F960" s="100">
        <f t="shared" si="86"/>
        <v>45796</v>
      </c>
      <c r="G960" s="101">
        <f t="shared" si="87"/>
        <v>68</v>
      </c>
      <c r="H960" s="102">
        <f t="shared" si="85"/>
        <v>0</v>
      </c>
    </row>
    <row r="961" spans="4:8" x14ac:dyDescent="0.3">
      <c r="D961" s="99" t="s">
        <v>2443</v>
      </c>
      <c r="E961" s="100">
        <v>45796</v>
      </c>
      <c r="F961" s="100" t="str">
        <f t="shared" si="86"/>
        <v/>
      </c>
      <c r="G961" s="101" t="str">
        <f t="shared" si="87"/>
        <v/>
      </c>
      <c r="H961" s="102" t="str">
        <f t="shared" si="85"/>
        <v/>
      </c>
    </row>
    <row r="962" spans="4:8" x14ac:dyDescent="0.3">
      <c r="D962" s="99" t="s">
        <v>2444</v>
      </c>
      <c r="E962" s="100">
        <v>45721</v>
      </c>
      <c r="F962" s="100" t="str">
        <f t="shared" si="86"/>
        <v/>
      </c>
      <c r="G962" s="101" t="str">
        <f t="shared" si="87"/>
        <v/>
      </c>
      <c r="H962" s="102" t="str">
        <f t="shared" si="85"/>
        <v/>
      </c>
    </row>
    <row r="963" spans="4:8" x14ac:dyDescent="0.3">
      <c r="D963" s="99" t="s">
        <v>2445</v>
      </c>
      <c r="E963" s="100">
        <v>45812</v>
      </c>
      <c r="F963" s="100" t="str">
        <f t="shared" si="86"/>
        <v/>
      </c>
      <c r="G963" s="101" t="str">
        <f t="shared" si="87"/>
        <v/>
      </c>
      <c r="H963" s="102" t="str">
        <f t="shared" si="85"/>
        <v/>
      </c>
    </row>
    <row r="964" spans="4:8" x14ac:dyDescent="0.3">
      <c r="D964" s="99" t="s">
        <v>2446</v>
      </c>
      <c r="E964" s="100">
        <v>45895</v>
      </c>
      <c r="F964" s="100" t="str">
        <f t="shared" si="86"/>
        <v/>
      </c>
      <c r="G964" s="101" t="str">
        <f t="shared" si="87"/>
        <v/>
      </c>
      <c r="H964" s="102" t="str">
        <f t="shared" si="85"/>
        <v/>
      </c>
    </row>
    <row r="965" spans="4:8" x14ac:dyDescent="0.3">
      <c r="D965" s="99" t="s">
        <v>2447</v>
      </c>
      <c r="E965" s="100">
        <v>45722</v>
      </c>
      <c r="F965" s="100">
        <f t="shared" si="86"/>
        <v>45789</v>
      </c>
      <c r="G965" s="101">
        <f t="shared" si="87"/>
        <v>67</v>
      </c>
      <c r="H965" s="102">
        <f t="shared" si="85"/>
        <v>0</v>
      </c>
    </row>
    <row r="966" spans="4:8" x14ac:dyDescent="0.3">
      <c r="D966" s="99" t="s">
        <v>2447</v>
      </c>
      <c r="E966" s="100">
        <v>45789</v>
      </c>
      <c r="F966" s="100">
        <f t="shared" si="86"/>
        <v>45855</v>
      </c>
      <c r="G966" s="101">
        <f t="shared" si="87"/>
        <v>66</v>
      </c>
      <c r="H966" s="102">
        <f t="shared" si="85"/>
        <v>0</v>
      </c>
    </row>
    <row r="967" spans="4:8" x14ac:dyDescent="0.3">
      <c r="D967" s="99" t="s">
        <v>2447</v>
      </c>
      <c r="E967" s="100">
        <v>45855</v>
      </c>
      <c r="F967" s="100">
        <f t="shared" si="86"/>
        <v>45904</v>
      </c>
      <c r="G967" s="101">
        <f t="shared" si="87"/>
        <v>49</v>
      </c>
      <c r="H967" s="102">
        <f t="shared" ref="H967:H1030" si="88">IF(G967="","",IF(G967&lt;=return_window,1,0))</f>
        <v>0</v>
      </c>
    </row>
    <row r="968" spans="4:8" x14ac:dyDescent="0.3">
      <c r="D968" s="99" t="s">
        <v>2447</v>
      </c>
      <c r="E968" s="100">
        <v>45904</v>
      </c>
      <c r="F968" s="100">
        <f t="shared" ref="F968:F1031" si="89">IF(D968=D969,E969,"")</f>
        <v>45965</v>
      </c>
      <c r="G968" s="101">
        <f t="shared" ref="G968:G1031" si="90">IF(F968="","",F968-E968)</f>
        <v>61</v>
      </c>
      <c r="H968" s="102">
        <f t="shared" si="88"/>
        <v>0</v>
      </c>
    </row>
    <row r="969" spans="4:8" x14ac:dyDescent="0.3">
      <c r="D969" s="99" t="s">
        <v>2447</v>
      </c>
      <c r="E969" s="100">
        <v>45965</v>
      </c>
      <c r="F969" s="100" t="str">
        <f t="shared" si="89"/>
        <v/>
      </c>
      <c r="G969" s="101" t="str">
        <f t="shared" si="90"/>
        <v/>
      </c>
      <c r="H969" s="102" t="str">
        <f t="shared" si="88"/>
        <v/>
      </c>
    </row>
    <row r="970" spans="4:8" x14ac:dyDescent="0.3">
      <c r="D970" s="99" t="s">
        <v>2448</v>
      </c>
      <c r="E970" s="100">
        <v>45721</v>
      </c>
      <c r="F970" s="100">
        <f t="shared" si="89"/>
        <v>45813</v>
      </c>
      <c r="G970" s="101">
        <f t="shared" si="90"/>
        <v>92</v>
      </c>
      <c r="H970" s="102">
        <f t="shared" si="88"/>
        <v>0</v>
      </c>
    </row>
    <row r="971" spans="4:8" x14ac:dyDescent="0.3">
      <c r="D971" s="99" t="s">
        <v>2448</v>
      </c>
      <c r="E971" s="100">
        <v>45813</v>
      </c>
      <c r="F971" s="100">
        <f t="shared" si="89"/>
        <v>45855</v>
      </c>
      <c r="G971" s="101">
        <f t="shared" si="90"/>
        <v>42</v>
      </c>
      <c r="H971" s="102">
        <f t="shared" si="88"/>
        <v>0</v>
      </c>
    </row>
    <row r="972" spans="4:8" x14ac:dyDescent="0.3">
      <c r="D972" s="99" t="s">
        <v>2448</v>
      </c>
      <c r="E972" s="100">
        <v>45855</v>
      </c>
      <c r="F972" s="100">
        <f t="shared" si="89"/>
        <v>45890</v>
      </c>
      <c r="G972" s="101">
        <f t="shared" si="90"/>
        <v>35</v>
      </c>
      <c r="H972" s="102">
        <f t="shared" si="88"/>
        <v>0</v>
      </c>
    </row>
    <row r="973" spans="4:8" x14ac:dyDescent="0.3">
      <c r="D973" s="99" t="s">
        <v>2448</v>
      </c>
      <c r="E973" s="100">
        <v>45890</v>
      </c>
      <c r="F973" s="100" t="str">
        <f t="shared" si="89"/>
        <v/>
      </c>
      <c r="G973" s="101" t="str">
        <f t="shared" si="90"/>
        <v/>
      </c>
      <c r="H973" s="102" t="str">
        <f t="shared" si="88"/>
        <v/>
      </c>
    </row>
    <row r="974" spans="4:8" x14ac:dyDescent="0.3">
      <c r="D974" s="99" t="s">
        <v>2449</v>
      </c>
      <c r="E974" s="100">
        <v>45874</v>
      </c>
      <c r="F974" s="100" t="str">
        <f t="shared" si="89"/>
        <v/>
      </c>
      <c r="G974" s="101" t="str">
        <f t="shared" si="90"/>
        <v/>
      </c>
      <c r="H974" s="102" t="str">
        <f t="shared" si="88"/>
        <v/>
      </c>
    </row>
    <row r="975" spans="4:8" x14ac:dyDescent="0.3">
      <c r="D975" s="99" t="s">
        <v>2450</v>
      </c>
      <c r="E975" s="100">
        <v>45866</v>
      </c>
      <c r="F975" s="100">
        <f t="shared" si="89"/>
        <v>45966</v>
      </c>
      <c r="G975" s="101">
        <f t="shared" si="90"/>
        <v>100</v>
      </c>
      <c r="H975" s="102">
        <f t="shared" si="88"/>
        <v>0</v>
      </c>
    </row>
    <row r="976" spans="4:8" x14ac:dyDescent="0.3">
      <c r="D976" s="99" t="s">
        <v>2450</v>
      </c>
      <c r="E976" s="100">
        <v>45966</v>
      </c>
      <c r="F976" s="100">
        <f t="shared" si="89"/>
        <v>45980</v>
      </c>
      <c r="G976" s="101">
        <f t="shared" si="90"/>
        <v>14</v>
      </c>
      <c r="H976" s="102">
        <f t="shared" si="88"/>
        <v>1</v>
      </c>
    </row>
    <row r="977" spans="4:8" x14ac:dyDescent="0.3">
      <c r="D977" s="99" t="s">
        <v>2450</v>
      </c>
      <c r="E977" s="100">
        <v>45980</v>
      </c>
      <c r="F977" s="100" t="str">
        <f t="shared" si="89"/>
        <v/>
      </c>
      <c r="G977" s="101" t="str">
        <f t="shared" si="90"/>
        <v/>
      </c>
      <c r="H977" s="102" t="str">
        <f t="shared" si="88"/>
        <v/>
      </c>
    </row>
    <row r="978" spans="4:8" x14ac:dyDescent="0.3">
      <c r="D978" s="99" t="s">
        <v>2451</v>
      </c>
      <c r="E978" s="100">
        <v>45741</v>
      </c>
      <c r="F978" s="100" t="str">
        <f t="shared" si="89"/>
        <v/>
      </c>
      <c r="G978" s="101" t="str">
        <f t="shared" si="90"/>
        <v/>
      </c>
      <c r="H978" s="102" t="str">
        <f t="shared" si="88"/>
        <v/>
      </c>
    </row>
    <row r="979" spans="4:8" x14ac:dyDescent="0.3">
      <c r="D979" s="99" t="s">
        <v>2452</v>
      </c>
      <c r="E979" s="100">
        <v>45918</v>
      </c>
      <c r="F979" s="100" t="str">
        <f t="shared" si="89"/>
        <v/>
      </c>
      <c r="G979" s="101" t="str">
        <f t="shared" si="90"/>
        <v/>
      </c>
      <c r="H979" s="102" t="str">
        <f t="shared" si="88"/>
        <v/>
      </c>
    </row>
    <row r="980" spans="4:8" x14ac:dyDescent="0.3">
      <c r="D980" s="99" t="s">
        <v>2453</v>
      </c>
      <c r="E980" s="100">
        <v>45847</v>
      </c>
      <c r="F980" s="100">
        <f t="shared" si="89"/>
        <v>45911</v>
      </c>
      <c r="G980" s="101">
        <f t="shared" si="90"/>
        <v>64</v>
      </c>
      <c r="H980" s="102">
        <f t="shared" si="88"/>
        <v>0</v>
      </c>
    </row>
    <row r="981" spans="4:8" x14ac:dyDescent="0.3">
      <c r="D981" s="99" t="s">
        <v>2453</v>
      </c>
      <c r="E981" s="100">
        <v>45911</v>
      </c>
      <c r="F981" s="100">
        <f t="shared" si="89"/>
        <v>45926</v>
      </c>
      <c r="G981" s="101">
        <f t="shared" si="90"/>
        <v>15</v>
      </c>
      <c r="H981" s="102">
        <f t="shared" si="88"/>
        <v>1</v>
      </c>
    </row>
    <row r="982" spans="4:8" x14ac:dyDescent="0.3">
      <c r="D982" s="99" t="s">
        <v>2453</v>
      </c>
      <c r="E982" s="100">
        <v>45926</v>
      </c>
      <c r="F982" s="100">
        <f t="shared" si="89"/>
        <v>45961</v>
      </c>
      <c r="G982" s="101">
        <f t="shared" si="90"/>
        <v>35</v>
      </c>
      <c r="H982" s="102">
        <f t="shared" si="88"/>
        <v>0</v>
      </c>
    </row>
    <row r="983" spans="4:8" x14ac:dyDescent="0.3">
      <c r="D983" s="99" t="s">
        <v>2453</v>
      </c>
      <c r="E983" s="100">
        <v>45961</v>
      </c>
      <c r="F983" s="100" t="str">
        <f t="shared" si="89"/>
        <v/>
      </c>
      <c r="G983" s="101" t="str">
        <f t="shared" si="90"/>
        <v/>
      </c>
      <c r="H983" s="102" t="str">
        <f t="shared" si="88"/>
        <v/>
      </c>
    </row>
    <row r="984" spans="4:8" x14ac:dyDescent="0.3">
      <c r="D984" s="99" t="s">
        <v>2454</v>
      </c>
      <c r="E984" s="100">
        <v>45838</v>
      </c>
      <c r="F984" s="100" t="str">
        <f t="shared" si="89"/>
        <v/>
      </c>
      <c r="G984" s="101" t="str">
        <f t="shared" si="90"/>
        <v/>
      </c>
      <c r="H984" s="102" t="str">
        <f t="shared" si="88"/>
        <v/>
      </c>
    </row>
    <row r="985" spans="4:8" x14ac:dyDescent="0.3">
      <c r="D985" s="99" t="s">
        <v>2455</v>
      </c>
      <c r="E985" s="100">
        <v>45740</v>
      </c>
      <c r="F985" s="100" t="str">
        <f t="shared" si="89"/>
        <v/>
      </c>
      <c r="G985" s="101" t="str">
        <f t="shared" si="90"/>
        <v/>
      </c>
      <c r="H985" s="102" t="str">
        <f t="shared" si="88"/>
        <v/>
      </c>
    </row>
    <row r="986" spans="4:8" x14ac:dyDescent="0.3">
      <c r="D986" s="99" t="s">
        <v>2456</v>
      </c>
      <c r="E986" s="100">
        <v>45715</v>
      </c>
      <c r="F986" s="100">
        <f t="shared" si="89"/>
        <v>45881</v>
      </c>
      <c r="G986" s="101">
        <f t="shared" si="90"/>
        <v>166</v>
      </c>
      <c r="H986" s="102">
        <f t="shared" si="88"/>
        <v>0</v>
      </c>
    </row>
    <row r="987" spans="4:8" x14ac:dyDescent="0.3">
      <c r="D987" s="99" t="s">
        <v>2456</v>
      </c>
      <c r="E987" s="100">
        <v>45881</v>
      </c>
      <c r="F987" s="100" t="str">
        <f t="shared" si="89"/>
        <v/>
      </c>
      <c r="G987" s="101" t="str">
        <f t="shared" si="90"/>
        <v/>
      </c>
      <c r="H987" s="102" t="str">
        <f t="shared" si="88"/>
        <v/>
      </c>
    </row>
    <row r="988" spans="4:8" x14ac:dyDescent="0.3">
      <c r="D988" s="99" t="s">
        <v>2457</v>
      </c>
      <c r="E988" s="100">
        <v>45960</v>
      </c>
      <c r="F988" s="100" t="str">
        <f t="shared" si="89"/>
        <v/>
      </c>
      <c r="G988" s="101" t="str">
        <f t="shared" si="90"/>
        <v/>
      </c>
      <c r="H988" s="102" t="str">
        <f t="shared" si="88"/>
        <v/>
      </c>
    </row>
    <row r="989" spans="4:8" x14ac:dyDescent="0.3">
      <c r="D989" s="99" t="s">
        <v>2458</v>
      </c>
      <c r="E989" s="100">
        <v>45726</v>
      </c>
      <c r="F989" s="100" t="str">
        <f t="shared" si="89"/>
        <v/>
      </c>
      <c r="G989" s="101" t="str">
        <f t="shared" si="90"/>
        <v/>
      </c>
      <c r="H989" s="102" t="str">
        <f t="shared" si="88"/>
        <v/>
      </c>
    </row>
    <row r="990" spans="4:8" x14ac:dyDescent="0.3">
      <c r="D990" s="99" t="s">
        <v>2459</v>
      </c>
      <c r="E990" s="100">
        <v>45663</v>
      </c>
      <c r="F990" s="100">
        <f t="shared" si="89"/>
        <v>45895</v>
      </c>
      <c r="G990" s="101">
        <f t="shared" si="90"/>
        <v>232</v>
      </c>
      <c r="H990" s="102">
        <f t="shared" si="88"/>
        <v>0</v>
      </c>
    </row>
    <row r="991" spans="4:8" x14ac:dyDescent="0.3">
      <c r="D991" s="99" t="s">
        <v>2459</v>
      </c>
      <c r="E991" s="100">
        <v>45895</v>
      </c>
      <c r="F991" s="100">
        <f t="shared" si="89"/>
        <v>45924</v>
      </c>
      <c r="G991" s="101">
        <f t="shared" si="90"/>
        <v>29</v>
      </c>
      <c r="H991" s="102">
        <f t="shared" si="88"/>
        <v>1</v>
      </c>
    </row>
    <row r="992" spans="4:8" x14ac:dyDescent="0.3">
      <c r="D992" s="99" t="s">
        <v>2459</v>
      </c>
      <c r="E992" s="100">
        <v>45924</v>
      </c>
      <c r="F992" s="100" t="str">
        <f t="shared" si="89"/>
        <v/>
      </c>
      <c r="G992" s="101" t="str">
        <f t="shared" si="90"/>
        <v/>
      </c>
      <c r="H992" s="102" t="str">
        <f t="shared" si="88"/>
        <v/>
      </c>
    </row>
    <row r="993" spans="4:8" x14ac:dyDescent="0.3">
      <c r="D993" s="99" t="s">
        <v>2460</v>
      </c>
      <c r="E993" s="100">
        <v>45894</v>
      </c>
      <c r="F993" s="100" t="str">
        <f t="shared" si="89"/>
        <v/>
      </c>
      <c r="G993" s="101" t="str">
        <f t="shared" si="90"/>
        <v/>
      </c>
      <c r="H993" s="102" t="str">
        <f t="shared" si="88"/>
        <v/>
      </c>
    </row>
    <row r="994" spans="4:8" x14ac:dyDescent="0.3">
      <c r="D994" s="99" t="s">
        <v>2461</v>
      </c>
      <c r="E994" s="100">
        <v>45727</v>
      </c>
      <c r="F994" s="100" t="str">
        <f t="shared" si="89"/>
        <v/>
      </c>
      <c r="G994" s="101" t="str">
        <f t="shared" si="90"/>
        <v/>
      </c>
      <c r="H994" s="102" t="str">
        <f t="shared" si="88"/>
        <v/>
      </c>
    </row>
    <row r="995" spans="4:8" x14ac:dyDescent="0.3">
      <c r="D995" s="99" t="s">
        <v>2462</v>
      </c>
      <c r="E995" s="100">
        <v>45754</v>
      </c>
      <c r="F995" s="100">
        <f t="shared" si="89"/>
        <v>46015</v>
      </c>
      <c r="G995" s="101">
        <f t="shared" si="90"/>
        <v>261</v>
      </c>
      <c r="H995" s="102">
        <f t="shared" si="88"/>
        <v>0</v>
      </c>
    </row>
    <row r="996" spans="4:8" x14ac:dyDescent="0.3">
      <c r="D996" s="99" t="s">
        <v>2462</v>
      </c>
      <c r="E996" s="100">
        <v>46015</v>
      </c>
      <c r="F996" s="100" t="str">
        <f t="shared" si="89"/>
        <v/>
      </c>
      <c r="G996" s="101" t="str">
        <f t="shared" si="90"/>
        <v/>
      </c>
      <c r="H996" s="102" t="str">
        <f t="shared" si="88"/>
        <v/>
      </c>
    </row>
    <row r="997" spans="4:8" x14ac:dyDescent="0.3">
      <c r="D997" s="99" t="s">
        <v>2463</v>
      </c>
      <c r="E997" s="100">
        <v>45660</v>
      </c>
      <c r="F997" s="100">
        <f t="shared" si="89"/>
        <v>45679</v>
      </c>
      <c r="G997" s="101">
        <f t="shared" si="90"/>
        <v>19</v>
      </c>
      <c r="H997" s="102">
        <f t="shared" si="88"/>
        <v>1</v>
      </c>
    </row>
    <row r="998" spans="4:8" x14ac:dyDescent="0.3">
      <c r="D998" s="99" t="s">
        <v>2463</v>
      </c>
      <c r="E998" s="100">
        <v>45679</v>
      </c>
      <c r="F998" s="100">
        <f t="shared" si="89"/>
        <v>45919</v>
      </c>
      <c r="G998" s="101">
        <f t="shared" si="90"/>
        <v>240</v>
      </c>
      <c r="H998" s="102">
        <f t="shared" si="88"/>
        <v>0</v>
      </c>
    </row>
    <row r="999" spans="4:8" x14ac:dyDescent="0.3">
      <c r="D999" s="99" t="s">
        <v>2463</v>
      </c>
      <c r="E999" s="100">
        <v>45919</v>
      </c>
      <c r="F999" s="100" t="str">
        <f t="shared" si="89"/>
        <v/>
      </c>
      <c r="G999" s="101" t="str">
        <f t="shared" si="90"/>
        <v/>
      </c>
      <c r="H999" s="102" t="str">
        <f t="shared" si="88"/>
        <v/>
      </c>
    </row>
    <row r="1000" spans="4:8" x14ac:dyDescent="0.3">
      <c r="D1000" s="99" t="s">
        <v>2464</v>
      </c>
      <c r="E1000" s="100">
        <v>45699</v>
      </c>
      <c r="F1000" s="100">
        <f t="shared" si="89"/>
        <v>45740</v>
      </c>
      <c r="G1000" s="101">
        <f t="shared" si="90"/>
        <v>41</v>
      </c>
      <c r="H1000" s="102">
        <f t="shared" si="88"/>
        <v>0</v>
      </c>
    </row>
    <row r="1001" spans="4:8" x14ac:dyDescent="0.3">
      <c r="D1001" s="99" t="s">
        <v>2464</v>
      </c>
      <c r="E1001" s="100">
        <v>45740</v>
      </c>
      <c r="F1001" s="100">
        <f t="shared" si="89"/>
        <v>45917</v>
      </c>
      <c r="G1001" s="101">
        <f t="shared" si="90"/>
        <v>177</v>
      </c>
      <c r="H1001" s="102">
        <f t="shared" si="88"/>
        <v>0</v>
      </c>
    </row>
    <row r="1002" spans="4:8" x14ac:dyDescent="0.3">
      <c r="D1002" s="99" t="s">
        <v>2464</v>
      </c>
      <c r="E1002" s="100">
        <v>45917</v>
      </c>
      <c r="F1002" s="100">
        <f t="shared" si="89"/>
        <v>46000</v>
      </c>
      <c r="G1002" s="101">
        <f t="shared" si="90"/>
        <v>83</v>
      </c>
      <c r="H1002" s="102">
        <f t="shared" si="88"/>
        <v>0</v>
      </c>
    </row>
    <row r="1003" spans="4:8" x14ac:dyDescent="0.3">
      <c r="D1003" s="99" t="s">
        <v>2464</v>
      </c>
      <c r="E1003" s="100">
        <v>46000</v>
      </c>
      <c r="F1003" s="100" t="str">
        <f t="shared" si="89"/>
        <v/>
      </c>
      <c r="G1003" s="101" t="str">
        <f t="shared" si="90"/>
        <v/>
      </c>
      <c r="H1003" s="102" t="str">
        <f t="shared" si="88"/>
        <v/>
      </c>
    </row>
    <row r="1004" spans="4:8" x14ac:dyDescent="0.3">
      <c r="D1004" s="99" t="s">
        <v>2465</v>
      </c>
      <c r="E1004" s="100">
        <v>45770</v>
      </c>
      <c r="F1004" s="100">
        <f t="shared" si="89"/>
        <v>45771</v>
      </c>
      <c r="G1004" s="101">
        <f t="shared" si="90"/>
        <v>1</v>
      </c>
      <c r="H1004" s="102">
        <f t="shared" si="88"/>
        <v>1</v>
      </c>
    </row>
    <row r="1005" spans="4:8" x14ac:dyDescent="0.3">
      <c r="D1005" s="99" t="s">
        <v>2465</v>
      </c>
      <c r="E1005" s="100">
        <v>45771</v>
      </c>
      <c r="F1005" s="100">
        <f t="shared" si="89"/>
        <v>45777</v>
      </c>
      <c r="G1005" s="101">
        <f t="shared" si="90"/>
        <v>6</v>
      </c>
      <c r="H1005" s="102">
        <f t="shared" si="88"/>
        <v>1</v>
      </c>
    </row>
    <row r="1006" spans="4:8" x14ac:dyDescent="0.3">
      <c r="D1006" s="99" t="s">
        <v>2465</v>
      </c>
      <c r="E1006" s="100">
        <v>45777</v>
      </c>
      <c r="F1006" s="100">
        <f t="shared" si="89"/>
        <v>45888</v>
      </c>
      <c r="G1006" s="101">
        <f t="shared" si="90"/>
        <v>111</v>
      </c>
      <c r="H1006" s="102">
        <f t="shared" si="88"/>
        <v>0</v>
      </c>
    </row>
    <row r="1007" spans="4:8" x14ac:dyDescent="0.3">
      <c r="D1007" s="99" t="s">
        <v>2465</v>
      </c>
      <c r="E1007" s="100">
        <v>45888</v>
      </c>
      <c r="F1007" s="100">
        <f t="shared" si="89"/>
        <v>45889</v>
      </c>
      <c r="G1007" s="101">
        <f t="shared" si="90"/>
        <v>1</v>
      </c>
      <c r="H1007" s="102">
        <f t="shared" si="88"/>
        <v>1</v>
      </c>
    </row>
    <row r="1008" spans="4:8" x14ac:dyDescent="0.3">
      <c r="D1008" s="99" t="s">
        <v>2465</v>
      </c>
      <c r="E1008" s="100">
        <v>45889</v>
      </c>
      <c r="F1008" s="100" t="str">
        <f t="shared" si="89"/>
        <v/>
      </c>
      <c r="G1008" s="101" t="str">
        <f t="shared" si="90"/>
        <v/>
      </c>
      <c r="H1008" s="102" t="str">
        <f t="shared" si="88"/>
        <v/>
      </c>
    </row>
    <row r="1009" spans="4:8" x14ac:dyDescent="0.3">
      <c r="D1009" s="99" t="s">
        <v>2466</v>
      </c>
      <c r="E1009" s="100">
        <v>45755</v>
      </c>
      <c r="F1009" s="100">
        <f t="shared" si="89"/>
        <v>46007</v>
      </c>
      <c r="G1009" s="101">
        <f t="shared" si="90"/>
        <v>252</v>
      </c>
      <c r="H1009" s="102">
        <f t="shared" si="88"/>
        <v>0</v>
      </c>
    </row>
    <row r="1010" spans="4:8" x14ac:dyDescent="0.3">
      <c r="D1010" s="99" t="s">
        <v>2466</v>
      </c>
      <c r="E1010" s="100">
        <v>46007</v>
      </c>
      <c r="F1010" s="100" t="str">
        <f t="shared" si="89"/>
        <v/>
      </c>
      <c r="G1010" s="101" t="str">
        <f t="shared" si="90"/>
        <v/>
      </c>
      <c r="H1010" s="102" t="str">
        <f t="shared" si="88"/>
        <v/>
      </c>
    </row>
    <row r="1011" spans="4:8" x14ac:dyDescent="0.3">
      <c r="D1011" s="99" t="s">
        <v>2467</v>
      </c>
      <c r="E1011" s="100">
        <v>45667</v>
      </c>
      <c r="F1011" s="100" t="str">
        <f t="shared" si="89"/>
        <v/>
      </c>
      <c r="G1011" s="101" t="str">
        <f t="shared" si="90"/>
        <v/>
      </c>
      <c r="H1011" s="102" t="str">
        <f t="shared" si="88"/>
        <v/>
      </c>
    </row>
    <row r="1012" spans="4:8" x14ac:dyDescent="0.3">
      <c r="D1012" s="99" t="s">
        <v>2468</v>
      </c>
      <c r="E1012" s="100">
        <v>45694</v>
      </c>
      <c r="F1012" s="100">
        <f t="shared" si="89"/>
        <v>45768</v>
      </c>
      <c r="G1012" s="101">
        <f t="shared" si="90"/>
        <v>74</v>
      </c>
      <c r="H1012" s="102">
        <f t="shared" si="88"/>
        <v>0</v>
      </c>
    </row>
    <row r="1013" spans="4:8" x14ac:dyDescent="0.3">
      <c r="D1013" s="99" t="s">
        <v>2468</v>
      </c>
      <c r="E1013" s="100">
        <v>45768</v>
      </c>
      <c r="F1013" s="100">
        <f t="shared" si="89"/>
        <v>45852</v>
      </c>
      <c r="G1013" s="101">
        <f t="shared" si="90"/>
        <v>84</v>
      </c>
      <c r="H1013" s="102">
        <f t="shared" si="88"/>
        <v>0</v>
      </c>
    </row>
    <row r="1014" spans="4:8" x14ac:dyDescent="0.3">
      <c r="D1014" s="99" t="s">
        <v>2468</v>
      </c>
      <c r="E1014" s="100">
        <v>45852</v>
      </c>
      <c r="F1014" s="100">
        <f t="shared" si="89"/>
        <v>45972</v>
      </c>
      <c r="G1014" s="101">
        <f t="shared" si="90"/>
        <v>120</v>
      </c>
      <c r="H1014" s="102">
        <f t="shared" si="88"/>
        <v>0</v>
      </c>
    </row>
    <row r="1015" spans="4:8" x14ac:dyDescent="0.3">
      <c r="D1015" s="99" t="s">
        <v>2468</v>
      </c>
      <c r="E1015" s="100">
        <v>45972</v>
      </c>
      <c r="F1015" s="100" t="str">
        <f t="shared" si="89"/>
        <v/>
      </c>
      <c r="G1015" s="101" t="str">
        <f t="shared" si="90"/>
        <v/>
      </c>
      <c r="H1015" s="102" t="str">
        <f t="shared" si="88"/>
        <v/>
      </c>
    </row>
    <row r="1016" spans="4:8" x14ac:dyDescent="0.3">
      <c r="D1016" s="99" t="s">
        <v>2469</v>
      </c>
      <c r="E1016" s="100">
        <v>45712</v>
      </c>
      <c r="F1016" s="100">
        <f t="shared" si="89"/>
        <v>45925</v>
      </c>
      <c r="G1016" s="101">
        <f t="shared" si="90"/>
        <v>213</v>
      </c>
      <c r="H1016" s="102">
        <f t="shared" si="88"/>
        <v>0</v>
      </c>
    </row>
    <row r="1017" spans="4:8" x14ac:dyDescent="0.3">
      <c r="D1017" s="99" t="s">
        <v>2469</v>
      </c>
      <c r="E1017" s="100">
        <v>45925</v>
      </c>
      <c r="F1017" s="100" t="str">
        <f t="shared" si="89"/>
        <v/>
      </c>
      <c r="G1017" s="101" t="str">
        <f t="shared" si="90"/>
        <v/>
      </c>
      <c r="H1017" s="102" t="str">
        <f t="shared" si="88"/>
        <v/>
      </c>
    </row>
    <row r="1018" spans="4:8" x14ac:dyDescent="0.3">
      <c r="D1018" s="99" t="s">
        <v>2470</v>
      </c>
      <c r="E1018" s="100">
        <v>45665</v>
      </c>
      <c r="F1018" s="100">
        <f t="shared" si="89"/>
        <v>45813</v>
      </c>
      <c r="G1018" s="101">
        <f t="shared" si="90"/>
        <v>148</v>
      </c>
      <c r="H1018" s="102">
        <f t="shared" si="88"/>
        <v>0</v>
      </c>
    </row>
    <row r="1019" spans="4:8" x14ac:dyDescent="0.3">
      <c r="D1019" s="99" t="s">
        <v>2470</v>
      </c>
      <c r="E1019" s="100">
        <v>45813</v>
      </c>
      <c r="F1019" s="100">
        <f t="shared" si="89"/>
        <v>45954</v>
      </c>
      <c r="G1019" s="101">
        <f t="shared" si="90"/>
        <v>141</v>
      </c>
      <c r="H1019" s="102">
        <f t="shared" si="88"/>
        <v>0</v>
      </c>
    </row>
    <row r="1020" spans="4:8" x14ac:dyDescent="0.3">
      <c r="D1020" s="99" t="s">
        <v>2470</v>
      </c>
      <c r="E1020" s="100">
        <v>45954</v>
      </c>
      <c r="F1020" s="100" t="str">
        <f t="shared" si="89"/>
        <v/>
      </c>
      <c r="G1020" s="101" t="str">
        <f t="shared" si="90"/>
        <v/>
      </c>
      <c r="H1020" s="102" t="str">
        <f t="shared" si="88"/>
        <v/>
      </c>
    </row>
    <row r="1021" spans="4:8" x14ac:dyDescent="0.3">
      <c r="D1021" s="99" t="s">
        <v>2471</v>
      </c>
      <c r="E1021" s="100">
        <v>45754</v>
      </c>
      <c r="F1021" s="100">
        <f t="shared" si="89"/>
        <v>46013</v>
      </c>
      <c r="G1021" s="101">
        <f t="shared" si="90"/>
        <v>259</v>
      </c>
      <c r="H1021" s="102">
        <f t="shared" si="88"/>
        <v>0</v>
      </c>
    </row>
    <row r="1022" spans="4:8" x14ac:dyDescent="0.3">
      <c r="D1022" s="99" t="s">
        <v>2471</v>
      </c>
      <c r="E1022" s="100">
        <v>46013</v>
      </c>
      <c r="F1022" s="100" t="str">
        <f t="shared" si="89"/>
        <v/>
      </c>
      <c r="G1022" s="101" t="str">
        <f t="shared" si="90"/>
        <v/>
      </c>
      <c r="H1022" s="102" t="str">
        <f t="shared" si="88"/>
        <v/>
      </c>
    </row>
    <row r="1023" spans="4:8" x14ac:dyDescent="0.3">
      <c r="D1023" s="99" t="s">
        <v>2472</v>
      </c>
      <c r="E1023" s="100">
        <v>45799</v>
      </c>
      <c r="F1023" s="100" t="str">
        <f t="shared" si="89"/>
        <v/>
      </c>
      <c r="G1023" s="101" t="str">
        <f t="shared" si="90"/>
        <v/>
      </c>
      <c r="H1023" s="102" t="str">
        <f t="shared" si="88"/>
        <v/>
      </c>
    </row>
    <row r="1024" spans="4:8" x14ac:dyDescent="0.3">
      <c r="D1024" s="99" t="s">
        <v>2473</v>
      </c>
      <c r="E1024" s="100">
        <v>45952</v>
      </c>
      <c r="F1024" s="100" t="str">
        <f t="shared" si="89"/>
        <v/>
      </c>
      <c r="G1024" s="101" t="str">
        <f t="shared" si="90"/>
        <v/>
      </c>
      <c r="H1024" s="102" t="str">
        <f t="shared" si="88"/>
        <v/>
      </c>
    </row>
    <row r="1025" spans="4:8" x14ac:dyDescent="0.3">
      <c r="D1025" s="99" t="s">
        <v>2474</v>
      </c>
      <c r="E1025" s="100">
        <v>45798</v>
      </c>
      <c r="F1025" s="100" t="str">
        <f t="shared" si="89"/>
        <v/>
      </c>
      <c r="G1025" s="101" t="str">
        <f t="shared" si="90"/>
        <v/>
      </c>
      <c r="H1025" s="102" t="str">
        <f t="shared" si="88"/>
        <v/>
      </c>
    </row>
    <row r="1026" spans="4:8" x14ac:dyDescent="0.3">
      <c r="D1026" s="99" t="s">
        <v>2475</v>
      </c>
      <c r="E1026" s="100">
        <v>45721</v>
      </c>
      <c r="F1026" s="100">
        <f t="shared" si="89"/>
        <v>45904</v>
      </c>
      <c r="G1026" s="101">
        <f t="shared" si="90"/>
        <v>183</v>
      </c>
      <c r="H1026" s="102">
        <f t="shared" si="88"/>
        <v>0</v>
      </c>
    </row>
    <row r="1027" spans="4:8" x14ac:dyDescent="0.3">
      <c r="D1027" s="99" t="s">
        <v>2475</v>
      </c>
      <c r="E1027" s="100">
        <v>45904</v>
      </c>
      <c r="F1027" s="100">
        <f t="shared" si="89"/>
        <v>45905</v>
      </c>
      <c r="G1027" s="101">
        <f t="shared" si="90"/>
        <v>1</v>
      </c>
      <c r="H1027" s="102">
        <f t="shared" si="88"/>
        <v>1</v>
      </c>
    </row>
    <row r="1028" spans="4:8" x14ac:dyDescent="0.3">
      <c r="D1028" s="99" t="s">
        <v>2475</v>
      </c>
      <c r="E1028" s="100">
        <v>45905</v>
      </c>
      <c r="F1028" s="100">
        <f t="shared" si="89"/>
        <v>45944</v>
      </c>
      <c r="G1028" s="101">
        <f t="shared" si="90"/>
        <v>39</v>
      </c>
      <c r="H1028" s="102">
        <f t="shared" si="88"/>
        <v>0</v>
      </c>
    </row>
    <row r="1029" spans="4:8" x14ac:dyDescent="0.3">
      <c r="D1029" s="99" t="s">
        <v>2475</v>
      </c>
      <c r="E1029" s="100">
        <v>45944</v>
      </c>
      <c r="F1029" s="100" t="str">
        <f t="shared" si="89"/>
        <v/>
      </c>
      <c r="G1029" s="101" t="str">
        <f t="shared" si="90"/>
        <v/>
      </c>
      <c r="H1029" s="102" t="str">
        <f t="shared" si="88"/>
        <v/>
      </c>
    </row>
    <row r="1030" spans="4:8" x14ac:dyDescent="0.3">
      <c r="D1030" s="99" t="s">
        <v>2476</v>
      </c>
      <c r="E1030" s="100">
        <v>45817</v>
      </c>
      <c r="F1030" s="100" t="str">
        <f t="shared" si="89"/>
        <v/>
      </c>
      <c r="G1030" s="101" t="str">
        <f t="shared" si="90"/>
        <v/>
      </c>
      <c r="H1030" s="102" t="str">
        <f t="shared" si="88"/>
        <v/>
      </c>
    </row>
    <row r="1031" spans="4:8" x14ac:dyDescent="0.3">
      <c r="D1031" s="99" t="s">
        <v>2477</v>
      </c>
      <c r="E1031" s="100">
        <v>45947</v>
      </c>
      <c r="F1031" s="100">
        <f t="shared" si="89"/>
        <v>45985</v>
      </c>
      <c r="G1031" s="101">
        <f t="shared" si="90"/>
        <v>38</v>
      </c>
      <c r="H1031" s="102">
        <f t="shared" ref="H1031:H1094" si="91">IF(G1031="","",IF(G1031&lt;=return_window,1,0))</f>
        <v>0</v>
      </c>
    </row>
    <row r="1032" spans="4:8" x14ac:dyDescent="0.3">
      <c r="D1032" s="99" t="s">
        <v>2477</v>
      </c>
      <c r="E1032" s="100">
        <v>45985</v>
      </c>
      <c r="F1032" s="100" t="str">
        <f t="shared" ref="F1032:F1095" si="92">IF(D1032=D1033,E1033,"")</f>
        <v/>
      </c>
      <c r="G1032" s="101" t="str">
        <f t="shared" ref="G1032:G1095" si="93">IF(F1032="","",F1032-E1032)</f>
        <v/>
      </c>
      <c r="H1032" s="102" t="str">
        <f t="shared" si="91"/>
        <v/>
      </c>
    </row>
    <row r="1033" spans="4:8" x14ac:dyDescent="0.3">
      <c r="D1033" s="99" t="s">
        <v>2478</v>
      </c>
      <c r="E1033" s="100">
        <v>45994</v>
      </c>
      <c r="F1033" s="100" t="str">
        <f t="shared" si="92"/>
        <v/>
      </c>
      <c r="G1033" s="101" t="str">
        <f t="shared" si="93"/>
        <v/>
      </c>
      <c r="H1033" s="102" t="str">
        <f t="shared" si="91"/>
        <v/>
      </c>
    </row>
    <row r="1034" spans="4:8" x14ac:dyDescent="0.3">
      <c r="D1034" s="99" t="s">
        <v>2479</v>
      </c>
      <c r="E1034" s="100">
        <v>45756</v>
      </c>
      <c r="F1034" s="100" t="str">
        <f t="shared" si="92"/>
        <v/>
      </c>
      <c r="G1034" s="101" t="str">
        <f t="shared" si="93"/>
        <v/>
      </c>
      <c r="H1034" s="102" t="str">
        <f t="shared" si="91"/>
        <v/>
      </c>
    </row>
    <row r="1035" spans="4:8" x14ac:dyDescent="0.3">
      <c r="D1035" s="99" t="s">
        <v>2480</v>
      </c>
      <c r="E1035" s="100">
        <v>45699</v>
      </c>
      <c r="F1035" s="100">
        <f t="shared" si="92"/>
        <v>45896</v>
      </c>
      <c r="G1035" s="101">
        <f t="shared" si="93"/>
        <v>197</v>
      </c>
      <c r="H1035" s="102">
        <f t="shared" si="91"/>
        <v>0</v>
      </c>
    </row>
    <row r="1036" spans="4:8" x14ac:dyDescent="0.3">
      <c r="D1036" s="99" t="s">
        <v>2480</v>
      </c>
      <c r="E1036" s="100">
        <v>45896</v>
      </c>
      <c r="F1036" s="100">
        <f t="shared" si="92"/>
        <v>45947</v>
      </c>
      <c r="G1036" s="101">
        <f t="shared" si="93"/>
        <v>51</v>
      </c>
      <c r="H1036" s="102">
        <f t="shared" si="91"/>
        <v>0</v>
      </c>
    </row>
    <row r="1037" spans="4:8" x14ac:dyDescent="0.3">
      <c r="D1037" s="99" t="s">
        <v>2480</v>
      </c>
      <c r="E1037" s="100">
        <v>45947</v>
      </c>
      <c r="F1037" s="100">
        <f t="shared" si="92"/>
        <v>45987</v>
      </c>
      <c r="G1037" s="101">
        <f t="shared" si="93"/>
        <v>40</v>
      </c>
      <c r="H1037" s="102">
        <f t="shared" si="91"/>
        <v>0</v>
      </c>
    </row>
    <row r="1038" spans="4:8" x14ac:dyDescent="0.3">
      <c r="D1038" s="99" t="s">
        <v>2480</v>
      </c>
      <c r="E1038" s="100">
        <v>45987</v>
      </c>
      <c r="F1038" s="100" t="str">
        <f t="shared" si="92"/>
        <v/>
      </c>
      <c r="G1038" s="101" t="str">
        <f t="shared" si="93"/>
        <v/>
      </c>
      <c r="H1038" s="102" t="str">
        <f t="shared" si="91"/>
        <v/>
      </c>
    </row>
    <row r="1039" spans="4:8" x14ac:dyDescent="0.3">
      <c r="D1039" s="99" t="s">
        <v>2481</v>
      </c>
      <c r="E1039" s="100">
        <v>45674</v>
      </c>
      <c r="F1039" s="100" t="str">
        <f t="shared" si="92"/>
        <v/>
      </c>
      <c r="G1039" s="101" t="str">
        <f t="shared" si="93"/>
        <v/>
      </c>
      <c r="H1039" s="102" t="str">
        <f t="shared" si="91"/>
        <v/>
      </c>
    </row>
    <row r="1040" spans="4:8" x14ac:dyDescent="0.3">
      <c r="D1040" s="99" t="s">
        <v>2482</v>
      </c>
      <c r="E1040" s="100">
        <v>45712</v>
      </c>
      <c r="F1040" s="100">
        <f t="shared" si="92"/>
        <v>45813</v>
      </c>
      <c r="G1040" s="101">
        <f t="shared" si="93"/>
        <v>101</v>
      </c>
      <c r="H1040" s="102">
        <f t="shared" si="91"/>
        <v>0</v>
      </c>
    </row>
    <row r="1041" spans="4:8" x14ac:dyDescent="0.3">
      <c r="D1041" s="99" t="s">
        <v>2482</v>
      </c>
      <c r="E1041" s="100">
        <v>45813</v>
      </c>
      <c r="F1041" s="100" t="str">
        <f t="shared" si="92"/>
        <v/>
      </c>
      <c r="G1041" s="101" t="str">
        <f t="shared" si="93"/>
        <v/>
      </c>
      <c r="H1041" s="102" t="str">
        <f t="shared" si="91"/>
        <v/>
      </c>
    </row>
    <row r="1042" spans="4:8" x14ac:dyDescent="0.3">
      <c r="D1042" s="99" t="s">
        <v>2483</v>
      </c>
      <c r="E1042" s="100">
        <v>45712</v>
      </c>
      <c r="F1042" s="100">
        <f t="shared" si="92"/>
        <v>45762</v>
      </c>
      <c r="G1042" s="101">
        <f t="shared" si="93"/>
        <v>50</v>
      </c>
      <c r="H1042" s="102">
        <f t="shared" si="91"/>
        <v>0</v>
      </c>
    </row>
    <row r="1043" spans="4:8" x14ac:dyDescent="0.3">
      <c r="D1043" s="99" t="s">
        <v>2483</v>
      </c>
      <c r="E1043" s="100">
        <v>45762</v>
      </c>
      <c r="F1043" s="100">
        <f t="shared" si="92"/>
        <v>45972</v>
      </c>
      <c r="G1043" s="101">
        <f t="shared" si="93"/>
        <v>210</v>
      </c>
      <c r="H1043" s="102">
        <f t="shared" si="91"/>
        <v>0</v>
      </c>
    </row>
    <row r="1044" spans="4:8" x14ac:dyDescent="0.3">
      <c r="D1044" s="99" t="s">
        <v>2483</v>
      </c>
      <c r="E1044" s="100">
        <v>45972</v>
      </c>
      <c r="F1044" s="100" t="str">
        <f t="shared" si="92"/>
        <v/>
      </c>
      <c r="G1044" s="101" t="str">
        <f t="shared" si="93"/>
        <v/>
      </c>
      <c r="H1044" s="102" t="str">
        <f t="shared" si="91"/>
        <v/>
      </c>
    </row>
    <row r="1045" spans="4:8" x14ac:dyDescent="0.3">
      <c r="D1045" s="99" t="s">
        <v>2484</v>
      </c>
      <c r="E1045" s="100">
        <v>45687</v>
      </c>
      <c r="F1045" s="100">
        <f t="shared" si="92"/>
        <v>45722</v>
      </c>
      <c r="G1045" s="101">
        <f t="shared" si="93"/>
        <v>35</v>
      </c>
      <c r="H1045" s="102">
        <f t="shared" si="91"/>
        <v>0</v>
      </c>
    </row>
    <row r="1046" spans="4:8" x14ac:dyDescent="0.3">
      <c r="D1046" s="99" t="s">
        <v>2484</v>
      </c>
      <c r="E1046" s="100">
        <v>45722</v>
      </c>
      <c r="F1046" s="100">
        <f t="shared" si="92"/>
        <v>45825</v>
      </c>
      <c r="G1046" s="101">
        <f t="shared" si="93"/>
        <v>103</v>
      </c>
      <c r="H1046" s="102">
        <f t="shared" si="91"/>
        <v>0</v>
      </c>
    </row>
    <row r="1047" spans="4:8" x14ac:dyDescent="0.3">
      <c r="D1047" s="99" t="s">
        <v>2484</v>
      </c>
      <c r="E1047" s="100">
        <v>45825</v>
      </c>
      <c r="F1047" s="100">
        <f t="shared" si="92"/>
        <v>46013</v>
      </c>
      <c r="G1047" s="101">
        <f t="shared" si="93"/>
        <v>188</v>
      </c>
      <c r="H1047" s="102">
        <f t="shared" si="91"/>
        <v>0</v>
      </c>
    </row>
    <row r="1048" spans="4:8" x14ac:dyDescent="0.3">
      <c r="D1048" s="99" t="s">
        <v>2484</v>
      </c>
      <c r="E1048" s="100">
        <v>46013</v>
      </c>
      <c r="F1048" s="100" t="str">
        <f t="shared" si="92"/>
        <v/>
      </c>
      <c r="G1048" s="101" t="str">
        <f t="shared" si="93"/>
        <v/>
      </c>
      <c r="H1048" s="102" t="str">
        <f t="shared" si="91"/>
        <v/>
      </c>
    </row>
    <row r="1049" spans="4:8" x14ac:dyDescent="0.3">
      <c r="D1049" s="99" t="s">
        <v>2485</v>
      </c>
      <c r="E1049" s="100">
        <v>45793</v>
      </c>
      <c r="F1049" s="100">
        <f t="shared" si="92"/>
        <v>45972</v>
      </c>
      <c r="G1049" s="101">
        <f t="shared" si="93"/>
        <v>179</v>
      </c>
      <c r="H1049" s="102">
        <f t="shared" si="91"/>
        <v>0</v>
      </c>
    </row>
    <row r="1050" spans="4:8" x14ac:dyDescent="0.3">
      <c r="D1050" s="99" t="s">
        <v>2485</v>
      </c>
      <c r="E1050" s="100">
        <v>45972</v>
      </c>
      <c r="F1050" s="100">
        <f t="shared" si="92"/>
        <v>46022</v>
      </c>
      <c r="G1050" s="101">
        <f t="shared" si="93"/>
        <v>50</v>
      </c>
      <c r="H1050" s="102">
        <f t="shared" si="91"/>
        <v>0</v>
      </c>
    </row>
    <row r="1051" spans="4:8" x14ac:dyDescent="0.3">
      <c r="D1051" s="99" t="s">
        <v>2485</v>
      </c>
      <c r="E1051" s="100">
        <v>46022</v>
      </c>
      <c r="F1051" s="100" t="str">
        <f t="shared" si="92"/>
        <v/>
      </c>
      <c r="G1051" s="101" t="str">
        <f t="shared" si="93"/>
        <v/>
      </c>
      <c r="H1051" s="102" t="str">
        <f t="shared" si="91"/>
        <v/>
      </c>
    </row>
    <row r="1052" spans="4:8" x14ac:dyDescent="0.3">
      <c r="D1052" s="99" t="s">
        <v>2486</v>
      </c>
      <c r="E1052" s="100">
        <v>45861</v>
      </c>
      <c r="F1052" s="100">
        <f t="shared" si="92"/>
        <v>45884</v>
      </c>
      <c r="G1052" s="101">
        <f t="shared" si="93"/>
        <v>23</v>
      </c>
      <c r="H1052" s="102">
        <f t="shared" si="91"/>
        <v>1</v>
      </c>
    </row>
    <row r="1053" spans="4:8" x14ac:dyDescent="0.3">
      <c r="D1053" s="99" t="s">
        <v>2486</v>
      </c>
      <c r="E1053" s="100">
        <v>45884</v>
      </c>
      <c r="F1053" s="100">
        <f t="shared" si="92"/>
        <v>45924</v>
      </c>
      <c r="G1053" s="101">
        <f t="shared" si="93"/>
        <v>40</v>
      </c>
      <c r="H1053" s="102">
        <f t="shared" si="91"/>
        <v>0</v>
      </c>
    </row>
    <row r="1054" spans="4:8" x14ac:dyDescent="0.3">
      <c r="D1054" s="99" t="s">
        <v>2486</v>
      </c>
      <c r="E1054" s="100">
        <v>45924</v>
      </c>
      <c r="F1054" s="100">
        <f t="shared" si="92"/>
        <v>45939</v>
      </c>
      <c r="G1054" s="101">
        <f t="shared" si="93"/>
        <v>15</v>
      </c>
      <c r="H1054" s="102">
        <f t="shared" si="91"/>
        <v>1</v>
      </c>
    </row>
    <row r="1055" spans="4:8" x14ac:dyDescent="0.3">
      <c r="D1055" s="99" t="s">
        <v>2486</v>
      </c>
      <c r="E1055" s="100">
        <v>45939</v>
      </c>
      <c r="F1055" s="100">
        <f t="shared" si="92"/>
        <v>45985</v>
      </c>
      <c r="G1055" s="101">
        <f t="shared" si="93"/>
        <v>46</v>
      </c>
      <c r="H1055" s="102">
        <f t="shared" si="91"/>
        <v>0</v>
      </c>
    </row>
    <row r="1056" spans="4:8" x14ac:dyDescent="0.3">
      <c r="D1056" s="99" t="s">
        <v>2486</v>
      </c>
      <c r="E1056" s="100">
        <v>45985</v>
      </c>
      <c r="F1056" s="100" t="str">
        <f t="shared" si="92"/>
        <v/>
      </c>
      <c r="G1056" s="101" t="str">
        <f t="shared" si="93"/>
        <v/>
      </c>
      <c r="H1056" s="102" t="str">
        <f t="shared" si="91"/>
        <v/>
      </c>
    </row>
    <row r="1057" spans="4:8" x14ac:dyDescent="0.3">
      <c r="D1057" s="99" t="s">
        <v>2487</v>
      </c>
      <c r="E1057" s="100">
        <v>45729</v>
      </c>
      <c r="F1057" s="100">
        <f t="shared" si="92"/>
        <v>45994</v>
      </c>
      <c r="G1057" s="101">
        <f t="shared" si="93"/>
        <v>265</v>
      </c>
      <c r="H1057" s="102">
        <f t="shared" si="91"/>
        <v>0</v>
      </c>
    </row>
    <row r="1058" spans="4:8" x14ac:dyDescent="0.3">
      <c r="D1058" s="99" t="s">
        <v>2487</v>
      </c>
      <c r="E1058" s="100">
        <v>45994</v>
      </c>
      <c r="F1058" s="100" t="str">
        <f t="shared" si="92"/>
        <v/>
      </c>
      <c r="G1058" s="101" t="str">
        <f t="shared" si="93"/>
        <v/>
      </c>
      <c r="H1058" s="102" t="str">
        <f t="shared" si="91"/>
        <v/>
      </c>
    </row>
    <row r="1059" spans="4:8" x14ac:dyDescent="0.3">
      <c r="D1059" s="99" t="s">
        <v>2488</v>
      </c>
      <c r="E1059" s="100">
        <v>45763</v>
      </c>
      <c r="F1059" s="100">
        <f t="shared" si="92"/>
        <v>45835</v>
      </c>
      <c r="G1059" s="101">
        <f t="shared" si="93"/>
        <v>72</v>
      </c>
      <c r="H1059" s="102">
        <f t="shared" si="91"/>
        <v>0</v>
      </c>
    </row>
    <row r="1060" spans="4:8" x14ac:dyDescent="0.3">
      <c r="D1060" s="99" t="s">
        <v>2488</v>
      </c>
      <c r="E1060" s="100">
        <v>45835</v>
      </c>
      <c r="F1060" s="100">
        <f t="shared" si="92"/>
        <v>45986</v>
      </c>
      <c r="G1060" s="101">
        <f t="shared" si="93"/>
        <v>151</v>
      </c>
      <c r="H1060" s="102">
        <f t="shared" si="91"/>
        <v>0</v>
      </c>
    </row>
    <row r="1061" spans="4:8" x14ac:dyDescent="0.3">
      <c r="D1061" s="99" t="s">
        <v>2488</v>
      </c>
      <c r="E1061" s="100">
        <v>45986</v>
      </c>
      <c r="F1061" s="100" t="str">
        <f t="shared" si="92"/>
        <v/>
      </c>
      <c r="G1061" s="101" t="str">
        <f t="shared" si="93"/>
        <v/>
      </c>
      <c r="H1061" s="102" t="str">
        <f t="shared" si="91"/>
        <v/>
      </c>
    </row>
    <row r="1062" spans="4:8" x14ac:dyDescent="0.3">
      <c r="D1062" s="99" t="s">
        <v>2489</v>
      </c>
      <c r="E1062" s="100">
        <v>45733</v>
      </c>
      <c r="F1062" s="100" t="str">
        <f t="shared" si="92"/>
        <v/>
      </c>
      <c r="G1062" s="101" t="str">
        <f t="shared" si="93"/>
        <v/>
      </c>
      <c r="H1062" s="102" t="str">
        <f t="shared" si="91"/>
        <v/>
      </c>
    </row>
    <row r="1063" spans="4:8" x14ac:dyDescent="0.3">
      <c r="D1063" s="99" t="s">
        <v>2490</v>
      </c>
      <c r="E1063" s="100">
        <v>45910</v>
      </c>
      <c r="F1063" s="100" t="str">
        <f t="shared" si="92"/>
        <v/>
      </c>
      <c r="G1063" s="101" t="str">
        <f t="shared" si="93"/>
        <v/>
      </c>
      <c r="H1063" s="102" t="str">
        <f t="shared" si="91"/>
        <v/>
      </c>
    </row>
    <row r="1064" spans="4:8" x14ac:dyDescent="0.3">
      <c r="D1064" s="99" t="s">
        <v>2491</v>
      </c>
      <c r="E1064" s="100">
        <v>45960</v>
      </c>
      <c r="F1064" s="100" t="str">
        <f t="shared" si="92"/>
        <v/>
      </c>
      <c r="G1064" s="101" t="str">
        <f t="shared" si="93"/>
        <v/>
      </c>
      <c r="H1064" s="102" t="str">
        <f t="shared" si="91"/>
        <v/>
      </c>
    </row>
    <row r="1065" spans="4:8" x14ac:dyDescent="0.3">
      <c r="D1065" s="99" t="s">
        <v>2492</v>
      </c>
      <c r="E1065" s="100">
        <v>45960</v>
      </c>
      <c r="F1065" s="100" t="str">
        <f t="shared" si="92"/>
        <v/>
      </c>
      <c r="G1065" s="101" t="str">
        <f t="shared" si="93"/>
        <v/>
      </c>
      <c r="H1065" s="102" t="str">
        <f t="shared" si="91"/>
        <v/>
      </c>
    </row>
    <row r="1066" spans="4:8" x14ac:dyDescent="0.3">
      <c r="D1066" s="99" t="s">
        <v>2493</v>
      </c>
      <c r="E1066" s="100">
        <v>45945</v>
      </c>
      <c r="F1066" s="100" t="str">
        <f t="shared" si="92"/>
        <v/>
      </c>
      <c r="G1066" s="101" t="str">
        <f t="shared" si="93"/>
        <v/>
      </c>
      <c r="H1066" s="102" t="str">
        <f t="shared" si="91"/>
        <v/>
      </c>
    </row>
    <row r="1067" spans="4:8" x14ac:dyDescent="0.3">
      <c r="D1067" s="99" t="s">
        <v>2494</v>
      </c>
      <c r="E1067" s="100">
        <v>45665</v>
      </c>
      <c r="F1067" s="100">
        <f t="shared" si="92"/>
        <v>46000</v>
      </c>
      <c r="G1067" s="101">
        <f t="shared" si="93"/>
        <v>335</v>
      </c>
      <c r="H1067" s="102">
        <f t="shared" si="91"/>
        <v>0</v>
      </c>
    </row>
    <row r="1068" spans="4:8" x14ac:dyDescent="0.3">
      <c r="D1068" s="99" t="s">
        <v>2494</v>
      </c>
      <c r="E1068" s="100">
        <v>46000</v>
      </c>
      <c r="F1068" s="100" t="str">
        <f t="shared" si="92"/>
        <v/>
      </c>
      <c r="G1068" s="101" t="str">
        <f t="shared" si="93"/>
        <v/>
      </c>
      <c r="H1068" s="102" t="str">
        <f t="shared" si="91"/>
        <v/>
      </c>
    </row>
    <row r="1069" spans="4:8" x14ac:dyDescent="0.3">
      <c r="D1069" s="99" t="s">
        <v>2495</v>
      </c>
      <c r="E1069" s="100">
        <v>45694</v>
      </c>
      <c r="F1069" s="100">
        <f t="shared" si="92"/>
        <v>45782</v>
      </c>
      <c r="G1069" s="101">
        <f t="shared" si="93"/>
        <v>88</v>
      </c>
      <c r="H1069" s="102">
        <f t="shared" si="91"/>
        <v>0</v>
      </c>
    </row>
    <row r="1070" spans="4:8" x14ac:dyDescent="0.3">
      <c r="D1070" s="99" t="s">
        <v>2495</v>
      </c>
      <c r="E1070" s="100">
        <v>45782</v>
      </c>
      <c r="F1070" s="100">
        <f t="shared" si="92"/>
        <v>45838</v>
      </c>
      <c r="G1070" s="101">
        <f t="shared" si="93"/>
        <v>56</v>
      </c>
      <c r="H1070" s="102">
        <f t="shared" si="91"/>
        <v>0</v>
      </c>
    </row>
    <row r="1071" spans="4:8" x14ac:dyDescent="0.3">
      <c r="D1071" s="99" t="s">
        <v>2495</v>
      </c>
      <c r="E1071" s="100">
        <v>45838</v>
      </c>
      <c r="F1071" s="100">
        <f t="shared" si="92"/>
        <v>45909</v>
      </c>
      <c r="G1071" s="101">
        <f t="shared" si="93"/>
        <v>71</v>
      </c>
      <c r="H1071" s="102">
        <f t="shared" si="91"/>
        <v>0</v>
      </c>
    </row>
    <row r="1072" spans="4:8" x14ac:dyDescent="0.3">
      <c r="D1072" s="99" t="s">
        <v>2495</v>
      </c>
      <c r="E1072" s="100">
        <v>45909</v>
      </c>
      <c r="F1072" s="100">
        <f t="shared" si="92"/>
        <v>45940</v>
      </c>
      <c r="G1072" s="101">
        <f t="shared" si="93"/>
        <v>31</v>
      </c>
      <c r="H1072" s="102">
        <f t="shared" si="91"/>
        <v>0</v>
      </c>
    </row>
    <row r="1073" spans="4:8" x14ac:dyDescent="0.3">
      <c r="D1073" s="99" t="s">
        <v>2495</v>
      </c>
      <c r="E1073" s="100">
        <v>45940</v>
      </c>
      <c r="F1073" s="100" t="str">
        <f t="shared" si="92"/>
        <v/>
      </c>
      <c r="G1073" s="101" t="str">
        <f t="shared" si="93"/>
        <v/>
      </c>
      <c r="H1073" s="102" t="str">
        <f t="shared" si="91"/>
        <v/>
      </c>
    </row>
    <row r="1074" spans="4:8" x14ac:dyDescent="0.3">
      <c r="D1074" s="99" t="s">
        <v>2496</v>
      </c>
      <c r="E1074" s="100">
        <v>45665</v>
      </c>
      <c r="F1074" s="100">
        <f t="shared" si="92"/>
        <v>45959</v>
      </c>
      <c r="G1074" s="101">
        <f t="shared" si="93"/>
        <v>294</v>
      </c>
      <c r="H1074" s="102">
        <f t="shared" si="91"/>
        <v>0</v>
      </c>
    </row>
    <row r="1075" spans="4:8" x14ac:dyDescent="0.3">
      <c r="D1075" s="99" t="s">
        <v>2496</v>
      </c>
      <c r="E1075" s="100">
        <v>45959</v>
      </c>
      <c r="F1075" s="100">
        <f t="shared" si="92"/>
        <v>46016</v>
      </c>
      <c r="G1075" s="101">
        <f t="shared" si="93"/>
        <v>57</v>
      </c>
      <c r="H1075" s="102">
        <f t="shared" si="91"/>
        <v>0</v>
      </c>
    </row>
    <row r="1076" spans="4:8" x14ac:dyDescent="0.3">
      <c r="D1076" s="99" t="s">
        <v>2496</v>
      </c>
      <c r="E1076" s="100">
        <v>46016</v>
      </c>
      <c r="F1076" s="100" t="str">
        <f t="shared" si="92"/>
        <v/>
      </c>
      <c r="G1076" s="101" t="str">
        <f t="shared" si="93"/>
        <v/>
      </c>
      <c r="H1076" s="102" t="str">
        <f t="shared" si="91"/>
        <v/>
      </c>
    </row>
    <row r="1077" spans="4:8" x14ac:dyDescent="0.3">
      <c r="D1077" s="99" t="s">
        <v>2497</v>
      </c>
      <c r="E1077" s="100">
        <v>45726</v>
      </c>
      <c r="F1077" s="100">
        <f t="shared" si="92"/>
        <v>45842</v>
      </c>
      <c r="G1077" s="101">
        <f t="shared" si="93"/>
        <v>116</v>
      </c>
      <c r="H1077" s="102">
        <f t="shared" si="91"/>
        <v>0</v>
      </c>
    </row>
    <row r="1078" spans="4:8" x14ac:dyDescent="0.3">
      <c r="D1078" s="99" t="s">
        <v>2497</v>
      </c>
      <c r="E1078" s="100">
        <v>45842</v>
      </c>
      <c r="F1078" s="100">
        <f t="shared" si="92"/>
        <v>45876</v>
      </c>
      <c r="G1078" s="101">
        <f t="shared" si="93"/>
        <v>34</v>
      </c>
      <c r="H1078" s="102">
        <f t="shared" si="91"/>
        <v>0</v>
      </c>
    </row>
    <row r="1079" spans="4:8" x14ac:dyDescent="0.3">
      <c r="D1079" s="99" t="s">
        <v>2497</v>
      </c>
      <c r="E1079" s="100">
        <v>45876</v>
      </c>
      <c r="F1079" s="100">
        <f t="shared" si="92"/>
        <v>45972</v>
      </c>
      <c r="G1079" s="101">
        <f t="shared" si="93"/>
        <v>96</v>
      </c>
      <c r="H1079" s="102">
        <f t="shared" si="91"/>
        <v>0</v>
      </c>
    </row>
    <row r="1080" spans="4:8" x14ac:dyDescent="0.3">
      <c r="D1080" s="99" t="s">
        <v>2497</v>
      </c>
      <c r="E1080" s="100">
        <v>45972</v>
      </c>
      <c r="F1080" s="100">
        <f t="shared" si="92"/>
        <v>46021</v>
      </c>
      <c r="G1080" s="101">
        <f t="shared" si="93"/>
        <v>49</v>
      </c>
      <c r="H1080" s="102">
        <f t="shared" si="91"/>
        <v>0</v>
      </c>
    </row>
    <row r="1081" spans="4:8" x14ac:dyDescent="0.3">
      <c r="D1081" s="99" t="s">
        <v>2497</v>
      </c>
      <c r="E1081" s="100">
        <v>46021</v>
      </c>
      <c r="F1081" s="100" t="str">
        <f t="shared" si="92"/>
        <v/>
      </c>
      <c r="G1081" s="101" t="str">
        <f t="shared" si="93"/>
        <v/>
      </c>
      <c r="H1081" s="102" t="str">
        <f t="shared" si="91"/>
        <v/>
      </c>
    </row>
    <row r="1082" spans="4:8" x14ac:dyDescent="0.3">
      <c r="D1082" s="99" t="s">
        <v>2498</v>
      </c>
      <c r="E1082" s="100">
        <v>45796</v>
      </c>
      <c r="F1082" s="100" t="str">
        <f t="shared" si="92"/>
        <v/>
      </c>
      <c r="G1082" s="101" t="str">
        <f t="shared" si="93"/>
        <v/>
      </c>
      <c r="H1082" s="102" t="str">
        <f t="shared" si="91"/>
        <v/>
      </c>
    </row>
    <row r="1083" spans="4:8" x14ac:dyDescent="0.3">
      <c r="D1083" s="99" t="s">
        <v>2499</v>
      </c>
      <c r="E1083" s="100">
        <v>45768</v>
      </c>
      <c r="F1083" s="100" t="str">
        <f t="shared" si="92"/>
        <v/>
      </c>
      <c r="G1083" s="101" t="str">
        <f t="shared" si="93"/>
        <v/>
      </c>
      <c r="H1083" s="102" t="str">
        <f t="shared" si="91"/>
        <v/>
      </c>
    </row>
    <row r="1084" spans="4:8" x14ac:dyDescent="0.3">
      <c r="D1084" s="99" t="s">
        <v>2500</v>
      </c>
      <c r="E1084" s="100">
        <v>45824</v>
      </c>
      <c r="F1084" s="100">
        <f t="shared" si="92"/>
        <v>45974</v>
      </c>
      <c r="G1084" s="101">
        <f t="shared" si="93"/>
        <v>150</v>
      </c>
      <c r="H1084" s="102">
        <f t="shared" si="91"/>
        <v>0</v>
      </c>
    </row>
    <row r="1085" spans="4:8" x14ac:dyDescent="0.3">
      <c r="D1085" s="99" t="s">
        <v>2500</v>
      </c>
      <c r="E1085" s="100">
        <v>45974</v>
      </c>
      <c r="F1085" s="100" t="str">
        <f t="shared" si="92"/>
        <v/>
      </c>
      <c r="G1085" s="101" t="str">
        <f t="shared" si="93"/>
        <v/>
      </c>
      <c r="H1085" s="102" t="str">
        <f t="shared" si="91"/>
        <v/>
      </c>
    </row>
    <row r="1086" spans="4:8" x14ac:dyDescent="0.3">
      <c r="D1086" s="99" t="s">
        <v>2501</v>
      </c>
      <c r="E1086" s="100">
        <v>45751</v>
      </c>
      <c r="F1086" s="100">
        <f t="shared" si="92"/>
        <v>45796</v>
      </c>
      <c r="G1086" s="101">
        <f t="shared" si="93"/>
        <v>45</v>
      </c>
      <c r="H1086" s="102">
        <f t="shared" si="91"/>
        <v>0</v>
      </c>
    </row>
    <row r="1087" spans="4:8" x14ac:dyDescent="0.3">
      <c r="D1087" s="99" t="s">
        <v>2501</v>
      </c>
      <c r="E1087" s="100">
        <v>45796</v>
      </c>
      <c r="F1087" s="100">
        <f t="shared" si="92"/>
        <v>45923</v>
      </c>
      <c r="G1087" s="101">
        <f t="shared" si="93"/>
        <v>127</v>
      </c>
      <c r="H1087" s="102">
        <f t="shared" si="91"/>
        <v>0</v>
      </c>
    </row>
    <row r="1088" spans="4:8" x14ac:dyDescent="0.3">
      <c r="D1088" s="99" t="s">
        <v>2501</v>
      </c>
      <c r="E1088" s="100">
        <v>45923</v>
      </c>
      <c r="F1088" s="100" t="str">
        <f t="shared" si="92"/>
        <v/>
      </c>
      <c r="G1088" s="101" t="str">
        <f t="shared" si="93"/>
        <v/>
      </c>
      <c r="H1088" s="102" t="str">
        <f t="shared" si="91"/>
        <v/>
      </c>
    </row>
    <row r="1089" spans="4:8" x14ac:dyDescent="0.3">
      <c r="D1089" s="99" t="s">
        <v>2502</v>
      </c>
      <c r="E1089" s="100">
        <v>45771</v>
      </c>
      <c r="F1089" s="100">
        <f t="shared" si="92"/>
        <v>45965</v>
      </c>
      <c r="G1089" s="101">
        <f t="shared" si="93"/>
        <v>194</v>
      </c>
      <c r="H1089" s="102">
        <f t="shared" si="91"/>
        <v>0</v>
      </c>
    </row>
    <row r="1090" spans="4:8" x14ac:dyDescent="0.3">
      <c r="D1090" s="99" t="s">
        <v>2502</v>
      </c>
      <c r="E1090" s="100">
        <v>45965</v>
      </c>
      <c r="F1090" s="100">
        <f t="shared" si="92"/>
        <v>45980</v>
      </c>
      <c r="G1090" s="101">
        <f t="shared" si="93"/>
        <v>15</v>
      </c>
      <c r="H1090" s="102">
        <f t="shared" si="91"/>
        <v>1</v>
      </c>
    </row>
    <row r="1091" spans="4:8" x14ac:dyDescent="0.3">
      <c r="D1091" s="99" t="s">
        <v>2502</v>
      </c>
      <c r="E1091" s="100">
        <v>45980</v>
      </c>
      <c r="F1091" s="100" t="str">
        <f t="shared" si="92"/>
        <v/>
      </c>
      <c r="G1091" s="101" t="str">
        <f t="shared" si="93"/>
        <v/>
      </c>
      <c r="H1091" s="102" t="str">
        <f t="shared" si="91"/>
        <v/>
      </c>
    </row>
    <row r="1092" spans="4:8" x14ac:dyDescent="0.3">
      <c r="D1092" s="99" t="s">
        <v>2503</v>
      </c>
      <c r="E1092" s="100">
        <v>45911</v>
      </c>
      <c r="F1092" s="100" t="str">
        <f t="shared" si="92"/>
        <v/>
      </c>
      <c r="G1092" s="101" t="str">
        <f t="shared" si="93"/>
        <v/>
      </c>
      <c r="H1092" s="102" t="str">
        <f t="shared" si="91"/>
        <v/>
      </c>
    </row>
    <row r="1093" spans="4:8" x14ac:dyDescent="0.3">
      <c r="D1093" s="99" t="s">
        <v>2504</v>
      </c>
      <c r="E1093" s="100">
        <v>45805</v>
      </c>
      <c r="F1093" s="100" t="str">
        <f t="shared" si="92"/>
        <v/>
      </c>
      <c r="G1093" s="101" t="str">
        <f t="shared" si="93"/>
        <v/>
      </c>
      <c r="H1093" s="102" t="str">
        <f t="shared" si="91"/>
        <v/>
      </c>
    </row>
    <row r="1094" spans="4:8" x14ac:dyDescent="0.3">
      <c r="D1094" s="99" t="s">
        <v>2505</v>
      </c>
      <c r="E1094" s="100">
        <v>45831</v>
      </c>
      <c r="F1094" s="100">
        <f t="shared" si="92"/>
        <v>45855</v>
      </c>
      <c r="G1094" s="101">
        <f t="shared" si="93"/>
        <v>24</v>
      </c>
      <c r="H1094" s="102">
        <f t="shared" si="91"/>
        <v>1</v>
      </c>
    </row>
    <row r="1095" spans="4:8" x14ac:dyDescent="0.3">
      <c r="D1095" s="99" t="s">
        <v>2505</v>
      </c>
      <c r="E1095" s="100">
        <v>45855</v>
      </c>
      <c r="F1095" s="100">
        <f t="shared" si="92"/>
        <v>45974</v>
      </c>
      <c r="G1095" s="101">
        <f t="shared" si="93"/>
        <v>119</v>
      </c>
      <c r="H1095" s="102">
        <f t="shared" ref="H1095:H1158" si="94">IF(G1095="","",IF(G1095&lt;=return_window,1,0))</f>
        <v>0</v>
      </c>
    </row>
    <row r="1096" spans="4:8" x14ac:dyDescent="0.3">
      <c r="D1096" s="99" t="s">
        <v>2505</v>
      </c>
      <c r="E1096" s="100">
        <v>45974</v>
      </c>
      <c r="F1096" s="100" t="str">
        <f t="shared" ref="F1096:F1159" si="95">IF(D1096=D1097,E1097,"")</f>
        <v/>
      </c>
      <c r="G1096" s="101" t="str">
        <f t="shared" ref="G1096:G1159" si="96">IF(F1096="","",F1096-E1096)</f>
        <v/>
      </c>
      <c r="H1096" s="102" t="str">
        <f t="shared" si="94"/>
        <v/>
      </c>
    </row>
    <row r="1097" spans="4:8" x14ac:dyDescent="0.3">
      <c r="D1097" s="99" t="s">
        <v>2506</v>
      </c>
      <c r="E1097" s="100">
        <v>45861</v>
      </c>
      <c r="F1097" s="100" t="str">
        <f t="shared" si="95"/>
        <v/>
      </c>
      <c r="G1097" s="101" t="str">
        <f t="shared" si="96"/>
        <v/>
      </c>
      <c r="H1097" s="102" t="str">
        <f t="shared" si="94"/>
        <v/>
      </c>
    </row>
    <row r="1098" spans="4:8" x14ac:dyDescent="0.3">
      <c r="D1098" s="99" t="s">
        <v>2507</v>
      </c>
      <c r="E1098" s="100">
        <v>45687</v>
      </c>
      <c r="F1098" s="100">
        <f t="shared" si="95"/>
        <v>45747</v>
      </c>
      <c r="G1098" s="101">
        <f t="shared" si="96"/>
        <v>60</v>
      </c>
      <c r="H1098" s="102">
        <f t="shared" si="94"/>
        <v>0</v>
      </c>
    </row>
    <row r="1099" spans="4:8" x14ac:dyDescent="0.3">
      <c r="D1099" s="99" t="s">
        <v>2507</v>
      </c>
      <c r="E1099" s="100">
        <v>45747</v>
      </c>
      <c r="F1099" s="100">
        <f t="shared" si="95"/>
        <v>45812</v>
      </c>
      <c r="G1099" s="101">
        <f t="shared" si="96"/>
        <v>65</v>
      </c>
      <c r="H1099" s="102">
        <f t="shared" si="94"/>
        <v>0</v>
      </c>
    </row>
    <row r="1100" spans="4:8" x14ac:dyDescent="0.3">
      <c r="D1100" s="99" t="s">
        <v>2507</v>
      </c>
      <c r="E1100" s="100">
        <v>45812</v>
      </c>
      <c r="F1100" s="100">
        <f t="shared" si="95"/>
        <v>45978</v>
      </c>
      <c r="G1100" s="101">
        <f t="shared" si="96"/>
        <v>166</v>
      </c>
      <c r="H1100" s="102">
        <f t="shared" si="94"/>
        <v>0</v>
      </c>
    </row>
    <row r="1101" spans="4:8" x14ac:dyDescent="0.3">
      <c r="D1101" s="99" t="s">
        <v>2507</v>
      </c>
      <c r="E1101" s="100">
        <v>45978</v>
      </c>
      <c r="F1101" s="100" t="str">
        <f t="shared" si="95"/>
        <v/>
      </c>
      <c r="G1101" s="101" t="str">
        <f t="shared" si="96"/>
        <v/>
      </c>
      <c r="H1101" s="102" t="str">
        <f t="shared" si="94"/>
        <v/>
      </c>
    </row>
    <row r="1102" spans="4:8" x14ac:dyDescent="0.3">
      <c r="D1102" s="99" t="s">
        <v>2508</v>
      </c>
      <c r="E1102" s="100">
        <v>46010</v>
      </c>
      <c r="F1102" s="100" t="str">
        <f t="shared" si="95"/>
        <v/>
      </c>
      <c r="G1102" s="101" t="str">
        <f t="shared" si="96"/>
        <v/>
      </c>
      <c r="H1102" s="102" t="str">
        <f t="shared" si="94"/>
        <v/>
      </c>
    </row>
    <row r="1103" spans="4:8" x14ac:dyDescent="0.3">
      <c r="D1103" s="99" t="s">
        <v>2509</v>
      </c>
      <c r="E1103" s="100">
        <v>45782</v>
      </c>
      <c r="F1103" s="100" t="str">
        <f t="shared" si="95"/>
        <v/>
      </c>
      <c r="G1103" s="101" t="str">
        <f t="shared" si="96"/>
        <v/>
      </c>
      <c r="H1103" s="102" t="str">
        <f t="shared" si="94"/>
        <v/>
      </c>
    </row>
    <row r="1104" spans="4:8" x14ac:dyDescent="0.3">
      <c r="D1104" s="99" t="s">
        <v>2510</v>
      </c>
      <c r="E1104" s="100">
        <v>45943</v>
      </c>
      <c r="F1104" s="100">
        <f t="shared" si="95"/>
        <v>45968</v>
      </c>
      <c r="G1104" s="101">
        <f t="shared" si="96"/>
        <v>25</v>
      </c>
      <c r="H1104" s="102">
        <f t="shared" si="94"/>
        <v>1</v>
      </c>
    </row>
    <row r="1105" spans="4:8" x14ac:dyDescent="0.3">
      <c r="D1105" s="99" t="s">
        <v>2510</v>
      </c>
      <c r="E1105" s="100">
        <v>45968</v>
      </c>
      <c r="F1105" s="100" t="str">
        <f t="shared" si="95"/>
        <v/>
      </c>
      <c r="G1105" s="101" t="str">
        <f t="shared" si="96"/>
        <v/>
      </c>
      <c r="H1105" s="102" t="str">
        <f t="shared" si="94"/>
        <v/>
      </c>
    </row>
    <row r="1106" spans="4:8" x14ac:dyDescent="0.3">
      <c r="D1106" s="99" t="s">
        <v>2511</v>
      </c>
      <c r="E1106" s="100">
        <v>45742</v>
      </c>
      <c r="F1106" s="100">
        <f t="shared" si="95"/>
        <v>45972</v>
      </c>
      <c r="G1106" s="101">
        <f t="shared" si="96"/>
        <v>230</v>
      </c>
      <c r="H1106" s="102">
        <f t="shared" si="94"/>
        <v>0</v>
      </c>
    </row>
    <row r="1107" spans="4:8" x14ac:dyDescent="0.3">
      <c r="D1107" s="99" t="s">
        <v>2511</v>
      </c>
      <c r="E1107" s="100">
        <v>45972</v>
      </c>
      <c r="F1107" s="100" t="str">
        <f t="shared" si="95"/>
        <v/>
      </c>
      <c r="G1107" s="101" t="str">
        <f t="shared" si="96"/>
        <v/>
      </c>
      <c r="H1107" s="102" t="str">
        <f t="shared" si="94"/>
        <v/>
      </c>
    </row>
    <row r="1108" spans="4:8" x14ac:dyDescent="0.3">
      <c r="D1108" s="99" t="s">
        <v>2512</v>
      </c>
      <c r="E1108" s="100">
        <v>45805</v>
      </c>
      <c r="F1108" s="100" t="str">
        <f t="shared" si="95"/>
        <v/>
      </c>
      <c r="G1108" s="101" t="str">
        <f t="shared" si="96"/>
        <v/>
      </c>
      <c r="H1108" s="102" t="str">
        <f t="shared" si="94"/>
        <v/>
      </c>
    </row>
    <row r="1109" spans="4:8" x14ac:dyDescent="0.3">
      <c r="D1109" s="99" t="s">
        <v>2513</v>
      </c>
      <c r="E1109" s="100">
        <v>45754</v>
      </c>
      <c r="F1109" s="100">
        <f t="shared" si="95"/>
        <v>45924</v>
      </c>
      <c r="G1109" s="101">
        <f t="shared" si="96"/>
        <v>170</v>
      </c>
      <c r="H1109" s="102">
        <f t="shared" si="94"/>
        <v>0</v>
      </c>
    </row>
    <row r="1110" spans="4:8" x14ac:dyDescent="0.3">
      <c r="D1110" s="99" t="s">
        <v>2513</v>
      </c>
      <c r="E1110" s="100">
        <v>45924</v>
      </c>
      <c r="F1110" s="100">
        <f t="shared" si="95"/>
        <v>45930</v>
      </c>
      <c r="G1110" s="101">
        <f t="shared" si="96"/>
        <v>6</v>
      </c>
      <c r="H1110" s="102">
        <f t="shared" si="94"/>
        <v>1</v>
      </c>
    </row>
    <row r="1111" spans="4:8" x14ac:dyDescent="0.3">
      <c r="D1111" s="99" t="s">
        <v>2513</v>
      </c>
      <c r="E1111" s="100">
        <v>45930</v>
      </c>
      <c r="F1111" s="100" t="str">
        <f t="shared" si="95"/>
        <v/>
      </c>
      <c r="G1111" s="101" t="str">
        <f t="shared" si="96"/>
        <v/>
      </c>
      <c r="H1111" s="102" t="str">
        <f t="shared" si="94"/>
        <v/>
      </c>
    </row>
    <row r="1112" spans="4:8" x14ac:dyDescent="0.3">
      <c r="D1112" s="99" t="s">
        <v>2514</v>
      </c>
      <c r="E1112" s="100">
        <v>45663</v>
      </c>
      <c r="F1112" s="100">
        <f t="shared" si="95"/>
        <v>45777</v>
      </c>
      <c r="G1112" s="101">
        <f t="shared" si="96"/>
        <v>114</v>
      </c>
      <c r="H1112" s="102">
        <f t="shared" si="94"/>
        <v>0</v>
      </c>
    </row>
    <row r="1113" spans="4:8" x14ac:dyDescent="0.3">
      <c r="D1113" s="99" t="s">
        <v>2514</v>
      </c>
      <c r="E1113" s="100">
        <v>45777</v>
      </c>
      <c r="F1113" s="100">
        <f t="shared" si="95"/>
        <v>45852</v>
      </c>
      <c r="G1113" s="101">
        <f t="shared" si="96"/>
        <v>75</v>
      </c>
      <c r="H1113" s="102">
        <f t="shared" si="94"/>
        <v>0</v>
      </c>
    </row>
    <row r="1114" spans="4:8" x14ac:dyDescent="0.3">
      <c r="D1114" s="99" t="s">
        <v>2514</v>
      </c>
      <c r="E1114" s="100">
        <v>45852</v>
      </c>
      <c r="F1114" s="100" t="str">
        <f t="shared" si="95"/>
        <v/>
      </c>
      <c r="G1114" s="101" t="str">
        <f t="shared" si="96"/>
        <v/>
      </c>
      <c r="H1114" s="102" t="str">
        <f t="shared" si="94"/>
        <v/>
      </c>
    </row>
    <row r="1115" spans="4:8" x14ac:dyDescent="0.3">
      <c r="D1115" s="99" t="s">
        <v>2515</v>
      </c>
      <c r="E1115" s="100">
        <v>45712</v>
      </c>
      <c r="F1115" s="100">
        <f t="shared" si="95"/>
        <v>45831</v>
      </c>
      <c r="G1115" s="101">
        <f t="shared" si="96"/>
        <v>119</v>
      </c>
      <c r="H1115" s="102">
        <f t="shared" si="94"/>
        <v>0</v>
      </c>
    </row>
    <row r="1116" spans="4:8" x14ac:dyDescent="0.3">
      <c r="D1116" s="99" t="s">
        <v>2515</v>
      </c>
      <c r="E1116" s="100">
        <v>45831</v>
      </c>
      <c r="F1116" s="100">
        <f t="shared" si="95"/>
        <v>45966</v>
      </c>
      <c r="G1116" s="101">
        <f t="shared" si="96"/>
        <v>135</v>
      </c>
      <c r="H1116" s="102">
        <f t="shared" si="94"/>
        <v>0</v>
      </c>
    </row>
    <row r="1117" spans="4:8" x14ac:dyDescent="0.3">
      <c r="D1117" s="99" t="s">
        <v>2515</v>
      </c>
      <c r="E1117" s="100">
        <v>45966</v>
      </c>
      <c r="F1117" s="100" t="str">
        <f t="shared" si="95"/>
        <v/>
      </c>
      <c r="G1117" s="101" t="str">
        <f t="shared" si="96"/>
        <v/>
      </c>
      <c r="H1117" s="102" t="str">
        <f t="shared" si="94"/>
        <v/>
      </c>
    </row>
    <row r="1118" spans="4:8" x14ac:dyDescent="0.3">
      <c r="D1118" s="99" t="s">
        <v>2516</v>
      </c>
      <c r="E1118" s="100">
        <v>45918</v>
      </c>
      <c r="F1118" s="100" t="str">
        <f t="shared" si="95"/>
        <v/>
      </c>
      <c r="G1118" s="101" t="str">
        <f t="shared" si="96"/>
        <v/>
      </c>
      <c r="H1118" s="102" t="str">
        <f t="shared" si="94"/>
        <v/>
      </c>
    </row>
    <row r="1119" spans="4:8" x14ac:dyDescent="0.3">
      <c r="D1119" s="99" t="s">
        <v>2517</v>
      </c>
      <c r="E1119" s="100">
        <v>45862</v>
      </c>
      <c r="F1119" s="100" t="str">
        <f t="shared" si="95"/>
        <v/>
      </c>
      <c r="G1119" s="101" t="str">
        <f t="shared" si="96"/>
        <v/>
      </c>
      <c r="H1119" s="102" t="str">
        <f t="shared" si="94"/>
        <v/>
      </c>
    </row>
    <row r="1120" spans="4:8" x14ac:dyDescent="0.3">
      <c r="D1120" s="99" t="s">
        <v>2518</v>
      </c>
      <c r="E1120" s="100">
        <v>45728</v>
      </c>
      <c r="F1120" s="100">
        <f t="shared" si="95"/>
        <v>45937</v>
      </c>
      <c r="G1120" s="101">
        <f t="shared" si="96"/>
        <v>209</v>
      </c>
      <c r="H1120" s="102">
        <f t="shared" si="94"/>
        <v>0</v>
      </c>
    </row>
    <row r="1121" spans="4:8" x14ac:dyDescent="0.3">
      <c r="D1121" s="99" t="s">
        <v>2518</v>
      </c>
      <c r="E1121" s="100">
        <v>45937</v>
      </c>
      <c r="F1121" s="100" t="str">
        <f t="shared" si="95"/>
        <v/>
      </c>
      <c r="G1121" s="101" t="str">
        <f t="shared" si="96"/>
        <v/>
      </c>
      <c r="H1121" s="102" t="str">
        <f t="shared" si="94"/>
        <v/>
      </c>
    </row>
    <row r="1122" spans="4:8" x14ac:dyDescent="0.3">
      <c r="D1122" s="99" t="s">
        <v>2519</v>
      </c>
      <c r="E1122" s="100">
        <v>45699</v>
      </c>
      <c r="F1122" s="100">
        <f t="shared" si="95"/>
        <v>45769</v>
      </c>
      <c r="G1122" s="101">
        <f t="shared" si="96"/>
        <v>70</v>
      </c>
      <c r="H1122" s="102">
        <f t="shared" si="94"/>
        <v>0</v>
      </c>
    </row>
    <row r="1123" spans="4:8" x14ac:dyDescent="0.3">
      <c r="D1123" s="99" t="s">
        <v>2519</v>
      </c>
      <c r="E1123" s="100">
        <v>45769</v>
      </c>
      <c r="F1123" s="100">
        <f t="shared" si="95"/>
        <v>45888</v>
      </c>
      <c r="G1123" s="101">
        <f t="shared" si="96"/>
        <v>119</v>
      </c>
      <c r="H1123" s="102">
        <f t="shared" si="94"/>
        <v>0</v>
      </c>
    </row>
    <row r="1124" spans="4:8" x14ac:dyDescent="0.3">
      <c r="D1124" s="99" t="s">
        <v>2519</v>
      </c>
      <c r="E1124" s="100">
        <v>45888</v>
      </c>
      <c r="F1124" s="100">
        <f t="shared" si="95"/>
        <v>45925</v>
      </c>
      <c r="G1124" s="101">
        <f t="shared" si="96"/>
        <v>37</v>
      </c>
      <c r="H1124" s="102">
        <f t="shared" si="94"/>
        <v>0</v>
      </c>
    </row>
    <row r="1125" spans="4:8" x14ac:dyDescent="0.3">
      <c r="D1125" s="99" t="s">
        <v>2519</v>
      </c>
      <c r="E1125" s="100">
        <v>45925</v>
      </c>
      <c r="F1125" s="100">
        <f t="shared" si="95"/>
        <v>45985</v>
      </c>
      <c r="G1125" s="101">
        <f t="shared" si="96"/>
        <v>60</v>
      </c>
      <c r="H1125" s="102">
        <f t="shared" si="94"/>
        <v>0</v>
      </c>
    </row>
    <row r="1126" spans="4:8" x14ac:dyDescent="0.3">
      <c r="D1126" s="99" t="s">
        <v>2519</v>
      </c>
      <c r="E1126" s="100">
        <v>45985</v>
      </c>
      <c r="F1126" s="100">
        <f t="shared" si="95"/>
        <v>45986</v>
      </c>
      <c r="G1126" s="101">
        <f t="shared" si="96"/>
        <v>1</v>
      </c>
      <c r="H1126" s="102">
        <f t="shared" si="94"/>
        <v>1</v>
      </c>
    </row>
    <row r="1127" spans="4:8" x14ac:dyDescent="0.3">
      <c r="D1127" s="99" t="s">
        <v>2519</v>
      </c>
      <c r="E1127" s="100">
        <v>45986</v>
      </c>
      <c r="F1127" s="100">
        <f t="shared" si="95"/>
        <v>46013</v>
      </c>
      <c r="G1127" s="101">
        <f t="shared" si="96"/>
        <v>27</v>
      </c>
      <c r="H1127" s="102">
        <f t="shared" si="94"/>
        <v>1</v>
      </c>
    </row>
    <row r="1128" spans="4:8" x14ac:dyDescent="0.3">
      <c r="D1128" s="99" t="s">
        <v>2519</v>
      </c>
      <c r="E1128" s="100">
        <v>46013</v>
      </c>
      <c r="F1128" s="100" t="str">
        <f t="shared" si="95"/>
        <v/>
      </c>
      <c r="G1128" s="101" t="str">
        <f t="shared" si="96"/>
        <v/>
      </c>
      <c r="H1128" s="102" t="str">
        <f t="shared" si="94"/>
        <v/>
      </c>
    </row>
    <row r="1129" spans="4:8" x14ac:dyDescent="0.3">
      <c r="D1129" s="99" t="s">
        <v>2520</v>
      </c>
      <c r="E1129" s="100">
        <v>45733</v>
      </c>
      <c r="F1129" s="100">
        <f t="shared" si="95"/>
        <v>45762</v>
      </c>
      <c r="G1129" s="101">
        <f t="shared" si="96"/>
        <v>29</v>
      </c>
      <c r="H1129" s="102">
        <f t="shared" si="94"/>
        <v>1</v>
      </c>
    </row>
    <row r="1130" spans="4:8" x14ac:dyDescent="0.3">
      <c r="D1130" s="99" t="s">
        <v>2520</v>
      </c>
      <c r="E1130" s="100">
        <v>45762</v>
      </c>
      <c r="F1130" s="100" t="str">
        <f t="shared" si="95"/>
        <v/>
      </c>
      <c r="G1130" s="101" t="str">
        <f t="shared" si="96"/>
        <v/>
      </c>
      <c r="H1130" s="102" t="str">
        <f t="shared" si="94"/>
        <v/>
      </c>
    </row>
    <row r="1131" spans="4:8" x14ac:dyDescent="0.3">
      <c r="D1131" s="99" t="s">
        <v>2521</v>
      </c>
      <c r="E1131" s="100">
        <v>45672</v>
      </c>
      <c r="F1131" s="100">
        <f t="shared" si="95"/>
        <v>45888</v>
      </c>
      <c r="G1131" s="101">
        <f t="shared" si="96"/>
        <v>216</v>
      </c>
      <c r="H1131" s="102">
        <f t="shared" si="94"/>
        <v>0</v>
      </c>
    </row>
    <row r="1132" spans="4:8" x14ac:dyDescent="0.3">
      <c r="D1132" s="99" t="s">
        <v>2521</v>
      </c>
      <c r="E1132" s="100">
        <v>45888</v>
      </c>
      <c r="F1132" s="100" t="str">
        <f t="shared" si="95"/>
        <v/>
      </c>
      <c r="G1132" s="101" t="str">
        <f t="shared" si="96"/>
        <v/>
      </c>
      <c r="H1132" s="102" t="str">
        <f t="shared" si="94"/>
        <v/>
      </c>
    </row>
    <row r="1133" spans="4:8" x14ac:dyDescent="0.3">
      <c r="D1133" s="99" t="s">
        <v>2522</v>
      </c>
      <c r="E1133" s="100">
        <v>45664</v>
      </c>
      <c r="F1133" s="100">
        <f t="shared" si="95"/>
        <v>45805</v>
      </c>
      <c r="G1133" s="101">
        <f t="shared" si="96"/>
        <v>141</v>
      </c>
      <c r="H1133" s="102">
        <f t="shared" si="94"/>
        <v>0</v>
      </c>
    </row>
    <row r="1134" spans="4:8" x14ac:dyDescent="0.3">
      <c r="D1134" s="99" t="s">
        <v>2522</v>
      </c>
      <c r="E1134" s="100">
        <v>45805</v>
      </c>
      <c r="F1134" s="100" t="str">
        <f t="shared" si="95"/>
        <v/>
      </c>
      <c r="G1134" s="101" t="str">
        <f t="shared" si="96"/>
        <v/>
      </c>
      <c r="H1134" s="102" t="str">
        <f t="shared" si="94"/>
        <v/>
      </c>
    </row>
    <row r="1135" spans="4:8" x14ac:dyDescent="0.3">
      <c r="D1135" s="99" t="s">
        <v>2523</v>
      </c>
      <c r="E1135" s="100">
        <v>45714</v>
      </c>
      <c r="F1135" s="100">
        <f t="shared" si="95"/>
        <v>45715</v>
      </c>
      <c r="G1135" s="101">
        <f t="shared" si="96"/>
        <v>1</v>
      </c>
      <c r="H1135" s="102">
        <f t="shared" si="94"/>
        <v>1</v>
      </c>
    </row>
    <row r="1136" spans="4:8" x14ac:dyDescent="0.3">
      <c r="D1136" s="99" t="s">
        <v>2523</v>
      </c>
      <c r="E1136" s="100">
        <v>45715</v>
      </c>
      <c r="F1136" s="100">
        <f t="shared" si="95"/>
        <v>45750</v>
      </c>
      <c r="G1136" s="101">
        <f t="shared" si="96"/>
        <v>35</v>
      </c>
      <c r="H1136" s="102">
        <f t="shared" si="94"/>
        <v>0</v>
      </c>
    </row>
    <row r="1137" spans="4:8" x14ac:dyDescent="0.3">
      <c r="D1137" s="99" t="s">
        <v>2523</v>
      </c>
      <c r="E1137" s="100">
        <v>45750</v>
      </c>
      <c r="F1137" s="100" t="str">
        <f t="shared" si="95"/>
        <v/>
      </c>
      <c r="G1137" s="101" t="str">
        <f t="shared" si="96"/>
        <v/>
      </c>
      <c r="H1137" s="102" t="str">
        <f t="shared" si="94"/>
        <v/>
      </c>
    </row>
    <row r="1138" spans="4:8" x14ac:dyDescent="0.3">
      <c r="D1138" s="99" t="s">
        <v>2524</v>
      </c>
      <c r="E1138" s="100">
        <v>45763</v>
      </c>
      <c r="F1138" s="100">
        <f t="shared" si="95"/>
        <v>45972</v>
      </c>
      <c r="G1138" s="101">
        <f t="shared" si="96"/>
        <v>209</v>
      </c>
      <c r="H1138" s="102">
        <f t="shared" si="94"/>
        <v>0</v>
      </c>
    </row>
    <row r="1139" spans="4:8" x14ac:dyDescent="0.3">
      <c r="D1139" s="99" t="s">
        <v>2524</v>
      </c>
      <c r="E1139" s="100">
        <v>45972</v>
      </c>
      <c r="F1139" s="100" t="str">
        <f t="shared" si="95"/>
        <v/>
      </c>
      <c r="G1139" s="101" t="str">
        <f t="shared" si="96"/>
        <v/>
      </c>
      <c r="H1139" s="102" t="str">
        <f t="shared" si="94"/>
        <v/>
      </c>
    </row>
    <row r="1140" spans="4:8" x14ac:dyDescent="0.3">
      <c r="D1140" s="99" t="s">
        <v>2525</v>
      </c>
      <c r="E1140" s="100">
        <v>45961</v>
      </c>
      <c r="F1140" s="100" t="str">
        <f t="shared" si="95"/>
        <v/>
      </c>
      <c r="G1140" s="101" t="str">
        <f t="shared" si="96"/>
        <v/>
      </c>
      <c r="H1140" s="102" t="str">
        <f t="shared" si="94"/>
        <v/>
      </c>
    </row>
    <row r="1141" spans="4:8" x14ac:dyDescent="0.3">
      <c r="D1141" s="99" t="s">
        <v>2526</v>
      </c>
      <c r="E1141" s="100">
        <v>45799</v>
      </c>
      <c r="F1141" s="100" t="str">
        <f t="shared" si="95"/>
        <v/>
      </c>
      <c r="G1141" s="101" t="str">
        <f t="shared" si="96"/>
        <v/>
      </c>
      <c r="H1141" s="102" t="str">
        <f t="shared" si="94"/>
        <v/>
      </c>
    </row>
    <row r="1142" spans="4:8" x14ac:dyDescent="0.3">
      <c r="D1142" s="99" t="s">
        <v>2527</v>
      </c>
      <c r="E1142" s="100">
        <v>45663</v>
      </c>
      <c r="F1142" s="100">
        <f t="shared" si="95"/>
        <v>45796</v>
      </c>
      <c r="G1142" s="101">
        <f t="shared" si="96"/>
        <v>133</v>
      </c>
      <c r="H1142" s="102">
        <f t="shared" si="94"/>
        <v>0</v>
      </c>
    </row>
    <row r="1143" spans="4:8" x14ac:dyDescent="0.3">
      <c r="D1143" s="99" t="s">
        <v>2527</v>
      </c>
      <c r="E1143" s="100">
        <v>45796</v>
      </c>
      <c r="F1143" s="100" t="str">
        <f t="shared" si="95"/>
        <v/>
      </c>
      <c r="G1143" s="101" t="str">
        <f t="shared" si="96"/>
        <v/>
      </c>
      <c r="H1143" s="102" t="str">
        <f t="shared" si="94"/>
        <v/>
      </c>
    </row>
    <row r="1144" spans="4:8" x14ac:dyDescent="0.3">
      <c r="D1144" s="99" t="s">
        <v>2528</v>
      </c>
      <c r="E1144" s="100">
        <v>45995</v>
      </c>
      <c r="F1144" s="100" t="str">
        <f t="shared" si="95"/>
        <v/>
      </c>
      <c r="G1144" s="101" t="str">
        <f t="shared" si="96"/>
        <v/>
      </c>
      <c r="H1144" s="102" t="str">
        <f t="shared" si="94"/>
        <v/>
      </c>
    </row>
    <row r="1145" spans="4:8" x14ac:dyDescent="0.3">
      <c r="D1145" s="99" t="s">
        <v>2529</v>
      </c>
      <c r="E1145" s="100">
        <v>45827</v>
      </c>
      <c r="F1145" s="100">
        <f t="shared" si="95"/>
        <v>45849</v>
      </c>
      <c r="G1145" s="101">
        <f t="shared" si="96"/>
        <v>22</v>
      </c>
      <c r="H1145" s="102">
        <f t="shared" si="94"/>
        <v>1</v>
      </c>
    </row>
    <row r="1146" spans="4:8" x14ac:dyDescent="0.3">
      <c r="D1146" s="99" t="s">
        <v>2529</v>
      </c>
      <c r="E1146" s="100">
        <v>45849</v>
      </c>
      <c r="F1146" s="100" t="str">
        <f t="shared" si="95"/>
        <v/>
      </c>
      <c r="G1146" s="101" t="str">
        <f t="shared" si="96"/>
        <v/>
      </c>
      <c r="H1146" s="102" t="str">
        <f t="shared" si="94"/>
        <v/>
      </c>
    </row>
    <row r="1147" spans="4:8" x14ac:dyDescent="0.3">
      <c r="D1147" s="99" t="s">
        <v>2530</v>
      </c>
      <c r="E1147" s="100">
        <v>45728</v>
      </c>
      <c r="F1147" s="100">
        <f t="shared" si="95"/>
        <v>45896</v>
      </c>
      <c r="G1147" s="101">
        <f t="shared" si="96"/>
        <v>168</v>
      </c>
      <c r="H1147" s="102">
        <f t="shared" si="94"/>
        <v>0</v>
      </c>
    </row>
    <row r="1148" spans="4:8" x14ac:dyDescent="0.3">
      <c r="D1148" s="99" t="s">
        <v>2530</v>
      </c>
      <c r="E1148" s="100">
        <v>45896</v>
      </c>
      <c r="F1148" s="100">
        <f t="shared" si="95"/>
        <v>45954</v>
      </c>
      <c r="G1148" s="101">
        <f t="shared" si="96"/>
        <v>58</v>
      </c>
      <c r="H1148" s="102">
        <f t="shared" si="94"/>
        <v>0</v>
      </c>
    </row>
    <row r="1149" spans="4:8" x14ac:dyDescent="0.3">
      <c r="D1149" s="99" t="s">
        <v>2530</v>
      </c>
      <c r="E1149" s="100">
        <v>45954</v>
      </c>
      <c r="F1149" s="100">
        <f t="shared" si="95"/>
        <v>45979</v>
      </c>
      <c r="G1149" s="101">
        <f t="shared" si="96"/>
        <v>25</v>
      </c>
      <c r="H1149" s="102">
        <f t="shared" si="94"/>
        <v>1</v>
      </c>
    </row>
    <row r="1150" spans="4:8" x14ac:dyDescent="0.3">
      <c r="D1150" s="99" t="s">
        <v>2530</v>
      </c>
      <c r="E1150" s="100">
        <v>45979</v>
      </c>
      <c r="F1150" s="100" t="str">
        <f t="shared" si="95"/>
        <v/>
      </c>
      <c r="G1150" s="101" t="str">
        <f t="shared" si="96"/>
        <v/>
      </c>
      <c r="H1150" s="102" t="str">
        <f t="shared" si="94"/>
        <v/>
      </c>
    </row>
    <row r="1151" spans="4:8" x14ac:dyDescent="0.3">
      <c r="D1151" s="99" t="s">
        <v>2531</v>
      </c>
      <c r="E1151" s="100">
        <v>45666</v>
      </c>
      <c r="F1151" s="100">
        <f t="shared" si="95"/>
        <v>45748</v>
      </c>
      <c r="G1151" s="101">
        <f t="shared" si="96"/>
        <v>82</v>
      </c>
      <c r="H1151" s="102">
        <f t="shared" si="94"/>
        <v>0</v>
      </c>
    </row>
    <row r="1152" spans="4:8" x14ac:dyDescent="0.3">
      <c r="D1152" s="99" t="s">
        <v>2531</v>
      </c>
      <c r="E1152" s="100">
        <v>45748</v>
      </c>
      <c r="F1152" s="100" t="str">
        <f t="shared" si="95"/>
        <v/>
      </c>
      <c r="G1152" s="101" t="str">
        <f t="shared" si="96"/>
        <v/>
      </c>
      <c r="H1152" s="102" t="str">
        <f t="shared" si="94"/>
        <v/>
      </c>
    </row>
    <row r="1153" spans="4:8" x14ac:dyDescent="0.3">
      <c r="D1153" s="99" t="s">
        <v>2532</v>
      </c>
      <c r="E1153" s="100">
        <v>45974</v>
      </c>
      <c r="F1153" s="100">
        <f t="shared" si="95"/>
        <v>45974</v>
      </c>
      <c r="G1153" s="101">
        <f t="shared" si="96"/>
        <v>0</v>
      </c>
      <c r="H1153" s="102">
        <f t="shared" si="94"/>
        <v>1</v>
      </c>
    </row>
    <row r="1154" spans="4:8" x14ac:dyDescent="0.3">
      <c r="D1154" s="99" t="s">
        <v>2532</v>
      </c>
      <c r="E1154" s="100">
        <v>45974</v>
      </c>
      <c r="F1154" s="100">
        <f t="shared" si="95"/>
        <v>46022</v>
      </c>
      <c r="G1154" s="101">
        <f t="shared" si="96"/>
        <v>48</v>
      </c>
      <c r="H1154" s="102">
        <f t="shared" si="94"/>
        <v>0</v>
      </c>
    </row>
    <row r="1155" spans="4:8" x14ac:dyDescent="0.3">
      <c r="D1155" s="99" t="s">
        <v>2532</v>
      </c>
      <c r="E1155" s="100">
        <v>46022</v>
      </c>
      <c r="F1155" s="100" t="str">
        <f t="shared" si="95"/>
        <v/>
      </c>
      <c r="G1155" s="101" t="str">
        <f t="shared" si="96"/>
        <v/>
      </c>
      <c r="H1155" s="102" t="str">
        <f t="shared" si="94"/>
        <v/>
      </c>
    </row>
    <row r="1156" spans="4:8" x14ac:dyDescent="0.3">
      <c r="D1156" s="99" t="s">
        <v>2533</v>
      </c>
      <c r="E1156" s="100">
        <v>45663</v>
      </c>
      <c r="F1156" s="100">
        <f t="shared" si="95"/>
        <v>45698</v>
      </c>
      <c r="G1156" s="101">
        <f t="shared" si="96"/>
        <v>35</v>
      </c>
      <c r="H1156" s="102">
        <f t="shared" si="94"/>
        <v>0</v>
      </c>
    </row>
    <row r="1157" spans="4:8" x14ac:dyDescent="0.3">
      <c r="D1157" s="99" t="s">
        <v>2533</v>
      </c>
      <c r="E1157" s="100">
        <v>45698</v>
      </c>
      <c r="F1157" s="100">
        <f t="shared" si="95"/>
        <v>45722</v>
      </c>
      <c r="G1157" s="101">
        <f t="shared" si="96"/>
        <v>24</v>
      </c>
      <c r="H1157" s="102">
        <f t="shared" si="94"/>
        <v>1</v>
      </c>
    </row>
    <row r="1158" spans="4:8" x14ac:dyDescent="0.3">
      <c r="D1158" s="99" t="s">
        <v>2533</v>
      </c>
      <c r="E1158" s="100">
        <v>45722</v>
      </c>
      <c r="F1158" s="100">
        <f t="shared" si="95"/>
        <v>45751</v>
      </c>
      <c r="G1158" s="101">
        <f t="shared" si="96"/>
        <v>29</v>
      </c>
      <c r="H1158" s="102">
        <f t="shared" si="94"/>
        <v>1</v>
      </c>
    </row>
    <row r="1159" spans="4:8" x14ac:dyDescent="0.3">
      <c r="D1159" s="99" t="s">
        <v>2533</v>
      </c>
      <c r="E1159" s="100">
        <v>45751</v>
      </c>
      <c r="F1159" s="100">
        <f t="shared" si="95"/>
        <v>45915</v>
      </c>
      <c r="G1159" s="101">
        <f t="shared" si="96"/>
        <v>164</v>
      </c>
      <c r="H1159" s="102">
        <f t="shared" ref="H1159:H1222" si="97">IF(G1159="","",IF(G1159&lt;=return_window,1,0))</f>
        <v>0</v>
      </c>
    </row>
    <row r="1160" spans="4:8" x14ac:dyDescent="0.3">
      <c r="D1160" s="99" t="s">
        <v>2533</v>
      </c>
      <c r="E1160" s="100">
        <v>45915</v>
      </c>
      <c r="F1160" s="100">
        <f t="shared" ref="F1160:F1223" si="98">IF(D1160=D1161,E1161,"")</f>
        <v>45968</v>
      </c>
      <c r="G1160" s="101">
        <f t="shared" ref="G1160:G1223" si="99">IF(F1160="","",F1160-E1160)</f>
        <v>53</v>
      </c>
      <c r="H1160" s="102">
        <f t="shared" si="97"/>
        <v>0</v>
      </c>
    </row>
    <row r="1161" spans="4:8" x14ac:dyDescent="0.3">
      <c r="D1161" s="99" t="s">
        <v>2533</v>
      </c>
      <c r="E1161" s="100">
        <v>45968</v>
      </c>
      <c r="F1161" s="100" t="str">
        <f t="shared" si="98"/>
        <v/>
      </c>
      <c r="G1161" s="101" t="str">
        <f t="shared" si="99"/>
        <v/>
      </c>
      <c r="H1161" s="102" t="str">
        <f t="shared" si="97"/>
        <v/>
      </c>
    </row>
    <row r="1162" spans="4:8" x14ac:dyDescent="0.3">
      <c r="D1162" s="99" t="s">
        <v>2534</v>
      </c>
      <c r="E1162" s="100">
        <v>45875</v>
      </c>
      <c r="F1162" s="100">
        <f t="shared" si="98"/>
        <v>45911</v>
      </c>
      <c r="G1162" s="101">
        <f t="shared" si="99"/>
        <v>36</v>
      </c>
      <c r="H1162" s="102">
        <f t="shared" si="97"/>
        <v>0</v>
      </c>
    </row>
    <row r="1163" spans="4:8" x14ac:dyDescent="0.3">
      <c r="D1163" s="99" t="s">
        <v>2534</v>
      </c>
      <c r="E1163" s="100">
        <v>45911</v>
      </c>
      <c r="F1163" s="100" t="str">
        <f t="shared" si="98"/>
        <v/>
      </c>
      <c r="G1163" s="101" t="str">
        <f t="shared" si="99"/>
        <v/>
      </c>
      <c r="H1163" s="102" t="str">
        <f t="shared" si="97"/>
        <v/>
      </c>
    </row>
    <row r="1164" spans="4:8" x14ac:dyDescent="0.3">
      <c r="D1164" s="99" t="s">
        <v>2535</v>
      </c>
      <c r="E1164" s="100">
        <v>45680</v>
      </c>
      <c r="F1164" s="100">
        <f t="shared" si="98"/>
        <v>45965</v>
      </c>
      <c r="G1164" s="101">
        <f t="shared" si="99"/>
        <v>285</v>
      </c>
      <c r="H1164" s="102">
        <f t="shared" si="97"/>
        <v>0</v>
      </c>
    </row>
    <row r="1165" spans="4:8" x14ac:dyDescent="0.3">
      <c r="D1165" s="99" t="s">
        <v>2535</v>
      </c>
      <c r="E1165" s="100">
        <v>45965</v>
      </c>
      <c r="F1165" s="100" t="str">
        <f t="shared" si="98"/>
        <v/>
      </c>
      <c r="G1165" s="101" t="str">
        <f t="shared" si="99"/>
        <v/>
      </c>
      <c r="H1165" s="102" t="str">
        <f t="shared" si="97"/>
        <v/>
      </c>
    </row>
    <row r="1166" spans="4:8" x14ac:dyDescent="0.3">
      <c r="D1166" s="99" t="s">
        <v>2536</v>
      </c>
      <c r="E1166" s="100">
        <v>45658</v>
      </c>
      <c r="F1166" s="100">
        <f t="shared" si="98"/>
        <v>45807</v>
      </c>
      <c r="G1166" s="101">
        <f t="shared" si="99"/>
        <v>149</v>
      </c>
      <c r="H1166" s="102">
        <f t="shared" si="97"/>
        <v>0</v>
      </c>
    </row>
    <row r="1167" spans="4:8" x14ac:dyDescent="0.3">
      <c r="D1167" s="99" t="s">
        <v>2536</v>
      </c>
      <c r="E1167" s="100">
        <v>45807</v>
      </c>
      <c r="F1167" s="100">
        <f t="shared" si="98"/>
        <v>45831</v>
      </c>
      <c r="G1167" s="101">
        <f t="shared" si="99"/>
        <v>24</v>
      </c>
      <c r="H1167" s="102">
        <f t="shared" si="97"/>
        <v>1</v>
      </c>
    </row>
    <row r="1168" spans="4:8" x14ac:dyDescent="0.3">
      <c r="D1168" s="99" t="s">
        <v>2536</v>
      </c>
      <c r="E1168" s="100">
        <v>45831</v>
      </c>
      <c r="F1168" s="100">
        <f t="shared" si="98"/>
        <v>45882</v>
      </c>
      <c r="G1168" s="101">
        <f t="shared" si="99"/>
        <v>51</v>
      </c>
      <c r="H1168" s="102">
        <f t="shared" si="97"/>
        <v>0</v>
      </c>
    </row>
    <row r="1169" spans="4:8" x14ac:dyDescent="0.3">
      <c r="D1169" s="99" t="s">
        <v>2536</v>
      </c>
      <c r="E1169" s="100">
        <v>45882</v>
      </c>
      <c r="F1169" s="100">
        <f t="shared" si="98"/>
        <v>45898</v>
      </c>
      <c r="G1169" s="101">
        <f t="shared" si="99"/>
        <v>16</v>
      </c>
      <c r="H1169" s="102">
        <f t="shared" si="97"/>
        <v>1</v>
      </c>
    </row>
    <row r="1170" spans="4:8" x14ac:dyDescent="0.3">
      <c r="D1170" s="99" t="s">
        <v>2536</v>
      </c>
      <c r="E1170" s="100">
        <v>45898</v>
      </c>
      <c r="F1170" s="100">
        <f t="shared" si="98"/>
        <v>45904</v>
      </c>
      <c r="G1170" s="101">
        <f t="shared" si="99"/>
        <v>6</v>
      </c>
      <c r="H1170" s="102">
        <f t="shared" si="97"/>
        <v>1</v>
      </c>
    </row>
    <row r="1171" spans="4:8" x14ac:dyDescent="0.3">
      <c r="D1171" s="99" t="s">
        <v>2536</v>
      </c>
      <c r="E1171" s="100">
        <v>45904</v>
      </c>
      <c r="F1171" s="100" t="str">
        <f t="shared" si="98"/>
        <v/>
      </c>
      <c r="G1171" s="101" t="str">
        <f t="shared" si="99"/>
        <v/>
      </c>
      <c r="H1171" s="102" t="str">
        <f t="shared" si="97"/>
        <v/>
      </c>
    </row>
    <row r="1172" spans="4:8" x14ac:dyDescent="0.3">
      <c r="D1172" s="99" t="s">
        <v>2537</v>
      </c>
      <c r="E1172" s="100">
        <v>45694</v>
      </c>
      <c r="F1172" s="100">
        <f t="shared" si="98"/>
        <v>45716</v>
      </c>
      <c r="G1172" s="101">
        <f t="shared" si="99"/>
        <v>22</v>
      </c>
      <c r="H1172" s="102">
        <f t="shared" si="97"/>
        <v>1</v>
      </c>
    </row>
    <row r="1173" spans="4:8" x14ac:dyDescent="0.3">
      <c r="D1173" s="99" t="s">
        <v>2537</v>
      </c>
      <c r="E1173" s="100">
        <v>45716</v>
      </c>
      <c r="F1173" s="100">
        <f t="shared" si="98"/>
        <v>45777</v>
      </c>
      <c r="G1173" s="101">
        <f t="shared" si="99"/>
        <v>61</v>
      </c>
      <c r="H1173" s="102">
        <f t="shared" si="97"/>
        <v>0</v>
      </c>
    </row>
    <row r="1174" spans="4:8" x14ac:dyDescent="0.3">
      <c r="D1174" s="99" t="s">
        <v>2537</v>
      </c>
      <c r="E1174" s="100">
        <v>45777</v>
      </c>
      <c r="F1174" s="100">
        <f t="shared" si="98"/>
        <v>45789</v>
      </c>
      <c r="G1174" s="101">
        <f t="shared" si="99"/>
        <v>12</v>
      </c>
      <c r="H1174" s="102">
        <f t="shared" si="97"/>
        <v>1</v>
      </c>
    </row>
    <row r="1175" spans="4:8" x14ac:dyDescent="0.3">
      <c r="D1175" s="99" t="s">
        <v>2537</v>
      </c>
      <c r="E1175" s="100">
        <v>45789</v>
      </c>
      <c r="F1175" s="100">
        <f t="shared" si="98"/>
        <v>45910</v>
      </c>
      <c r="G1175" s="101">
        <f t="shared" si="99"/>
        <v>121</v>
      </c>
      <c r="H1175" s="102">
        <f t="shared" si="97"/>
        <v>0</v>
      </c>
    </row>
    <row r="1176" spans="4:8" x14ac:dyDescent="0.3">
      <c r="D1176" s="99" t="s">
        <v>2537</v>
      </c>
      <c r="E1176" s="100">
        <v>45910</v>
      </c>
      <c r="F1176" s="100">
        <f t="shared" si="98"/>
        <v>45912</v>
      </c>
      <c r="G1176" s="101">
        <f t="shared" si="99"/>
        <v>2</v>
      </c>
      <c r="H1176" s="102">
        <f t="shared" si="97"/>
        <v>1</v>
      </c>
    </row>
    <row r="1177" spans="4:8" x14ac:dyDescent="0.3">
      <c r="D1177" s="99" t="s">
        <v>2537</v>
      </c>
      <c r="E1177" s="100">
        <v>45912</v>
      </c>
      <c r="F1177" s="100" t="str">
        <f t="shared" si="98"/>
        <v/>
      </c>
      <c r="G1177" s="101" t="str">
        <f t="shared" si="99"/>
        <v/>
      </c>
      <c r="H1177" s="102" t="str">
        <f t="shared" si="97"/>
        <v/>
      </c>
    </row>
    <row r="1178" spans="4:8" x14ac:dyDescent="0.3">
      <c r="D1178" s="99" t="s">
        <v>2538</v>
      </c>
      <c r="E1178" s="100">
        <v>45771</v>
      </c>
      <c r="F1178" s="100">
        <f t="shared" si="98"/>
        <v>45918</v>
      </c>
      <c r="G1178" s="101">
        <f t="shared" si="99"/>
        <v>147</v>
      </c>
      <c r="H1178" s="102">
        <f t="shared" si="97"/>
        <v>0</v>
      </c>
    </row>
    <row r="1179" spans="4:8" x14ac:dyDescent="0.3">
      <c r="D1179" s="99" t="s">
        <v>2538</v>
      </c>
      <c r="E1179" s="100">
        <v>45918</v>
      </c>
      <c r="F1179" s="100">
        <f t="shared" si="98"/>
        <v>45923</v>
      </c>
      <c r="G1179" s="101">
        <f t="shared" si="99"/>
        <v>5</v>
      </c>
      <c r="H1179" s="102">
        <f t="shared" si="97"/>
        <v>1</v>
      </c>
    </row>
    <row r="1180" spans="4:8" x14ac:dyDescent="0.3">
      <c r="D1180" s="99" t="s">
        <v>2538</v>
      </c>
      <c r="E1180" s="100">
        <v>45923</v>
      </c>
      <c r="F1180" s="100">
        <f t="shared" si="98"/>
        <v>45995</v>
      </c>
      <c r="G1180" s="101">
        <f t="shared" si="99"/>
        <v>72</v>
      </c>
      <c r="H1180" s="102">
        <f t="shared" si="97"/>
        <v>0</v>
      </c>
    </row>
    <row r="1181" spans="4:8" x14ac:dyDescent="0.3">
      <c r="D1181" s="99" t="s">
        <v>2538</v>
      </c>
      <c r="E1181" s="100">
        <v>45995</v>
      </c>
      <c r="F1181" s="100">
        <f t="shared" si="98"/>
        <v>46007</v>
      </c>
      <c r="G1181" s="101">
        <f t="shared" si="99"/>
        <v>12</v>
      </c>
      <c r="H1181" s="102">
        <f t="shared" si="97"/>
        <v>1</v>
      </c>
    </row>
    <row r="1182" spans="4:8" x14ac:dyDescent="0.3">
      <c r="D1182" s="99" t="s">
        <v>2538</v>
      </c>
      <c r="E1182" s="100">
        <v>46007</v>
      </c>
      <c r="F1182" s="100" t="str">
        <f t="shared" si="98"/>
        <v/>
      </c>
      <c r="G1182" s="101" t="str">
        <f t="shared" si="99"/>
        <v/>
      </c>
      <c r="H1182" s="102" t="str">
        <f t="shared" si="97"/>
        <v/>
      </c>
    </row>
    <row r="1183" spans="4:8" x14ac:dyDescent="0.3">
      <c r="D1183" s="99" t="s">
        <v>2539</v>
      </c>
      <c r="E1183" s="100">
        <v>45966</v>
      </c>
      <c r="F1183" s="100" t="str">
        <f t="shared" si="98"/>
        <v/>
      </c>
      <c r="G1183" s="101" t="str">
        <f t="shared" si="99"/>
        <v/>
      </c>
      <c r="H1183" s="102" t="str">
        <f t="shared" si="97"/>
        <v/>
      </c>
    </row>
    <row r="1184" spans="4:8" x14ac:dyDescent="0.3">
      <c r="D1184" s="99" t="s">
        <v>2540</v>
      </c>
      <c r="E1184" s="100">
        <v>45799</v>
      </c>
      <c r="F1184" s="100" t="str">
        <f t="shared" si="98"/>
        <v/>
      </c>
      <c r="G1184" s="101" t="str">
        <f t="shared" si="99"/>
        <v/>
      </c>
      <c r="H1184" s="102" t="str">
        <f t="shared" si="97"/>
        <v/>
      </c>
    </row>
    <row r="1185" spans="4:8" x14ac:dyDescent="0.3">
      <c r="D1185" s="99" t="s">
        <v>2541</v>
      </c>
      <c r="E1185" s="100">
        <v>45666</v>
      </c>
      <c r="F1185" s="100">
        <f t="shared" si="98"/>
        <v>45667</v>
      </c>
      <c r="G1185" s="101">
        <f t="shared" si="99"/>
        <v>1</v>
      </c>
      <c r="H1185" s="102">
        <f t="shared" si="97"/>
        <v>1</v>
      </c>
    </row>
    <row r="1186" spans="4:8" x14ac:dyDescent="0.3">
      <c r="D1186" s="99" t="s">
        <v>2541</v>
      </c>
      <c r="E1186" s="100">
        <v>45667</v>
      </c>
      <c r="F1186" s="100">
        <f t="shared" si="98"/>
        <v>45770</v>
      </c>
      <c r="G1186" s="101">
        <f t="shared" si="99"/>
        <v>103</v>
      </c>
      <c r="H1186" s="102">
        <f t="shared" si="97"/>
        <v>0</v>
      </c>
    </row>
    <row r="1187" spans="4:8" x14ac:dyDescent="0.3">
      <c r="D1187" s="99" t="s">
        <v>2541</v>
      </c>
      <c r="E1187" s="100">
        <v>45770</v>
      </c>
      <c r="F1187" s="100">
        <f t="shared" si="98"/>
        <v>45888</v>
      </c>
      <c r="G1187" s="101">
        <f t="shared" si="99"/>
        <v>118</v>
      </c>
      <c r="H1187" s="102">
        <f t="shared" si="97"/>
        <v>0</v>
      </c>
    </row>
    <row r="1188" spans="4:8" x14ac:dyDescent="0.3">
      <c r="D1188" s="99" t="s">
        <v>2541</v>
      </c>
      <c r="E1188" s="100">
        <v>45888</v>
      </c>
      <c r="F1188" s="100" t="str">
        <f t="shared" si="98"/>
        <v/>
      </c>
      <c r="G1188" s="101" t="str">
        <f t="shared" si="99"/>
        <v/>
      </c>
      <c r="H1188" s="102" t="str">
        <f t="shared" si="97"/>
        <v/>
      </c>
    </row>
    <row r="1189" spans="4:8" x14ac:dyDescent="0.3">
      <c r="D1189" s="99" t="s">
        <v>2542</v>
      </c>
      <c r="E1189" s="100">
        <v>45825</v>
      </c>
      <c r="F1189" s="100">
        <f t="shared" si="98"/>
        <v>45940</v>
      </c>
      <c r="G1189" s="101">
        <f t="shared" si="99"/>
        <v>115</v>
      </c>
      <c r="H1189" s="102">
        <f t="shared" si="97"/>
        <v>0</v>
      </c>
    </row>
    <row r="1190" spans="4:8" x14ac:dyDescent="0.3">
      <c r="D1190" s="99" t="s">
        <v>2542</v>
      </c>
      <c r="E1190" s="100">
        <v>45940</v>
      </c>
      <c r="F1190" s="100" t="str">
        <f t="shared" si="98"/>
        <v/>
      </c>
      <c r="G1190" s="101" t="str">
        <f t="shared" si="99"/>
        <v/>
      </c>
      <c r="H1190" s="102" t="str">
        <f t="shared" si="97"/>
        <v/>
      </c>
    </row>
    <row r="1191" spans="4:8" x14ac:dyDescent="0.3">
      <c r="D1191" s="99" t="s">
        <v>2543</v>
      </c>
      <c r="E1191" s="100">
        <v>45660</v>
      </c>
      <c r="F1191" s="100">
        <f t="shared" si="98"/>
        <v>45987</v>
      </c>
      <c r="G1191" s="101">
        <f t="shared" si="99"/>
        <v>327</v>
      </c>
      <c r="H1191" s="102">
        <f t="shared" si="97"/>
        <v>0</v>
      </c>
    </row>
    <row r="1192" spans="4:8" x14ac:dyDescent="0.3">
      <c r="D1192" s="99" t="s">
        <v>2543</v>
      </c>
      <c r="E1192" s="100">
        <v>45987</v>
      </c>
      <c r="F1192" s="100" t="str">
        <f t="shared" si="98"/>
        <v/>
      </c>
      <c r="G1192" s="101" t="str">
        <f t="shared" si="99"/>
        <v/>
      </c>
      <c r="H1192" s="102" t="str">
        <f t="shared" si="97"/>
        <v/>
      </c>
    </row>
    <row r="1193" spans="4:8" x14ac:dyDescent="0.3">
      <c r="D1193" s="99" t="s">
        <v>2544</v>
      </c>
      <c r="E1193" s="100">
        <v>45796</v>
      </c>
      <c r="F1193" s="100">
        <f t="shared" si="98"/>
        <v>46007</v>
      </c>
      <c r="G1193" s="101">
        <f t="shared" si="99"/>
        <v>211</v>
      </c>
      <c r="H1193" s="102">
        <f t="shared" si="97"/>
        <v>0</v>
      </c>
    </row>
    <row r="1194" spans="4:8" x14ac:dyDescent="0.3">
      <c r="D1194" s="99" t="s">
        <v>2544</v>
      </c>
      <c r="E1194" s="100">
        <v>46007</v>
      </c>
      <c r="F1194" s="100" t="str">
        <f t="shared" si="98"/>
        <v/>
      </c>
      <c r="G1194" s="101" t="str">
        <f t="shared" si="99"/>
        <v/>
      </c>
      <c r="H1194" s="102" t="str">
        <f t="shared" si="97"/>
        <v/>
      </c>
    </row>
    <row r="1195" spans="4:8" x14ac:dyDescent="0.3">
      <c r="D1195" s="99" t="s">
        <v>2545</v>
      </c>
      <c r="E1195" s="100">
        <v>45762</v>
      </c>
      <c r="F1195" s="100">
        <f t="shared" si="98"/>
        <v>45924</v>
      </c>
      <c r="G1195" s="101">
        <f t="shared" si="99"/>
        <v>162</v>
      </c>
      <c r="H1195" s="102">
        <f t="shared" si="97"/>
        <v>0</v>
      </c>
    </row>
    <row r="1196" spans="4:8" x14ac:dyDescent="0.3">
      <c r="D1196" s="99" t="s">
        <v>2545</v>
      </c>
      <c r="E1196" s="100">
        <v>45924</v>
      </c>
      <c r="F1196" s="100" t="str">
        <f t="shared" si="98"/>
        <v/>
      </c>
      <c r="G1196" s="101" t="str">
        <f t="shared" si="99"/>
        <v/>
      </c>
      <c r="H1196" s="102" t="str">
        <f t="shared" si="97"/>
        <v/>
      </c>
    </row>
    <row r="1197" spans="4:8" x14ac:dyDescent="0.3">
      <c r="D1197" s="99" t="s">
        <v>2546</v>
      </c>
      <c r="E1197" s="100">
        <v>45785</v>
      </c>
      <c r="F1197" s="100" t="str">
        <f t="shared" si="98"/>
        <v/>
      </c>
      <c r="G1197" s="101" t="str">
        <f t="shared" si="99"/>
        <v/>
      </c>
      <c r="H1197" s="102" t="str">
        <f t="shared" si="97"/>
        <v/>
      </c>
    </row>
    <row r="1198" spans="4:8" x14ac:dyDescent="0.3">
      <c r="D1198" s="99" t="s">
        <v>2547</v>
      </c>
      <c r="E1198" s="100">
        <v>45747</v>
      </c>
      <c r="F1198" s="100" t="str">
        <f t="shared" si="98"/>
        <v/>
      </c>
      <c r="G1198" s="101" t="str">
        <f t="shared" si="99"/>
        <v/>
      </c>
      <c r="H1198" s="102" t="str">
        <f t="shared" si="97"/>
        <v/>
      </c>
    </row>
    <row r="1199" spans="4:8" x14ac:dyDescent="0.3">
      <c r="D1199" s="99" t="s">
        <v>2548</v>
      </c>
      <c r="E1199" s="100">
        <v>45677</v>
      </c>
      <c r="F1199" s="100">
        <f t="shared" si="98"/>
        <v>45755</v>
      </c>
      <c r="G1199" s="101">
        <f t="shared" si="99"/>
        <v>78</v>
      </c>
      <c r="H1199" s="102">
        <f t="shared" si="97"/>
        <v>0</v>
      </c>
    </row>
    <row r="1200" spans="4:8" x14ac:dyDescent="0.3">
      <c r="D1200" s="99" t="s">
        <v>2548</v>
      </c>
      <c r="E1200" s="100">
        <v>45755</v>
      </c>
      <c r="F1200" s="100">
        <f t="shared" si="98"/>
        <v>45769</v>
      </c>
      <c r="G1200" s="101">
        <f t="shared" si="99"/>
        <v>14</v>
      </c>
      <c r="H1200" s="102">
        <f t="shared" si="97"/>
        <v>1</v>
      </c>
    </row>
    <row r="1201" spans="4:8" x14ac:dyDescent="0.3">
      <c r="D1201" s="99" t="s">
        <v>2548</v>
      </c>
      <c r="E1201" s="100">
        <v>45769</v>
      </c>
      <c r="F1201" s="100">
        <f t="shared" si="98"/>
        <v>45848</v>
      </c>
      <c r="G1201" s="101">
        <f t="shared" si="99"/>
        <v>79</v>
      </c>
      <c r="H1201" s="102">
        <f t="shared" si="97"/>
        <v>0</v>
      </c>
    </row>
    <row r="1202" spans="4:8" x14ac:dyDescent="0.3">
      <c r="D1202" s="99" t="s">
        <v>2548</v>
      </c>
      <c r="E1202" s="100">
        <v>45848</v>
      </c>
      <c r="F1202" s="100" t="str">
        <f t="shared" si="98"/>
        <v/>
      </c>
      <c r="G1202" s="101" t="str">
        <f t="shared" si="99"/>
        <v/>
      </c>
      <c r="H1202" s="102" t="str">
        <f t="shared" si="97"/>
        <v/>
      </c>
    </row>
    <row r="1203" spans="4:8" x14ac:dyDescent="0.3">
      <c r="D1203" s="99" t="s">
        <v>2549</v>
      </c>
      <c r="E1203" s="100">
        <v>45979</v>
      </c>
      <c r="F1203" s="100" t="str">
        <f t="shared" si="98"/>
        <v/>
      </c>
      <c r="G1203" s="101" t="str">
        <f t="shared" si="99"/>
        <v/>
      </c>
      <c r="H1203" s="102" t="str">
        <f t="shared" si="97"/>
        <v/>
      </c>
    </row>
    <row r="1204" spans="4:8" x14ac:dyDescent="0.3">
      <c r="D1204" s="99" t="s">
        <v>2550</v>
      </c>
      <c r="E1204" s="100">
        <v>45996</v>
      </c>
      <c r="F1204" s="100">
        <f t="shared" si="98"/>
        <v>45999</v>
      </c>
      <c r="G1204" s="101">
        <f t="shared" si="99"/>
        <v>3</v>
      </c>
      <c r="H1204" s="102">
        <f t="shared" si="97"/>
        <v>1</v>
      </c>
    </row>
    <row r="1205" spans="4:8" x14ac:dyDescent="0.3">
      <c r="D1205" s="99" t="s">
        <v>2550</v>
      </c>
      <c r="E1205" s="100">
        <v>45999</v>
      </c>
      <c r="F1205" s="100" t="str">
        <f t="shared" si="98"/>
        <v/>
      </c>
      <c r="G1205" s="101" t="str">
        <f t="shared" si="99"/>
        <v/>
      </c>
      <c r="H1205" s="102" t="str">
        <f t="shared" si="97"/>
        <v/>
      </c>
    </row>
    <row r="1206" spans="4:8" x14ac:dyDescent="0.3">
      <c r="D1206" s="99" t="s">
        <v>2551</v>
      </c>
      <c r="E1206" s="100">
        <v>45768</v>
      </c>
      <c r="F1206" s="100">
        <f t="shared" si="98"/>
        <v>45819</v>
      </c>
      <c r="G1206" s="101">
        <f t="shared" si="99"/>
        <v>51</v>
      </c>
      <c r="H1206" s="102">
        <f t="shared" si="97"/>
        <v>0</v>
      </c>
    </row>
    <row r="1207" spans="4:8" x14ac:dyDescent="0.3">
      <c r="D1207" s="99" t="s">
        <v>2551</v>
      </c>
      <c r="E1207" s="100">
        <v>45819</v>
      </c>
      <c r="F1207" s="100" t="str">
        <f t="shared" si="98"/>
        <v/>
      </c>
      <c r="G1207" s="101" t="str">
        <f t="shared" si="99"/>
        <v/>
      </c>
      <c r="H1207" s="102" t="str">
        <f t="shared" si="97"/>
        <v/>
      </c>
    </row>
    <row r="1208" spans="4:8" x14ac:dyDescent="0.3">
      <c r="D1208" s="99" t="s">
        <v>2552</v>
      </c>
      <c r="E1208" s="100">
        <v>45840</v>
      </c>
      <c r="F1208" s="100" t="str">
        <f t="shared" si="98"/>
        <v/>
      </c>
      <c r="G1208" s="101" t="str">
        <f t="shared" si="99"/>
        <v/>
      </c>
      <c r="H1208" s="102" t="str">
        <f t="shared" si="97"/>
        <v/>
      </c>
    </row>
    <row r="1209" spans="4:8" x14ac:dyDescent="0.3">
      <c r="D1209" s="99" t="s">
        <v>2553</v>
      </c>
      <c r="E1209" s="100">
        <v>45874</v>
      </c>
      <c r="F1209" s="100">
        <f t="shared" si="98"/>
        <v>45912</v>
      </c>
      <c r="G1209" s="101">
        <f t="shared" si="99"/>
        <v>38</v>
      </c>
      <c r="H1209" s="102">
        <f t="shared" si="97"/>
        <v>0</v>
      </c>
    </row>
    <row r="1210" spans="4:8" x14ac:dyDescent="0.3">
      <c r="D1210" s="99" t="s">
        <v>2553</v>
      </c>
      <c r="E1210" s="100">
        <v>45912</v>
      </c>
      <c r="F1210" s="100">
        <f t="shared" si="98"/>
        <v>45967</v>
      </c>
      <c r="G1210" s="101">
        <f t="shared" si="99"/>
        <v>55</v>
      </c>
      <c r="H1210" s="102">
        <f t="shared" si="97"/>
        <v>0</v>
      </c>
    </row>
    <row r="1211" spans="4:8" x14ac:dyDescent="0.3">
      <c r="D1211" s="99" t="s">
        <v>2553</v>
      </c>
      <c r="E1211" s="100">
        <v>45967</v>
      </c>
      <c r="F1211" s="100" t="str">
        <f t="shared" si="98"/>
        <v/>
      </c>
      <c r="G1211" s="101" t="str">
        <f t="shared" si="99"/>
        <v/>
      </c>
      <c r="H1211" s="102" t="str">
        <f t="shared" si="97"/>
        <v/>
      </c>
    </row>
    <row r="1212" spans="4:8" x14ac:dyDescent="0.3">
      <c r="D1212" s="99" t="s">
        <v>2554</v>
      </c>
      <c r="E1212" s="100">
        <v>45727</v>
      </c>
      <c r="F1212" s="100">
        <f t="shared" si="98"/>
        <v>45919</v>
      </c>
      <c r="G1212" s="101">
        <f t="shared" si="99"/>
        <v>192</v>
      </c>
      <c r="H1212" s="102">
        <f t="shared" si="97"/>
        <v>0</v>
      </c>
    </row>
    <row r="1213" spans="4:8" x14ac:dyDescent="0.3">
      <c r="D1213" s="99" t="s">
        <v>2554</v>
      </c>
      <c r="E1213" s="100">
        <v>45919</v>
      </c>
      <c r="F1213" s="100">
        <f t="shared" si="98"/>
        <v>45919</v>
      </c>
      <c r="G1213" s="101">
        <f t="shared" si="99"/>
        <v>0</v>
      </c>
      <c r="H1213" s="102">
        <f t="shared" si="97"/>
        <v>1</v>
      </c>
    </row>
    <row r="1214" spans="4:8" x14ac:dyDescent="0.3">
      <c r="D1214" s="99" t="s">
        <v>2554</v>
      </c>
      <c r="E1214" s="100">
        <v>45919</v>
      </c>
      <c r="F1214" s="100" t="str">
        <f t="shared" si="98"/>
        <v/>
      </c>
      <c r="G1214" s="101" t="str">
        <f t="shared" si="99"/>
        <v/>
      </c>
      <c r="H1214" s="102" t="str">
        <f t="shared" si="97"/>
        <v/>
      </c>
    </row>
    <row r="1215" spans="4:8" x14ac:dyDescent="0.3">
      <c r="D1215" s="99" t="s">
        <v>2555</v>
      </c>
      <c r="E1215" s="100">
        <v>45821</v>
      </c>
      <c r="F1215" s="100" t="str">
        <f t="shared" si="98"/>
        <v/>
      </c>
      <c r="G1215" s="101" t="str">
        <f t="shared" si="99"/>
        <v/>
      </c>
      <c r="H1215" s="102" t="str">
        <f t="shared" si="97"/>
        <v/>
      </c>
    </row>
    <row r="1216" spans="4:8" x14ac:dyDescent="0.3">
      <c r="D1216" s="99" t="s">
        <v>2556</v>
      </c>
      <c r="E1216" s="100">
        <v>45693</v>
      </c>
      <c r="F1216" s="100">
        <f t="shared" si="98"/>
        <v>45741</v>
      </c>
      <c r="G1216" s="101">
        <f t="shared" si="99"/>
        <v>48</v>
      </c>
      <c r="H1216" s="102">
        <f t="shared" si="97"/>
        <v>0</v>
      </c>
    </row>
    <row r="1217" spans="4:8" x14ac:dyDescent="0.3">
      <c r="D1217" s="99" t="s">
        <v>2556</v>
      </c>
      <c r="E1217" s="100">
        <v>45741</v>
      </c>
      <c r="F1217" s="100">
        <f t="shared" si="98"/>
        <v>45974</v>
      </c>
      <c r="G1217" s="101">
        <f t="shared" si="99"/>
        <v>233</v>
      </c>
      <c r="H1217" s="102">
        <f t="shared" si="97"/>
        <v>0</v>
      </c>
    </row>
    <row r="1218" spans="4:8" x14ac:dyDescent="0.3">
      <c r="D1218" s="99" t="s">
        <v>2556</v>
      </c>
      <c r="E1218" s="100">
        <v>45974</v>
      </c>
      <c r="F1218" s="100">
        <f t="shared" si="98"/>
        <v>45996</v>
      </c>
      <c r="G1218" s="101">
        <f t="shared" si="99"/>
        <v>22</v>
      </c>
      <c r="H1218" s="102">
        <f t="shared" si="97"/>
        <v>1</v>
      </c>
    </row>
    <row r="1219" spans="4:8" x14ac:dyDescent="0.3">
      <c r="D1219" s="99" t="s">
        <v>2556</v>
      </c>
      <c r="E1219" s="100">
        <v>45996</v>
      </c>
      <c r="F1219" s="100" t="str">
        <f t="shared" si="98"/>
        <v/>
      </c>
      <c r="G1219" s="101" t="str">
        <f t="shared" si="99"/>
        <v/>
      </c>
      <c r="H1219" s="102" t="str">
        <f t="shared" si="97"/>
        <v/>
      </c>
    </row>
    <row r="1220" spans="4:8" x14ac:dyDescent="0.3">
      <c r="D1220" s="99" t="s">
        <v>2557</v>
      </c>
      <c r="E1220" s="100">
        <v>45693</v>
      </c>
      <c r="F1220" s="100">
        <f t="shared" si="98"/>
        <v>45728</v>
      </c>
      <c r="G1220" s="101">
        <f t="shared" si="99"/>
        <v>35</v>
      </c>
      <c r="H1220" s="102">
        <f t="shared" si="97"/>
        <v>0</v>
      </c>
    </row>
    <row r="1221" spans="4:8" x14ac:dyDescent="0.3">
      <c r="D1221" s="99" t="s">
        <v>2557</v>
      </c>
      <c r="E1221" s="100">
        <v>45728</v>
      </c>
      <c r="F1221" s="100">
        <f t="shared" si="98"/>
        <v>45848</v>
      </c>
      <c r="G1221" s="101">
        <f t="shared" si="99"/>
        <v>120</v>
      </c>
      <c r="H1221" s="102">
        <f t="shared" si="97"/>
        <v>0</v>
      </c>
    </row>
    <row r="1222" spans="4:8" x14ac:dyDescent="0.3">
      <c r="D1222" s="99" t="s">
        <v>2557</v>
      </c>
      <c r="E1222" s="100">
        <v>45848</v>
      </c>
      <c r="F1222" s="100">
        <f t="shared" si="98"/>
        <v>45905</v>
      </c>
      <c r="G1222" s="101">
        <f t="shared" si="99"/>
        <v>57</v>
      </c>
      <c r="H1222" s="102">
        <f t="shared" si="97"/>
        <v>0</v>
      </c>
    </row>
    <row r="1223" spans="4:8" x14ac:dyDescent="0.3">
      <c r="D1223" s="99" t="s">
        <v>2557</v>
      </c>
      <c r="E1223" s="100">
        <v>45905</v>
      </c>
      <c r="F1223" s="100" t="str">
        <f t="shared" si="98"/>
        <v/>
      </c>
      <c r="G1223" s="101" t="str">
        <f t="shared" si="99"/>
        <v/>
      </c>
      <c r="H1223" s="102" t="str">
        <f t="shared" ref="H1223:H1286" si="100">IF(G1223="","",IF(G1223&lt;=return_window,1,0))</f>
        <v/>
      </c>
    </row>
    <row r="1224" spans="4:8" x14ac:dyDescent="0.3">
      <c r="D1224" s="99" t="s">
        <v>2558</v>
      </c>
      <c r="E1224" s="100">
        <v>45884</v>
      </c>
      <c r="F1224" s="100">
        <f t="shared" ref="F1224:F1287" si="101">IF(D1224=D1225,E1225,"")</f>
        <v>45950</v>
      </c>
      <c r="G1224" s="101">
        <f t="shared" ref="G1224:G1287" si="102">IF(F1224="","",F1224-E1224)</f>
        <v>66</v>
      </c>
      <c r="H1224" s="102">
        <f t="shared" si="100"/>
        <v>0</v>
      </c>
    </row>
    <row r="1225" spans="4:8" x14ac:dyDescent="0.3">
      <c r="D1225" s="99" t="s">
        <v>2558</v>
      </c>
      <c r="E1225" s="100">
        <v>45950</v>
      </c>
      <c r="F1225" s="100" t="str">
        <f t="shared" si="101"/>
        <v/>
      </c>
      <c r="G1225" s="101" t="str">
        <f t="shared" si="102"/>
        <v/>
      </c>
      <c r="H1225" s="102" t="str">
        <f t="shared" si="100"/>
        <v/>
      </c>
    </row>
    <row r="1226" spans="4:8" x14ac:dyDescent="0.3">
      <c r="D1226" s="99" t="s">
        <v>2559</v>
      </c>
      <c r="E1226" s="100">
        <v>45854</v>
      </c>
      <c r="F1226" s="100">
        <f t="shared" si="101"/>
        <v>45889</v>
      </c>
      <c r="G1226" s="101">
        <f t="shared" si="102"/>
        <v>35</v>
      </c>
      <c r="H1226" s="102">
        <f t="shared" si="100"/>
        <v>0</v>
      </c>
    </row>
    <row r="1227" spans="4:8" x14ac:dyDescent="0.3">
      <c r="D1227" s="99" t="s">
        <v>2559</v>
      </c>
      <c r="E1227" s="100">
        <v>45889</v>
      </c>
      <c r="F1227" s="100">
        <f t="shared" si="101"/>
        <v>45905</v>
      </c>
      <c r="G1227" s="101">
        <f t="shared" si="102"/>
        <v>16</v>
      </c>
      <c r="H1227" s="102">
        <f t="shared" si="100"/>
        <v>1</v>
      </c>
    </row>
    <row r="1228" spans="4:8" x14ac:dyDescent="0.3">
      <c r="D1228" s="99" t="s">
        <v>2559</v>
      </c>
      <c r="E1228" s="100">
        <v>45905</v>
      </c>
      <c r="F1228" s="100" t="str">
        <f t="shared" si="101"/>
        <v/>
      </c>
      <c r="G1228" s="101" t="str">
        <f t="shared" si="102"/>
        <v/>
      </c>
      <c r="H1228" s="102" t="str">
        <f t="shared" si="100"/>
        <v/>
      </c>
    </row>
    <row r="1229" spans="4:8" x14ac:dyDescent="0.3">
      <c r="D1229" s="99" t="s">
        <v>2560</v>
      </c>
      <c r="E1229" s="100">
        <v>45748</v>
      </c>
      <c r="F1229" s="100">
        <f t="shared" si="101"/>
        <v>45849</v>
      </c>
      <c r="G1229" s="101">
        <f t="shared" si="102"/>
        <v>101</v>
      </c>
      <c r="H1229" s="102">
        <f t="shared" si="100"/>
        <v>0</v>
      </c>
    </row>
    <row r="1230" spans="4:8" x14ac:dyDescent="0.3">
      <c r="D1230" s="99" t="s">
        <v>2560</v>
      </c>
      <c r="E1230" s="100">
        <v>45849</v>
      </c>
      <c r="F1230" s="100">
        <f t="shared" si="101"/>
        <v>45875</v>
      </c>
      <c r="G1230" s="101">
        <f t="shared" si="102"/>
        <v>26</v>
      </c>
      <c r="H1230" s="102">
        <f t="shared" si="100"/>
        <v>1</v>
      </c>
    </row>
    <row r="1231" spans="4:8" x14ac:dyDescent="0.3">
      <c r="D1231" s="99" t="s">
        <v>2560</v>
      </c>
      <c r="E1231" s="100">
        <v>45875</v>
      </c>
      <c r="F1231" s="100" t="str">
        <f t="shared" si="101"/>
        <v/>
      </c>
      <c r="G1231" s="101" t="str">
        <f t="shared" si="102"/>
        <v/>
      </c>
      <c r="H1231" s="102" t="str">
        <f t="shared" si="100"/>
        <v/>
      </c>
    </row>
    <row r="1232" spans="4:8" x14ac:dyDescent="0.3">
      <c r="D1232" s="99" t="s">
        <v>2561</v>
      </c>
      <c r="E1232" s="100">
        <v>45721</v>
      </c>
      <c r="F1232" s="100">
        <f t="shared" si="101"/>
        <v>45985</v>
      </c>
      <c r="G1232" s="101">
        <f t="shared" si="102"/>
        <v>264</v>
      </c>
      <c r="H1232" s="102">
        <f t="shared" si="100"/>
        <v>0</v>
      </c>
    </row>
    <row r="1233" spans="4:8" x14ac:dyDescent="0.3">
      <c r="D1233" s="99" t="s">
        <v>2561</v>
      </c>
      <c r="E1233" s="100">
        <v>45985</v>
      </c>
      <c r="F1233" s="100" t="str">
        <f t="shared" si="101"/>
        <v/>
      </c>
      <c r="G1233" s="101" t="str">
        <f t="shared" si="102"/>
        <v/>
      </c>
      <c r="H1233" s="102" t="str">
        <f t="shared" si="100"/>
        <v/>
      </c>
    </row>
    <row r="1234" spans="4:8" x14ac:dyDescent="0.3">
      <c r="D1234" s="99" t="s">
        <v>2562</v>
      </c>
      <c r="E1234" s="100">
        <v>45770</v>
      </c>
      <c r="F1234" s="100">
        <f t="shared" si="101"/>
        <v>45805</v>
      </c>
      <c r="G1234" s="101">
        <f t="shared" si="102"/>
        <v>35</v>
      </c>
      <c r="H1234" s="102">
        <f t="shared" si="100"/>
        <v>0</v>
      </c>
    </row>
    <row r="1235" spans="4:8" x14ac:dyDescent="0.3">
      <c r="D1235" s="99" t="s">
        <v>2562</v>
      </c>
      <c r="E1235" s="100">
        <v>45805</v>
      </c>
      <c r="F1235" s="100" t="str">
        <f t="shared" si="101"/>
        <v/>
      </c>
      <c r="G1235" s="101" t="str">
        <f t="shared" si="102"/>
        <v/>
      </c>
      <c r="H1235" s="102" t="str">
        <f t="shared" si="100"/>
        <v/>
      </c>
    </row>
    <row r="1236" spans="4:8" x14ac:dyDescent="0.3">
      <c r="D1236" s="99" t="s">
        <v>2563</v>
      </c>
      <c r="E1236" s="100">
        <v>45665</v>
      </c>
      <c r="F1236" s="100">
        <f t="shared" si="101"/>
        <v>45729</v>
      </c>
      <c r="G1236" s="101">
        <f t="shared" si="102"/>
        <v>64</v>
      </c>
      <c r="H1236" s="102">
        <f t="shared" si="100"/>
        <v>0</v>
      </c>
    </row>
    <row r="1237" spans="4:8" x14ac:dyDescent="0.3">
      <c r="D1237" s="99" t="s">
        <v>2563</v>
      </c>
      <c r="E1237" s="100">
        <v>45729</v>
      </c>
      <c r="F1237" s="100">
        <f t="shared" si="101"/>
        <v>45741</v>
      </c>
      <c r="G1237" s="101">
        <f t="shared" si="102"/>
        <v>12</v>
      </c>
      <c r="H1237" s="102">
        <f t="shared" si="100"/>
        <v>1</v>
      </c>
    </row>
    <row r="1238" spans="4:8" x14ac:dyDescent="0.3">
      <c r="D1238" s="99" t="s">
        <v>2563</v>
      </c>
      <c r="E1238" s="100">
        <v>45741</v>
      </c>
      <c r="F1238" s="100">
        <f t="shared" si="101"/>
        <v>45834</v>
      </c>
      <c r="G1238" s="101">
        <f t="shared" si="102"/>
        <v>93</v>
      </c>
      <c r="H1238" s="102">
        <f t="shared" si="100"/>
        <v>0</v>
      </c>
    </row>
    <row r="1239" spans="4:8" x14ac:dyDescent="0.3">
      <c r="D1239" s="99" t="s">
        <v>2563</v>
      </c>
      <c r="E1239" s="100">
        <v>45834</v>
      </c>
      <c r="F1239" s="100">
        <f t="shared" si="101"/>
        <v>45895</v>
      </c>
      <c r="G1239" s="101">
        <f t="shared" si="102"/>
        <v>61</v>
      </c>
      <c r="H1239" s="102">
        <f t="shared" si="100"/>
        <v>0</v>
      </c>
    </row>
    <row r="1240" spans="4:8" x14ac:dyDescent="0.3">
      <c r="D1240" s="99" t="s">
        <v>2563</v>
      </c>
      <c r="E1240" s="100">
        <v>45895</v>
      </c>
      <c r="F1240" s="100" t="str">
        <f t="shared" si="101"/>
        <v/>
      </c>
      <c r="G1240" s="101" t="str">
        <f t="shared" si="102"/>
        <v/>
      </c>
      <c r="H1240" s="102" t="str">
        <f t="shared" si="100"/>
        <v/>
      </c>
    </row>
    <row r="1241" spans="4:8" x14ac:dyDescent="0.3">
      <c r="D1241" s="99" t="s">
        <v>2564</v>
      </c>
      <c r="E1241" s="100">
        <v>45937</v>
      </c>
      <c r="F1241" s="100" t="str">
        <f t="shared" si="101"/>
        <v/>
      </c>
      <c r="G1241" s="101" t="str">
        <f t="shared" si="102"/>
        <v/>
      </c>
      <c r="H1241" s="102" t="str">
        <f t="shared" si="100"/>
        <v/>
      </c>
    </row>
    <row r="1242" spans="4:8" x14ac:dyDescent="0.3">
      <c r="D1242" s="99" t="s">
        <v>2565</v>
      </c>
      <c r="E1242" s="100">
        <v>45798</v>
      </c>
      <c r="F1242" s="100">
        <f t="shared" si="101"/>
        <v>45848</v>
      </c>
      <c r="G1242" s="101">
        <f t="shared" si="102"/>
        <v>50</v>
      </c>
      <c r="H1242" s="102">
        <f t="shared" si="100"/>
        <v>0</v>
      </c>
    </row>
    <row r="1243" spans="4:8" x14ac:dyDescent="0.3">
      <c r="D1243" s="99" t="s">
        <v>2565</v>
      </c>
      <c r="E1243" s="100">
        <v>45848</v>
      </c>
      <c r="F1243" s="100">
        <f t="shared" si="101"/>
        <v>46015</v>
      </c>
      <c r="G1243" s="101">
        <f t="shared" si="102"/>
        <v>167</v>
      </c>
      <c r="H1243" s="102">
        <f t="shared" si="100"/>
        <v>0</v>
      </c>
    </row>
    <row r="1244" spans="4:8" x14ac:dyDescent="0.3">
      <c r="D1244" s="99" t="s">
        <v>2565</v>
      </c>
      <c r="E1244" s="100">
        <v>46015</v>
      </c>
      <c r="F1244" s="100" t="str">
        <f t="shared" si="101"/>
        <v/>
      </c>
      <c r="G1244" s="101" t="str">
        <f t="shared" si="102"/>
        <v/>
      </c>
      <c r="H1244" s="102" t="str">
        <f t="shared" si="100"/>
        <v/>
      </c>
    </row>
    <row r="1245" spans="4:8" x14ac:dyDescent="0.3">
      <c r="D1245" s="99" t="s">
        <v>2566</v>
      </c>
      <c r="E1245" s="100">
        <v>45658</v>
      </c>
      <c r="F1245" s="100" t="str">
        <f t="shared" si="101"/>
        <v/>
      </c>
      <c r="G1245" s="101" t="str">
        <f t="shared" si="102"/>
        <v/>
      </c>
      <c r="H1245" s="102" t="str">
        <f t="shared" si="100"/>
        <v/>
      </c>
    </row>
    <row r="1246" spans="4:8" x14ac:dyDescent="0.3">
      <c r="D1246" s="99" t="s">
        <v>2567</v>
      </c>
      <c r="E1246" s="100">
        <v>45785</v>
      </c>
      <c r="F1246" s="100">
        <f t="shared" si="101"/>
        <v>45833</v>
      </c>
      <c r="G1246" s="101">
        <f t="shared" si="102"/>
        <v>48</v>
      </c>
      <c r="H1246" s="102">
        <f t="shared" si="100"/>
        <v>0</v>
      </c>
    </row>
    <row r="1247" spans="4:8" x14ac:dyDescent="0.3">
      <c r="D1247" s="99" t="s">
        <v>2567</v>
      </c>
      <c r="E1247" s="100">
        <v>45833</v>
      </c>
      <c r="F1247" s="100">
        <f t="shared" si="101"/>
        <v>45854</v>
      </c>
      <c r="G1247" s="101">
        <f t="shared" si="102"/>
        <v>21</v>
      </c>
      <c r="H1247" s="102">
        <f t="shared" si="100"/>
        <v>1</v>
      </c>
    </row>
    <row r="1248" spans="4:8" x14ac:dyDescent="0.3">
      <c r="D1248" s="99" t="s">
        <v>2567</v>
      </c>
      <c r="E1248" s="100">
        <v>45854</v>
      </c>
      <c r="F1248" s="100">
        <f t="shared" si="101"/>
        <v>45882</v>
      </c>
      <c r="G1248" s="101">
        <f t="shared" si="102"/>
        <v>28</v>
      </c>
      <c r="H1248" s="102">
        <f t="shared" si="100"/>
        <v>1</v>
      </c>
    </row>
    <row r="1249" spans="4:8" x14ac:dyDescent="0.3">
      <c r="D1249" s="99" t="s">
        <v>2567</v>
      </c>
      <c r="E1249" s="100">
        <v>45882</v>
      </c>
      <c r="F1249" s="100">
        <f t="shared" si="101"/>
        <v>45905</v>
      </c>
      <c r="G1249" s="101">
        <f t="shared" si="102"/>
        <v>23</v>
      </c>
      <c r="H1249" s="102">
        <f t="shared" si="100"/>
        <v>1</v>
      </c>
    </row>
    <row r="1250" spans="4:8" x14ac:dyDescent="0.3">
      <c r="D1250" s="99" t="s">
        <v>2567</v>
      </c>
      <c r="E1250" s="100">
        <v>45905</v>
      </c>
      <c r="F1250" s="100">
        <f t="shared" si="101"/>
        <v>45912</v>
      </c>
      <c r="G1250" s="101">
        <f t="shared" si="102"/>
        <v>7</v>
      </c>
      <c r="H1250" s="102">
        <f t="shared" si="100"/>
        <v>1</v>
      </c>
    </row>
    <row r="1251" spans="4:8" x14ac:dyDescent="0.3">
      <c r="D1251" s="99" t="s">
        <v>2567</v>
      </c>
      <c r="E1251" s="100">
        <v>45912</v>
      </c>
      <c r="F1251" s="100">
        <f t="shared" si="101"/>
        <v>45922</v>
      </c>
      <c r="G1251" s="101">
        <f t="shared" si="102"/>
        <v>10</v>
      </c>
      <c r="H1251" s="102">
        <f t="shared" si="100"/>
        <v>1</v>
      </c>
    </row>
    <row r="1252" spans="4:8" x14ac:dyDescent="0.3">
      <c r="D1252" s="99" t="s">
        <v>2567</v>
      </c>
      <c r="E1252" s="100">
        <v>45922</v>
      </c>
      <c r="F1252" s="100">
        <f t="shared" si="101"/>
        <v>45999</v>
      </c>
      <c r="G1252" s="101">
        <f t="shared" si="102"/>
        <v>77</v>
      </c>
      <c r="H1252" s="102">
        <f t="shared" si="100"/>
        <v>0</v>
      </c>
    </row>
    <row r="1253" spans="4:8" x14ac:dyDescent="0.3">
      <c r="D1253" s="99" t="s">
        <v>2567</v>
      </c>
      <c r="E1253" s="100">
        <v>45999</v>
      </c>
      <c r="F1253" s="100" t="str">
        <f t="shared" si="101"/>
        <v/>
      </c>
      <c r="G1253" s="101" t="str">
        <f t="shared" si="102"/>
        <v/>
      </c>
      <c r="H1253" s="102" t="str">
        <f t="shared" si="100"/>
        <v/>
      </c>
    </row>
    <row r="1254" spans="4:8" x14ac:dyDescent="0.3">
      <c r="D1254" s="99" t="s">
        <v>2568</v>
      </c>
      <c r="E1254" s="100">
        <v>45994</v>
      </c>
      <c r="F1254" s="100" t="str">
        <f t="shared" si="101"/>
        <v/>
      </c>
      <c r="G1254" s="101" t="str">
        <f t="shared" si="102"/>
        <v/>
      </c>
      <c r="H1254" s="102" t="str">
        <f t="shared" si="100"/>
        <v/>
      </c>
    </row>
    <row r="1255" spans="4:8" x14ac:dyDescent="0.3">
      <c r="D1255" s="99" t="s">
        <v>2569</v>
      </c>
      <c r="E1255" s="100">
        <v>45665</v>
      </c>
      <c r="F1255" s="100">
        <f t="shared" si="101"/>
        <v>45701</v>
      </c>
      <c r="G1255" s="101">
        <f t="shared" si="102"/>
        <v>36</v>
      </c>
      <c r="H1255" s="102">
        <f t="shared" si="100"/>
        <v>0</v>
      </c>
    </row>
    <row r="1256" spans="4:8" x14ac:dyDescent="0.3">
      <c r="D1256" s="99" t="s">
        <v>2569</v>
      </c>
      <c r="E1256" s="100">
        <v>45701</v>
      </c>
      <c r="F1256" s="100">
        <f t="shared" si="101"/>
        <v>45730</v>
      </c>
      <c r="G1256" s="101">
        <f t="shared" si="102"/>
        <v>29</v>
      </c>
      <c r="H1256" s="102">
        <f t="shared" si="100"/>
        <v>1</v>
      </c>
    </row>
    <row r="1257" spans="4:8" x14ac:dyDescent="0.3">
      <c r="D1257" s="99" t="s">
        <v>2569</v>
      </c>
      <c r="E1257" s="100">
        <v>45730</v>
      </c>
      <c r="F1257" s="100">
        <f t="shared" si="101"/>
        <v>45792</v>
      </c>
      <c r="G1257" s="101">
        <f t="shared" si="102"/>
        <v>62</v>
      </c>
      <c r="H1257" s="102">
        <f t="shared" si="100"/>
        <v>0</v>
      </c>
    </row>
    <row r="1258" spans="4:8" x14ac:dyDescent="0.3">
      <c r="D1258" s="99" t="s">
        <v>2569</v>
      </c>
      <c r="E1258" s="100">
        <v>45792</v>
      </c>
      <c r="F1258" s="100">
        <f t="shared" si="101"/>
        <v>45807</v>
      </c>
      <c r="G1258" s="101">
        <f t="shared" si="102"/>
        <v>15</v>
      </c>
      <c r="H1258" s="102">
        <f t="shared" si="100"/>
        <v>1</v>
      </c>
    </row>
    <row r="1259" spans="4:8" x14ac:dyDescent="0.3">
      <c r="D1259" s="99" t="s">
        <v>2569</v>
      </c>
      <c r="E1259" s="100">
        <v>45807</v>
      </c>
      <c r="F1259" s="100">
        <f t="shared" si="101"/>
        <v>45875</v>
      </c>
      <c r="G1259" s="101">
        <f t="shared" si="102"/>
        <v>68</v>
      </c>
      <c r="H1259" s="102">
        <f t="shared" si="100"/>
        <v>0</v>
      </c>
    </row>
    <row r="1260" spans="4:8" x14ac:dyDescent="0.3">
      <c r="D1260" s="99" t="s">
        <v>2569</v>
      </c>
      <c r="E1260" s="100">
        <v>45875</v>
      </c>
      <c r="F1260" s="100">
        <f t="shared" si="101"/>
        <v>45888</v>
      </c>
      <c r="G1260" s="101">
        <f t="shared" si="102"/>
        <v>13</v>
      </c>
      <c r="H1260" s="102">
        <f t="shared" si="100"/>
        <v>1</v>
      </c>
    </row>
    <row r="1261" spans="4:8" x14ac:dyDescent="0.3">
      <c r="D1261" s="99" t="s">
        <v>2569</v>
      </c>
      <c r="E1261" s="100">
        <v>45888</v>
      </c>
      <c r="F1261" s="100">
        <f t="shared" si="101"/>
        <v>45904</v>
      </c>
      <c r="G1261" s="101">
        <f t="shared" si="102"/>
        <v>16</v>
      </c>
      <c r="H1261" s="102">
        <f t="shared" si="100"/>
        <v>1</v>
      </c>
    </row>
    <row r="1262" spans="4:8" x14ac:dyDescent="0.3">
      <c r="D1262" s="99" t="s">
        <v>2569</v>
      </c>
      <c r="E1262" s="100">
        <v>45904</v>
      </c>
      <c r="F1262" s="100">
        <f t="shared" si="101"/>
        <v>45924</v>
      </c>
      <c r="G1262" s="101">
        <f t="shared" si="102"/>
        <v>20</v>
      </c>
      <c r="H1262" s="102">
        <f t="shared" si="100"/>
        <v>1</v>
      </c>
    </row>
    <row r="1263" spans="4:8" x14ac:dyDescent="0.3">
      <c r="D1263" s="99" t="s">
        <v>2569</v>
      </c>
      <c r="E1263" s="100">
        <v>45924</v>
      </c>
      <c r="F1263" s="100" t="str">
        <f t="shared" si="101"/>
        <v/>
      </c>
      <c r="G1263" s="101" t="str">
        <f t="shared" si="102"/>
        <v/>
      </c>
      <c r="H1263" s="102" t="str">
        <f t="shared" si="100"/>
        <v/>
      </c>
    </row>
    <row r="1264" spans="4:8" x14ac:dyDescent="0.3">
      <c r="D1264" s="99" t="s">
        <v>2570</v>
      </c>
      <c r="E1264" s="100">
        <v>45722</v>
      </c>
      <c r="F1264" s="100">
        <f t="shared" si="101"/>
        <v>45730</v>
      </c>
      <c r="G1264" s="101">
        <f t="shared" si="102"/>
        <v>8</v>
      </c>
      <c r="H1264" s="102">
        <f t="shared" si="100"/>
        <v>1</v>
      </c>
    </row>
    <row r="1265" spans="4:8" x14ac:dyDescent="0.3">
      <c r="D1265" s="99" t="s">
        <v>2570</v>
      </c>
      <c r="E1265" s="100">
        <v>45730</v>
      </c>
      <c r="F1265" s="100">
        <f t="shared" si="101"/>
        <v>45751</v>
      </c>
      <c r="G1265" s="101">
        <f t="shared" si="102"/>
        <v>21</v>
      </c>
      <c r="H1265" s="102">
        <f t="shared" si="100"/>
        <v>1</v>
      </c>
    </row>
    <row r="1266" spans="4:8" x14ac:dyDescent="0.3">
      <c r="D1266" s="99" t="s">
        <v>2570</v>
      </c>
      <c r="E1266" s="100">
        <v>45751</v>
      </c>
      <c r="F1266" s="100">
        <f t="shared" si="101"/>
        <v>45770</v>
      </c>
      <c r="G1266" s="101">
        <f t="shared" si="102"/>
        <v>19</v>
      </c>
      <c r="H1266" s="102">
        <f t="shared" si="100"/>
        <v>1</v>
      </c>
    </row>
    <row r="1267" spans="4:8" x14ac:dyDescent="0.3">
      <c r="D1267" s="99" t="s">
        <v>2570</v>
      </c>
      <c r="E1267" s="100">
        <v>45770</v>
      </c>
      <c r="F1267" s="100">
        <f t="shared" si="101"/>
        <v>45775</v>
      </c>
      <c r="G1267" s="101">
        <f t="shared" si="102"/>
        <v>5</v>
      </c>
      <c r="H1267" s="102">
        <f t="shared" si="100"/>
        <v>1</v>
      </c>
    </row>
    <row r="1268" spans="4:8" x14ac:dyDescent="0.3">
      <c r="D1268" s="99" t="s">
        <v>2570</v>
      </c>
      <c r="E1268" s="100">
        <v>45775</v>
      </c>
      <c r="F1268" s="100">
        <f t="shared" si="101"/>
        <v>45796</v>
      </c>
      <c r="G1268" s="101">
        <f t="shared" si="102"/>
        <v>21</v>
      </c>
      <c r="H1268" s="102">
        <f t="shared" si="100"/>
        <v>1</v>
      </c>
    </row>
    <row r="1269" spans="4:8" x14ac:dyDescent="0.3">
      <c r="D1269" s="99" t="s">
        <v>2570</v>
      </c>
      <c r="E1269" s="100">
        <v>45796</v>
      </c>
      <c r="F1269" s="100">
        <f t="shared" si="101"/>
        <v>45894</v>
      </c>
      <c r="G1269" s="101">
        <f t="shared" si="102"/>
        <v>98</v>
      </c>
      <c r="H1269" s="102">
        <f t="shared" si="100"/>
        <v>0</v>
      </c>
    </row>
    <row r="1270" spans="4:8" x14ac:dyDescent="0.3">
      <c r="D1270" s="99" t="s">
        <v>2570</v>
      </c>
      <c r="E1270" s="100">
        <v>45894</v>
      </c>
      <c r="F1270" s="100">
        <f t="shared" si="101"/>
        <v>45943</v>
      </c>
      <c r="G1270" s="101">
        <f t="shared" si="102"/>
        <v>49</v>
      </c>
      <c r="H1270" s="102">
        <f t="shared" si="100"/>
        <v>0</v>
      </c>
    </row>
    <row r="1271" spans="4:8" x14ac:dyDescent="0.3">
      <c r="D1271" s="99" t="s">
        <v>2570</v>
      </c>
      <c r="E1271" s="100">
        <v>45943</v>
      </c>
      <c r="F1271" s="100">
        <f t="shared" si="101"/>
        <v>45960</v>
      </c>
      <c r="G1271" s="101">
        <f t="shared" si="102"/>
        <v>17</v>
      </c>
      <c r="H1271" s="102">
        <f t="shared" si="100"/>
        <v>1</v>
      </c>
    </row>
    <row r="1272" spans="4:8" x14ac:dyDescent="0.3">
      <c r="D1272" s="99" t="s">
        <v>2570</v>
      </c>
      <c r="E1272" s="100">
        <v>45960</v>
      </c>
      <c r="F1272" s="100">
        <f t="shared" si="101"/>
        <v>46013</v>
      </c>
      <c r="G1272" s="101">
        <f t="shared" si="102"/>
        <v>53</v>
      </c>
      <c r="H1272" s="102">
        <f t="shared" si="100"/>
        <v>0</v>
      </c>
    </row>
    <row r="1273" spans="4:8" x14ac:dyDescent="0.3">
      <c r="D1273" s="99" t="s">
        <v>2570</v>
      </c>
      <c r="E1273" s="100">
        <v>46013</v>
      </c>
      <c r="F1273" s="100" t="str">
        <f t="shared" si="101"/>
        <v/>
      </c>
      <c r="G1273" s="101" t="str">
        <f t="shared" si="102"/>
        <v/>
      </c>
      <c r="H1273" s="102" t="str">
        <f t="shared" si="100"/>
        <v/>
      </c>
    </row>
    <row r="1274" spans="4:8" x14ac:dyDescent="0.3">
      <c r="D1274" s="99" t="s">
        <v>2571</v>
      </c>
      <c r="E1274" s="100">
        <v>45677</v>
      </c>
      <c r="F1274" s="100" t="str">
        <f t="shared" si="101"/>
        <v/>
      </c>
      <c r="G1274" s="101" t="str">
        <f t="shared" si="102"/>
        <v/>
      </c>
      <c r="H1274" s="102" t="str">
        <f t="shared" si="100"/>
        <v/>
      </c>
    </row>
    <row r="1275" spans="4:8" x14ac:dyDescent="0.3">
      <c r="D1275" s="99" t="s">
        <v>2572</v>
      </c>
      <c r="E1275" s="100">
        <v>45728</v>
      </c>
      <c r="F1275" s="100">
        <f t="shared" si="101"/>
        <v>45742</v>
      </c>
      <c r="G1275" s="101">
        <f t="shared" si="102"/>
        <v>14</v>
      </c>
      <c r="H1275" s="102">
        <f t="shared" si="100"/>
        <v>1</v>
      </c>
    </row>
    <row r="1276" spans="4:8" x14ac:dyDescent="0.3">
      <c r="D1276" s="99" t="s">
        <v>2572</v>
      </c>
      <c r="E1276" s="100">
        <v>45742</v>
      </c>
      <c r="F1276" s="100" t="str">
        <f t="shared" si="101"/>
        <v/>
      </c>
      <c r="G1276" s="101" t="str">
        <f t="shared" si="102"/>
        <v/>
      </c>
      <c r="H1276" s="102" t="str">
        <f t="shared" si="100"/>
        <v/>
      </c>
    </row>
    <row r="1277" spans="4:8" x14ac:dyDescent="0.3">
      <c r="D1277" s="99" t="s">
        <v>2573</v>
      </c>
      <c r="E1277" s="100">
        <v>45660</v>
      </c>
      <c r="F1277" s="100" t="str">
        <f t="shared" si="101"/>
        <v/>
      </c>
      <c r="G1277" s="101" t="str">
        <f t="shared" si="102"/>
        <v/>
      </c>
      <c r="H1277" s="102" t="str">
        <f t="shared" si="100"/>
        <v/>
      </c>
    </row>
    <row r="1278" spans="4:8" x14ac:dyDescent="0.3">
      <c r="D1278" s="99" t="s">
        <v>2574</v>
      </c>
      <c r="E1278" s="100">
        <v>45911</v>
      </c>
      <c r="F1278" s="100" t="str">
        <f t="shared" si="101"/>
        <v/>
      </c>
      <c r="G1278" s="101" t="str">
        <f t="shared" si="102"/>
        <v/>
      </c>
      <c r="H1278" s="102" t="str">
        <f t="shared" si="100"/>
        <v/>
      </c>
    </row>
    <row r="1279" spans="4:8" x14ac:dyDescent="0.3">
      <c r="D1279" s="99" t="s">
        <v>2575</v>
      </c>
      <c r="E1279" s="100">
        <v>45758</v>
      </c>
      <c r="F1279" s="100">
        <f t="shared" si="101"/>
        <v>46014</v>
      </c>
      <c r="G1279" s="101">
        <f t="shared" si="102"/>
        <v>256</v>
      </c>
      <c r="H1279" s="102">
        <f t="shared" si="100"/>
        <v>0</v>
      </c>
    </row>
    <row r="1280" spans="4:8" x14ac:dyDescent="0.3">
      <c r="D1280" s="99" t="s">
        <v>2575</v>
      </c>
      <c r="E1280" s="100">
        <v>46014</v>
      </c>
      <c r="F1280" s="100" t="str">
        <f t="shared" si="101"/>
        <v/>
      </c>
      <c r="G1280" s="101" t="str">
        <f t="shared" si="102"/>
        <v/>
      </c>
      <c r="H1280" s="102" t="str">
        <f t="shared" si="100"/>
        <v/>
      </c>
    </row>
    <row r="1281" spans="4:8" x14ac:dyDescent="0.3">
      <c r="D1281" s="99" t="s">
        <v>2576</v>
      </c>
      <c r="E1281" s="100">
        <v>45747</v>
      </c>
      <c r="F1281" s="100">
        <f t="shared" si="101"/>
        <v>45992</v>
      </c>
      <c r="G1281" s="101">
        <f t="shared" si="102"/>
        <v>245</v>
      </c>
      <c r="H1281" s="102">
        <f t="shared" si="100"/>
        <v>0</v>
      </c>
    </row>
    <row r="1282" spans="4:8" x14ac:dyDescent="0.3">
      <c r="D1282" s="99" t="s">
        <v>2576</v>
      </c>
      <c r="E1282" s="100">
        <v>45992</v>
      </c>
      <c r="F1282" s="100" t="str">
        <f t="shared" si="101"/>
        <v/>
      </c>
      <c r="G1282" s="101" t="str">
        <f t="shared" si="102"/>
        <v/>
      </c>
      <c r="H1282" s="102" t="str">
        <f t="shared" si="100"/>
        <v/>
      </c>
    </row>
    <row r="1283" spans="4:8" x14ac:dyDescent="0.3">
      <c r="D1283" s="99" t="s">
        <v>2577</v>
      </c>
      <c r="E1283" s="100">
        <v>45660</v>
      </c>
      <c r="F1283" s="100">
        <f t="shared" si="101"/>
        <v>45833</v>
      </c>
      <c r="G1283" s="101">
        <f t="shared" si="102"/>
        <v>173</v>
      </c>
      <c r="H1283" s="102">
        <f t="shared" si="100"/>
        <v>0</v>
      </c>
    </row>
    <row r="1284" spans="4:8" x14ac:dyDescent="0.3">
      <c r="D1284" s="99" t="s">
        <v>2577</v>
      </c>
      <c r="E1284" s="100">
        <v>45833</v>
      </c>
      <c r="F1284" s="100">
        <f t="shared" si="101"/>
        <v>45847</v>
      </c>
      <c r="G1284" s="101">
        <f t="shared" si="102"/>
        <v>14</v>
      </c>
      <c r="H1284" s="102">
        <f t="shared" si="100"/>
        <v>1</v>
      </c>
    </row>
    <row r="1285" spans="4:8" x14ac:dyDescent="0.3">
      <c r="D1285" s="99" t="s">
        <v>2577</v>
      </c>
      <c r="E1285" s="100">
        <v>45847</v>
      </c>
      <c r="F1285" s="100">
        <f t="shared" si="101"/>
        <v>46015</v>
      </c>
      <c r="G1285" s="101">
        <f t="shared" si="102"/>
        <v>168</v>
      </c>
      <c r="H1285" s="102">
        <f t="shared" si="100"/>
        <v>0</v>
      </c>
    </row>
    <row r="1286" spans="4:8" x14ac:dyDescent="0.3">
      <c r="D1286" s="99" t="s">
        <v>2577</v>
      </c>
      <c r="E1286" s="100">
        <v>46015</v>
      </c>
      <c r="F1286" s="100" t="str">
        <f t="shared" si="101"/>
        <v/>
      </c>
      <c r="G1286" s="101" t="str">
        <f t="shared" si="102"/>
        <v/>
      </c>
      <c r="H1286" s="102" t="str">
        <f t="shared" si="100"/>
        <v/>
      </c>
    </row>
    <row r="1287" spans="4:8" x14ac:dyDescent="0.3">
      <c r="D1287" s="99" t="s">
        <v>2578</v>
      </c>
      <c r="E1287" s="100">
        <v>45666</v>
      </c>
      <c r="F1287" s="100" t="str">
        <f t="shared" si="101"/>
        <v/>
      </c>
      <c r="G1287" s="101" t="str">
        <f t="shared" si="102"/>
        <v/>
      </c>
      <c r="H1287" s="102" t="str">
        <f t="shared" ref="H1287:H1350" si="103">IF(G1287="","",IF(G1287&lt;=return_window,1,0))</f>
        <v/>
      </c>
    </row>
    <row r="1288" spans="4:8" x14ac:dyDescent="0.3">
      <c r="D1288" s="99" t="s">
        <v>2579</v>
      </c>
      <c r="E1288" s="100">
        <v>45769</v>
      </c>
      <c r="F1288" s="100">
        <f t="shared" ref="F1288:F1351" si="104">IF(D1288=D1289,E1289,"")</f>
        <v>45982</v>
      </c>
      <c r="G1288" s="101">
        <f t="shared" ref="G1288:G1351" si="105">IF(F1288="","",F1288-E1288)</f>
        <v>213</v>
      </c>
      <c r="H1288" s="102">
        <f t="shared" si="103"/>
        <v>0</v>
      </c>
    </row>
    <row r="1289" spans="4:8" x14ac:dyDescent="0.3">
      <c r="D1289" s="99" t="s">
        <v>2579</v>
      </c>
      <c r="E1289" s="100">
        <v>45982</v>
      </c>
      <c r="F1289" s="100" t="str">
        <f t="shared" si="104"/>
        <v/>
      </c>
      <c r="G1289" s="101" t="str">
        <f t="shared" si="105"/>
        <v/>
      </c>
      <c r="H1289" s="102" t="str">
        <f t="shared" si="103"/>
        <v/>
      </c>
    </row>
    <row r="1290" spans="4:8" x14ac:dyDescent="0.3">
      <c r="D1290" s="99" t="s">
        <v>2580</v>
      </c>
      <c r="E1290" s="100">
        <v>45819</v>
      </c>
      <c r="F1290" s="100">
        <f t="shared" si="104"/>
        <v>45827</v>
      </c>
      <c r="G1290" s="101">
        <f t="shared" si="105"/>
        <v>8</v>
      </c>
      <c r="H1290" s="102">
        <f t="shared" si="103"/>
        <v>1</v>
      </c>
    </row>
    <row r="1291" spans="4:8" x14ac:dyDescent="0.3">
      <c r="D1291" s="99" t="s">
        <v>2580</v>
      </c>
      <c r="E1291" s="100">
        <v>45827</v>
      </c>
      <c r="F1291" s="100">
        <f t="shared" si="104"/>
        <v>45854</v>
      </c>
      <c r="G1291" s="101">
        <f t="shared" si="105"/>
        <v>27</v>
      </c>
      <c r="H1291" s="102">
        <f t="shared" si="103"/>
        <v>1</v>
      </c>
    </row>
    <row r="1292" spans="4:8" x14ac:dyDescent="0.3">
      <c r="D1292" s="99" t="s">
        <v>2580</v>
      </c>
      <c r="E1292" s="100">
        <v>45854</v>
      </c>
      <c r="F1292" s="100">
        <f t="shared" si="104"/>
        <v>45982</v>
      </c>
      <c r="G1292" s="101">
        <f t="shared" si="105"/>
        <v>128</v>
      </c>
      <c r="H1292" s="102">
        <f t="shared" si="103"/>
        <v>0</v>
      </c>
    </row>
    <row r="1293" spans="4:8" x14ac:dyDescent="0.3">
      <c r="D1293" s="99" t="s">
        <v>2580</v>
      </c>
      <c r="E1293" s="100">
        <v>45982</v>
      </c>
      <c r="F1293" s="100" t="str">
        <f t="shared" si="104"/>
        <v/>
      </c>
      <c r="G1293" s="101" t="str">
        <f t="shared" si="105"/>
        <v/>
      </c>
      <c r="H1293" s="102" t="str">
        <f t="shared" si="103"/>
        <v/>
      </c>
    </row>
    <row r="1294" spans="4:8" x14ac:dyDescent="0.3">
      <c r="D1294" s="99" t="s">
        <v>2581</v>
      </c>
      <c r="E1294" s="100">
        <v>45807</v>
      </c>
      <c r="F1294" s="100" t="str">
        <f t="shared" si="104"/>
        <v/>
      </c>
      <c r="G1294" s="101" t="str">
        <f t="shared" si="105"/>
        <v/>
      </c>
      <c r="H1294" s="102" t="str">
        <f t="shared" si="103"/>
        <v/>
      </c>
    </row>
    <row r="1295" spans="4:8" x14ac:dyDescent="0.3">
      <c r="D1295" s="99" t="s">
        <v>2582</v>
      </c>
      <c r="E1295" s="100">
        <v>45715</v>
      </c>
      <c r="F1295" s="100">
        <f t="shared" si="104"/>
        <v>45744</v>
      </c>
      <c r="G1295" s="101">
        <f t="shared" si="105"/>
        <v>29</v>
      </c>
      <c r="H1295" s="102">
        <f t="shared" si="103"/>
        <v>1</v>
      </c>
    </row>
    <row r="1296" spans="4:8" x14ac:dyDescent="0.3">
      <c r="D1296" s="99" t="s">
        <v>2582</v>
      </c>
      <c r="E1296" s="100">
        <v>45744</v>
      </c>
      <c r="F1296" s="100">
        <f t="shared" si="104"/>
        <v>45763</v>
      </c>
      <c r="G1296" s="101">
        <f t="shared" si="105"/>
        <v>19</v>
      </c>
      <c r="H1296" s="102">
        <f t="shared" si="103"/>
        <v>1</v>
      </c>
    </row>
    <row r="1297" spans="4:8" x14ac:dyDescent="0.3">
      <c r="D1297" s="99" t="s">
        <v>2582</v>
      </c>
      <c r="E1297" s="100">
        <v>45763</v>
      </c>
      <c r="F1297" s="100" t="str">
        <f t="shared" si="104"/>
        <v/>
      </c>
      <c r="G1297" s="101" t="str">
        <f t="shared" si="105"/>
        <v/>
      </c>
      <c r="H1297" s="102" t="str">
        <f t="shared" si="103"/>
        <v/>
      </c>
    </row>
    <row r="1298" spans="4:8" x14ac:dyDescent="0.3">
      <c r="D1298" s="99" t="s">
        <v>2583</v>
      </c>
      <c r="E1298" s="100">
        <v>45698</v>
      </c>
      <c r="F1298" s="100">
        <f t="shared" si="104"/>
        <v>45951</v>
      </c>
      <c r="G1298" s="101">
        <f t="shared" si="105"/>
        <v>253</v>
      </c>
      <c r="H1298" s="102">
        <f t="shared" si="103"/>
        <v>0</v>
      </c>
    </row>
    <row r="1299" spans="4:8" x14ac:dyDescent="0.3">
      <c r="D1299" s="99" t="s">
        <v>2583</v>
      </c>
      <c r="E1299" s="100">
        <v>45951</v>
      </c>
      <c r="F1299" s="100" t="str">
        <f t="shared" si="104"/>
        <v/>
      </c>
      <c r="G1299" s="101" t="str">
        <f t="shared" si="105"/>
        <v/>
      </c>
      <c r="H1299" s="102" t="str">
        <f t="shared" si="103"/>
        <v/>
      </c>
    </row>
    <row r="1300" spans="4:8" x14ac:dyDescent="0.3">
      <c r="D1300" s="99" t="s">
        <v>2584</v>
      </c>
      <c r="E1300" s="100">
        <v>45985</v>
      </c>
      <c r="F1300" s="100">
        <f t="shared" si="104"/>
        <v>45988</v>
      </c>
      <c r="G1300" s="101">
        <f t="shared" si="105"/>
        <v>3</v>
      </c>
      <c r="H1300" s="102">
        <f t="shared" si="103"/>
        <v>1</v>
      </c>
    </row>
    <row r="1301" spans="4:8" x14ac:dyDescent="0.3">
      <c r="D1301" s="99" t="s">
        <v>2584</v>
      </c>
      <c r="E1301" s="100">
        <v>45988</v>
      </c>
      <c r="F1301" s="100" t="str">
        <f t="shared" si="104"/>
        <v/>
      </c>
      <c r="G1301" s="101" t="str">
        <f t="shared" si="105"/>
        <v/>
      </c>
      <c r="H1301" s="102" t="str">
        <f t="shared" si="103"/>
        <v/>
      </c>
    </row>
    <row r="1302" spans="4:8" x14ac:dyDescent="0.3">
      <c r="D1302" s="99" t="s">
        <v>2585</v>
      </c>
      <c r="E1302" s="100">
        <v>45699</v>
      </c>
      <c r="F1302" s="100">
        <f t="shared" si="104"/>
        <v>45769</v>
      </c>
      <c r="G1302" s="101">
        <f t="shared" si="105"/>
        <v>70</v>
      </c>
      <c r="H1302" s="102">
        <f t="shared" si="103"/>
        <v>0</v>
      </c>
    </row>
    <row r="1303" spans="4:8" x14ac:dyDescent="0.3">
      <c r="D1303" s="99" t="s">
        <v>2585</v>
      </c>
      <c r="E1303" s="100">
        <v>45769</v>
      </c>
      <c r="F1303" s="100">
        <f t="shared" si="104"/>
        <v>45911</v>
      </c>
      <c r="G1303" s="101">
        <f t="shared" si="105"/>
        <v>142</v>
      </c>
      <c r="H1303" s="102">
        <f t="shared" si="103"/>
        <v>0</v>
      </c>
    </row>
    <row r="1304" spans="4:8" x14ac:dyDescent="0.3">
      <c r="D1304" s="99" t="s">
        <v>2585</v>
      </c>
      <c r="E1304" s="100">
        <v>45911</v>
      </c>
      <c r="F1304" s="100">
        <f t="shared" si="104"/>
        <v>45952</v>
      </c>
      <c r="G1304" s="101">
        <f t="shared" si="105"/>
        <v>41</v>
      </c>
      <c r="H1304" s="102">
        <f t="shared" si="103"/>
        <v>0</v>
      </c>
    </row>
    <row r="1305" spans="4:8" x14ac:dyDescent="0.3">
      <c r="D1305" s="99" t="s">
        <v>2585</v>
      </c>
      <c r="E1305" s="100">
        <v>45952</v>
      </c>
      <c r="F1305" s="100" t="str">
        <f t="shared" si="104"/>
        <v/>
      </c>
      <c r="G1305" s="101" t="str">
        <f t="shared" si="105"/>
        <v/>
      </c>
      <c r="H1305" s="102" t="str">
        <f t="shared" si="103"/>
        <v/>
      </c>
    </row>
    <row r="1306" spans="4:8" x14ac:dyDescent="0.3">
      <c r="D1306" s="99" t="s">
        <v>2586</v>
      </c>
      <c r="E1306" s="100">
        <v>45740</v>
      </c>
      <c r="F1306" s="100">
        <f t="shared" si="104"/>
        <v>45778</v>
      </c>
      <c r="G1306" s="101">
        <f t="shared" si="105"/>
        <v>38</v>
      </c>
      <c r="H1306" s="102">
        <f t="shared" si="103"/>
        <v>0</v>
      </c>
    </row>
    <row r="1307" spans="4:8" x14ac:dyDescent="0.3">
      <c r="D1307" s="99" t="s">
        <v>2586</v>
      </c>
      <c r="E1307" s="100">
        <v>45778</v>
      </c>
      <c r="F1307" s="100" t="str">
        <f t="shared" si="104"/>
        <v/>
      </c>
      <c r="G1307" s="101" t="str">
        <f t="shared" si="105"/>
        <v/>
      </c>
      <c r="H1307" s="102" t="str">
        <f t="shared" si="103"/>
        <v/>
      </c>
    </row>
    <row r="1308" spans="4:8" x14ac:dyDescent="0.3">
      <c r="D1308" s="99" t="s">
        <v>2587</v>
      </c>
      <c r="E1308" s="100">
        <v>45758</v>
      </c>
      <c r="F1308" s="100">
        <f t="shared" si="104"/>
        <v>45937</v>
      </c>
      <c r="G1308" s="101">
        <f t="shared" si="105"/>
        <v>179</v>
      </c>
      <c r="H1308" s="102">
        <f t="shared" si="103"/>
        <v>0</v>
      </c>
    </row>
    <row r="1309" spans="4:8" x14ac:dyDescent="0.3">
      <c r="D1309" s="99" t="s">
        <v>2587</v>
      </c>
      <c r="E1309" s="100">
        <v>45937</v>
      </c>
      <c r="F1309" s="100">
        <f t="shared" si="104"/>
        <v>45979</v>
      </c>
      <c r="G1309" s="101">
        <f t="shared" si="105"/>
        <v>42</v>
      </c>
      <c r="H1309" s="102">
        <f t="shared" si="103"/>
        <v>0</v>
      </c>
    </row>
    <row r="1310" spans="4:8" x14ac:dyDescent="0.3">
      <c r="D1310" s="99" t="s">
        <v>2587</v>
      </c>
      <c r="E1310" s="100">
        <v>45979</v>
      </c>
      <c r="F1310" s="100" t="str">
        <f t="shared" si="104"/>
        <v/>
      </c>
      <c r="G1310" s="101" t="str">
        <f t="shared" si="105"/>
        <v/>
      </c>
      <c r="H1310" s="102" t="str">
        <f t="shared" si="103"/>
        <v/>
      </c>
    </row>
    <row r="1311" spans="4:8" x14ac:dyDescent="0.3">
      <c r="D1311" s="99" t="s">
        <v>2588</v>
      </c>
      <c r="E1311" s="100">
        <v>45673</v>
      </c>
      <c r="F1311" s="100">
        <f t="shared" si="104"/>
        <v>45782</v>
      </c>
      <c r="G1311" s="101">
        <f t="shared" si="105"/>
        <v>109</v>
      </c>
      <c r="H1311" s="102">
        <f t="shared" si="103"/>
        <v>0</v>
      </c>
    </row>
    <row r="1312" spans="4:8" x14ac:dyDescent="0.3">
      <c r="D1312" s="99" t="s">
        <v>2588</v>
      </c>
      <c r="E1312" s="100">
        <v>45782</v>
      </c>
      <c r="F1312" s="100">
        <f t="shared" si="104"/>
        <v>45821</v>
      </c>
      <c r="G1312" s="101">
        <f t="shared" si="105"/>
        <v>39</v>
      </c>
      <c r="H1312" s="102">
        <f t="shared" si="103"/>
        <v>0</v>
      </c>
    </row>
    <row r="1313" spans="4:8" x14ac:dyDescent="0.3">
      <c r="D1313" s="99" t="s">
        <v>2588</v>
      </c>
      <c r="E1313" s="100">
        <v>45821</v>
      </c>
      <c r="F1313" s="100">
        <f t="shared" si="104"/>
        <v>45938</v>
      </c>
      <c r="G1313" s="101">
        <f t="shared" si="105"/>
        <v>117</v>
      </c>
      <c r="H1313" s="102">
        <f t="shared" si="103"/>
        <v>0</v>
      </c>
    </row>
    <row r="1314" spans="4:8" x14ac:dyDescent="0.3">
      <c r="D1314" s="99" t="s">
        <v>2588</v>
      </c>
      <c r="E1314" s="100">
        <v>45938</v>
      </c>
      <c r="F1314" s="100" t="str">
        <f t="shared" si="104"/>
        <v/>
      </c>
      <c r="G1314" s="101" t="str">
        <f t="shared" si="105"/>
        <v/>
      </c>
      <c r="H1314" s="102" t="str">
        <f t="shared" si="103"/>
        <v/>
      </c>
    </row>
    <row r="1315" spans="4:8" x14ac:dyDescent="0.3">
      <c r="D1315" s="99" t="s">
        <v>2589</v>
      </c>
      <c r="E1315" s="100">
        <v>45775</v>
      </c>
      <c r="F1315" s="100">
        <f t="shared" si="104"/>
        <v>45874</v>
      </c>
      <c r="G1315" s="101">
        <f t="shared" si="105"/>
        <v>99</v>
      </c>
      <c r="H1315" s="102">
        <f t="shared" si="103"/>
        <v>0</v>
      </c>
    </row>
    <row r="1316" spans="4:8" x14ac:dyDescent="0.3">
      <c r="D1316" s="99" t="s">
        <v>2589</v>
      </c>
      <c r="E1316" s="100">
        <v>45874</v>
      </c>
      <c r="F1316" s="100">
        <f t="shared" si="104"/>
        <v>46008</v>
      </c>
      <c r="G1316" s="101">
        <f t="shared" si="105"/>
        <v>134</v>
      </c>
      <c r="H1316" s="102">
        <f t="shared" si="103"/>
        <v>0</v>
      </c>
    </row>
    <row r="1317" spans="4:8" x14ac:dyDescent="0.3">
      <c r="D1317" s="99" t="s">
        <v>2589</v>
      </c>
      <c r="E1317" s="100">
        <v>46008</v>
      </c>
      <c r="F1317" s="100" t="str">
        <f t="shared" si="104"/>
        <v/>
      </c>
      <c r="G1317" s="101" t="str">
        <f t="shared" si="105"/>
        <v/>
      </c>
      <c r="H1317" s="102" t="str">
        <f t="shared" si="103"/>
        <v/>
      </c>
    </row>
    <row r="1318" spans="4:8" x14ac:dyDescent="0.3">
      <c r="D1318" s="99" t="s">
        <v>2590</v>
      </c>
      <c r="E1318" s="100">
        <v>45750</v>
      </c>
      <c r="F1318" s="100" t="str">
        <f t="shared" si="104"/>
        <v/>
      </c>
      <c r="G1318" s="101" t="str">
        <f t="shared" si="105"/>
        <v/>
      </c>
      <c r="H1318" s="102" t="str">
        <f t="shared" si="103"/>
        <v/>
      </c>
    </row>
    <row r="1319" spans="4:8" x14ac:dyDescent="0.3">
      <c r="D1319" s="99" t="s">
        <v>2591</v>
      </c>
      <c r="E1319" s="100">
        <v>45678</v>
      </c>
      <c r="F1319" s="100">
        <f t="shared" si="104"/>
        <v>45721</v>
      </c>
      <c r="G1319" s="101">
        <f t="shared" si="105"/>
        <v>43</v>
      </c>
      <c r="H1319" s="102">
        <f t="shared" si="103"/>
        <v>0</v>
      </c>
    </row>
    <row r="1320" spans="4:8" x14ac:dyDescent="0.3">
      <c r="D1320" s="99" t="s">
        <v>2591</v>
      </c>
      <c r="E1320" s="100">
        <v>45721</v>
      </c>
      <c r="F1320" s="100">
        <f t="shared" si="104"/>
        <v>45748</v>
      </c>
      <c r="G1320" s="101">
        <f t="shared" si="105"/>
        <v>27</v>
      </c>
      <c r="H1320" s="102">
        <f t="shared" si="103"/>
        <v>1</v>
      </c>
    </row>
    <row r="1321" spans="4:8" x14ac:dyDescent="0.3">
      <c r="D1321" s="99" t="s">
        <v>2591</v>
      </c>
      <c r="E1321" s="100">
        <v>45748</v>
      </c>
      <c r="F1321" s="100">
        <f t="shared" si="104"/>
        <v>45754</v>
      </c>
      <c r="G1321" s="101">
        <f t="shared" si="105"/>
        <v>6</v>
      </c>
      <c r="H1321" s="102">
        <f t="shared" si="103"/>
        <v>1</v>
      </c>
    </row>
    <row r="1322" spans="4:8" x14ac:dyDescent="0.3">
      <c r="D1322" s="99" t="s">
        <v>2591</v>
      </c>
      <c r="E1322" s="100">
        <v>45754</v>
      </c>
      <c r="F1322" s="100" t="str">
        <f t="shared" si="104"/>
        <v/>
      </c>
      <c r="G1322" s="101" t="str">
        <f t="shared" si="105"/>
        <v/>
      </c>
      <c r="H1322" s="102" t="str">
        <f t="shared" si="103"/>
        <v/>
      </c>
    </row>
    <row r="1323" spans="4:8" x14ac:dyDescent="0.3">
      <c r="D1323" s="99" t="s">
        <v>2592</v>
      </c>
      <c r="E1323" s="100">
        <v>45875</v>
      </c>
      <c r="F1323" s="100">
        <f t="shared" si="104"/>
        <v>45939</v>
      </c>
      <c r="G1323" s="101">
        <f t="shared" si="105"/>
        <v>64</v>
      </c>
      <c r="H1323" s="102">
        <f t="shared" si="103"/>
        <v>0</v>
      </c>
    </row>
    <row r="1324" spans="4:8" x14ac:dyDescent="0.3">
      <c r="D1324" s="99" t="s">
        <v>2592</v>
      </c>
      <c r="E1324" s="100">
        <v>45939</v>
      </c>
      <c r="F1324" s="100">
        <f t="shared" si="104"/>
        <v>46010</v>
      </c>
      <c r="G1324" s="101">
        <f t="shared" si="105"/>
        <v>71</v>
      </c>
      <c r="H1324" s="102">
        <f t="shared" si="103"/>
        <v>0</v>
      </c>
    </row>
    <row r="1325" spans="4:8" x14ac:dyDescent="0.3">
      <c r="D1325" s="99" t="s">
        <v>2592</v>
      </c>
      <c r="E1325" s="100">
        <v>46010</v>
      </c>
      <c r="F1325" s="100" t="str">
        <f t="shared" si="104"/>
        <v/>
      </c>
      <c r="G1325" s="101" t="str">
        <f t="shared" si="105"/>
        <v/>
      </c>
      <c r="H1325" s="102" t="str">
        <f t="shared" si="103"/>
        <v/>
      </c>
    </row>
    <row r="1326" spans="4:8" x14ac:dyDescent="0.3">
      <c r="D1326" s="99" t="s">
        <v>2593</v>
      </c>
      <c r="E1326" s="100">
        <v>45722</v>
      </c>
      <c r="F1326" s="100" t="str">
        <f t="shared" si="104"/>
        <v/>
      </c>
      <c r="G1326" s="101" t="str">
        <f t="shared" si="105"/>
        <v/>
      </c>
      <c r="H1326" s="102" t="str">
        <f t="shared" si="103"/>
        <v/>
      </c>
    </row>
    <row r="1327" spans="4:8" x14ac:dyDescent="0.3">
      <c r="D1327" s="99" t="s">
        <v>2594</v>
      </c>
      <c r="E1327" s="100">
        <v>45769</v>
      </c>
      <c r="F1327" s="100" t="str">
        <f t="shared" si="104"/>
        <v/>
      </c>
      <c r="G1327" s="101" t="str">
        <f t="shared" si="105"/>
        <v/>
      </c>
      <c r="H1327" s="102" t="str">
        <f t="shared" si="103"/>
        <v/>
      </c>
    </row>
    <row r="1328" spans="4:8" x14ac:dyDescent="0.3">
      <c r="D1328" s="99" t="s">
        <v>2595</v>
      </c>
      <c r="E1328" s="100">
        <v>45987</v>
      </c>
      <c r="F1328" s="100" t="str">
        <f t="shared" si="104"/>
        <v/>
      </c>
      <c r="G1328" s="101" t="str">
        <f t="shared" si="105"/>
        <v/>
      </c>
      <c r="H1328" s="102" t="str">
        <f t="shared" si="103"/>
        <v/>
      </c>
    </row>
    <row r="1329" spans="4:8" x14ac:dyDescent="0.3">
      <c r="D1329" s="99" t="s">
        <v>2596</v>
      </c>
      <c r="E1329" s="100">
        <v>45663</v>
      </c>
      <c r="F1329" s="100" t="str">
        <f t="shared" si="104"/>
        <v/>
      </c>
      <c r="G1329" s="101" t="str">
        <f t="shared" si="105"/>
        <v/>
      </c>
      <c r="H1329" s="102" t="str">
        <f t="shared" si="103"/>
        <v/>
      </c>
    </row>
    <row r="1330" spans="4:8" x14ac:dyDescent="0.3">
      <c r="D1330" s="99" t="s">
        <v>2597</v>
      </c>
      <c r="E1330" s="100">
        <v>45744</v>
      </c>
      <c r="F1330" s="100">
        <f t="shared" si="104"/>
        <v>45842</v>
      </c>
      <c r="G1330" s="101">
        <f t="shared" si="105"/>
        <v>98</v>
      </c>
      <c r="H1330" s="102">
        <f t="shared" si="103"/>
        <v>0</v>
      </c>
    </row>
    <row r="1331" spans="4:8" x14ac:dyDescent="0.3">
      <c r="D1331" s="99" t="s">
        <v>2597</v>
      </c>
      <c r="E1331" s="100">
        <v>45842</v>
      </c>
      <c r="F1331" s="100" t="str">
        <f t="shared" si="104"/>
        <v/>
      </c>
      <c r="G1331" s="101" t="str">
        <f t="shared" si="105"/>
        <v/>
      </c>
      <c r="H1331" s="102" t="str">
        <f t="shared" si="103"/>
        <v/>
      </c>
    </row>
    <row r="1332" spans="4:8" x14ac:dyDescent="0.3">
      <c r="D1332" s="99" t="s">
        <v>2598</v>
      </c>
      <c r="E1332" s="100">
        <v>45714</v>
      </c>
      <c r="F1332" s="100">
        <f t="shared" si="104"/>
        <v>45827</v>
      </c>
      <c r="G1332" s="101">
        <f t="shared" si="105"/>
        <v>113</v>
      </c>
      <c r="H1332" s="102">
        <f t="shared" si="103"/>
        <v>0</v>
      </c>
    </row>
    <row r="1333" spans="4:8" x14ac:dyDescent="0.3">
      <c r="D1333" s="99" t="s">
        <v>2598</v>
      </c>
      <c r="E1333" s="100">
        <v>45827</v>
      </c>
      <c r="F1333" s="100">
        <f t="shared" si="104"/>
        <v>45894</v>
      </c>
      <c r="G1333" s="101">
        <f t="shared" si="105"/>
        <v>67</v>
      </c>
      <c r="H1333" s="102">
        <f t="shared" si="103"/>
        <v>0</v>
      </c>
    </row>
    <row r="1334" spans="4:8" x14ac:dyDescent="0.3">
      <c r="D1334" s="99" t="s">
        <v>2598</v>
      </c>
      <c r="E1334" s="100">
        <v>45894</v>
      </c>
      <c r="F1334" s="100">
        <f t="shared" si="104"/>
        <v>46000</v>
      </c>
      <c r="G1334" s="101">
        <f t="shared" si="105"/>
        <v>106</v>
      </c>
      <c r="H1334" s="102">
        <f t="shared" si="103"/>
        <v>0</v>
      </c>
    </row>
    <row r="1335" spans="4:8" x14ac:dyDescent="0.3">
      <c r="D1335" s="99" t="s">
        <v>2598</v>
      </c>
      <c r="E1335" s="100">
        <v>46000</v>
      </c>
      <c r="F1335" s="100" t="str">
        <f t="shared" si="104"/>
        <v/>
      </c>
      <c r="G1335" s="101" t="str">
        <f t="shared" si="105"/>
        <v/>
      </c>
      <c r="H1335" s="102" t="str">
        <f t="shared" si="103"/>
        <v/>
      </c>
    </row>
    <row r="1336" spans="4:8" x14ac:dyDescent="0.3">
      <c r="D1336" s="99" t="s">
        <v>2599</v>
      </c>
      <c r="E1336" s="100">
        <v>45754</v>
      </c>
      <c r="F1336" s="100">
        <f t="shared" si="104"/>
        <v>45868</v>
      </c>
      <c r="G1336" s="101">
        <f t="shared" si="105"/>
        <v>114</v>
      </c>
      <c r="H1336" s="102">
        <f t="shared" si="103"/>
        <v>0</v>
      </c>
    </row>
    <row r="1337" spans="4:8" x14ac:dyDescent="0.3">
      <c r="D1337" s="99" t="s">
        <v>2599</v>
      </c>
      <c r="E1337" s="100">
        <v>45868</v>
      </c>
      <c r="F1337" s="100">
        <f t="shared" si="104"/>
        <v>45940</v>
      </c>
      <c r="G1337" s="101">
        <f t="shared" si="105"/>
        <v>72</v>
      </c>
      <c r="H1337" s="102">
        <f t="shared" si="103"/>
        <v>0</v>
      </c>
    </row>
    <row r="1338" spans="4:8" x14ac:dyDescent="0.3">
      <c r="D1338" s="99" t="s">
        <v>2599</v>
      </c>
      <c r="E1338" s="100">
        <v>45940</v>
      </c>
      <c r="F1338" s="100" t="str">
        <f t="shared" si="104"/>
        <v/>
      </c>
      <c r="G1338" s="101" t="str">
        <f t="shared" si="105"/>
        <v/>
      </c>
      <c r="H1338" s="102" t="str">
        <f t="shared" si="103"/>
        <v/>
      </c>
    </row>
    <row r="1339" spans="4:8" x14ac:dyDescent="0.3">
      <c r="D1339" s="99" t="s">
        <v>2600</v>
      </c>
      <c r="E1339" s="100">
        <v>45742</v>
      </c>
      <c r="F1339" s="100" t="str">
        <f t="shared" si="104"/>
        <v/>
      </c>
      <c r="G1339" s="101" t="str">
        <f t="shared" si="105"/>
        <v/>
      </c>
      <c r="H1339" s="102" t="str">
        <f t="shared" si="103"/>
        <v/>
      </c>
    </row>
    <row r="1340" spans="4:8" x14ac:dyDescent="0.3">
      <c r="D1340" s="99" t="s">
        <v>2601</v>
      </c>
      <c r="E1340" s="100">
        <v>45715</v>
      </c>
      <c r="F1340" s="100">
        <f t="shared" si="104"/>
        <v>45785</v>
      </c>
      <c r="G1340" s="101">
        <f t="shared" si="105"/>
        <v>70</v>
      </c>
      <c r="H1340" s="102">
        <f t="shared" si="103"/>
        <v>0</v>
      </c>
    </row>
    <row r="1341" spans="4:8" x14ac:dyDescent="0.3">
      <c r="D1341" s="99" t="s">
        <v>2601</v>
      </c>
      <c r="E1341" s="100">
        <v>45785</v>
      </c>
      <c r="F1341" s="100">
        <f t="shared" si="104"/>
        <v>45960</v>
      </c>
      <c r="G1341" s="101">
        <f t="shared" si="105"/>
        <v>175</v>
      </c>
      <c r="H1341" s="102">
        <f t="shared" si="103"/>
        <v>0</v>
      </c>
    </row>
    <row r="1342" spans="4:8" x14ac:dyDescent="0.3">
      <c r="D1342" s="99" t="s">
        <v>2601</v>
      </c>
      <c r="E1342" s="100">
        <v>45960</v>
      </c>
      <c r="F1342" s="100" t="str">
        <f t="shared" si="104"/>
        <v/>
      </c>
      <c r="G1342" s="101" t="str">
        <f t="shared" si="105"/>
        <v/>
      </c>
      <c r="H1342" s="102" t="str">
        <f t="shared" si="103"/>
        <v/>
      </c>
    </row>
    <row r="1343" spans="4:8" x14ac:dyDescent="0.3">
      <c r="D1343" s="99" t="s">
        <v>2602</v>
      </c>
      <c r="E1343" s="100">
        <v>45722</v>
      </c>
      <c r="F1343" s="100">
        <f t="shared" si="104"/>
        <v>46000</v>
      </c>
      <c r="G1343" s="101">
        <f t="shared" si="105"/>
        <v>278</v>
      </c>
      <c r="H1343" s="102">
        <f t="shared" si="103"/>
        <v>0</v>
      </c>
    </row>
    <row r="1344" spans="4:8" x14ac:dyDescent="0.3">
      <c r="D1344" s="99" t="s">
        <v>2602</v>
      </c>
      <c r="E1344" s="100">
        <v>46000</v>
      </c>
      <c r="F1344" s="100" t="str">
        <f t="shared" si="104"/>
        <v/>
      </c>
      <c r="G1344" s="101" t="str">
        <f t="shared" si="105"/>
        <v/>
      </c>
      <c r="H1344" s="102" t="str">
        <f t="shared" si="103"/>
        <v/>
      </c>
    </row>
    <row r="1345" spans="4:8" x14ac:dyDescent="0.3">
      <c r="D1345" s="99" t="s">
        <v>2603</v>
      </c>
      <c r="E1345" s="100">
        <v>45672</v>
      </c>
      <c r="F1345" s="100">
        <f t="shared" si="104"/>
        <v>45790</v>
      </c>
      <c r="G1345" s="101">
        <f t="shared" si="105"/>
        <v>118</v>
      </c>
      <c r="H1345" s="102">
        <f t="shared" si="103"/>
        <v>0</v>
      </c>
    </row>
    <row r="1346" spans="4:8" x14ac:dyDescent="0.3">
      <c r="D1346" s="99" t="s">
        <v>2603</v>
      </c>
      <c r="E1346" s="100">
        <v>45790</v>
      </c>
      <c r="F1346" s="100" t="str">
        <f t="shared" si="104"/>
        <v/>
      </c>
      <c r="G1346" s="101" t="str">
        <f t="shared" si="105"/>
        <v/>
      </c>
      <c r="H1346" s="102" t="str">
        <f t="shared" si="103"/>
        <v/>
      </c>
    </row>
    <row r="1347" spans="4:8" x14ac:dyDescent="0.3">
      <c r="D1347" s="99" t="s">
        <v>2604</v>
      </c>
      <c r="E1347" s="100">
        <v>45726</v>
      </c>
      <c r="F1347" s="100">
        <f t="shared" si="104"/>
        <v>45751</v>
      </c>
      <c r="G1347" s="101">
        <f t="shared" si="105"/>
        <v>25</v>
      </c>
      <c r="H1347" s="102">
        <f t="shared" si="103"/>
        <v>1</v>
      </c>
    </row>
    <row r="1348" spans="4:8" x14ac:dyDescent="0.3">
      <c r="D1348" s="99" t="s">
        <v>2604</v>
      </c>
      <c r="E1348" s="100">
        <v>45751</v>
      </c>
      <c r="F1348" s="100">
        <f t="shared" si="104"/>
        <v>45817</v>
      </c>
      <c r="G1348" s="101">
        <f t="shared" si="105"/>
        <v>66</v>
      </c>
      <c r="H1348" s="102">
        <f t="shared" si="103"/>
        <v>0</v>
      </c>
    </row>
    <row r="1349" spans="4:8" x14ac:dyDescent="0.3">
      <c r="D1349" s="99" t="s">
        <v>2604</v>
      </c>
      <c r="E1349" s="100">
        <v>45817</v>
      </c>
      <c r="F1349" s="100">
        <f t="shared" si="104"/>
        <v>45965</v>
      </c>
      <c r="G1349" s="101">
        <f t="shared" si="105"/>
        <v>148</v>
      </c>
      <c r="H1349" s="102">
        <f t="shared" si="103"/>
        <v>0</v>
      </c>
    </row>
    <row r="1350" spans="4:8" x14ac:dyDescent="0.3">
      <c r="D1350" s="99" t="s">
        <v>2604</v>
      </c>
      <c r="E1350" s="100">
        <v>45965</v>
      </c>
      <c r="F1350" s="100" t="str">
        <f t="shared" si="104"/>
        <v/>
      </c>
      <c r="G1350" s="101" t="str">
        <f t="shared" si="105"/>
        <v/>
      </c>
      <c r="H1350" s="102" t="str">
        <f t="shared" si="103"/>
        <v/>
      </c>
    </row>
    <row r="1351" spans="4:8" x14ac:dyDescent="0.3">
      <c r="D1351" s="99" t="s">
        <v>2605</v>
      </c>
      <c r="E1351" s="100">
        <v>45945</v>
      </c>
      <c r="F1351" s="100">
        <f t="shared" si="104"/>
        <v>45952</v>
      </c>
      <c r="G1351" s="101">
        <f t="shared" si="105"/>
        <v>7</v>
      </c>
      <c r="H1351" s="102">
        <f t="shared" ref="H1351:H1414" si="106">IF(G1351="","",IF(G1351&lt;=return_window,1,0))</f>
        <v>1</v>
      </c>
    </row>
    <row r="1352" spans="4:8" x14ac:dyDescent="0.3">
      <c r="D1352" s="99" t="s">
        <v>2605</v>
      </c>
      <c r="E1352" s="100">
        <v>45952</v>
      </c>
      <c r="F1352" s="100" t="str">
        <f t="shared" ref="F1352:F1415" si="107">IF(D1352=D1353,E1353,"")</f>
        <v/>
      </c>
      <c r="G1352" s="101" t="str">
        <f t="shared" ref="G1352:G1415" si="108">IF(F1352="","",F1352-E1352)</f>
        <v/>
      </c>
      <c r="H1352" s="102" t="str">
        <f t="shared" si="106"/>
        <v/>
      </c>
    </row>
    <row r="1353" spans="4:8" x14ac:dyDescent="0.3">
      <c r="D1353" s="99" t="s">
        <v>2606</v>
      </c>
      <c r="E1353" s="100">
        <v>46015</v>
      </c>
      <c r="F1353" s="100" t="str">
        <f t="shared" si="107"/>
        <v/>
      </c>
      <c r="G1353" s="101" t="str">
        <f t="shared" si="108"/>
        <v/>
      </c>
      <c r="H1353" s="102" t="str">
        <f t="shared" si="106"/>
        <v/>
      </c>
    </row>
    <row r="1354" spans="4:8" x14ac:dyDescent="0.3">
      <c r="D1354" s="99" t="s">
        <v>2607</v>
      </c>
      <c r="E1354" s="100">
        <v>45798</v>
      </c>
      <c r="F1354" s="100">
        <f t="shared" si="107"/>
        <v>45944</v>
      </c>
      <c r="G1354" s="101">
        <f t="shared" si="108"/>
        <v>146</v>
      </c>
      <c r="H1354" s="102">
        <f t="shared" si="106"/>
        <v>0</v>
      </c>
    </row>
    <row r="1355" spans="4:8" x14ac:dyDescent="0.3">
      <c r="D1355" s="99" t="s">
        <v>2607</v>
      </c>
      <c r="E1355" s="100">
        <v>45944</v>
      </c>
      <c r="F1355" s="100" t="str">
        <f t="shared" si="107"/>
        <v/>
      </c>
      <c r="G1355" s="101" t="str">
        <f t="shared" si="108"/>
        <v/>
      </c>
      <c r="H1355" s="102" t="str">
        <f t="shared" si="106"/>
        <v/>
      </c>
    </row>
    <row r="1356" spans="4:8" x14ac:dyDescent="0.3">
      <c r="D1356" s="99" t="s">
        <v>2608</v>
      </c>
      <c r="E1356" s="100">
        <v>45693</v>
      </c>
      <c r="F1356" s="100">
        <f t="shared" si="107"/>
        <v>45698</v>
      </c>
      <c r="G1356" s="101">
        <f t="shared" si="108"/>
        <v>5</v>
      </c>
      <c r="H1356" s="102">
        <f t="shared" si="106"/>
        <v>1</v>
      </c>
    </row>
    <row r="1357" spans="4:8" x14ac:dyDescent="0.3">
      <c r="D1357" s="99" t="s">
        <v>2608</v>
      </c>
      <c r="E1357" s="100">
        <v>45698</v>
      </c>
      <c r="F1357" s="100">
        <f t="shared" si="107"/>
        <v>45951</v>
      </c>
      <c r="G1357" s="101">
        <f t="shared" si="108"/>
        <v>253</v>
      </c>
      <c r="H1357" s="102">
        <f t="shared" si="106"/>
        <v>0</v>
      </c>
    </row>
    <row r="1358" spans="4:8" x14ac:dyDescent="0.3">
      <c r="D1358" s="99" t="s">
        <v>2608</v>
      </c>
      <c r="E1358" s="100">
        <v>45951</v>
      </c>
      <c r="F1358" s="100" t="str">
        <f t="shared" si="107"/>
        <v/>
      </c>
      <c r="G1358" s="101" t="str">
        <f t="shared" si="108"/>
        <v/>
      </c>
      <c r="H1358" s="102" t="str">
        <f t="shared" si="106"/>
        <v/>
      </c>
    </row>
    <row r="1359" spans="4:8" x14ac:dyDescent="0.3">
      <c r="D1359" s="99" t="s">
        <v>2609</v>
      </c>
      <c r="E1359" s="100">
        <v>45677</v>
      </c>
      <c r="F1359" s="100">
        <f t="shared" si="107"/>
        <v>45779</v>
      </c>
      <c r="G1359" s="101">
        <f t="shared" si="108"/>
        <v>102</v>
      </c>
      <c r="H1359" s="102">
        <f t="shared" si="106"/>
        <v>0</v>
      </c>
    </row>
    <row r="1360" spans="4:8" x14ac:dyDescent="0.3">
      <c r="D1360" s="99" t="s">
        <v>2609</v>
      </c>
      <c r="E1360" s="100">
        <v>45779</v>
      </c>
      <c r="F1360" s="100" t="str">
        <f t="shared" si="107"/>
        <v/>
      </c>
      <c r="G1360" s="101" t="str">
        <f t="shared" si="108"/>
        <v/>
      </c>
      <c r="H1360" s="102" t="str">
        <f t="shared" si="106"/>
        <v/>
      </c>
    </row>
    <row r="1361" spans="4:8" x14ac:dyDescent="0.3">
      <c r="D1361" s="99" t="s">
        <v>2610</v>
      </c>
      <c r="E1361" s="100">
        <v>46008</v>
      </c>
      <c r="F1361" s="100" t="str">
        <f t="shared" si="107"/>
        <v/>
      </c>
      <c r="G1361" s="101" t="str">
        <f t="shared" si="108"/>
        <v/>
      </c>
      <c r="H1361" s="102" t="str">
        <f t="shared" si="106"/>
        <v/>
      </c>
    </row>
    <row r="1362" spans="4:8" x14ac:dyDescent="0.3">
      <c r="D1362" s="99" t="s">
        <v>2611</v>
      </c>
      <c r="E1362" s="100">
        <v>46008</v>
      </c>
      <c r="F1362" s="100" t="str">
        <f t="shared" si="107"/>
        <v/>
      </c>
      <c r="G1362" s="101" t="str">
        <f t="shared" si="108"/>
        <v/>
      </c>
      <c r="H1362" s="102" t="str">
        <f t="shared" si="106"/>
        <v/>
      </c>
    </row>
    <row r="1363" spans="4:8" x14ac:dyDescent="0.3">
      <c r="D1363" s="99" t="s">
        <v>2612</v>
      </c>
      <c r="E1363" s="100">
        <v>45944</v>
      </c>
      <c r="F1363" s="100">
        <f t="shared" si="107"/>
        <v>46016</v>
      </c>
      <c r="G1363" s="101">
        <f t="shared" si="108"/>
        <v>72</v>
      </c>
      <c r="H1363" s="102">
        <f t="shared" si="106"/>
        <v>0</v>
      </c>
    </row>
    <row r="1364" spans="4:8" x14ac:dyDescent="0.3">
      <c r="D1364" s="99" t="s">
        <v>2612</v>
      </c>
      <c r="E1364" s="100">
        <v>46016</v>
      </c>
      <c r="F1364" s="100">
        <f t="shared" si="107"/>
        <v>46017</v>
      </c>
      <c r="G1364" s="101">
        <f t="shared" si="108"/>
        <v>1</v>
      </c>
      <c r="H1364" s="102">
        <f t="shared" si="106"/>
        <v>1</v>
      </c>
    </row>
    <row r="1365" spans="4:8" x14ac:dyDescent="0.3">
      <c r="D1365" s="99" t="s">
        <v>2612</v>
      </c>
      <c r="E1365" s="100">
        <v>46017</v>
      </c>
      <c r="F1365" s="100" t="str">
        <f t="shared" si="107"/>
        <v/>
      </c>
      <c r="G1365" s="101" t="str">
        <f t="shared" si="108"/>
        <v/>
      </c>
      <c r="H1365" s="102" t="str">
        <f t="shared" si="106"/>
        <v/>
      </c>
    </row>
    <row r="1366" spans="4:8" x14ac:dyDescent="0.3">
      <c r="D1366" s="99" t="s">
        <v>2613</v>
      </c>
      <c r="E1366" s="100">
        <v>45663</v>
      </c>
      <c r="F1366" s="100" t="str">
        <f t="shared" si="107"/>
        <v/>
      </c>
      <c r="G1366" s="101" t="str">
        <f t="shared" si="108"/>
        <v/>
      </c>
      <c r="H1366" s="102" t="str">
        <f t="shared" si="106"/>
        <v/>
      </c>
    </row>
    <row r="1367" spans="4:8" x14ac:dyDescent="0.3">
      <c r="D1367" s="99" t="s">
        <v>2614</v>
      </c>
      <c r="E1367" s="100">
        <v>45943</v>
      </c>
      <c r="F1367" s="100" t="str">
        <f t="shared" si="107"/>
        <v/>
      </c>
      <c r="G1367" s="101" t="str">
        <f t="shared" si="108"/>
        <v/>
      </c>
      <c r="H1367" s="102" t="str">
        <f t="shared" si="106"/>
        <v/>
      </c>
    </row>
    <row r="1368" spans="4:8" x14ac:dyDescent="0.3">
      <c r="D1368" s="99" t="s">
        <v>2615</v>
      </c>
      <c r="E1368" s="100">
        <v>45820</v>
      </c>
      <c r="F1368" s="100" t="str">
        <f t="shared" si="107"/>
        <v/>
      </c>
      <c r="G1368" s="101" t="str">
        <f t="shared" si="108"/>
        <v/>
      </c>
      <c r="H1368" s="102" t="str">
        <f t="shared" si="106"/>
        <v/>
      </c>
    </row>
    <row r="1369" spans="4:8" x14ac:dyDescent="0.3">
      <c r="D1369" s="99" t="s">
        <v>2616</v>
      </c>
      <c r="E1369" s="100">
        <v>45852</v>
      </c>
      <c r="F1369" s="100">
        <f t="shared" si="107"/>
        <v>46021</v>
      </c>
      <c r="G1369" s="101">
        <f t="shared" si="108"/>
        <v>169</v>
      </c>
      <c r="H1369" s="102">
        <f t="shared" si="106"/>
        <v>0</v>
      </c>
    </row>
    <row r="1370" spans="4:8" x14ac:dyDescent="0.3">
      <c r="D1370" s="99" t="s">
        <v>2616</v>
      </c>
      <c r="E1370" s="100">
        <v>46021</v>
      </c>
      <c r="F1370" s="100" t="str">
        <f t="shared" si="107"/>
        <v/>
      </c>
      <c r="G1370" s="101" t="str">
        <f t="shared" si="108"/>
        <v/>
      </c>
      <c r="H1370" s="102" t="str">
        <f t="shared" si="106"/>
        <v/>
      </c>
    </row>
    <row r="1371" spans="4:8" x14ac:dyDescent="0.3">
      <c r="D1371" s="99" t="s">
        <v>2617</v>
      </c>
      <c r="E1371" s="100">
        <v>45931</v>
      </c>
      <c r="F1371" s="100" t="str">
        <f t="shared" si="107"/>
        <v/>
      </c>
      <c r="G1371" s="101" t="str">
        <f t="shared" si="108"/>
        <v/>
      </c>
      <c r="H1371" s="102" t="str">
        <f t="shared" si="106"/>
        <v/>
      </c>
    </row>
    <row r="1372" spans="4:8" x14ac:dyDescent="0.3">
      <c r="D1372" s="99" t="s">
        <v>2618</v>
      </c>
      <c r="E1372" s="100">
        <v>45664</v>
      </c>
      <c r="F1372" s="100">
        <f t="shared" si="107"/>
        <v>45699</v>
      </c>
      <c r="G1372" s="101">
        <f t="shared" si="108"/>
        <v>35</v>
      </c>
      <c r="H1372" s="102">
        <f t="shared" si="106"/>
        <v>0</v>
      </c>
    </row>
    <row r="1373" spans="4:8" x14ac:dyDescent="0.3">
      <c r="D1373" s="99" t="s">
        <v>2618</v>
      </c>
      <c r="E1373" s="100">
        <v>45699</v>
      </c>
      <c r="F1373" s="100">
        <f t="shared" si="107"/>
        <v>45819</v>
      </c>
      <c r="G1373" s="101">
        <f t="shared" si="108"/>
        <v>120</v>
      </c>
      <c r="H1373" s="102">
        <f t="shared" si="106"/>
        <v>0</v>
      </c>
    </row>
    <row r="1374" spans="4:8" x14ac:dyDescent="0.3">
      <c r="D1374" s="99" t="s">
        <v>2618</v>
      </c>
      <c r="E1374" s="100">
        <v>45819</v>
      </c>
      <c r="F1374" s="100">
        <f t="shared" si="107"/>
        <v>45847</v>
      </c>
      <c r="G1374" s="101">
        <f t="shared" si="108"/>
        <v>28</v>
      </c>
      <c r="H1374" s="102">
        <f t="shared" si="106"/>
        <v>1</v>
      </c>
    </row>
    <row r="1375" spans="4:8" x14ac:dyDescent="0.3">
      <c r="D1375" s="99" t="s">
        <v>2618</v>
      </c>
      <c r="E1375" s="100">
        <v>45847</v>
      </c>
      <c r="F1375" s="100">
        <f t="shared" si="107"/>
        <v>45894</v>
      </c>
      <c r="G1375" s="101">
        <f t="shared" si="108"/>
        <v>47</v>
      </c>
      <c r="H1375" s="102">
        <f t="shared" si="106"/>
        <v>0</v>
      </c>
    </row>
    <row r="1376" spans="4:8" x14ac:dyDescent="0.3">
      <c r="D1376" s="99" t="s">
        <v>2618</v>
      </c>
      <c r="E1376" s="100">
        <v>45894</v>
      </c>
      <c r="F1376" s="100">
        <f t="shared" si="107"/>
        <v>45909</v>
      </c>
      <c r="G1376" s="101">
        <f t="shared" si="108"/>
        <v>15</v>
      </c>
      <c r="H1376" s="102">
        <f t="shared" si="106"/>
        <v>1</v>
      </c>
    </row>
    <row r="1377" spans="4:8" x14ac:dyDescent="0.3">
      <c r="D1377" s="99" t="s">
        <v>2618</v>
      </c>
      <c r="E1377" s="100">
        <v>45909</v>
      </c>
      <c r="F1377" s="100">
        <f t="shared" si="107"/>
        <v>45937</v>
      </c>
      <c r="G1377" s="101">
        <f t="shared" si="108"/>
        <v>28</v>
      </c>
      <c r="H1377" s="102">
        <f t="shared" si="106"/>
        <v>1</v>
      </c>
    </row>
    <row r="1378" spans="4:8" x14ac:dyDescent="0.3">
      <c r="D1378" s="99" t="s">
        <v>2618</v>
      </c>
      <c r="E1378" s="100">
        <v>45937</v>
      </c>
      <c r="F1378" s="100">
        <f t="shared" si="107"/>
        <v>45947</v>
      </c>
      <c r="G1378" s="101">
        <f t="shared" si="108"/>
        <v>10</v>
      </c>
      <c r="H1378" s="102">
        <f t="shared" si="106"/>
        <v>1</v>
      </c>
    </row>
    <row r="1379" spans="4:8" x14ac:dyDescent="0.3">
      <c r="D1379" s="99" t="s">
        <v>2618</v>
      </c>
      <c r="E1379" s="100">
        <v>45947</v>
      </c>
      <c r="F1379" s="100" t="str">
        <f t="shared" si="107"/>
        <v/>
      </c>
      <c r="G1379" s="101" t="str">
        <f t="shared" si="108"/>
        <v/>
      </c>
      <c r="H1379" s="102" t="str">
        <f t="shared" si="106"/>
        <v/>
      </c>
    </row>
    <row r="1380" spans="4:8" x14ac:dyDescent="0.3">
      <c r="D1380" s="99" t="s">
        <v>2619</v>
      </c>
      <c r="E1380" s="100">
        <v>45768</v>
      </c>
      <c r="F1380" s="100">
        <f t="shared" si="107"/>
        <v>45782</v>
      </c>
      <c r="G1380" s="101">
        <f t="shared" si="108"/>
        <v>14</v>
      </c>
      <c r="H1380" s="102">
        <f t="shared" si="106"/>
        <v>1</v>
      </c>
    </row>
    <row r="1381" spans="4:8" x14ac:dyDescent="0.3">
      <c r="D1381" s="99" t="s">
        <v>2619</v>
      </c>
      <c r="E1381" s="100">
        <v>45782</v>
      </c>
      <c r="F1381" s="100">
        <f t="shared" si="107"/>
        <v>45944</v>
      </c>
      <c r="G1381" s="101">
        <f t="shared" si="108"/>
        <v>162</v>
      </c>
      <c r="H1381" s="102">
        <f t="shared" si="106"/>
        <v>0</v>
      </c>
    </row>
    <row r="1382" spans="4:8" x14ac:dyDescent="0.3">
      <c r="D1382" s="99" t="s">
        <v>2619</v>
      </c>
      <c r="E1382" s="100">
        <v>45944</v>
      </c>
      <c r="F1382" s="100" t="str">
        <f t="shared" si="107"/>
        <v/>
      </c>
      <c r="G1382" s="101" t="str">
        <f t="shared" si="108"/>
        <v/>
      </c>
      <c r="H1382" s="102" t="str">
        <f t="shared" si="106"/>
        <v/>
      </c>
    </row>
    <row r="1383" spans="4:8" x14ac:dyDescent="0.3">
      <c r="D1383" s="99" t="s">
        <v>2620</v>
      </c>
      <c r="E1383" s="100">
        <v>45821</v>
      </c>
      <c r="F1383" s="100" t="str">
        <f t="shared" si="107"/>
        <v/>
      </c>
      <c r="G1383" s="101" t="str">
        <f t="shared" si="108"/>
        <v/>
      </c>
      <c r="H1383" s="102" t="str">
        <f t="shared" si="106"/>
        <v/>
      </c>
    </row>
    <row r="1384" spans="4:8" x14ac:dyDescent="0.3">
      <c r="D1384" s="99" t="s">
        <v>2621</v>
      </c>
      <c r="E1384" s="100">
        <v>45660</v>
      </c>
      <c r="F1384" s="100" t="str">
        <f t="shared" si="107"/>
        <v/>
      </c>
      <c r="G1384" s="101" t="str">
        <f t="shared" si="108"/>
        <v/>
      </c>
      <c r="H1384" s="102" t="str">
        <f t="shared" si="106"/>
        <v/>
      </c>
    </row>
    <row r="1385" spans="4:8" x14ac:dyDescent="0.3">
      <c r="D1385" s="99" t="s">
        <v>2622</v>
      </c>
      <c r="E1385" s="100">
        <v>45825</v>
      </c>
      <c r="F1385" s="100">
        <f t="shared" si="107"/>
        <v>45894</v>
      </c>
      <c r="G1385" s="101">
        <f t="shared" si="108"/>
        <v>69</v>
      </c>
      <c r="H1385" s="102">
        <f t="shared" si="106"/>
        <v>0</v>
      </c>
    </row>
    <row r="1386" spans="4:8" x14ac:dyDescent="0.3">
      <c r="D1386" s="99" t="s">
        <v>2622</v>
      </c>
      <c r="E1386" s="100">
        <v>45894</v>
      </c>
      <c r="F1386" s="100" t="str">
        <f t="shared" si="107"/>
        <v/>
      </c>
      <c r="G1386" s="101" t="str">
        <f t="shared" si="108"/>
        <v/>
      </c>
      <c r="H1386" s="102" t="str">
        <f t="shared" si="106"/>
        <v/>
      </c>
    </row>
    <row r="1387" spans="4:8" x14ac:dyDescent="0.3">
      <c r="D1387" s="99" t="s">
        <v>2623</v>
      </c>
      <c r="E1387" s="100">
        <v>45825</v>
      </c>
      <c r="F1387" s="100">
        <f t="shared" si="107"/>
        <v>45980</v>
      </c>
      <c r="G1387" s="101">
        <f t="shared" si="108"/>
        <v>155</v>
      </c>
      <c r="H1387" s="102">
        <f t="shared" si="106"/>
        <v>0</v>
      </c>
    </row>
    <row r="1388" spans="4:8" x14ac:dyDescent="0.3">
      <c r="D1388" s="99" t="s">
        <v>2623</v>
      </c>
      <c r="E1388" s="100">
        <v>45980</v>
      </c>
      <c r="F1388" s="100" t="str">
        <f t="shared" si="107"/>
        <v/>
      </c>
      <c r="G1388" s="101" t="str">
        <f t="shared" si="108"/>
        <v/>
      </c>
      <c r="H1388" s="102" t="str">
        <f t="shared" si="106"/>
        <v/>
      </c>
    </row>
    <row r="1389" spans="4:8" x14ac:dyDescent="0.3">
      <c r="D1389" s="99" t="s">
        <v>2624</v>
      </c>
      <c r="E1389" s="100">
        <v>45659</v>
      </c>
      <c r="F1389" s="100">
        <f t="shared" si="107"/>
        <v>45742</v>
      </c>
      <c r="G1389" s="101">
        <f t="shared" si="108"/>
        <v>83</v>
      </c>
      <c r="H1389" s="102">
        <f t="shared" si="106"/>
        <v>0</v>
      </c>
    </row>
    <row r="1390" spans="4:8" x14ac:dyDescent="0.3">
      <c r="D1390" s="99" t="s">
        <v>2624</v>
      </c>
      <c r="E1390" s="100">
        <v>45742</v>
      </c>
      <c r="F1390" s="100">
        <f t="shared" si="107"/>
        <v>45796</v>
      </c>
      <c r="G1390" s="101">
        <f t="shared" si="108"/>
        <v>54</v>
      </c>
      <c r="H1390" s="102">
        <f t="shared" si="106"/>
        <v>0</v>
      </c>
    </row>
    <row r="1391" spans="4:8" x14ac:dyDescent="0.3">
      <c r="D1391" s="99" t="s">
        <v>2624</v>
      </c>
      <c r="E1391" s="100">
        <v>45796</v>
      </c>
      <c r="F1391" s="100">
        <f t="shared" si="107"/>
        <v>45911</v>
      </c>
      <c r="G1391" s="101">
        <f t="shared" si="108"/>
        <v>115</v>
      </c>
      <c r="H1391" s="102">
        <f t="shared" si="106"/>
        <v>0</v>
      </c>
    </row>
    <row r="1392" spans="4:8" x14ac:dyDescent="0.3">
      <c r="D1392" s="99" t="s">
        <v>2624</v>
      </c>
      <c r="E1392" s="100">
        <v>45911</v>
      </c>
      <c r="F1392" s="100">
        <f t="shared" si="107"/>
        <v>45947</v>
      </c>
      <c r="G1392" s="101">
        <f t="shared" si="108"/>
        <v>36</v>
      </c>
      <c r="H1392" s="102">
        <f t="shared" si="106"/>
        <v>0</v>
      </c>
    </row>
    <row r="1393" spans="4:8" x14ac:dyDescent="0.3">
      <c r="D1393" s="99" t="s">
        <v>2624</v>
      </c>
      <c r="E1393" s="100">
        <v>45947</v>
      </c>
      <c r="F1393" s="100">
        <f t="shared" si="107"/>
        <v>45988</v>
      </c>
      <c r="G1393" s="101">
        <f t="shared" si="108"/>
        <v>41</v>
      </c>
      <c r="H1393" s="102">
        <f t="shared" si="106"/>
        <v>0</v>
      </c>
    </row>
    <row r="1394" spans="4:8" x14ac:dyDescent="0.3">
      <c r="D1394" s="99" t="s">
        <v>2624</v>
      </c>
      <c r="E1394" s="100">
        <v>45988</v>
      </c>
      <c r="F1394" s="100" t="str">
        <f t="shared" si="107"/>
        <v/>
      </c>
      <c r="G1394" s="101" t="str">
        <f t="shared" si="108"/>
        <v/>
      </c>
      <c r="H1394" s="102" t="str">
        <f t="shared" si="106"/>
        <v/>
      </c>
    </row>
    <row r="1395" spans="4:8" x14ac:dyDescent="0.3">
      <c r="D1395" s="99" t="s">
        <v>2625</v>
      </c>
      <c r="E1395" s="100">
        <v>45960</v>
      </c>
      <c r="F1395" s="100" t="str">
        <f t="shared" si="107"/>
        <v/>
      </c>
      <c r="G1395" s="101" t="str">
        <f t="shared" si="108"/>
        <v/>
      </c>
      <c r="H1395" s="102" t="str">
        <f t="shared" si="106"/>
        <v/>
      </c>
    </row>
    <row r="1396" spans="4:8" x14ac:dyDescent="0.3">
      <c r="D1396" s="99" t="s">
        <v>2626</v>
      </c>
      <c r="E1396" s="100">
        <v>45720</v>
      </c>
      <c r="F1396" s="100">
        <f t="shared" si="107"/>
        <v>46013</v>
      </c>
      <c r="G1396" s="101">
        <f t="shared" si="108"/>
        <v>293</v>
      </c>
      <c r="H1396" s="102">
        <f t="shared" si="106"/>
        <v>0</v>
      </c>
    </row>
    <row r="1397" spans="4:8" x14ac:dyDescent="0.3">
      <c r="D1397" s="99" t="s">
        <v>2626</v>
      </c>
      <c r="E1397" s="100">
        <v>46013</v>
      </c>
      <c r="F1397" s="100" t="str">
        <f t="shared" si="107"/>
        <v/>
      </c>
      <c r="G1397" s="101" t="str">
        <f t="shared" si="108"/>
        <v/>
      </c>
      <c r="H1397" s="102" t="str">
        <f t="shared" si="106"/>
        <v/>
      </c>
    </row>
    <row r="1398" spans="4:8" x14ac:dyDescent="0.3">
      <c r="D1398" s="99" t="s">
        <v>2627</v>
      </c>
      <c r="E1398" s="100">
        <v>45789</v>
      </c>
      <c r="F1398" s="100">
        <f t="shared" si="107"/>
        <v>45922</v>
      </c>
      <c r="G1398" s="101">
        <f t="shared" si="108"/>
        <v>133</v>
      </c>
      <c r="H1398" s="102">
        <f t="shared" si="106"/>
        <v>0</v>
      </c>
    </row>
    <row r="1399" spans="4:8" x14ac:dyDescent="0.3">
      <c r="D1399" s="99" t="s">
        <v>2627</v>
      </c>
      <c r="E1399" s="100">
        <v>45922</v>
      </c>
      <c r="F1399" s="100" t="str">
        <f t="shared" si="107"/>
        <v/>
      </c>
      <c r="G1399" s="101" t="str">
        <f t="shared" si="108"/>
        <v/>
      </c>
      <c r="H1399" s="102" t="str">
        <f t="shared" si="106"/>
        <v/>
      </c>
    </row>
    <row r="1400" spans="4:8" x14ac:dyDescent="0.3">
      <c r="D1400" s="99" t="s">
        <v>2628</v>
      </c>
      <c r="E1400" s="100">
        <v>45716</v>
      </c>
      <c r="F1400" s="100">
        <f t="shared" si="107"/>
        <v>45733</v>
      </c>
      <c r="G1400" s="101">
        <f t="shared" si="108"/>
        <v>17</v>
      </c>
      <c r="H1400" s="102">
        <f t="shared" si="106"/>
        <v>1</v>
      </c>
    </row>
    <row r="1401" spans="4:8" x14ac:dyDescent="0.3">
      <c r="D1401" s="99" t="s">
        <v>2628</v>
      </c>
      <c r="E1401" s="100">
        <v>45733</v>
      </c>
      <c r="F1401" s="100" t="str">
        <f t="shared" si="107"/>
        <v/>
      </c>
      <c r="G1401" s="101" t="str">
        <f t="shared" si="108"/>
        <v/>
      </c>
      <c r="H1401" s="102" t="str">
        <f t="shared" si="106"/>
        <v/>
      </c>
    </row>
    <row r="1402" spans="4:8" x14ac:dyDescent="0.3">
      <c r="D1402" s="99" t="s">
        <v>2629</v>
      </c>
      <c r="E1402" s="100">
        <v>45727</v>
      </c>
      <c r="F1402" s="100">
        <f t="shared" si="107"/>
        <v>45790</v>
      </c>
      <c r="G1402" s="101">
        <f t="shared" si="108"/>
        <v>63</v>
      </c>
      <c r="H1402" s="102">
        <f t="shared" si="106"/>
        <v>0</v>
      </c>
    </row>
    <row r="1403" spans="4:8" x14ac:dyDescent="0.3">
      <c r="D1403" s="99" t="s">
        <v>2629</v>
      </c>
      <c r="E1403" s="100">
        <v>45790</v>
      </c>
      <c r="F1403" s="100">
        <f t="shared" si="107"/>
        <v>45821</v>
      </c>
      <c r="G1403" s="101">
        <f t="shared" si="108"/>
        <v>31</v>
      </c>
      <c r="H1403" s="102">
        <f t="shared" si="106"/>
        <v>0</v>
      </c>
    </row>
    <row r="1404" spans="4:8" x14ac:dyDescent="0.3">
      <c r="D1404" s="99" t="s">
        <v>2629</v>
      </c>
      <c r="E1404" s="100">
        <v>45821</v>
      </c>
      <c r="F1404" s="100" t="str">
        <f t="shared" si="107"/>
        <v/>
      </c>
      <c r="G1404" s="101" t="str">
        <f t="shared" si="108"/>
        <v/>
      </c>
      <c r="H1404" s="102" t="str">
        <f t="shared" si="106"/>
        <v/>
      </c>
    </row>
    <row r="1405" spans="4:8" x14ac:dyDescent="0.3">
      <c r="D1405" s="99" t="s">
        <v>2630</v>
      </c>
      <c r="E1405" s="100">
        <v>45726</v>
      </c>
      <c r="F1405" s="100">
        <f t="shared" si="107"/>
        <v>46017</v>
      </c>
      <c r="G1405" s="101">
        <f t="shared" si="108"/>
        <v>291</v>
      </c>
      <c r="H1405" s="102">
        <f t="shared" si="106"/>
        <v>0</v>
      </c>
    </row>
    <row r="1406" spans="4:8" x14ac:dyDescent="0.3">
      <c r="D1406" s="99" t="s">
        <v>2630</v>
      </c>
      <c r="E1406" s="100">
        <v>46017</v>
      </c>
      <c r="F1406" s="100" t="str">
        <f t="shared" si="107"/>
        <v/>
      </c>
      <c r="G1406" s="101" t="str">
        <f t="shared" si="108"/>
        <v/>
      </c>
      <c r="H1406" s="102" t="str">
        <f t="shared" si="106"/>
        <v/>
      </c>
    </row>
    <row r="1407" spans="4:8" x14ac:dyDescent="0.3">
      <c r="D1407" s="99" t="s">
        <v>2631</v>
      </c>
      <c r="E1407" s="100">
        <v>45922</v>
      </c>
      <c r="F1407" s="100">
        <f t="shared" si="107"/>
        <v>45992</v>
      </c>
      <c r="G1407" s="101">
        <f t="shared" si="108"/>
        <v>70</v>
      </c>
      <c r="H1407" s="102">
        <f t="shared" si="106"/>
        <v>0</v>
      </c>
    </row>
    <row r="1408" spans="4:8" x14ac:dyDescent="0.3">
      <c r="D1408" s="99" t="s">
        <v>2631</v>
      </c>
      <c r="E1408" s="100">
        <v>45992</v>
      </c>
      <c r="F1408" s="100" t="str">
        <f t="shared" si="107"/>
        <v/>
      </c>
      <c r="G1408" s="101" t="str">
        <f t="shared" si="108"/>
        <v/>
      </c>
      <c r="H1408" s="102" t="str">
        <f t="shared" si="106"/>
        <v/>
      </c>
    </row>
    <row r="1409" spans="4:8" x14ac:dyDescent="0.3">
      <c r="D1409" s="99" t="s">
        <v>2632</v>
      </c>
      <c r="E1409" s="100">
        <v>45693</v>
      </c>
      <c r="F1409" s="100">
        <f t="shared" si="107"/>
        <v>45960</v>
      </c>
      <c r="G1409" s="101">
        <f t="shared" si="108"/>
        <v>267</v>
      </c>
      <c r="H1409" s="102">
        <f t="shared" si="106"/>
        <v>0</v>
      </c>
    </row>
    <row r="1410" spans="4:8" x14ac:dyDescent="0.3">
      <c r="D1410" s="99" t="s">
        <v>2632</v>
      </c>
      <c r="E1410" s="100">
        <v>45960</v>
      </c>
      <c r="F1410" s="100">
        <f t="shared" si="107"/>
        <v>45994</v>
      </c>
      <c r="G1410" s="101">
        <f t="shared" si="108"/>
        <v>34</v>
      </c>
      <c r="H1410" s="102">
        <f t="shared" si="106"/>
        <v>0</v>
      </c>
    </row>
    <row r="1411" spans="4:8" x14ac:dyDescent="0.3">
      <c r="D1411" s="99" t="s">
        <v>2632</v>
      </c>
      <c r="E1411" s="100">
        <v>45994</v>
      </c>
      <c r="F1411" s="100">
        <f t="shared" si="107"/>
        <v>45996</v>
      </c>
      <c r="G1411" s="101">
        <f t="shared" si="108"/>
        <v>2</v>
      </c>
      <c r="H1411" s="102">
        <f t="shared" si="106"/>
        <v>1</v>
      </c>
    </row>
    <row r="1412" spans="4:8" x14ac:dyDescent="0.3">
      <c r="D1412" s="99" t="s">
        <v>2632</v>
      </c>
      <c r="E1412" s="100">
        <v>45996</v>
      </c>
      <c r="F1412" s="100" t="str">
        <f t="shared" si="107"/>
        <v/>
      </c>
      <c r="G1412" s="101" t="str">
        <f t="shared" si="108"/>
        <v/>
      </c>
      <c r="H1412" s="102" t="str">
        <f t="shared" si="106"/>
        <v/>
      </c>
    </row>
    <row r="1413" spans="4:8" x14ac:dyDescent="0.3">
      <c r="D1413" s="99" t="s">
        <v>2633</v>
      </c>
      <c r="E1413" s="100">
        <v>45699</v>
      </c>
      <c r="F1413" s="100">
        <f t="shared" si="107"/>
        <v>45772</v>
      </c>
      <c r="G1413" s="101">
        <f t="shared" si="108"/>
        <v>73</v>
      </c>
      <c r="H1413" s="102">
        <f t="shared" si="106"/>
        <v>0</v>
      </c>
    </row>
    <row r="1414" spans="4:8" x14ac:dyDescent="0.3">
      <c r="D1414" s="99" t="s">
        <v>2633</v>
      </c>
      <c r="E1414" s="100">
        <v>45772</v>
      </c>
      <c r="F1414" s="100">
        <f t="shared" si="107"/>
        <v>45918</v>
      </c>
      <c r="G1414" s="101">
        <f t="shared" si="108"/>
        <v>146</v>
      </c>
      <c r="H1414" s="102">
        <f t="shared" si="106"/>
        <v>0</v>
      </c>
    </row>
    <row r="1415" spans="4:8" x14ac:dyDescent="0.3">
      <c r="D1415" s="99" t="s">
        <v>2633</v>
      </c>
      <c r="E1415" s="100">
        <v>45918</v>
      </c>
      <c r="F1415" s="100">
        <f t="shared" si="107"/>
        <v>45974</v>
      </c>
      <c r="G1415" s="101">
        <f t="shared" si="108"/>
        <v>56</v>
      </c>
      <c r="H1415" s="102">
        <f t="shared" ref="H1415:H1478" si="109">IF(G1415="","",IF(G1415&lt;=return_window,1,0))</f>
        <v>0</v>
      </c>
    </row>
    <row r="1416" spans="4:8" x14ac:dyDescent="0.3">
      <c r="D1416" s="99" t="s">
        <v>2633</v>
      </c>
      <c r="E1416" s="100">
        <v>45974</v>
      </c>
      <c r="F1416" s="100">
        <f t="shared" ref="F1416:F1479" si="110">IF(D1416=D1417,E1417,"")</f>
        <v>45978</v>
      </c>
      <c r="G1416" s="101">
        <f t="shared" ref="G1416:G1479" si="111">IF(F1416="","",F1416-E1416)</f>
        <v>4</v>
      </c>
      <c r="H1416" s="102">
        <f t="shared" si="109"/>
        <v>1</v>
      </c>
    </row>
    <row r="1417" spans="4:8" x14ac:dyDescent="0.3">
      <c r="D1417" s="99" t="s">
        <v>2633</v>
      </c>
      <c r="E1417" s="100">
        <v>45978</v>
      </c>
      <c r="F1417" s="100" t="str">
        <f t="shared" si="110"/>
        <v/>
      </c>
      <c r="G1417" s="101" t="str">
        <f t="shared" si="111"/>
        <v/>
      </c>
      <c r="H1417" s="102" t="str">
        <f t="shared" si="109"/>
        <v/>
      </c>
    </row>
    <row r="1418" spans="4:8" x14ac:dyDescent="0.3">
      <c r="D1418" s="99" t="s">
        <v>2634</v>
      </c>
      <c r="E1418" s="100">
        <v>45763</v>
      </c>
      <c r="F1418" s="100">
        <f t="shared" si="110"/>
        <v>45918</v>
      </c>
      <c r="G1418" s="101">
        <f t="shared" si="111"/>
        <v>155</v>
      </c>
      <c r="H1418" s="102">
        <f t="shared" si="109"/>
        <v>0</v>
      </c>
    </row>
    <row r="1419" spans="4:8" x14ac:dyDescent="0.3">
      <c r="D1419" s="99" t="s">
        <v>2634</v>
      </c>
      <c r="E1419" s="100">
        <v>45918</v>
      </c>
      <c r="F1419" s="100" t="str">
        <f t="shared" si="110"/>
        <v/>
      </c>
      <c r="G1419" s="101" t="str">
        <f t="shared" si="111"/>
        <v/>
      </c>
      <c r="H1419" s="102" t="str">
        <f t="shared" si="109"/>
        <v/>
      </c>
    </row>
    <row r="1420" spans="4:8" x14ac:dyDescent="0.3">
      <c r="D1420" s="99" t="s">
        <v>2635</v>
      </c>
      <c r="E1420" s="100">
        <v>45747</v>
      </c>
      <c r="F1420" s="100">
        <f t="shared" si="110"/>
        <v>45922</v>
      </c>
      <c r="G1420" s="101">
        <f t="shared" si="111"/>
        <v>175</v>
      </c>
      <c r="H1420" s="102">
        <f t="shared" si="109"/>
        <v>0</v>
      </c>
    </row>
    <row r="1421" spans="4:8" x14ac:dyDescent="0.3">
      <c r="D1421" s="99" t="s">
        <v>2635</v>
      </c>
      <c r="E1421" s="100">
        <v>45922</v>
      </c>
      <c r="F1421" s="100">
        <f t="shared" si="110"/>
        <v>45954</v>
      </c>
      <c r="G1421" s="101">
        <f t="shared" si="111"/>
        <v>32</v>
      </c>
      <c r="H1421" s="102">
        <f t="shared" si="109"/>
        <v>0</v>
      </c>
    </row>
    <row r="1422" spans="4:8" x14ac:dyDescent="0.3">
      <c r="D1422" s="99" t="s">
        <v>2635</v>
      </c>
      <c r="E1422" s="100">
        <v>45954</v>
      </c>
      <c r="F1422" s="100" t="str">
        <f t="shared" si="110"/>
        <v/>
      </c>
      <c r="G1422" s="101" t="str">
        <f t="shared" si="111"/>
        <v/>
      </c>
      <c r="H1422" s="102" t="str">
        <f t="shared" si="109"/>
        <v/>
      </c>
    </row>
    <row r="1423" spans="4:8" x14ac:dyDescent="0.3">
      <c r="D1423" s="99" t="s">
        <v>2636</v>
      </c>
      <c r="E1423" s="100">
        <v>45659</v>
      </c>
      <c r="F1423" s="100">
        <f t="shared" si="110"/>
        <v>46003</v>
      </c>
      <c r="G1423" s="101">
        <f t="shared" si="111"/>
        <v>344</v>
      </c>
      <c r="H1423" s="102">
        <f t="shared" si="109"/>
        <v>0</v>
      </c>
    </row>
    <row r="1424" spans="4:8" x14ac:dyDescent="0.3">
      <c r="D1424" s="99" t="s">
        <v>2636</v>
      </c>
      <c r="E1424" s="100">
        <v>46003</v>
      </c>
      <c r="F1424" s="100" t="str">
        <f t="shared" si="110"/>
        <v/>
      </c>
      <c r="G1424" s="101" t="str">
        <f t="shared" si="111"/>
        <v/>
      </c>
      <c r="H1424" s="102" t="str">
        <f t="shared" si="109"/>
        <v/>
      </c>
    </row>
    <row r="1425" spans="4:8" x14ac:dyDescent="0.3">
      <c r="D1425" s="99" t="s">
        <v>2637</v>
      </c>
      <c r="E1425" s="100">
        <v>45951</v>
      </c>
      <c r="F1425" s="100">
        <f t="shared" si="110"/>
        <v>45952</v>
      </c>
      <c r="G1425" s="101">
        <f t="shared" si="111"/>
        <v>1</v>
      </c>
      <c r="H1425" s="102">
        <f t="shared" si="109"/>
        <v>1</v>
      </c>
    </row>
    <row r="1426" spans="4:8" x14ac:dyDescent="0.3">
      <c r="D1426" s="99" t="s">
        <v>2637</v>
      </c>
      <c r="E1426" s="100">
        <v>45952</v>
      </c>
      <c r="F1426" s="100">
        <f t="shared" si="110"/>
        <v>45972</v>
      </c>
      <c r="G1426" s="101">
        <f t="shared" si="111"/>
        <v>20</v>
      </c>
      <c r="H1426" s="102">
        <f t="shared" si="109"/>
        <v>1</v>
      </c>
    </row>
    <row r="1427" spans="4:8" x14ac:dyDescent="0.3">
      <c r="D1427" s="99" t="s">
        <v>2637</v>
      </c>
      <c r="E1427" s="100">
        <v>45972</v>
      </c>
      <c r="F1427" s="100" t="str">
        <f t="shared" si="110"/>
        <v/>
      </c>
      <c r="G1427" s="101" t="str">
        <f t="shared" si="111"/>
        <v/>
      </c>
      <c r="H1427" s="102" t="str">
        <f t="shared" si="109"/>
        <v/>
      </c>
    </row>
    <row r="1428" spans="4:8" x14ac:dyDescent="0.3">
      <c r="D1428" s="99" t="s">
        <v>2638</v>
      </c>
      <c r="E1428" s="100">
        <v>45721</v>
      </c>
      <c r="F1428" s="100" t="str">
        <f t="shared" si="110"/>
        <v/>
      </c>
      <c r="G1428" s="101" t="str">
        <f t="shared" si="111"/>
        <v/>
      </c>
      <c r="H1428" s="102" t="str">
        <f t="shared" si="109"/>
        <v/>
      </c>
    </row>
    <row r="1429" spans="4:8" x14ac:dyDescent="0.3">
      <c r="D1429" s="99" t="s">
        <v>2639</v>
      </c>
      <c r="E1429" s="100">
        <v>45961</v>
      </c>
      <c r="F1429" s="100" t="str">
        <f t="shared" si="110"/>
        <v/>
      </c>
      <c r="G1429" s="101" t="str">
        <f t="shared" si="111"/>
        <v/>
      </c>
      <c r="H1429" s="102" t="str">
        <f t="shared" si="109"/>
        <v/>
      </c>
    </row>
    <row r="1430" spans="4:8" x14ac:dyDescent="0.3">
      <c r="D1430" s="99" t="s">
        <v>2640</v>
      </c>
      <c r="E1430" s="100">
        <v>45758</v>
      </c>
      <c r="F1430" s="100" t="str">
        <f t="shared" si="110"/>
        <v/>
      </c>
      <c r="G1430" s="101" t="str">
        <f t="shared" si="111"/>
        <v/>
      </c>
      <c r="H1430" s="102" t="str">
        <f t="shared" si="109"/>
        <v/>
      </c>
    </row>
    <row r="1431" spans="4:8" x14ac:dyDescent="0.3">
      <c r="D1431" s="99" t="s">
        <v>2641</v>
      </c>
      <c r="E1431" s="100">
        <v>45714</v>
      </c>
      <c r="F1431" s="100">
        <f t="shared" si="110"/>
        <v>45742</v>
      </c>
      <c r="G1431" s="101">
        <f t="shared" si="111"/>
        <v>28</v>
      </c>
      <c r="H1431" s="102">
        <f t="shared" si="109"/>
        <v>1</v>
      </c>
    </row>
    <row r="1432" spans="4:8" x14ac:dyDescent="0.3">
      <c r="D1432" s="99" t="s">
        <v>2641</v>
      </c>
      <c r="E1432" s="100">
        <v>45742</v>
      </c>
      <c r="F1432" s="100">
        <f t="shared" si="110"/>
        <v>45812</v>
      </c>
      <c r="G1432" s="101">
        <f t="shared" si="111"/>
        <v>70</v>
      </c>
      <c r="H1432" s="102">
        <f t="shared" si="109"/>
        <v>0</v>
      </c>
    </row>
    <row r="1433" spans="4:8" x14ac:dyDescent="0.3">
      <c r="D1433" s="99" t="s">
        <v>2641</v>
      </c>
      <c r="E1433" s="100">
        <v>45812</v>
      </c>
      <c r="F1433" s="100">
        <f t="shared" si="110"/>
        <v>45840</v>
      </c>
      <c r="G1433" s="101">
        <f t="shared" si="111"/>
        <v>28</v>
      </c>
      <c r="H1433" s="102">
        <f t="shared" si="109"/>
        <v>1</v>
      </c>
    </row>
    <row r="1434" spans="4:8" x14ac:dyDescent="0.3">
      <c r="D1434" s="99" t="s">
        <v>2641</v>
      </c>
      <c r="E1434" s="100">
        <v>45840</v>
      </c>
      <c r="F1434" s="100" t="str">
        <f t="shared" si="110"/>
        <v/>
      </c>
      <c r="G1434" s="101" t="str">
        <f t="shared" si="111"/>
        <v/>
      </c>
      <c r="H1434" s="102" t="str">
        <f t="shared" si="109"/>
        <v/>
      </c>
    </row>
    <row r="1435" spans="4:8" x14ac:dyDescent="0.3">
      <c r="D1435" s="99" t="s">
        <v>2642</v>
      </c>
      <c r="E1435" s="100">
        <v>45884</v>
      </c>
      <c r="F1435" s="100" t="str">
        <f t="shared" si="110"/>
        <v/>
      </c>
      <c r="G1435" s="101" t="str">
        <f t="shared" si="111"/>
        <v/>
      </c>
      <c r="H1435" s="102" t="str">
        <f t="shared" si="109"/>
        <v/>
      </c>
    </row>
    <row r="1436" spans="4:8" x14ac:dyDescent="0.3">
      <c r="D1436" s="99" t="s">
        <v>2643</v>
      </c>
      <c r="E1436" s="100">
        <v>45743</v>
      </c>
      <c r="F1436" s="100">
        <f t="shared" si="110"/>
        <v>45807</v>
      </c>
      <c r="G1436" s="101">
        <f t="shared" si="111"/>
        <v>64</v>
      </c>
      <c r="H1436" s="102">
        <f t="shared" si="109"/>
        <v>0</v>
      </c>
    </row>
    <row r="1437" spans="4:8" x14ac:dyDescent="0.3">
      <c r="D1437" s="99" t="s">
        <v>2643</v>
      </c>
      <c r="E1437" s="100">
        <v>45807</v>
      </c>
      <c r="F1437" s="100" t="str">
        <f t="shared" si="110"/>
        <v/>
      </c>
      <c r="G1437" s="101" t="str">
        <f t="shared" si="111"/>
        <v/>
      </c>
      <c r="H1437" s="102" t="str">
        <f t="shared" si="109"/>
        <v/>
      </c>
    </row>
    <row r="1438" spans="4:8" x14ac:dyDescent="0.3">
      <c r="D1438" s="99" t="s">
        <v>2644</v>
      </c>
      <c r="E1438" s="100">
        <v>45748</v>
      </c>
      <c r="F1438" s="100">
        <f t="shared" si="110"/>
        <v>45959</v>
      </c>
      <c r="G1438" s="101">
        <f t="shared" si="111"/>
        <v>211</v>
      </c>
      <c r="H1438" s="102">
        <f t="shared" si="109"/>
        <v>0</v>
      </c>
    </row>
    <row r="1439" spans="4:8" x14ac:dyDescent="0.3">
      <c r="D1439" s="99" t="s">
        <v>2644</v>
      </c>
      <c r="E1439" s="100">
        <v>45959</v>
      </c>
      <c r="F1439" s="100" t="str">
        <f t="shared" si="110"/>
        <v/>
      </c>
      <c r="G1439" s="101" t="str">
        <f t="shared" si="111"/>
        <v/>
      </c>
      <c r="H1439" s="102" t="str">
        <f t="shared" si="109"/>
        <v/>
      </c>
    </row>
    <row r="1440" spans="4:8" x14ac:dyDescent="0.3">
      <c r="D1440" s="99" t="s">
        <v>2645</v>
      </c>
      <c r="E1440" s="100">
        <v>45679</v>
      </c>
      <c r="F1440" s="100">
        <f t="shared" si="110"/>
        <v>45680</v>
      </c>
      <c r="G1440" s="101">
        <f t="shared" si="111"/>
        <v>1</v>
      </c>
      <c r="H1440" s="102">
        <f t="shared" si="109"/>
        <v>1</v>
      </c>
    </row>
    <row r="1441" spans="4:8" x14ac:dyDescent="0.3">
      <c r="D1441" s="99" t="s">
        <v>2645</v>
      </c>
      <c r="E1441" s="100">
        <v>45680</v>
      </c>
      <c r="F1441" s="100">
        <f t="shared" si="110"/>
        <v>45687</v>
      </c>
      <c r="G1441" s="101">
        <f t="shared" si="111"/>
        <v>7</v>
      </c>
      <c r="H1441" s="102">
        <f t="shared" si="109"/>
        <v>1</v>
      </c>
    </row>
    <row r="1442" spans="4:8" x14ac:dyDescent="0.3">
      <c r="D1442" s="99" t="s">
        <v>2645</v>
      </c>
      <c r="E1442" s="100">
        <v>45687</v>
      </c>
      <c r="F1442" s="100">
        <f t="shared" si="110"/>
        <v>45842</v>
      </c>
      <c r="G1442" s="101">
        <f t="shared" si="111"/>
        <v>155</v>
      </c>
      <c r="H1442" s="102">
        <f t="shared" si="109"/>
        <v>0</v>
      </c>
    </row>
    <row r="1443" spans="4:8" x14ac:dyDescent="0.3">
      <c r="D1443" s="99" t="s">
        <v>2645</v>
      </c>
      <c r="E1443" s="100">
        <v>45842</v>
      </c>
      <c r="F1443" s="100">
        <f t="shared" si="110"/>
        <v>45965</v>
      </c>
      <c r="G1443" s="101">
        <f t="shared" si="111"/>
        <v>123</v>
      </c>
      <c r="H1443" s="102">
        <f t="shared" si="109"/>
        <v>0</v>
      </c>
    </row>
    <row r="1444" spans="4:8" x14ac:dyDescent="0.3">
      <c r="D1444" s="99" t="s">
        <v>2645</v>
      </c>
      <c r="E1444" s="100">
        <v>45965</v>
      </c>
      <c r="F1444" s="100">
        <f t="shared" si="110"/>
        <v>45966</v>
      </c>
      <c r="G1444" s="101">
        <f t="shared" si="111"/>
        <v>1</v>
      </c>
      <c r="H1444" s="102">
        <f t="shared" si="109"/>
        <v>1</v>
      </c>
    </row>
    <row r="1445" spans="4:8" x14ac:dyDescent="0.3">
      <c r="D1445" s="99" t="s">
        <v>2645</v>
      </c>
      <c r="E1445" s="100">
        <v>45966</v>
      </c>
      <c r="F1445" s="100">
        <f t="shared" si="110"/>
        <v>45967</v>
      </c>
      <c r="G1445" s="101">
        <f t="shared" si="111"/>
        <v>1</v>
      </c>
      <c r="H1445" s="102">
        <f t="shared" si="109"/>
        <v>1</v>
      </c>
    </row>
    <row r="1446" spans="4:8" x14ac:dyDescent="0.3">
      <c r="D1446" s="99" t="s">
        <v>2645</v>
      </c>
      <c r="E1446" s="100">
        <v>45967</v>
      </c>
      <c r="F1446" s="100" t="str">
        <f t="shared" si="110"/>
        <v/>
      </c>
      <c r="G1446" s="101" t="str">
        <f t="shared" si="111"/>
        <v/>
      </c>
      <c r="H1446" s="102" t="str">
        <f t="shared" si="109"/>
        <v/>
      </c>
    </row>
    <row r="1447" spans="4:8" x14ac:dyDescent="0.3">
      <c r="D1447" s="99" t="s">
        <v>2646</v>
      </c>
      <c r="E1447" s="100">
        <v>45726</v>
      </c>
      <c r="F1447" s="100">
        <f t="shared" si="110"/>
        <v>45771</v>
      </c>
      <c r="G1447" s="101">
        <f t="shared" si="111"/>
        <v>45</v>
      </c>
      <c r="H1447" s="102">
        <f t="shared" si="109"/>
        <v>0</v>
      </c>
    </row>
    <row r="1448" spans="4:8" x14ac:dyDescent="0.3">
      <c r="D1448" s="99" t="s">
        <v>2646</v>
      </c>
      <c r="E1448" s="100">
        <v>45771</v>
      </c>
      <c r="F1448" s="100">
        <f t="shared" si="110"/>
        <v>45882</v>
      </c>
      <c r="G1448" s="101">
        <f t="shared" si="111"/>
        <v>111</v>
      </c>
      <c r="H1448" s="102">
        <f t="shared" si="109"/>
        <v>0</v>
      </c>
    </row>
    <row r="1449" spans="4:8" x14ac:dyDescent="0.3">
      <c r="D1449" s="99" t="s">
        <v>2646</v>
      </c>
      <c r="E1449" s="100">
        <v>45882</v>
      </c>
      <c r="F1449" s="100">
        <f t="shared" si="110"/>
        <v>45951</v>
      </c>
      <c r="G1449" s="101">
        <f t="shared" si="111"/>
        <v>69</v>
      </c>
      <c r="H1449" s="102">
        <f t="shared" si="109"/>
        <v>0</v>
      </c>
    </row>
    <row r="1450" spans="4:8" x14ac:dyDescent="0.3">
      <c r="D1450" s="99" t="s">
        <v>2646</v>
      </c>
      <c r="E1450" s="100">
        <v>45951</v>
      </c>
      <c r="F1450" s="100" t="str">
        <f t="shared" si="110"/>
        <v/>
      </c>
      <c r="G1450" s="101" t="str">
        <f t="shared" si="111"/>
        <v/>
      </c>
      <c r="H1450" s="102" t="str">
        <f t="shared" si="109"/>
        <v/>
      </c>
    </row>
    <row r="1451" spans="4:8" x14ac:dyDescent="0.3">
      <c r="D1451" s="99" t="s">
        <v>2647</v>
      </c>
      <c r="E1451" s="100">
        <v>45698</v>
      </c>
      <c r="F1451" s="100">
        <f t="shared" si="110"/>
        <v>45715</v>
      </c>
      <c r="G1451" s="101">
        <f t="shared" si="111"/>
        <v>17</v>
      </c>
      <c r="H1451" s="102">
        <f t="shared" si="109"/>
        <v>1</v>
      </c>
    </row>
    <row r="1452" spans="4:8" x14ac:dyDescent="0.3">
      <c r="D1452" s="99" t="s">
        <v>2647</v>
      </c>
      <c r="E1452" s="100">
        <v>45715</v>
      </c>
      <c r="F1452" s="100">
        <f t="shared" si="110"/>
        <v>45729</v>
      </c>
      <c r="G1452" s="101">
        <f t="shared" si="111"/>
        <v>14</v>
      </c>
      <c r="H1452" s="102">
        <f t="shared" si="109"/>
        <v>1</v>
      </c>
    </row>
    <row r="1453" spans="4:8" x14ac:dyDescent="0.3">
      <c r="D1453" s="99" t="s">
        <v>2647</v>
      </c>
      <c r="E1453" s="100">
        <v>45729</v>
      </c>
      <c r="F1453" s="100">
        <f t="shared" si="110"/>
        <v>45769</v>
      </c>
      <c r="G1453" s="101">
        <f t="shared" si="111"/>
        <v>40</v>
      </c>
      <c r="H1453" s="102">
        <f t="shared" si="109"/>
        <v>0</v>
      </c>
    </row>
    <row r="1454" spans="4:8" x14ac:dyDescent="0.3">
      <c r="D1454" s="99" t="s">
        <v>2647</v>
      </c>
      <c r="E1454" s="100">
        <v>45769</v>
      </c>
      <c r="F1454" s="100">
        <f t="shared" si="110"/>
        <v>45937</v>
      </c>
      <c r="G1454" s="101">
        <f t="shared" si="111"/>
        <v>168</v>
      </c>
      <c r="H1454" s="102">
        <f t="shared" si="109"/>
        <v>0</v>
      </c>
    </row>
    <row r="1455" spans="4:8" x14ac:dyDescent="0.3">
      <c r="D1455" s="99" t="s">
        <v>2647</v>
      </c>
      <c r="E1455" s="100">
        <v>45937</v>
      </c>
      <c r="F1455" s="100" t="str">
        <f t="shared" si="110"/>
        <v/>
      </c>
      <c r="G1455" s="101" t="str">
        <f t="shared" si="111"/>
        <v/>
      </c>
      <c r="H1455" s="102" t="str">
        <f t="shared" si="109"/>
        <v/>
      </c>
    </row>
    <row r="1456" spans="4:8" x14ac:dyDescent="0.3">
      <c r="D1456" s="99" t="s">
        <v>2648</v>
      </c>
      <c r="E1456" s="100">
        <v>45716</v>
      </c>
      <c r="F1456" s="100" t="str">
        <f t="shared" si="110"/>
        <v/>
      </c>
      <c r="G1456" s="101" t="str">
        <f t="shared" si="111"/>
        <v/>
      </c>
      <c r="H1456" s="102" t="str">
        <f t="shared" si="109"/>
        <v/>
      </c>
    </row>
    <row r="1457" spans="4:8" x14ac:dyDescent="0.3">
      <c r="D1457" s="99" t="s">
        <v>2649</v>
      </c>
      <c r="E1457" s="100">
        <v>45917</v>
      </c>
      <c r="F1457" s="100">
        <f t="shared" si="110"/>
        <v>45950</v>
      </c>
      <c r="G1457" s="101">
        <f t="shared" si="111"/>
        <v>33</v>
      </c>
      <c r="H1457" s="102">
        <f t="shared" si="109"/>
        <v>0</v>
      </c>
    </row>
    <row r="1458" spans="4:8" x14ac:dyDescent="0.3">
      <c r="D1458" s="99" t="s">
        <v>2649</v>
      </c>
      <c r="E1458" s="100">
        <v>45950</v>
      </c>
      <c r="F1458" s="100" t="str">
        <f t="shared" si="110"/>
        <v/>
      </c>
      <c r="G1458" s="101" t="str">
        <f t="shared" si="111"/>
        <v/>
      </c>
      <c r="H1458" s="102" t="str">
        <f t="shared" si="109"/>
        <v/>
      </c>
    </row>
    <row r="1459" spans="4:8" x14ac:dyDescent="0.3">
      <c r="D1459" s="99" t="s">
        <v>2650</v>
      </c>
      <c r="E1459" s="100">
        <v>45660</v>
      </c>
      <c r="F1459" s="100">
        <f t="shared" si="110"/>
        <v>45756</v>
      </c>
      <c r="G1459" s="101">
        <f t="shared" si="111"/>
        <v>96</v>
      </c>
      <c r="H1459" s="102">
        <f t="shared" si="109"/>
        <v>0</v>
      </c>
    </row>
    <row r="1460" spans="4:8" x14ac:dyDescent="0.3">
      <c r="D1460" s="99" t="s">
        <v>2650</v>
      </c>
      <c r="E1460" s="100">
        <v>45756</v>
      </c>
      <c r="F1460" s="100">
        <f t="shared" si="110"/>
        <v>45821</v>
      </c>
      <c r="G1460" s="101">
        <f t="shared" si="111"/>
        <v>65</v>
      </c>
      <c r="H1460" s="102">
        <f t="shared" si="109"/>
        <v>0</v>
      </c>
    </row>
    <row r="1461" spans="4:8" x14ac:dyDescent="0.3">
      <c r="D1461" s="99" t="s">
        <v>2650</v>
      </c>
      <c r="E1461" s="100">
        <v>45821</v>
      </c>
      <c r="F1461" s="100">
        <f t="shared" si="110"/>
        <v>45909</v>
      </c>
      <c r="G1461" s="101">
        <f t="shared" si="111"/>
        <v>88</v>
      </c>
      <c r="H1461" s="102">
        <f t="shared" si="109"/>
        <v>0</v>
      </c>
    </row>
    <row r="1462" spans="4:8" x14ac:dyDescent="0.3">
      <c r="D1462" s="99" t="s">
        <v>2650</v>
      </c>
      <c r="E1462" s="100">
        <v>45909</v>
      </c>
      <c r="F1462" s="100">
        <f t="shared" si="110"/>
        <v>45918</v>
      </c>
      <c r="G1462" s="101">
        <f t="shared" si="111"/>
        <v>9</v>
      </c>
      <c r="H1462" s="102">
        <f t="shared" si="109"/>
        <v>1</v>
      </c>
    </row>
    <row r="1463" spans="4:8" x14ac:dyDescent="0.3">
      <c r="D1463" s="99" t="s">
        <v>2650</v>
      </c>
      <c r="E1463" s="100">
        <v>45918</v>
      </c>
      <c r="F1463" s="100" t="str">
        <f t="shared" si="110"/>
        <v/>
      </c>
      <c r="G1463" s="101" t="str">
        <f t="shared" si="111"/>
        <v/>
      </c>
      <c r="H1463" s="102" t="str">
        <f t="shared" si="109"/>
        <v/>
      </c>
    </row>
    <row r="1464" spans="4:8" x14ac:dyDescent="0.3">
      <c r="D1464" s="99" t="s">
        <v>2651</v>
      </c>
      <c r="E1464" s="100">
        <v>45667</v>
      </c>
      <c r="F1464" s="100">
        <f t="shared" si="110"/>
        <v>45911</v>
      </c>
      <c r="G1464" s="101">
        <f t="shared" si="111"/>
        <v>244</v>
      </c>
      <c r="H1464" s="102">
        <f t="shared" si="109"/>
        <v>0</v>
      </c>
    </row>
    <row r="1465" spans="4:8" x14ac:dyDescent="0.3">
      <c r="D1465" s="99" t="s">
        <v>2651</v>
      </c>
      <c r="E1465" s="100">
        <v>45911</v>
      </c>
      <c r="F1465" s="100">
        <f t="shared" si="110"/>
        <v>45950</v>
      </c>
      <c r="G1465" s="101">
        <f t="shared" si="111"/>
        <v>39</v>
      </c>
      <c r="H1465" s="102">
        <f t="shared" si="109"/>
        <v>0</v>
      </c>
    </row>
    <row r="1466" spans="4:8" x14ac:dyDescent="0.3">
      <c r="D1466" s="99" t="s">
        <v>2651</v>
      </c>
      <c r="E1466" s="100">
        <v>45950</v>
      </c>
      <c r="F1466" s="100" t="str">
        <f t="shared" si="110"/>
        <v/>
      </c>
      <c r="G1466" s="101" t="str">
        <f t="shared" si="111"/>
        <v/>
      </c>
      <c r="H1466" s="102" t="str">
        <f t="shared" si="109"/>
        <v/>
      </c>
    </row>
    <row r="1467" spans="4:8" x14ac:dyDescent="0.3">
      <c r="D1467" s="99" t="s">
        <v>2652</v>
      </c>
      <c r="E1467" s="100">
        <v>45743</v>
      </c>
      <c r="F1467" s="100">
        <f t="shared" si="110"/>
        <v>45950</v>
      </c>
      <c r="G1467" s="101">
        <f t="shared" si="111"/>
        <v>207</v>
      </c>
      <c r="H1467" s="102">
        <f t="shared" si="109"/>
        <v>0</v>
      </c>
    </row>
    <row r="1468" spans="4:8" x14ac:dyDescent="0.3">
      <c r="D1468" s="99" t="s">
        <v>2652</v>
      </c>
      <c r="E1468" s="100">
        <v>45950</v>
      </c>
      <c r="F1468" s="100" t="str">
        <f t="shared" si="110"/>
        <v/>
      </c>
      <c r="G1468" s="101" t="str">
        <f t="shared" si="111"/>
        <v/>
      </c>
      <c r="H1468" s="102" t="str">
        <f t="shared" si="109"/>
        <v/>
      </c>
    </row>
    <row r="1469" spans="4:8" x14ac:dyDescent="0.3">
      <c r="D1469" s="99" t="s">
        <v>2653</v>
      </c>
      <c r="E1469" s="100">
        <v>45778</v>
      </c>
      <c r="F1469" s="100" t="str">
        <f t="shared" si="110"/>
        <v/>
      </c>
      <c r="G1469" s="101" t="str">
        <f t="shared" si="111"/>
        <v/>
      </c>
      <c r="H1469" s="102" t="str">
        <f t="shared" si="109"/>
        <v/>
      </c>
    </row>
    <row r="1470" spans="4:8" x14ac:dyDescent="0.3">
      <c r="D1470" s="99" t="s">
        <v>2654</v>
      </c>
      <c r="E1470" s="100">
        <v>45910</v>
      </c>
      <c r="F1470" s="100" t="str">
        <f t="shared" si="110"/>
        <v/>
      </c>
      <c r="G1470" s="101" t="str">
        <f t="shared" si="111"/>
        <v/>
      </c>
      <c r="H1470" s="102" t="str">
        <f t="shared" si="109"/>
        <v/>
      </c>
    </row>
    <row r="1471" spans="4:8" x14ac:dyDescent="0.3">
      <c r="D1471" s="99" t="s">
        <v>2655</v>
      </c>
      <c r="E1471" s="100">
        <v>45674</v>
      </c>
      <c r="F1471" s="100">
        <f t="shared" si="110"/>
        <v>45772</v>
      </c>
      <c r="G1471" s="101">
        <f t="shared" si="111"/>
        <v>98</v>
      </c>
      <c r="H1471" s="102">
        <f t="shared" si="109"/>
        <v>0</v>
      </c>
    </row>
    <row r="1472" spans="4:8" x14ac:dyDescent="0.3">
      <c r="D1472" s="99" t="s">
        <v>2655</v>
      </c>
      <c r="E1472" s="100">
        <v>45772</v>
      </c>
      <c r="F1472" s="100">
        <f t="shared" si="110"/>
        <v>45862</v>
      </c>
      <c r="G1472" s="101">
        <f t="shared" si="111"/>
        <v>90</v>
      </c>
      <c r="H1472" s="102">
        <f t="shared" si="109"/>
        <v>0</v>
      </c>
    </row>
    <row r="1473" spans="4:8" x14ac:dyDescent="0.3">
      <c r="D1473" s="99" t="s">
        <v>2655</v>
      </c>
      <c r="E1473" s="100">
        <v>45862</v>
      </c>
      <c r="F1473" s="100">
        <f t="shared" si="110"/>
        <v>46003</v>
      </c>
      <c r="G1473" s="101">
        <f t="shared" si="111"/>
        <v>141</v>
      </c>
      <c r="H1473" s="102">
        <f t="shared" si="109"/>
        <v>0</v>
      </c>
    </row>
    <row r="1474" spans="4:8" x14ac:dyDescent="0.3">
      <c r="D1474" s="99" t="s">
        <v>2655</v>
      </c>
      <c r="E1474" s="100">
        <v>46003</v>
      </c>
      <c r="F1474" s="100" t="str">
        <f t="shared" si="110"/>
        <v/>
      </c>
      <c r="G1474" s="101" t="str">
        <f t="shared" si="111"/>
        <v/>
      </c>
      <c r="H1474" s="102" t="str">
        <f t="shared" si="109"/>
        <v/>
      </c>
    </row>
    <row r="1475" spans="4:8" x14ac:dyDescent="0.3">
      <c r="D1475" s="99" t="s">
        <v>2656</v>
      </c>
      <c r="E1475" s="100">
        <v>45741</v>
      </c>
      <c r="F1475" s="100">
        <f t="shared" si="110"/>
        <v>45926</v>
      </c>
      <c r="G1475" s="101">
        <f t="shared" si="111"/>
        <v>185</v>
      </c>
      <c r="H1475" s="102">
        <f t="shared" si="109"/>
        <v>0</v>
      </c>
    </row>
    <row r="1476" spans="4:8" x14ac:dyDescent="0.3">
      <c r="D1476" s="99" t="s">
        <v>2656</v>
      </c>
      <c r="E1476" s="100">
        <v>45926</v>
      </c>
      <c r="F1476" s="100">
        <f t="shared" si="110"/>
        <v>45930</v>
      </c>
      <c r="G1476" s="101">
        <f t="shared" si="111"/>
        <v>4</v>
      </c>
      <c r="H1476" s="102">
        <f t="shared" si="109"/>
        <v>1</v>
      </c>
    </row>
    <row r="1477" spans="4:8" x14ac:dyDescent="0.3">
      <c r="D1477" s="99" t="s">
        <v>2656</v>
      </c>
      <c r="E1477" s="100">
        <v>45930</v>
      </c>
      <c r="F1477" s="100">
        <f t="shared" si="110"/>
        <v>46017</v>
      </c>
      <c r="G1477" s="101">
        <f t="shared" si="111"/>
        <v>87</v>
      </c>
      <c r="H1477" s="102">
        <f t="shared" si="109"/>
        <v>0</v>
      </c>
    </row>
    <row r="1478" spans="4:8" x14ac:dyDescent="0.3">
      <c r="D1478" s="99" t="s">
        <v>2656</v>
      </c>
      <c r="E1478" s="100">
        <v>46017</v>
      </c>
      <c r="F1478" s="100" t="str">
        <f t="shared" si="110"/>
        <v/>
      </c>
      <c r="G1478" s="101" t="str">
        <f t="shared" si="111"/>
        <v/>
      </c>
      <c r="H1478" s="102" t="str">
        <f t="shared" si="109"/>
        <v/>
      </c>
    </row>
    <row r="1479" spans="4:8" x14ac:dyDescent="0.3">
      <c r="D1479" s="99" t="s">
        <v>2657</v>
      </c>
      <c r="E1479" s="100">
        <v>45678</v>
      </c>
      <c r="F1479" s="100">
        <f t="shared" si="110"/>
        <v>45769</v>
      </c>
      <c r="G1479" s="101">
        <f t="shared" si="111"/>
        <v>91</v>
      </c>
      <c r="H1479" s="102">
        <f t="shared" ref="H1479:H1542" si="112">IF(G1479="","",IF(G1479&lt;=return_window,1,0))</f>
        <v>0</v>
      </c>
    </row>
    <row r="1480" spans="4:8" x14ac:dyDescent="0.3">
      <c r="D1480" s="99" t="s">
        <v>2657</v>
      </c>
      <c r="E1480" s="100">
        <v>45769</v>
      </c>
      <c r="F1480" s="100">
        <f t="shared" ref="F1480:F1543" si="113">IF(D1480=D1481,E1481,"")</f>
        <v>45775</v>
      </c>
      <c r="G1480" s="101">
        <f t="shared" ref="G1480:G1543" si="114">IF(F1480="","",F1480-E1480)</f>
        <v>6</v>
      </c>
      <c r="H1480" s="102">
        <f t="shared" si="112"/>
        <v>1</v>
      </c>
    </row>
    <row r="1481" spans="4:8" x14ac:dyDescent="0.3">
      <c r="D1481" s="99" t="s">
        <v>2657</v>
      </c>
      <c r="E1481" s="100">
        <v>45775</v>
      </c>
      <c r="F1481" s="100">
        <f t="shared" si="113"/>
        <v>45852</v>
      </c>
      <c r="G1481" s="101">
        <f t="shared" si="114"/>
        <v>77</v>
      </c>
      <c r="H1481" s="102">
        <f t="shared" si="112"/>
        <v>0</v>
      </c>
    </row>
    <row r="1482" spans="4:8" x14ac:dyDescent="0.3">
      <c r="D1482" s="99" t="s">
        <v>2657</v>
      </c>
      <c r="E1482" s="100">
        <v>45852</v>
      </c>
      <c r="F1482" s="100">
        <f t="shared" si="113"/>
        <v>45855</v>
      </c>
      <c r="G1482" s="101">
        <f t="shared" si="114"/>
        <v>3</v>
      </c>
      <c r="H1482" s="102">
        <f t="shared" si="112"/>
        <v>1</v>
      </c>
    </row>
    <row r="1483" spans="4:8" x14ac:dyDescent="0.3">
      <c r="D1483" s="99" t="s">
        <v>2657</v>
      </c>
      <c r="E1483" s="100">
        <v>45855</v>
      </c>
      <c r="F1483" s="100" t="str">
        <f t="shared" si="113"/>
        <v/>
      </c>
      <c r="G1483" s="101" t="str">
        <f t="shared" si="114"/>
        <v/>
      </c>
      <c r="H1483" s="102" t="str">
        <f t="shared" si="112"/>
        <v/>
      </c>
    </row>
    <row r="1484" spans="4:8" x14ac:dyDescent="0.3">
      <c r="D1484" s="99" t="s">
        <v>2658</v>
      </c>
      <c r="E1484" s="100">
        <v>45960</v>
      </c>
      <c r="F1484" s="100" t="str">
        <f t="shared" si="113"/>
        <v/>
      </c>
      <c r="G1484" s="101" t="str">
        <f t="shared" si="114"/>
        <v/>
      </c>
      <c r="H1484" s="102" t="str">
        <f t="shared" si="112"/>
        <v/>
      </c>
    </row>
    <row r="1485" spans="4:8" x14ac:dyDescent="0.3">
      <c r="D1485" s="99" t="s">
        <v>2659</v>
      </c>
      <c r="E1485" s="100">
        <v>45929</v>
      </c>
      <c r="F1485" s="100" t="str">
        <f t="shared" si="113"/>
        <v/>
      </c>
      <c r="G1485" s="101" t="str">
        <f t="shared" si="114"/>
        <v/>
      </c>
      <c r="H1485" s="102" t="str">
        <f t="shared" si="112"/>
        <v/>
      </c>
    </row>
    <row r="1486" spans="4:8" x14ac:dyDescent="0.3">
      <c r="D1486" s="99" t="s">
        <v>2660</v>
      </c>
      <c r="E1486" s="100">
        <v>45771</v>
      </c>
      <c r="F1486" s="100">
        <f t="shared" si="113"/>
        <v>45876</v>
      </c>
      <c r="G1486" s="101">
        <f t="shared" si="114"/>
        <v>105</v>
      </c>
      <c r="H1486" s="102">
        <f t="shared" si="112"/>
        <v>0</v>
      </c>
    </row>
    <row r="1487" spans="4:8" x14ac:dyDescent="0.3">
      <c r="D1487" s="99" t="s">
        <v>2660</v>
      </c>
      <c r="E1487" s="100">
        <v>45876</v>
      </c>
      <c r="F1487" s="100">
        <f t="shared" si="113"/>
        <v>45917</v>
      </c>
      <c r="G1487" s="101">
        <f t="shared" si="114"/>
        <v>41</v>
      </c>
      <c r="H1487" s="102">
        <f t="shared" si="112"/>
        <v>0</v>
      </c>
    </row>
    <row r="1488" spans="4:8" x14ac:dyDescent="0.3">
      <c r="D1488" s="99" t="s">
        <v>2660</v>
      </c>
      <c r="E1488" s="100">
        <v>45917</v>
      </c>
      <c r="F1488" s="100">
        <f t="shared" si="113"/>
        <v>45950</v>
      </c>
      <c r="G1488" s="101">
        <f t="shared" si="114"/>
        <v>33</v>
      </c>
      <c r="H1488" s="102">
        <f t="shared" si="112"/>
        <v>0</v>
      </c>
    </row>
    <row r="1489" spans="4:8" x14ac:dyDescent="0.3">
      <c r="D1489" s="99" t="s">
        <v>2660</v>
      </c>
      <c r="E1489" s="100">
        <v>45950</v>
      </c>
      <c r="F1489" s="100" t="str">
        <f t="shared" si="113"/>
        <v/>
      </c>
      <c r="G1489" s="101" t="str">
        <f t="shared" si="114"/>
        <v/>
      </c>
      <c r="H1489" s="102" t="str">
        <f t="shared" si="112"/>
        <v/>
      </c>
    </row>
    <row r="1490" spans="4:8" x14ac:dyDescent="0.3">
      <c r="D1490" s="99" t="s">
        <v>2661</v>
      </c>
      <c r="E1490" s="100">
        <v>45854</v>
      </c>
      <c r="F1490" s="100">
        <f t="shared" si="113"/>
        <v>45919</v>
      </c>
      <c r="G1490" s="101">
        <f t="shared" si="114"/>
        <v>65</v>
      </c>
      <c r="H1490" s="102">
        <f t="shared" si="112"/>
        <v>0</v>
      </c>
    </row>
    <row r="1491" spans="4:8" x14ac:dyDescent="0.3">
      <c r="D1491" s="99" t="s">
        <v>2661</v>
      </c>
      <c r="E1491" s="100">
        <v>45919</v>
      </c>
      <c r="F1491" s="100" t="str">
        <f t="shared" si="113"/>
        <v/>
      </c>
      <c r="G1491" s="101" t="str">
        <f t="shared" si="114"/>
        <v/>
      </c>
      <c r="H1491" s="102" t="str">
        <f t="shared" si="112"/>
        <v/>
      </c>
    </row>
    <row r="1492" spans="4:8" x14ac:dyDescent="0.3">
      <c r="D1492" s="99" t="s">
        <v>2662</v>
      </c>
      <c r="E1492" s="100">
        <v>45721</v>
      </c>
      <c r="F1492" s="100">
        <f t="shared" si="113"/>
        <v>45764</v>
      </c>
      <c r="G1492" s="101">
        <f t="shared" si="114"/>
        <v>43</v>
      </c>
      <c r="H1492" s="102">
        <f t="shared" si="112"/>
        <v>0</v>
      </c>
    </row>
    <row r="1493" spans="4:8" x14ac:dyDescent="0.3">
      <c r="D1493" s="99" t="s">
        <v>2662</v>
      </c>
      <c r="E1493" s="100">
        <v>45764</v>
      </c>
      <c r="F1493" s="100">
        <f t="shared" si="113"/>
        <v>45824</v>
      </c>
      <c r="G1493" s="101">
        <f t="shared" si="114"/>
        <v>60</v>
      </c>
      <c r="H1493" s="102">
        <f t="shared" si="112"/>
        <v>0</v>
      </c>
    </row>
    <row r="1494" spans="4:8" x14ac:dyDescent="0.3">
      <c r="D1494" s="99" t="s">
        <v>2662</v>
      </c>
      <c r="E1494" s="100">
        <v>45824</v>
      </c>
      <c r="F1494" s="100">
        <f t="shared" si="113"/>
        <v>45848</v>
      </c>
      <c r="G1494" s="101">
        <f t="shared" si="114"/>
        <v>24</v>
      </c>
      <c r="H1494" s="102">
        <f t="shared" si="112"/>
        <v>1</v>
      </c>
    </row>
    <row r="1495" spans="4:8" x14ac:dyDescent="0.3">
      <c r="D1495" s="99" t="s">
        <v>2662</v>
      </c>
      <c r="E1495" s="100">
        <v>45848</v>
      </c>
      <c r="F1495" s="100">
        <f t="shared" si="113"/>
        <v>45917</v>
      </c>
      <c r="G1495" s="101">
        <f t="shared" si="114"/>
        <v>69</v>
      </c>
      <c r="H1495" s="102">
        <f t="shared" si="112"/>
        <v>0</v>
      </c>
    </row>
    <row r="1496" spans="4:8" x14ac:dyDescent="0.3">
      <c r="D1496" s="99" t="s">
        <v>2662</v>
      </c>
      <c r="E1496" s="100">
        <v>45917</v>
      </c>
      <c r="F1496" s="100" t="str">
        <f t="shared" si="113"/>
        <v/>
      </c>
      <c r="G1496" s="101" t="str">
        <f t="shared" si="114"/>
        <v/>
      </c>
      <c r="H1496" s="102" t="str">
        <f t="shared" si="112"/>
        <v/>
      </c>
    </row>
    <row r="1497" spans="4:8" x14ac:dyDescent="0.3">
      <c r="D1497" s="99" t="s">
        <v>2663</v>
      </c>
      <c r="E1497" s="100">
        <v>45743</v>
      </c>
      <c r="F1497" s="100">
        <f t="shared" si="113"/>
        <v>45825</v>
      </c>
      <c r="G1497" s="101">
        <f t="shared" si="114"/>
        <v>82</v>
      </c>
      <c r="H1497" s="102">
        <f t="shared" si="112"/>
        <v>0</v>
      </c>
    </row>
    <row r="1498" spans="4:8" x14ac:dyDescent="0.3">
      <c r="D1498" s="99" t="s">
        <v>2663</v>
      </c>
      <c r="E1498" s="100">
        <v>45825</v>
      </c>
      <c r="F1498" s="100">
        <f t="shared" si="113"/>
        <v>45992</v>
      </c>
      <c r="G1498" s="101">
        <f t="shared" si="114"/>
        <v>167</v>
      </c>
      <c r="H1498" s="102">
        <f t="shared" si="112"/>
        <v>0</v>
      </c>
    </row>
    <row r="1499" spans="4:8" x14ac:dyDescent="0.3">
      <c r="D1499" s="99" t="s">
        <v>2663</v>
      </c>
      <c r="E1499" s="100">
        <v>45992</v>
      </c>
      <c r="F1499" s="100">
        <f t="shared" si="113"/>
        <v>46014</v>
      </c>
      <c r="G1499" s="101">
        <f t="shared" si="114"/>
        <v>22</v>
      </c>
      <c r="H1499" s="102">
        <f t="shared" si="112"/>
        <v>1</v>
      </c>
    </row>
    <row r="1500" spans="4:8" x14ac:dyDescent="0.3">
      <c r="D1500" s="99" t="s">
        <v>2663</v>
      </c>
      <c r="E1500" s="100">
        <v>46014</v>
      </c>
      <c r="F1500" s="100" t="str">
        <f t="shared" si="113"/>
        <v/>
      </c>
      <c r="G1500" s="101" t="str">
        <f t="shared" si="114"/>
        <v/>
      </c>
      <c r="H1500" s="102" t="str">
        <f t="shared" si="112"/>
        <v/>
      </c>
    </row>
    <row r="1501" spans="4:8" x14ac:dyDescent="0.3">
      <c r="D1501" s="99" t="s">
        <v>2664</v>
      </c>
      <c r="E1501" s="100">
        <v>45677</v>
      </c>
      <c r="F1501" s="100" t="str">
        <f t="shared" si="113"/>
        <v/>
      </c>
      <c r="G1501" s="101" t="str">
        <f t="shared" si="114"/>
        <v/>
      </c>
      <c r="H1501" s="102" t="str">
        <f t="shared" si="112"/>
        <v/>
      </c>
    </row>
    <row r="1502" spans="4:8" x14ac:dyDescent="0.3">
      <c r="D1502" s="99" t="s">
        <v>2665</v>
      </c>
      <c r="E1502" s="100">
        <v>45754</v>
      </c>
      <c r="F1502" s="100">
        <f t="shared" si="113"/>
        <v>45834</v>
      </c>
      <c r="G1502" s="101">
        <f t="shared" si="114"/>
        <v>80</v>
      </c>
      <c r="H1502" s="102">
        <f t="shared" si="112"/>
        <v>0</v>
      </c>
    </row>
    <row r="1503" spans="4:8" x14ac:dyDescent="0.3">
      <c r="D1503" s="99" t="s">
        <v>2665</v>
      </c>
      <c r="E1503" s="100">
        <v>45834</v>
      </c>
      <c r="F1503" s="100">
        <f t="shared" si="113"/>
        <v>45866</v>
      </c>
      <c r="G1503" s="101">
        <f t="shared" si="114"/>
        <v>32</v>
      </c>
      <c r="H1503" s="102">
        <f t="shared" si="112"/>
        <v>0</v>
      </c>
    </row>
    <row r="1504" spans="4:8" x14ac:dyDescent="0.3">
      <c r="D1504" s="99" t="s">
        <v>2665</v>
      </c>
      <c r="E1504" s="100">
        <v>45866</v>
      </c>
      <c r="F1504" s="100">
        <f t="shared" si="113"/>
        <v>45965</v>
      </c>
      <c r="G1504" s="101">
        <f t="shared" si="114"/>
        <v>99</v>
      </c>
      <c r="H1504" s="102">
        <f t="shared" si="112"/>
        <v>0</v>
      </c>
    </row>
    <row r="1505" spans="4:8" x14ac:dyDescent="0.3">
      <c r="D1505" s="99" t="s">
        <v>2665</v>
      </c>
      <c r="E1505" s="100">
        <v>45965</v>
      </c>
      <c r="F1505" s="100" t="str">
        <f t="shared" si="113"/>
        <v/>
      </c>
      <c r="G1505" s="101" t="str">
        <f t="shared" si="114"/>
        <v/>
      </c>
      <c r="H1505" s="102" t="str">
        <f t="shared" si="112"/>
        <v/>
      </c>
    </row>
    <row r="1506" spans="4:8" x14ac:dyDescent="0.3">
      <c r="D1506" s="99" t="s">
        <v>2666</v>
      </c>
      <c r="E1506" s="100">
        <v>45954</v>
      </c>
      <c r="F1506" s="100" t="str">
        <f t="shared" si="113"/>
        <v/>
      </c>
      <c r="G1506" s="101" t="str">
        <f t="shared" si="114"/>
        <v/>
      </c>
      <c r="H1506" s="102" t="str">
        <f t="shared" si="112"/>
        <v/>
      </c>
    </row>
    <row r="1507" spans="4:8" x14ac:dyDescent="0.3">
      <c r="D1507" s="99" t="s">
        <v>2667</v>
      </c>
      <c r="E1507" s="100">
        <v>45728</v>
      </c>
      <c r="F1507" s="100">
        <f t="shared" si="113"/>
        <v>45849</v>
      </c>
      <c r="G1507" s="101">
        <f t="shared" si="114"/>
        <v>121</v>
      </c>
      <c r="H1507" s="102">
        <f t="shared" si="112"/>
        <v>0</v>
      </c>
    </row>
    <row r="1508" spans="4:8" x14ac:dyDescent="0.3">
      <c r="D1508" s="99" t="s">
        <v>2667</v>
      </c>
      <c r="E1508" s="100">
        <v>45849</v>
      </c>
      <c r="F1508" s="100">
        <f t="shared" si="113"/>
        <v>45915</v>
      </c>
      <c r="G1508" s="101">
        <f t="shared" si="114"/>
        <v>66</v>
      </c>
      <c r="H1508" s="102">
        <f t="shared" si="112"/>
        <v>0</v>
      </c>
    </row>
    <row r="1509" spans="4:8" x14ac:dyDescent="0.3">
      <c r="D1509" s="99" t="s">
        <v>2667</v>
      </c>
      <c r="E1509" s="100">
        <v>45915</v>
      </c>
      <c r="F1509" s="100" t="str">
        <f t="shared" si="113"/>
        <v/>
      </c>
      <c r="G1509" s="101" t="str">
        <f t="shared" si="114"/>
        <v/>
      </c>
      <c r="H1509" s="102" t="str">
        <f t="shared" si="112"/>
        <v/>
      </c>
    </row>
    <row r="1510" spans="4:8" x14ac:dyDescent="0.3">
      <c r="D1510" s="99" t="s">
        <v>2668</v>
      </c>
      <c r="E1510" s="100">
        <v>45751</v>
      </c>
      <c r="F1510" s="100">
        <f t="shared" si="113"/>
        <v>45764</v>
      </c>
      <c r="G1510" s="101">
        <f t="shared" si="114"/>
        <v>13</v>
      </c>
      <c r="H1510" s="102">
        <f t="shared" si="112"/>
        <v>1</v>
      </c>
    </row>
    <row r="1511" spans="4:8" x14ac:dyDescent="0.3">
      <c r="D1511" s="99" t="s">
        <v>2668</v>
      </c>
      <c r="E1511" s="100">
        <v>45764</v>
      </c>
      <c r="F1511" s="100">
        <f t="shared" si="113"/>
        <v>45789</v>
      </c>
      <c r="G1511" s="101">
        <f t="shared" si="114"/>
        <v>25</v>
      </c>
      <c r="H1511" s="102">
        <f t="shared" si="112"/>
        <v>1</v>
      </c>
    </row>
    <row r="1512" spans="4:8" x14ac:dyDescent="0.3">
      <c r="D1512" s="99" t="s">
        <v>2668</v>
      </c>
      <c r="E1512" s="100">
        <v>45789</v>
      </c>
      <c r="F1512" s="100">
        <f t="shared" si="113"/>
        <v>45848</v>
      </c>
      <c r="G1512" s="101">
        <f t="shared" si="114"/>
        <v>59</v>
      </c>
      <c r="H1512" s="102">
        <f t="shared" si="112"/>
        <v>0</v>
      </c>
    </row>
    <row r="1513" spans="4:8" x14ac:dyDescent="0.3">
      <c r="D1513" s="99" t="s">
        <v>2668</v>
      </c>
      <c r="E1513" s="100">
        <v>45848</v>
      </c>
      <c r="F1513" s="100">
        <f t="shared" si="113"/>
        <v>45961</v>
      </c>
      <c r="G1513" s="101">
        <f t="shared" si="114"/>
        <v>113</v>
      </c>
      <c r="H1513" s="102">
        <f t="shared" si="112"/>
        <v>0</v>
      </c>
    </row>
    <row r="1514" spans="4:8" x14ac:dyDescent="0.3">
      <c r="D1514" s="99" t="s">
        <v>2668</v>
      </c>
      <c r="E1514" s="100">
        <v>45961</v>
      </c>
      <c r="F1514" s="100">
        <f t="shared" si="113"/>
        <v>45978</v>
      </c>
      <c r="G1514" s="101">
        <f t="shared" si="114"/>
        <v>17</v>
      </c>
      <c r="H1514" s="102">
        <f t="shared" si="112"/>
        <v>1</v>
      </c>
    </row>
    <row r="1515" spans="4:8" x14ac:dyDescent="0.3">
      <c r="D1515" s="99" t="s">
        <v>2668</v>
      </c>
      <c r="E1515" s="100">
        <v>45978</v>
      </c>
      <c r="F1515" s="100" t="str">
        <f t="shared" si="113"/>
        <v/>
      </c>
      <c r="G1515" s="101" t="str">
        <f t="shared" si="114"/>
        <v/>
      </c>
      <c r="H1515" s="102" t="str">
        <f t="shared" si="112"/>
        <v/>
      </c>
    </row>
    <row r="1516" spans="4:8" x14ac:dyDescent="0.3">
      <c r="D1516" s="99" t="s">
        <v>2669</v>
      </c>
      <c r="E1516" s="100">
        <v>45694</v>
      </c>
      <c r="F1516" s="100">
        <f t="shared" si="113"/>
        <v>45701</v>
      </c>
      <c r="G1516" s="101">
        <f t="shared" si="114"/>
        <v>7</v>
      </c>
      <c r="H1516" s="102">
        <f t="shared" si="112"/>
        <v>1</v>
      </c>
    </row>
    <row r="1517" spans="4:8" x14ac:dyDescent="0.3">
      <c r="D1517" s="99" t="s">
        <v>2669</v>
      </c>
      <c r="E1517" s="100">
        <v>45701</v>
      </c>
      <c r="F1517" s="100">
        <f t="shared" si="113"/>
        <v>45820</v>
      </c>
      <c r="G1517" s="101">
        <f t="shared" si="114"/>
        <v>119</v>
      </c>
      <c r="H1517" s="102">
        <f t="shared" si="112"/>
        <v>0</v>
      </c>
    </row>
    <row r="1518" spans="4:8" x14ac:dyDescent="0.3">
      <c r="D1518" s="99" t="s">
        <v>2669</v>
      </c>
      <c r="E1518" s="100">
        <v>45820</v>
      </c>
      <c r="F1518" s="100">
        <f t="shared" si="113"/>
        <v>45824</v>
      </c>
      <c r="G1518" s="101">
        <f t="shared" si="114"/>
        <v>4</v>
      </c>
      <c r="H1518" s="102">
        <f t="shared" si="112"/>
        <v>1</v>
      </c>
    </row>
    <row r="1519" spans="4:8" x14ac:dyDescent="0.3">
      <c r="D1519" s="99" t="s">
        <v>2669</v>
      </c>
      <c r="E1519" s="100">
        <v>45824</v>
      </c>
      <c r="F1519" s="100">
        <f t="shared" si="113"/>
        <v>46010</v>
      </c>
      <c r="G1519" s="101">
        <f t="shared" si="114"/>
        <v>186</v>
      </c>
      <c r="H1519" s="102">
        <f t="shared" si="112"/>
        <v>0</v>
      </c>
    </row>
    <row r="1520" spans="4:8" x14ac:dyDescent="0.3">
      <c r="D1520" s="99" t="s">
        <v>2669</v>
      </c>
      <c r="E1520" s="100">
        <v>46010</v>
      </c>
      <c r="F1520" s="100">
        <f t="shared" si="113"/>
        <v>46022</v>
      </c>
      <c r="G1520" s="101">
        <f t="shared" si="114"/>
        <v>12</v>
      </c>
      <c r="H1520" s="102">
        <f t="shared" si="112"/>
        <v>1</v>
      </c>
    </row>
    <row r="1521" spans="4:8" x14ac:dyDescent="0.3">
      <c r="D1521" s="99" t="s">
        <v>2669</v>
      </c>
      <c r="E1521" s="100">
        <v>46022</v>
      </c>
      <c r="F1521" s="100" t="str">
        <f t="shared" si="113"/>
        <v/>
      </c>
      <c r="G1521" s="101" t="str">
        <f t="shared" si="114"/>
        <v/>
      </c>
      <c r="H1521" s="102" t="str">
        <f t="shared" si="112"/>
        <v/>
      </c>
    </row>
    <row r="1522" spans="4:8" x14ac:dyDescent="0.3">
      <c r="D1522" s="99" t="s">
        <v>2670</v>
      </c>
      <c r="E1522" s="100">
        <v>45733</v>
      </c>
      <c r="F1522" s="100">
        <f t="shared" si="113"/>
        <v>45772</v>
      </c>
      <c r="G1522" s="101">
        <f t="shared" si="114"/>
        <v>39</v>
      </c>
      <c r="H1522" s="102">
        <f t="shared" si="112"/>
        <v>0</v>
      </c>
    </row>
    <row r="1523" spans="4:8" x14ac:dyDescent="0.3">
      <c r="D1523" s="99" t="s">
        <v>2670</v>
      </c>
      <c r="E1523" s="100">
        <v>45772</v>
      </c>
      <c r="F1523" s="100" t="str">
        <f t="shared" si="113"/>
        <v/>
      </c>
      <c r="G1523" s="101" t="str">
        <f t="shared" si="114"/>
        <v/>
      </c>
      <c r="H1523" s="102" t="str">
        <f t="shared" si="112"/>
        <v/>
      </c>
    </row>
    <row r="1524" spans="4:8" x14ac:dyDescent="0.3">
      <c r="D1524" s="99" t="s">
        <v>2671</v>
      </c>
      <c r="E1524" s="100">
        <v>45954</v>
      </c>
      <c r="F1524" s="100" t="str">
        <f t="shared" si="113"/>
        <v/>
      </c>
      <c r="G1524" s="101" t="str">
        <f t="shared" si="114"/>
        <v/>
      </c>
      <c r="H1524" s="102" t="str">
        <f t="shared" si="112"/>
        <v/>
      </c>
    </row>
    <row r="1525" spans="4:8" x14ac:dyDescent="0.3">
      <c r="D1525" s="99" t="s">
        <v>2672</v>
      </c>
      <c r="E1525" s="100">
        <v>45817</v>
      </c>
      <c r="F1525" s="100" t="str">
        <f t="shared" si="113"/>
        <v/>
      </c>
      <c r="G1525" s="101" t="str">
        <f t="shared" si="114"/>
        <v/>
      </c>
      <c r="H1525" s="102" t="str">
        <f t="shared" si="112"/>
        <v/>
      </c>
    </row>
    <row r="1526" spans="4:8" x14ac:dyDescent="0.3">
      <c r="D1526" s="99" t="s">
        <v>2673</v>
      </c>
      <c r="E1526" s="100">
        <v>45693</v>
      </c>
      <c r="F1526" s="100">
        <f t="shared" si="113"/>
        <v>45694</v>
      </c>
      <c r="G1526" s="101">
        <f t="shared" si="114"/>
        <v>1</v>
      </c>
      <c r="H1526" s="102">
        <f t="shared" si="112"/>
        <v>1</v>
      </c>
    </row>
    <row r="1527" spans="4:8" x14ac:dyDescent="0.3">
      <c r="D1527" s="99" t="s">
        <v>2673</v>
      </c>
      <c r="E1527" s="100">
        <v>45694</v>
      </c>
      <c r="F1527" s="100">
        <f t="shared" si="113"/>
        <v>45730</v>
      </c>
      <c r="G1527" s="101">
        <f t="shared" si="114"/>
        <v>36</v>
      </c>
      <c r="H1527" s="102">
        <f t="shared" si="112"/>
        <v>0</v>
      </c>
    </row>
    <row r="1528" spans="4:8" x14ac:dyDescent="0.3">
      <c r="D1528" s="99" t="s">
        <v>2673</v>
      </c>
      <c r="E1528" s="100">
        <v>45730</v>
      </c>
      <c r="F1528" s="100">
        <f t="shared" si="113"/>
        <v>45742</v>
      </c>
      <c r="G1528" s="101">
        <f t="shared" si="114"/>
        <v>12</v>
      </c>
      <c r="H1528" s="102">
        <f t="shared" si="112"/>
        <v>1</v>
      </c>
    </row>
    <row r="1529" spans="4:8" x14ac:dyDescent="0.3">
      <c r="D1529" s="99" t="s">
        <v>2673</v>
      </c>
      <c r="E1529" s="100">
        <v>45742</v>
      </c>
      <c r="F1529" s="100">
        <f t="shared" si="113"/>
        <v>45756</v>
      </c>
      <c r="G1529" s="101">
        <f t="shared" si="114"/>
        <v>14</v>
      </c>
      <c r="H1529" s="102">
        <f t="shared" si="112"/>
        <v>1</v>
      </c>
    </row>
    <row r="1530" spans="4:8" x14ac:dyDescent="0.3">
      <c r="D1530" s="99" t="s">
        <v>2673</v>
      </c>
      <c r="E1530" s="100">
        <v>45756</v>
      </c>
      <c r="F1530" s="100">
        <f t="shared" si="113"/>
        <v>45756</v>
      </c>
      <c r="G1530" s="101">
        <f t="shared" si="114"/>
        <v>0</v>
      </c>
      <c r="H1530" s="102">
        <f t="shared" si="112"/>
        <v>1</v>
      </c>
    </row>
    <row r="1531" spans="4:8" x14ac:dyDescent="0.3">
      <c r="D1531" s="99" t="s">
        <v>2673</v>
      </c>
      <c r="E1531" s="100">
        <v>45756</v>
      </c>
      <c r="F1531" s="100">
        <f t="shared" si="113"/>
        <v>45874</v>
      </c>
      <c r="G1531" s="101">
        <f t="shared" si="114"/>
        <v>118</v>
      </c>
      <c r="H1531" s="102">
        <f t="shared" si="112"/>
        <v>0</v>
      </c>
    </row>
    <row r="1532" spans="4:8" x14ac:dyDescent="0.3">
      <c r="D1532" s="99" t="s">
        <v>2673</v>
      </c>
      <c r="E1532" s="100">
        <v>45874</v>
      </c>
      <c r="F1532" s="100">
        <f t="shared" si="113"/>
        <v>45992</v>
      </c>
      <c r="G1532" s="101">
        <f t="shared" si="114"/>
        <v>118</v>
      </c>
      <c r="H1532" s="102">
        <f t="shared" si="112"/>
        <v>0</v>
      </c>
    </row>
    <row r="1533" spans="4:8" x14ac:dyDescent="0.3">
      <c r="D1533" s="99" t="s">
        <v>2673</v>
      </c>
      <c r="E1533" s="100">
        <v>45992</v>
      </c>
      <c r="F1533" s="100">
        <f t="shared" si="113"/>
        <v>45999</v>
      </c>
      <c r="G1533" s="101">
        <f t="shared" si="114"/>
        <v>7</v>
      </c>
      <c r="H1533" s="102">
        <f t="shared" si="112"/>
        <v>1</v>
      </c>
    </row>
    <row r="1534" spans="4:8" x14ac:dyDescent="0.3">
      <c r="D1534" s="99" t="s">
        <v>2673</v>
      </c>
      <c r="E1534" s="100">
        <v>45999</v>
      </c>
      <c r="F1534" s="100" t="str">
        <f t="shared" si="113"/>
        <v/>
      </c>
      <c r="G1534" s="101" t="str">
        <f t="shared" si="114"/>
        <v/>
      </c>
      <c r="H1534" s="102" t="str">
        <f t="shared" si="112"/>
        <v/>
      </c>
    </row>
    <row r="1535" spans="4:8" x14ac:dyDescent="0.3">
      <c r="D1535" s="99" t="s">
        <v>2674</v>
      </c>
      <c r="E1535" s="100">
        <v>45931</v>
      </c>
      <c r="F1535" s="100" t="str">
        <f t="shared" si="113"/>
        <v/>
      </c>
      <c r="G1535" s="101" t="str">
        <f t="shared" si="114"/>
        <v/>
      </c>
      <c r="H1535" s="102" t="str">
        <f t="shared" si="112"/>
        <v/>
      </c>
    </row>
    <row r="1536" spans="4:8" x14ac:dyDescent="0.3">
      <c r="D1536" s="99" t="s">
        <v>2675</v>
      </c>
      <c r="E1536" s="100">
        <v>45762</v>
      </c>
      <c r="F1536" s="100" t="str">
        <f t="shared" si="113"/>
        <v/>
      </c>
      <c r="G1536" s="101" t="str">
        <f t="shared" si="114"/>
        <v/>
      </c>
      <c r="H1536" s="102" t="str">
        <f t="shared" si="112"/>
        <v/>
      </c>
    </row>
    <row r="1537" spans="4:8" x14ac:dyDescent="0.3">
      <c r="D1537" s="99" t="s">
        <v>2676</v>
      </c>
      <c r="E1537" s="100">
        <v>45763</v>
      </c>
      <c r="F1537" s="100">
        <f t="shared" si="113"/>
        <v>45986</v>
      </c>
      <c r="G1537" s="101">
        <f t="shared" si="114"/>
        <v>223</v>
      </c>
      <c r="H1537" s="102">
        <f t="shared" si="112"/>
        <v>0</v>
      </c>
    </row>
    <row r="1538" spans="4:8" x14ac:dyDescent="0.3">
      <c r="D1538" s="99" t="s">
        <v>2676</v>
      </c>
      <c r="E1538" s="100">
        <v>45986</v>
      </c>
      <c r="F1538" s="100" t="str">
        <f t="shared" si="113"/>
        <v/>
      </c>
      <c r="G1538" s="101" t="str">
        <f t="shared" si="114"/>
        <v/>
      </c>
      <c r="H1538" s="102" t="str">
        <f t="shared" si="112"/>
        <v/>
      </c>
    </row>
    <row r="1539" spans="4:8" x14ac:dyDescent="0.3">
      <c r="D1539" s="99" t="s">
        <v>2677</v>
      </c>
      <c r="E1539" s="100">
        <v>45929</v>
      </c>
      <c r="F1539" s="100" t="str">
        <f t="shared" si="113"/>
        <v/>
      </c>
      <c r="G1539" s="101" t="str">
        <f t="shared" si="114"/>
        <v/>
      </c>
      <c r="H1539" s="102" t="str">
        <f t="shared" si="112"/>
        <v/>
      </c>
    </row>
    <row r="1540" spans="4:8" x14ac:dyDescent="0.3">
      <c r="D1540" s="99" t="s">
        <v>2678</v>
      </c>
      <c r="E1540" s="100">
        <v>45673</v>
      </c>
      <c r="F1540" s="100" t="str">
        <f t="shared" si="113"/>
        <v/>
      </c>
      <c r="G1540" s="101" t="str">
        <f t="shared" si="114"/>
        <v/>
      </c>
      <c r="H1540" s="102" t="str">
        <f t="shared" si="112"/>
        <v/>
      </c>
    </row>
    <row r="1541" spans="4:8" x14ac:dyDescent="0.3">
      <c r="D1541" s="99" t="s">
        <v>2679</v>
      </c>
      <c r="E1541" s="100">
        <v>45729</v>
      </c>
      <c r="F1541" s="100">
        <f t="shared" si="113"/>
        <v>45768</v>
      </c>
      <c r="G1541" s="101">
        <f t="shared" si="114"/>
        <v>39</v>
      </c>
      <c r="H1541" s="102">
        <f t="shared" si="112"/>
        <v>0</v>
      </c>
    </row>
    <row r="1542" spans="4:8" x14ac:dyDescent="0.3">
      <c r="D1542" s="99" t="s">
        <v>2679</v>
      </c>
      <c r="E1542" s="100">
        <v>45768</v>
      </c>
      <c r="F1542" s="100">
        <f t="shared" si="113"/>
        <v>45987</v>
      </c>
      <c r="G1542" s="101">
        <f t="shared" si="114"/>
        <v>219</v>
      </c>
      <c r="H1542" s="102">
        <f t="shared" si="112"/>
        <v>0</v>
      </c>
    </row>
    <row r="1543" spans="4:8" x14ac:dyDescent="0.3">
      <c r="D1543" s="99" t="s">
        <v>2679</v>
      </c>
      <c r="E1543" s="100">
        <v>45987</v>
      </c>
      <c r="F1543" s="100" t="str">
        <f t="shared" si="113"/>
        <v/>
      </c>
      <c r="G1543" s="101" t="str">
        <f t="shared" si="114"/>
        <v/>
      </c>
      <c r="H1543" s="102" t="str">
        <f t="shared" ref="H1543:H1606" si="115">IF(G1543="","",IF(G1543&lt;=return_window,1,0))</f>
        <v/>
      </c>
    </row>
    <row r="1544" spans="4:8" x14ac:dyDescent="0.3">
      <c r="D1544" s="99" t="s">
        <v>2680</v>
      </c>
      <c r="E1544" s="100">
        <v>45863</v>
      </c>
      <c r="F1544" s="100" t="str">
        <f t="shared" ref="F1544:F1607" si="116">IF(D1544=D1545,E1545,"")</f>
        <v/>
      </c>
      <c r="G1544" s="101" t="str">
        <f t="shared" ref="G1544:G1607" si="117">IF(F1544="","",F1544-E1544)</f>
        <v/>
      </c>
      <c r="H1544" s="102" t="str">
        <f t="shared" si="115"/>
        <v/>
      </c>
    </row>
    <row r="1545" spans="4:8" x14ac:dyDescent="0.3">
      <c r="D1545" s="99" t="s">
        <v>2681</v>
      </c>
      <c r="E1545" s="100">
        <v>45727</v>
      </c>
      <c r="F1545" s="100">
        <f t="shared" si="116"/>
        <v>46021</v>
      </c>
      <c r="G1545" s="101">
        <f t="shared" si="117"/>
        <v>294</v>
      </c>
      <c r="H1545" s="102">
        <f t="shared" si="115"/>
        <v>0</v>
      </c>
    </row>
    <row r="1546" spans="4:8" x14ac:dyDescent="0.3">
      <c r="D1546" s="99" t="s">
        <v>2681</v>
      </c>
      <c r="E1546" s="100">
        <v>46021</v>
      </c>
      <c r="F1546" s="100" t="str">
        <f t="shared" si="116"/>
        <v/>
      </c>
      <c r="G1546" s="101" t="str">
        <f t="shared" si="117"/>
        <v/>
      </c>
      <c r="H1546" s="102" t="str">
        <f t="shared" si="115"/>
        <v/>
      </c>
    </row>
    <row r="1547" spans="4:8" x14ac:dyDescent="0.3">
      <c r="D1547" s="99" t="s">
        <v>2682</v>
      </c>
      <c r="E1547" s="100">
        <v>45733</v>
      </c>
      <c r="F1547" s="100">
        <f t="shared" si="116"/>
        <v>45952</v>
      </c>
      <c r="G1547" s="101">
        <f t="shared" si="117"/>
        <v>219</v>
      </c>
      <c r="H1547" s="102">
        <f t="shared" si="115"/>
        <v>0</v>
      </c>
    </row>
    <row r="1548" spans="4:8" x14ac:dyDescent="0.3">
      <c r="D1548" s="99" t="s">
        <v>2682</v>
      </c>
      <c r="E1548" s="100">
        <v>45952</v>
      </c>
      <c r="F1548" s="100" t="str">
        <f t="shared" si="116"/>
        <v/>
      </c>
      <c r="G1548" s="101" t="str">
        <f t="shared" si="117"/>
        <v/>
      </c>
      <c r="H1548" s="102" t="str">
        <f t="shared" si="115"/>
        <v/>
      </c>
    </row>
    <row r="1549" spans="4:8" x14ac:dyDescent="0.3">
      <c r="D1549" s="99" t="s">
        <v>2683</v>
      </c>
      <c r="E1549" s="100">
        <v>45658</v>
      </c>
      <c r="F1549" s="100" t="str">
        <f t="shared" si="116"/>
        <v/>
      </c>
      <c r="G1549" s="101" t="str">
        <f t="shared" si="117"/>
        <v/>
      </c>
      <c r="H1549" s="102" t="str">
        <f t="shared" si="115"/>
        <v/>
      </c>
    </row>
    <row r="1550" spans="4:8" x14ac:dyDescent="0.3">
      <c r="D1550" s="99" t="s">
        <v>2684</v>
      </c>
      <c r="E1550" s="100">
        <v>45699</v>
      </c>
      <c r="F1550" s="100">
        <f t="shared" si="116"/>
        <v>45714</v>
      </c>
      <c r="G1550" s="101">
        <f t="shared" si="117"/>
        <v>15</v>
      </c>
      <c r="H1550" s="102">
        <f t="shared" si="115"/>
        <v>1</v>
      </c>
    </row>
    <row r="1551" spans="4:8" x14ac:dyDescent="0.3">
      <c r="D1551" s="99" t="s">
        <v>2684</v>
      </c>
      <c r="E1551" s="100">
        <v>45714</v>
      </c>
      <c r="F1551" s="100">
        <f t="shared" si="116"/>
        <v>45762</v>
      </c>
      <c r="G1551" s="101">
        <f t="shared" si="117"/>
        <v>48</v>
      </c>
      <c r="H1551" s="102">
        <f t="shared" si="115"/>
        <v>0</v>
      </c>
    </row>
    <row r="1552" spans="4:8" x14ac:dyDescent="0.3">
      <c r="D1552" s="99" t="s">
        <v>2684</v>
      </c>
      <c r="E1552" s="100">
        <v>45762</v>
      </c>
      <c r="F1552" s="100">
        <f t="shared" si="116"/>
        <v>45943</v>
      </c>
      <c r="G1552" s="101">
        <f t="shared" si="117"/>
        <v>181</v>
      </c>
      <c r="H1552" s="102">
        <f t="shared" si="115"/>
        <v>0</v>
      </c>
    </row>
    <row r="1553" spans="4:8" x14ac:dyDescent="0.3">
      <c r="D1553" s="99" t="s">
        <v>2684</v>
      </c>
      <c r="E1553" s="100">
        <v>45943</v>
      </c>
      <c r="F1553" s="100">
        <f t="shared" si="116"/>
        <v>45944</v>
      </c>
      <c r="G1553" s="101">
        <f t="shared" si="117"/>
        <v>1</v>
      </c>
      <c r="H1553" s="102">
        <f t="shared" si="115"/>
        <v>1</v>
      </c>
    </row>
    <row r="1554" spans="4:8" x14ac:dyDescent="0.3">
      <c r="D1554" s="99" t="s">
        <v>2684</v>
      </c>
      <c r="E1554" s="100">
        <v>45944</v>
      </c>
      <c r="F1554" s="100">
        <f t="shared" si="116"/>
        <v>45952</v>
      </c>
      <c r="G1554" s="101">
        <f t="shared" si="117"/>
        <v>8</v>
      </c>
      <c r="H1554" s="102">
        <f t="shared" si="115"/>
        <v>1</v>
      </c>
    </row>
    <row r="1555" spans="4:8" x14ac:dyDescent="0.3">
      <c r="D1555" s="99" t="s">
        <v>2684</v>
      </c>
      <c r="E1555" s="100">
        <v>45952</v>
      </c>
      <c r="F1555" s="100">
        <f t="shared" si="116"/>
        <v>46007</v>
      </c>
      <c r="G1555" s="101">
        <f t="shared" si="117"/>
        <v>55</v>
      </c>
      <c r="H1555" s="102">
        <f t="shared" si="115"/>
        <v>0</v>
      </c>
    </row>
    <row r="1556" spans="4:8" x14ac:dyDescent="0.3">
      <c r="D1556" s="99" t="s">
        <v>2684</v>
      </c>
      <c r="E1556" s="100">
        <v>46007</v>
      </c>
      <c r="F1556" s="100" t="str">
        <f t="shared" si="116"/>
        <v/>
      </c>
      <c r="G1556" s="101" t="str">
        <f t="shared" si="117"/>
        <v/>
      </c>
      <c r="H1556" s="102" t="str">
        <f t="shared" si="115"/>
        <v/>
      </c>
    </row>
    <row r="1557" spans="4:8" x14ac:dyDescent="0.3">
      <c r="D1557" s="99" t="s">
        <v>2685</v>
      </c>
      <c r="E1557" s="100">
        <v>45658</v>
      </c>
      <c r="F1557" s="100">
        <f t="shared" si="116"/>
        <v>45665</v>
      </c>
      <c r="G1557" s="101">
        <f t="shared" si="117"/>
        <v>7</v>
      </c>
      <c r="H1557" s="102">
        <f t="shared" si="115"/>
        <v>1</v>
      </c>
    </row>
    <row r="1558" spans="4:8" x14ac:dyDescent="0.3">
      <c r="D1558" s="99" t="s">
        <v>2685</v>
      </c>
      <c r="E1558" s="100">
        <v>45665</v>
      </c>
      <c r="F1558" s="100">
        <f t="shared" si="116"/>
        <v>45799</v>
      </c>
      <c r="G1558" s="101">
        <f t="shared" si="117"/>
        <v>134</v>
      </c>
      <c r="H1558" s="102">
        <f t="shared" si="115"/>
        <v>0</v>
      </c>
    </row>
    <row r="1559" spans="4:8" x14ac:dyDescent="0.3">
      <c r="D1559" s="99" t="s">
        <v>2685</v>
      </c>
      <c r="E1559" s="100">
        <v>45799</v>
      </c>
      <c r="F1559" s="100">
        <f t="shared" si="116"/>
        <v>45852</v>
      </c>
      <c r="G1559" s="101">
        <f t="shared" si="117"/>
        <v>53</v>
      </c>
      <c r="H1559" s="102">
        <f t="shared" si="115"/>
        <v>0</v>
      </c>
    </row>
    <row r="1560" spans="4:8" x14ac:dyDescent="0.3">
      <c r="D1560" s="99" t="s">
        <v>2685</v>
      </c>
      <c r="E1560" s="100">
        <v>45852</v>
      </c>
      <c r="F1560" s="100">
        <f t="shared" si="116"/>
        <v>45863</v>
      </c>
      <c r="G1560" s="101">
        <f t="shared" si="117"/>
        <v>11</v>
      </c>
      <c r="H1560" s="102">
        <f t="shared" si="115"/>
        <v>1</v>
      </c>
    </row>
    <row r="1561" spans="4:8" x14ac:dyDescent="0.3">
      <c r="D1561" s="99" t="s">
        <v>2685</v>
      </c>
      <c r="E1561" s="100">
        <v>45863</v>
      </c>
      <c r="F1561" s="100">
        <f t="shared" si="116"/>
        <v>45926</v>
      </c>
      <c r="G1561" s="101">
        <f t="shared" si="117"/>
        <v>63</v>
      </c>
      <c r="H1561" s="102">
        <f t="shared" si="115"/>
        <v>0</v>
      </c>
    </row>
    <row r="1562" spans="4:8" x14ac:dyDescent="0.3">
      <c r="D1562" s="99" t="s">
        <v>2685</v>
      </c>
      <c r="E1562" s="100">
        <v>45926</v>
      </c>
      <c r="F1562" s="100">
        <f t="shared" si="116"/>
        <v>45996</v>
      </c>
      <c r="G1562" s="101">
        <f t="shared" si="117"/>
        <v>70</v>
      </c>
      <c r="H1562" s="102">
        <f t="shared" si="115"/>
        <v>0</v>
      </c>
    </row>
    <row r="1563" spans="4:8" x14ac:dyDescent="0.3">
      <c r="D1563" s="99" t="s">
        <v>2685</v>
      </c>
      <c r="E1563" s="100">
        <v>45996</v>
      </c>
      <c r="F1563" s="100" t="str">
        <f t="shared" si="116"/>
        <v/>
      </c>
      <c r="G1563" s="101" t="str">
        <f t="shared" si="117"/>
        <v/>
      </c>
      <c r="H1563" s="102" t="str">
        <f t="shared" si="115"/>
        <v/>
      </c>
    </row>
    <row r="1564" spans="4:8" x14ac:dyDescent="0.3">
      <c r="D1564" s="99" t="s">
        <v>2686</v>
      </c>
      <c r="E1564" s="100">
        <v>45714</v>
      </c>
      <c r="F1564" s="100">
        <f t="shared" si="116"/>
        <v>45722</v>
      </c>
      <c r="G1564" s="101">
        <f t="shared" si="117"/>
        <v>8</v>
      </c>
      <c r="H1564" s="102">
        <f t="shared" si="115"/>
        <v>1</v>
      </c>
    </row>
    <row r="1565" spans="4:8" x14ac:dyDescent="0.3">
      <c r="D1565" s="99" t="s">
        <v>2686</v>
      </c>
      <c r="E1565" s="100">
        <v>45722</v>
      </c>
      <c r="F1565" s="100">
        <f t="shared" si="116"/>
        <v>45842</v>
      </c>
      <c r="G1565" s="101">
        <f t="shared" si="117"/>
        <v>120</v>
      </c>
      <c r="H1565" s="102">
        <f t="shared" si="115"/>
        <v>0</v>
      </c>
    </row>
    <row r="1566" spans="4:8" x14ac:dyDescent="0.3">
      <c r="D1566" s="99" t="s">
        <v>2686</v>
      </c>
      <c r="E1566" s="100">
        <v>45842</v>
      </c>
      <c r="F1566" s="100">
        <f t="shared" si="116"/>
        <v>45868</v>
      </c>
      <c r="G1566" s="101">
        <f t="shared" si="117"/>
        <v>26</v>
      </c>
      <c r="H1566" s="102">
        <f t="shared" si="115"/>
        <v>1</v>
      </c>
    </row>
    <row r="1567" spans="4:8" x14ac:dyDescent="0.3">
      <c r="D1567" s="99" t="s">
        <v>2686</v>
      </c>
      <c r="E1567" s="100">
        <v>45868</v>
      </c>
      <c r="F1567" s="100">
        <f t="shared" si="116"/>
        <v>45917</v>
      </c>
      <c r="G1567" s="101">
        <f t="shared" si="117"/>
        <v>49</v>
      </c>
      <c r="H1567" s="102">
        <f t="shared" si="115"/>
        <v>0</v>
      </c>
    </row>
    <row r="1568" spans="4:8" x14ac:dyDescent="0.3">
      <c r="D1568" s="99" t="s">
        <v>2686</v>
      </c>
      <c r="E1568" s="100">
        <v>45917</v>
      </c>
      <c r="F1568" s="100">
        <f t="shared" si="116"/>
        <v>45944</v>
      </c>
      <c r="G1568" s="101">
        <f t="shared" si="117"/>
        <v>27</v>
      </c>
      <c r="H1568" s="102">
        <f t="shared" si="115"/>
        <v>1</v>
      </c>
    </row>
    <row r="1569" spans="4:8" x14ac:dyDescent="0.3">
      <c r="D1569" s="99" t="s">
        <v>2686</v>
      </c>
      <c r="E1569" s="100">
        <v>45944</v>
      </c>
      <c r="F1569" s="100">
        <f t="shared" si="116"/>
        <v>46007</v>
      </c>
      <c r="G1569" s="101">
        <f t="shared" si="117"/>
        <v>63</v>
      </c>
      <c r="H1569" s="102">
        <f t="shared" si="115"/>
        <v>0</v>
      </c>
    </row>
    <row r="1570" spans="4:8" x14ac:dyDescent="0.3">
      <c r="D1570" s="99" t="s">
        <v>2686</v>
      </c>
      <c r="E1570" s="100">
        <v>46007</v>
      </c>
      <c r="F1570" s="100">
        <f t="shared" si="116"/>
        <v>46014</v>
      </c>
      <c r="G1570" s="101">
        <f t="shared" si="117"/>
        <v>7</v>
      </c>
      <c r="H1570" s="102">
        <f t="shared" si="115"/>
        <v>1</v>
      </c>
    </row>
    <row r="1571" spans="4:8" x14ac:dyDescent="0.3">
      <c r="D1571" s="99" t="s">
        <v>2686</v>
      </c>
      <c r="E1571" s="100">
        <v>46014</v>
      </c>
      <c r="F1571" s="100" t="str">
        <f t="shared" si="116"/>
        <v/>
      </c>
      <c r="G1571" s="101" t="str">
        <f t="shared" si="117"/>
        <v/>
      </c>
      <c r="H1571" s="102" t="str">
        <f t="shared" si="115"/>
        <v/>
      </c>
    </row>
    <row r="1572" spans="4:8" x14ac:dyDescent="0.3">
      <c r="D1572" s="99" t="s">
        <v>2687</v>
      </c>
      <c r="E1572" s="100">
        <v>45848</v>
      </c>
      <c r="F1572" s="100" t="str">
        <f t="shared" si="116"/>
        <v/>
      </c>
      <c r="G1572" s="101" t="str">
        <f t="shared" si="117"/>
        <v/>
      </c>
      <c r="H1572" s="102" t="str">
        <f t="shared" si="115"/>
        <v/>
      </c>
    </row>
    <row r="1573" spans="4:8" x14ac:dyDescent="0.3">
      <c r="D1573" s="99" t="s">
        <v>2688</v>
      </c>
      <c r="E1573" s="100">
        <v>45694</v>
      </c>
      <c r="F1573" s="100">
        <f t="shared" si="116"/>
        <v>45729</v>
      </c>
      <c r="G1573" s="101">
        <f t="shared" si="117"/>
        <v>35</v>
      </c>
      <c r="H1573" s="102">
        <f t="shared" si="115"/>
        <v>0</v>
      </c>
    </row>
    <row r="1574" spans="4:8" x14ac:dyDescent="0.3">
      <c r="D1574" s="99" t="s">
        <v>2688</v>
      </c>
      <c r="E1574" s="100">
        <v>45729</v>
      </c>
      <c r="F1574" s="100">
        <f t="shared" si="116"/>
        <v>45821</v>
      </c>
      <c r="G1574" s="101">
        <f t="shared" si="117"/>
        <v>92</v>
      </c>
      <c r="H1574" s="102">
        <f t="shared" si="115"/>
        <v>0</v>
      </c>
    </row>
    <row r="1575" spans="4:8" x14ac:dyDescent="0.3">
      <c r="D1575" s="99" t="s">
        <v>2688</v>
      </c>
      <c r="E1575" s="100">
        <v>45821</v>
      </c>
      <c r="F1575" s="100">
        <f t="shared" si="116"/>
        <v>45831</v>
      </c>
      <c r="G1575" s="101">
        <f t="shared" si="117"/>
        <v>10</v>
      </c>
      <c r="H1575" s="102">
        <f t="shared" si="115"/>
        <v>1</v>
      </c>
    </row>
    <row r="1576" spans="4:8" x14ac:dyDescent="0.3">
      <c r="D1576" s="99" t="s">
        <v>2688</v>
      </c>
      <c r="E1576" s="100">
        <v>45831</v>
      </c>
      <c r="F1576" s="100">
        <f t="shared" si="116"/>
        <v>45961</v>
      </c>
      <c r="G1576" s="101">
        <f t="shared" si="117"/>
        <v>130</v>
      </c>
      <c r="H1576" s="102">
        <f t="shared" si="115"/>
        <v>0</v>
      </c>
    </row>
    <row r="1577" spans="4:8" x14ac:dyDescent="0.3">
      <c r="D1577" s="99" t="s">
        <v>2688</v>
      </c>
      <c r="E1577" s="100">
        <v>45961</v>
      </c>
      <c r="F1577" s="100">
        <f t="shared" si="116"/>
        <v>46013</v>
      </c>
      <c r="G1577" s="101">
        <f t="shared" si="117"/>
        <v>52</v>
      </c>
      <c r="H1577" s="102">
        <f t="shared" si="115"/>
        <v>0</v>
      </c>
    </row>
    <row r="1578" spans="4:8" x14ac:dyDescent="0.3">
      <c r="D1578" s="99" t="s">
        <v>2688</v>
      </c>
      <c r="E1578" s="100">
        <v>46013</v>
      </c>
      <c r="F1578" s="100">
        <f t="shared" si="116"/>
        <v>46017</v>
      </c>
      <c r="G1578" s="101">
        <f t="shared" si="117"/>
        <v>4</v>
      </c>
      <c r="H1578" s="102">
        <f t="shared" si="115"/>
        <v>1</v>
      </c>
    </row>
    <row r="1579" spans="4:8" x14ac:dyDescent="0.3">
      <c r="D1579" s="99" t="s">
        <v>2688</v>
      </c>
      <c r="E1579" s="100">
        <v>46017</v>
      </c>
      <c r="F1579" s="100" t="str">
        <f t="shared" si="116"/>
        <v/>
      </c>
      <c r="G1579" s="101" t="str">
        <f t="shared" si="117"/>
        <v/>
      </c>
      <c r="H1579" s="102" t="str">
        <f t="shared" si="115"/>
        <v/>
      </c>
    </row>
    <row r="1580" spans="4:8" x14ac:dyDescent="0.3">
      <c r="D1580" s="99" t="s">
        <v>2689</v>
      </c>
      <c r="E1580" s="100">
        <v>45666</v>
      </c>
      <c r="F1580" s="100" t="str">
        <f t="shared" si="116"/>
        <v/>
      </c>
      <c r="G1580" s="101" t="str">
        <f t="shared" si="117"/>
        <v/>
      </c>
      <c r="H1580" s="102" t="str">
        <f t="shared" si="115"/>
        <v/>
      </c>
    </row>
    <row r="1581" spans="4:8" x14ac:dyDescent="0.3">
      <c r="D1581" s="99" t="s">
        <v>2690</v>
      </c>
      <c r="E1581" s="100">
        <v>45678</v>
      </c>
      <c r="F1581" s="100">
        <f t="shared" si="116"/>
        <v>45699</v>
      </c>
      <c r="G1581" s="101">
        <f t="shared" si="117"/>
        <v>21</v>
      </c>
      <c r="H1581" s="102">
        <f t="shared" si="115"/>
        <v>1</v>
      </c>
    </row>
    <row r="1582" spans="4:8" x14ac:dyDescent="0.3">
      <c r="D1582" s="99" t="s">
        <v>2690</v>
      </c>
      <c r="E1582" s="100">
        <v>45699</v>
      </c>
      <c r="F1582" s="100">
        <f t="shared" si="116"/>
        <v>45848</v>
      </c>
      <c r="G1582" s="101">
        <f t="shared" si="117"/>
        <v>149</v>
      </c>
      <c r="H1582" s="102">
        <f t="shared" si="115"/>
        <v>0</v>
      </c>
    </row>
    <row r="1583" spans="4:8" x14ac:dyDescent="0.3">
      <c r="D1583" s="99" t="s">
        <v>2690</v>
      </c>
      <c r="E1583" s="100">
        <v>45848</v>
      </c>
      <c r="F1583" s="100">
        <f t="shared" si="116"/>
        <v>45884</v>
      </c>
      <c r="G1583" s="101">
        <f t="shared" si="117"/>
        <v>36</v>
      </c>
      <c r="H1583" s="102">
        <f t="shared" si="115"/>
        <v>0</v>
      </c>
    </row>
    <row r="1584" spans="4:8" x14ac:dyDescent="0.3">
      <c r="D1584" s="99" t="s">
        <v>2690</v>
      </c>
      <c r="E1584" s="100">
        <v>45884</v>
      </c>
      <c r="F1584" s="100" t="str">
        <f t="shared" si="116"/>
        <v/>
      </c>
      <c r="G1584" s="101" t="str">
        <f t="shared" si="117"/>
        <v/>
      </c>
      <c r="H1584" s="102" t="str">
        <f t="shared" si="115"/>
        <v/>
      </c>
    </row>
    <row r="1585" spans="4:8" x14ac:dyDescent="0.3">
      <c r="D1585" s="99" t="s">
        <v>2691</v>
      </c>
      <c r="E1585" s="100">
        <v>45965</v>
      </c>
      <c r="F1585" s="100">
        <f t="shared" si="116"/>
        <v>45987</v>
      </c>
      <c r="G1585" s="101">
        <f t="shared" si="117"/>
        <v>22</v>
      </c>
      <c r="H1585" s="102">
        <f t="shared" si="115"/>
        <v>1</v>
      </c>
    </row>
    <row r="1586" spans="4:8" x14ac:dyDescent="0.3">
      <c r="D1586" s="99" t="s">
        <v>2691</v>
      </c>
      <c r="E1586" s="100">
        <v>45987</v>
      </c>
      <c r="F1586" s="100" t="str">
        <f t="shared" si="116"/>
        <v/>
      </c>
      <c r="G1586" s="101" t="str">
        <f t="shared" si="117"/>
        <v/>
      </c>
      <c r="H1586" s="102" t="str">
        <f t="shared" si="115"/>
        <v/>
      </c>
    </row>
    <row r="1587" spans="4:8" x14ac:dyDescent="0.3">
      <c r="D1587" s="99" t="s">
        <v>2692</v>
      </c>
      <c r="E1587" s="100">
        <v>45959</v>
      </c>
      <c r="F1587" s="100" t="str">
        <f t="shared" si="116"/>
        <v/>
      </c>
      <c r="G1587" s="101" t="str">
        <f t="shared" si="117"/>
        <v/>
      </c>
      <c r="H1587" s="102" t="str">
        <f t="shared" si="115"/>
        <v/>
      </c>
    </row>
    <row r="1588" spans="4:8" x14ac:dyDescent="0.3">
      <c r="D1588" s="99" t="s">
        <v>2693</v>
      </c>
      <c r="E1588" s="100">
        <v>45678</v>
      </c>
      <c r="F1588" s="100">
        <f t="shared" si="116"/>
        <v>45701</v>
      </c>
      <c r="G1588" s="101">
        <f t="shared" si="117"/>
        <v>23</v>
      </c>
      <c r="H1588" s="102">
        <f t="shared" si="115"/>
        <v>1</v>
      </c>
    </row>
    <row r="1589" spans="4:8" x14ac:dyDescent="0.3">
      <c r="D1589" s="99" t="s">
        <v>2693</v>
      </c>
      <c r="E1589" s="100">
        <v>45701</v>
      </c>
      <c r="F1589" s="100">
        <f t="shared" si="116"/>
        <v>45769</v>
      </c>
      <c r="G1589" s="101">
        <f t="shared" si="117"/>
        <v>68</v>
      </c>
      <c r="H1589" s="102">
        <f t="shared" si="115"/>
        <v>0</v>
      </c>
    </row>
    <row r="1590" spans="4:8" x14ac:dyDescent="0.3">
      <c r="D1590" s="99" t="s">
        <v>2693</v>
      </c>
      <c r="E1590" s="100">
        <v>45769</v>
      </c>
      <c r="F1590" s="100">
        <f t="shared" si="116"/>
        <v>45931</v>
      </c>
      <c r="G1590" s="101">
        <f t="shared" si="117"/>
        <v>162</v>
      </c>
      <c r="H1590" s="102">
        <f t="shared" si="115"/>
        <v>0</v>
      </c>
    </row>
    <row r="1591" spans="4:8" x14ac:dyDescent="0.3">
      <c r="D1591" s="99" t="s">
        <v>2693</v>
      </c>
      <c r="E1591" s="100">
        <v>45931</v>
      </c>
      <c r="F1591" s="100" t="str">
        <f t="shared" si="116"/>
        <v/>
      </c>
      <c r="G1591" s="101" t="str">
        <f t="shared" si="117"/>
        <v/>
      </c>
      <c r="H1591" s="102" t="str">
        <f t="shared" si="115"/>
        <v/>
      </c>
    </row>
    <row r="1592" spans="4:8" x14ac:dyDescent="0.3">
      <c r="D1592" s="99" t="s">
        <v>2694</v>
      </c>
      <c r="E1592" s="100">
        <v>45775</v>
      </c>
      <c r="F1592" s="100" t="str">
        <f t="shared" si="116"/>
        <v/>
      </c>
      <c r="G1592" s="101" t="str">
        <f t="shared" si="117"/>
        <v/>
      </c>
      <c r="H1592" s="102" t="str">
        <f t="shared" si="115"/>
        <v/>
      </c>
    </row>
    <row r="1593" spans="4:8" x14ac:dyDescent="0.3">
      <c r="D1593" s="99" t="s">
        <v>2695</v>
      </c>
      <c r="E1593" s="100">
        <v>45835</v>
      </c>
      <c r="F1593" s="100">
        <f t="shared" si="116"/>
        <v>45842</v>
      </c>
      <c r="G1593" s="101">
        <f t="shared" si="117"/>
        <v>7</v>
      </c>
      <c r="H1593" s="102">
        <f t="shared" si="115"/>
        <v>1</v>
      </c>
    </row>
    <row r="1594" spans="4:8" x14ac:dyDescent="0.3">
      <c r="D1594" s="99" t="s">
        <v>2695</v>
      </c>
      <c r="E1594" s="100">
        <v>45842</v>
      </c>
      <c r="F1594" s="100">
        <f t="shared" si="116"/>
        <v>45862</v>
      </c>
      <c r="G1594" s="101">
        <f t="shared" si="117"/>
        <v>20</v>
      </c>
      <c r="H1594" s="102">
        <f t="shared" si="115"/>
        <v>1</v>
      </c>
    </row>
    <row r="1595" spans="4:8" x14ac:dyDescent="0.3">
      <c r="D1595" s="99" t="s">
        <v>2695</v>
      </c>
      <c r="E1595" s="100">
        <v>45862</v>
      </c>
      <c r="F1595" s="100">
        <f t="shared" si="116"/>
        <v>45918</v>
      </c>
      <c r="G1595" s="101">
        <f t="shared" si="117"/>
        <v>56</v>
      </c>
      <c r="H1595" s="102">
        <f t="shared" si="115"/>
        <v>0</v>
      </c>
    </row>
    <row r="1596" spans="4:8" x14ac:dyDescent="0.3">
      <c r="D1596" s="99" t="s">
        <v>2695</v>
      </c>
      <c r="E1596" s="100">
        <v>45918</v>
      </c>
      <c r="F1596" s="100">
        <f t="shared" si="116"/>
        <v>45950</v>
      </c>
      <c r="G1596" s="101">
        <f t="shared" si="117"/>
        <v>32</v>
      </c>
      <c r="H1596" s="102">
        <f t="shared" si="115"/>
        <v>0</v>
      </c>
    </row>
    <row r="1597" spans="4:8" x14ac:dyDescent="0.3">
      <c r="D1597" s="99" t="s">
        <v>2695</v>
      </c>
      <c r="E1597" s="100">
        <v>45950</v>
      </c>
      <c r="F1597" s="100">
        <f t="shared" si="116"/>
        <v>45999</v>
      </c>
      <c r="G1597" s="101">
        <f t="shared" si="117"/>
        <v>49</v>
      </c>
      <c r="H1597" s="102">
        <f t="shared" si="115"/>
        <v>0</v>
      </c>
    </row>
    <row r="1598" spans="4:8" x14ac:dyDescent="0.3">
      <c r="D1598" s="99" t="s">
        <v>2695</v>
      </c>
      <c r="E1598" s="100">
        <v>45999</v>
      </c>
      <c r="F1598" s="100">
        <f t="shared" si="116"/>
        <v>46013</v>
      </c>
      <c r="G1598" s="101">
        <f t="shared" si="117"/>
        <v>14</v>
      </c>
      <c r="H1598" s="102">
        <f t="shared" si="115"/>
        <v>1</v>
      </c>
    </row>
    <row r="1599" spans="4:8" x14ac:dyDescent="0.3">
      <c r="D1599" s="99" t="s">
        <v>2695</v>
      </c>
      <c r="E1599" s="100">
        <v>46013</v>
      </c>
      <c r="F1599" s="100" t="str">
        <f t="shared" si="116"/>
        <v/>
      </c>
      <c r="G1599" s="101" t="str">
        <f t="shared" si="117"/>
        <v/>
      </c>
      <c r="H1599" s="102" t="str">
        <f t="shared" si="115"/>
        <v/>
      </c>
    </row>
    <row r="1600" spans="4:8" x14ac:dyDescent="0.3">
      <c r="D1600" s="99" t="s">
        <v>2696</v>
      </c>
      <c r="E1600" s="100">
        <v>45722</v>
      </c>
      <c r="F1600" s="100">
        <f t="shared" si="116"/>
        <v>45945</v>
      </c>
      <c r="G1600" s="101">
        <f t="shared" si="117"/>
        <v>223</v>
      </c>
      <c r="H1600" s="102">
        <f t="shared" si="115"/>
        <v>0</v>
      </c>
    </row>
    <row r="1601" spans="4:8" x14ac:dyDescent="0.3">
      <c r="D1601" s="99" t="s">
        <v>2696</v>
      </c>
      <c r="E1601" s="100">
        <v>45945</v>
      </c>
      <c r="F1601" s="100">
        <f t="shared" si="116"/>
        <v>46022</v>
      </c>
      <c r="G1601" s="101">
        <f t="shared" si="117"/>
        <v>77</v>
      </c>
      <c r="H1601" s="102">
        <f t="shared" si="115"/>
        <v>0</v>
      </c>
    </row>
    <row r="1602" spans="4:8" x14ac:dyDescent="0.3">
      <c r="D1602" s="99" t="s">
        <v>2696</v>
      </c>
      <c r="E1602" s="100">
        <v>46022</v>
      </c>
      <c r="F1602" s="100" t="str">
        <f t="shared" si="116"/>
        <v/>
      </c>
      <c r="G1602" s="101" t="str">
        <f t="shared" si="117"/>
        <v/>
      </c>
      <c r="H1602" s="102" t="str">
        <f t="shared" si="115"/>
        <v/>
      </c>
    </row>
    <row r="1603" spans="4:8" x14ac:dyDescent="0.3">
      <c r="D1603" s="99" t="s">
        <v>2697</v>
      </c>
      <c r="E1603" s="100">
        <v>45726</v>
      </c>
      <c r="F1603" s="100" t="str">
        <f t="shared" si="116"/>
        <v/>
      </c>
      <c r="G1603" s="101" t="str">
        <f t="shared" si="117"/>
        <v/>
      </c>
      <c r="H1603" s="102" t="str">
        <f t="shared" si="115"/>
        <v/>
      </c>
    </row>
    <row r="1604" spans="4:8" x14ac:dyDescent="0.3">
      <c r="D1604" s="99" t="s">
        <v>2698</v>
      </c>
      <c r="E1604" s="100">
        <v>45852</v>
      </c>
      <c r="F1604" s="100">
        <f t="shared" si="116"/>
        <v>46015</v>
      </c>
      <c r="G1604" s="101">
        <f t="shared" si="117"/>
        <v>163</v>
      </c>
      <c r="H1604" s="102">
        <f t="shared" si="115"/>
        <v>0</v>
      </c>
    </row>
    <row r="1605" spans="4:8" x14ac:dyDescent="0.3">
      <c r="D1605" s="99" t="s">
        <v>2698</v>
      </c>
      <c r="E1605" s="100">
        <v>46015</v>
      </c>
      <c r="F1605" s="100" t="str">
        <f t="shared" si="116"/>
        <v/>
      </c>
      <c r="G1605" s="101" t="str">
        <f t="shared" si="117"/>
        <v/>
      </c>
      <c r="H1605" s="102" t="str">
        <f t="shared" si="115"/>
        <v/>
      </c>
    </row>
    <row r="1606" spans="4:8" x14ac:dyDescent="0.3">
      <c r="D1606" s="99" t="s">
        <v>2699</v>
      </c>
      <c r="E1606" s="100">
        <v>45693</v>
      </c>
      <c r="F1606" s="100">
        <f t="shared" si="116"/>
        <v>45904</v>
      </c>
      <c r="G1606" s="101">
        <f t="shared" si="117"/>
        <v>211</v>
      </c>
      <c r="H1606" s="102">
        <f t="shared" si="115"/>
        <v>0</v>
      </c>
    </row>
    <row r="1607" spans="4:8" x14ac:dyDescent="0.3">
      <c r="D1607" s="99" t="s">
        <v>2699</v>
      </c>
      <c r="E1607" s="100">
        <v>45904</v>
      </c>
      <c r="F1607" s="100" t="str">
        <f t="shared" si="116"/>
        <v/>
      </c>
      <c r="G1607" s="101" t="str">
        <f t="shared" si="117"/>
        <v/>
      </c>
      <c r="H1607" s="102" t="str">
        <f t="shared" ref="H1607:H1670" si="118">IF(G1607="","",IF(G1607&lt;=return_window,1,0))</f>
        <v/>
      </c>
    </row>
    <row r="1608" spans="4:8" x14ac:dyDescent="0.3">
      <c r="D1608" s="99" t="s">
        <v>2700</v>
      </c>
      <c r="E1608" s="100">
        <v>45805</v>
      </c>
      <c r="F1608" s="100" t="str">
        <f t="shared" ref="F1608:F1671" si="119">IF(D1608=D1609,E1609,"")</f>
        <v/>
      </c>
      <c r="G1608" s="101" t="str">
        <f t="shared" ref="G1608:G1671" si="120">IF(F1608="","",F1608-E1608)</f>
        <v/>
      </c>
      <c r="H1608" s="102" t="str">
        <f t="shared" si="118"/>
        <v/>
      </c>
    </row>
    <row r="1609" spans="4:8" x14ac:dyDescent="0.3">
      <c r="D1609" s="99" t="s">
        <v>2701</v>
      </c>
      <c r="E1609" s="100">
        <v>45659</v>
      </c>
      <c r="F1609" s="100">
        <f t="shared" si="119"/>
        <v>45866</v>
      </c>
      <c r="G1609" s="101">
        <f t="shared" si="120"/>
        <v>207</v>
      </c>
      <c r="H1609" s="102">
        <f t="shared" si="118"/>
        <v>0</v>
      </c>
    </row>
    <row r="1610" spans="4:8" x14ac:dyDescent="0.3">
      <c r="D1610" s="99" t="s">
        <v>2701</v>
      </c>
      <c r="E1610" s="100">
        <v>45866</v>
      </c>
      <c r="F1610" s="100" t="str">
        <f t="shared" si="119"/>
        <v/>
      </c>
      <c r="G1610" s="101" t="str">
        <f t="shared" si="120"/>
        <v/>
      </c>
      <c r="H1610" s="102" t="str">
        <f t="shared" si="118"/>
        <v/>
      </c>
    </row>
    <row r="1611" spans="4:8" x14ac:dyDescent="0.3">
      <c r="D1611" s="99" t="s">
        <v>2702</v>
      </c>
      <c r="E1611" s="100">
        <v>45678</v>
      </c>
      <c r="F1611" s="100" t="str">
        <f t="shared" si="119"/>
        <v/>
      </c>
      <c r="G1611" s="101" t="str">
        <f t="shared" si="120"/>
        <v/>
      </c>
      <c r="H1611" s="102" t="str">
        <f t="shared" si="118"/>
        <v/>
      </c>
    </row>
    <row r="1612" spans="4:8" x14ac:dyDescent="0.3">
      <c r="D1612" s="99" t="s">
        <v>2703</v>
      </c>
      <c r="E1612" s="100">
        <v>45714</v>
      </c>
      <c r="F1612" s="100">
        <f t="shared" si="119"/>
        <v>45848</v>
      </c>
      <c r="G1612" s="101">
        <f t="shared" si="120"/>
        <v>134</v>
      </c>
      <c r="H1612" s="102">
        <f t="shared" si="118"/>
        <v>0</v>
      </c>
    </row>
    <row r="1613" spans="4:8" x14ac:dyDescent="0.3">
      <c r="D1613" s="99" t="s">
        <v>2703</v>
      </c>
      <c r="E1613" s="100">
        <v>45848</v>
      </c>
      <c r="F1613" s="100">
        <f t="shared" si="119"/>
        <v>45980</v>
      </c>
      <c r="G1613" s="101">
        <f t="shared" si="120"/>
        <v>132</v>
      </c>
      <c r="H1613" s="102">
        <f t="shared" si="118"/>
        <v>0</v>
      </c>
    </row>
    <row r="1614" spans="4:8" x14ac:dyDescent="0.3">
      <c r="D1614" s="99" t="s">
        <v>2703</v>
      </c>
      <c r="E1614" s="100">
        <v>45980</v>
      </c>
      <c r="F1614" s="100" t="str">
        <f t="shared" si="119"/>
        <v/>
      </c>
      <c r="G1614" s="101" t="str">
        <f t="shared" si="120"/>
        <v/>
      </c>
      <c r="H1614" s="102" t="str">
        <f t="shared" si="118"/>
        <v/>
      </c>
    </row>
    <row r="1615" spans="4:8" x14ac:dyDescent="0.3">
      <c r="D1615" s="99" t="s">
        <v>2704</v>
      </c>
      <c r="E1615" s="100">
        <v>45693</v>
      </c>
      <c r="F1615" s="100">
        <f t="shared" si="119"/>
        <v>45947</v>
      </c>
      <c r="G1615" s="101">
        <f t="shared" si="120"/>
        <v>254</v>
      </c>
      <c r="H1615" s="102">
        <f t="shared" si="118"/>
        <v>0</v>
      </c>
    </row>
    <row r="1616" spans="4:8" x14ac:dyDescent="0.3">
      <c r="D1616" s="99" t="s">
        <v>2704</v>
      </c>
      <c r="E1616" s="100">
        <v>45947</v>
      </c>
      <c r="F1616" s="100" t="str">
        <f t="shared" si="119"/>
        <v/>
      </c>
      <c r="G1616" s="101" t="str">
        <f t="shared" si="120"/>
        <v/>
      </c>
      <c r="H1616" s="102" t="str">
        <f t="shared" si="118"/>
        <v/>
      </c>
    </row>
    <row r="1617" spans="4:8" x14ac:dyDescent="0.3">
      <c r="D1617" s="99" t="s">
        <v>2705</v>
      </c>
      <c r="E1617" s="100">
        <v>45726</v>
      </c>
      <c r="F1617" s="100">
        <f t="shared" si="119"/>
        <v>45926</v>
      </c>
      <c r="G1617" s="101">
        <f t="shared" si="120"/>
        <v>200</v>
      </c>
      <c r="H1617" s="102">
        <f t="shared" si="118"/>
        <v>0</v>
      </c>
    </row>
    <row r="1618" spans="4:8" x14ac:dyDescent="0.3">
      <c r="D1618" s="99" t="s">
        <v>2705</v>
      </c>
      <c r="E1618" s="100">
        <v>45926</v>
      </c>
      <c r="F1618" s="100">
        <f t="shared" si="119"/>
        <v>46017</v>
      </c>
      <c r="G1618" s="101">
        <f t="shared" si="120"/>
        <v>91</v>
      </c>
      <c r="H1618" s="102">
        <f t="shared" si="118"/>
        <v>0</v>
      </c>
    </row>
    <row r="1619" spans="4:8" x14ac:dyDescent="0.3">
      <c r="D1619" s="99" t="s">
        <v>2705</v>
      </c>
      <c r="E1619" s="100">
        <v>46017</v>
      </c>
      <c r="F1619" s="100" t="str">
        <f t="shared" si="119"/>
        <v/>
      </c>
      <c r="G1619" s="101" t="str">
        <f t="shared" si="120"/>
        <v/>
      </c>
      <c r="H1619" s="102" t="str">
        <f t="shared" si="118"/>
        <v/>
      </c>
    </row>
    <row r="1620" spans="4:8" x14ac:dyDescent="0.3">
      <c r="D1620" s="99" t="s">
        <v>2706</v>
      </c>
      <c r="E1620" s="100">
        <v>45754</v>
      </c>
      <c r="F1620" s="100">
        <f t="shared" si="119"/>
        <v>45825</v>
      </c>
      <c r="G1620" s="101">
        <f t="shared" si="120"/>
        <v>71</v>
      </c>
      <c r="H1620" s="102">
        <f t="shared" si="118"/>
        <v>0</v>
      </c>
    </row>
    <row r="1621" spans="4:8" x14ac:dyDescent="0.3">
      <c r="D1621" s="99" t="s">
        <v>2706</v>
      </c>
      <c r="E1621" s="100">
        <v>45825</v>
      </c>
      <c r="F1621" s="100">
        <f t="shared" si="119"/>
        <v>45849</v>
      </c>
      <c r="G1621" s="101">
        <f t="shared" si="120"/>
        <v>24</v>
      </c>
      <c r="H1621" s="102">
        <f t="shared" si="118"/>
        <v>1</v>
      </c>
    </row>
    <row r="1622" spans="4:8" x14ac:dyDescent="0.3">
      <c r="D1622" s="99" t="s">
        <v>2706</v>
      </c>
      <c r="E1622" s="100">
        <v>45849</v>
      </c>
      <c r="F1622" s="100">
        <f t="shared" si="119"/>
        <v>45876</v>
      </c>
      <c r="G1622" s="101">
        <f t="shared" si="120"/>
        <v>27</v>
      </c>
      <c r="H1622" s="102">
        <f t="shared" si="118"/>
        <v>1</v>
      </c>
    </row>
    <row r="1623" spans="4:8" x14ac:dyDescent="0.3">
      <c r="D1623" s="99" t="s">
        <v>2706</v>
      </c>
      <c r="E1623" s="100">
        <v>45876</v>
      </c>
      <c r="F1623" s="100">
        <f t="shared" si="119"/>
        <v>45923</v>
      </c>
      <c r="G1623" s="101">
        <f t="shared" si="120"/>
        <v>47</v>
      </c>
      <c r="H1623" s="102">
        <f t="shared" si="118"/>
        <v>0</v>
      </c>
    </row>
    <row r="1624" spans="4:8" x14ac:dyDescent="0.3">
      <c r="D1624" s="99" t="s">
        <v>2706</v>
      </c>
      <c r="E1624" s="100">
        <v>45923</v>
      </c>
      <c r="F1624" s="100">
        <f t="shared" si="119"/>
        <v>46014</v>
      </c>
      <c r="G1624" s="101">
        <f t="shared" si="120"/>
        <v>91</v>
      </c>
      <c r="H1624" s="102">
        <f t="shared" si="118"/>
        <v>0</v>
      </c>
    </row>
    <row r="1625" spans="4:8" x14ac:dyDescent="0.3">
      <c r="D1625" s="99" t="s">
        <v>2706</v>
      </c>
      <c r="E1625" s="100">
        <v>46014</v>
      </c>
      <c r="F1625" s="100" t="str">
        <f t="shared" si="119"/>
        <v/>
      </c>
      <c r="G1625" s="101" t="str">
        <f t="shared" si="120"/>
        <v/>
      </c>
      <c r="H1625" s="102" t="str">
        <f t="shared" si="118"/>
        <v/>
      </c>
    </row>
    <row r="1626" spans="4:8" x14ac:dyDescent="0.3">
      <c r="D1626" s="99" t="s">
        <v>2707</v>
      </c>
      <c r="E1626" s="100">
        <v>45807</v>
      </c>
      <c r="F1626" s="100" t="str">
        <f t="shared" si="119"/>
        <v/>
      </c>
      <c r="G1626" s="101" t="str">
        <f t="shared" si="120"/>
        <v/>
      </c>
      <c r="H1626" s="102" t="str">
        <f t="shared" si="118"/>
        <v/>
      </c>
    </row>
    <row r="1627" spans="4:8" x14ac:dyDescent="0.3">
      <c r="D1627" s="99" t="s">
        <v>2708</v>
      </c>
      <c r="E1627" s="100">
        <v>45996</v>
      </c>
      <c r="F1627" s="100">
        <f t="shared" si="119"/>
        <v>46008</v>
      </c>
      <c r="G1627" s="101">
        <f t="shared" si="120"/>
        <v>12</v>
      </c>
      <c r="H1627" s="102">
        <f t="shared" si="118"/>
        <v>1</v>
      </c>
    </row>
    <row r="1628" spans="4:8" x14ac:dyDescent="0.3">
      <c r="D1628" s="99" t="s">
        <v>2708</v>
      </c>
      <c r="E1628" s="100">
        <v>46008</v>
      </c>
      <c r="F1628" s="100" t="str">
        <f t="shared" si="119"/>
        <v/>
      </c>
      <c r="G1628" s="101" t="str">
        <f t="shared" si="120"/>
        <v/>
      </c>
      <c r="H1628" s="102" t="str">
        <f t="shared" si="118"/>
        <v/>
      </c>
    </row>
    <row r="1629" spans="4:8" x14ac:dyDescent="0.3">
      <c r="D1629" s="99" t="s">
        <v>2709</v>
      </c>
      <c r="E1629" s="100">
        <v>45714</v>
      </c>
      <c r="F1629" s="100" t="str">
        <f t="shared" si="119"/>
        <v/>
      </c>
      <c r="G1629" s="101" t="str">
        <f t="shared" si="120"/>
        <v/>
      </c>
      <c r="H1629" s="102" t="str">
        <f t="shared" si="118"/>
        <v/>
      </c>
    </row>
    <row r="1630" spans="4:8" x14ac:dyDescent="0.3">
      <c r="D1630" s="99" t="s">
        <v>2710</v>
      </c>
      <c r="E1630" s="100">
        <v>45778</v>
      </c>
      <c r="F1630" s="100">
        <f t="shared" si="119"/>
        <v>46016</v>
      </c>
      <c r="G1630" s="101">
        <f t="shared" si="120"/>
        <v>238</v>
      </c>
      <c r="H1630" s="102">
        <f t="shared" si="118"/>
        <v>0</v>
      </c>
    </row>
    <row r="1631" spans="4:8" x14ac:dyDescent="0.3">
      <c r="D1631" s="99" t="s">
        <v>2710</v>
      </c>
      <c r="E1631" s="100">
        <v>46016</v>
      </c>
      <c r="F1631" s="100" t="str">
        <f t="shared" si="119"/>
        <v/>
      </c>
      <c r="G1631" s="101" t="str">
        <f t="shared" si="120"/>
        <v/>
      </c>
      <c r="H1631" s="102" t="str">
        <f t="shared" si="118"/>
        <v/>
      </c>
    </row>
    <row r="1632" spans="4:8" x14ac:dyDescent="0.3">
      <c r="D1632" s="99" t="s">
        <v>2711</v>
      </c>
      <c r="E1632" s="100">
        <v>45758</v>
      </c>
      <c r="F1632" s="100">
        <f t="shared" si="119"/>
        <v>45772</v>
      </c>
      <c r="G1632" s="101">
        <f t="shared" si="120"/>
        <v>14</v>
      </c>
      <c r="H1632" s="102">
        <f t="shared" si="118"/>
        <v>1</v>
      </c>
    </row>
    <row r="1633" spans="4:8" x14ac:dyDescent="0.3">
      <c r="D1633" s="99" t="s">
        <v>2711</v>
      </c>
      <c r="E1633" s="100">
        <v>45772</v>
      </c>
      <c r="F1633" s="100" t="str">
        <f t="shared" si="119"/>
        <v/>
      </c>
      <c r="G1633" s="101" t="str">
        <f t="shared" si="120"/>
        <v/>
      </c>
      <c r="H1633" s="102" t="str">
        <f t="shared" si="118"/>
        <v/>
      </c>
    </row>
    <row r="1634" spans="4:8" x14ac:dyDescent="0.3">
      <c r="D1634" s="99" t="s">
        <v>2712</v>
      </c>
      <c r="E1634" s="100">
        <v>45793</v>
      </c>
      <c r="F1634" s="100">
        <f t="shared" si="119"/>
        <v>45842</v>
      </c>
      <c r="G1634" s="101">
        <f t="shared" si="120"/>
        <v>49</v>
      </c>
      <c r="H1634" s="102">
        <f t="shared" si="118"/>
        <v>0</v>
      </c>
    </row>
    <row r="1635" spans="4:8" x14ac:dyDescent="0.3">
      <c r="D1635" s="99" t="s">
        <v>2712</v>
      </c>
      <c r="E1635" s="100">
        <v>45842</v>
      </c>
      <c r="F1635" s="100">
        <f t="shared" si="119"/>
        <v>45908</v>
      </c>
      <c r="G1635" s="101">
        <f t="shared" si="120"/>
        <v>66</v>
      </c>
      <c r="H1635" s="102">
        <f t="shared" si="118"/>
        <v>0</v>
      </c>
    </row>
    <row r="1636" spans="4:8" x14ac:dyDescent="0.3">
      <c r="D1636" s="99" t="s">
        <v>2712</v>
      </c>
      <c r="E1636" s="100">
        <v>45908</v>
      </c>
      <c r="F1636" s="100" t="str">
        <f t="shared" si="119"/>
        <v/>
      </c>
      <c r="G1636" s="101" t="str">
        <f t="shared" si="120"/>
        <v/>
      </c>
      <c r="H1636" s="102" t="str">
        <f t="shared" si="118"/>
        <v/>
      </c>
    </row>
    <row r="1637" spans="4:8" x14ac:dyDescent="0.3">
      <c r="D1637" s="99" t="s">
        <v>2713</v>
      </c>
      <c r="E1637" s="100">
        <v>45672</v>
      </c>
      <c r="F1637" s="100" t="str">
        <f t="shared" si="119"/>
        <v/>
      </c>
      <c r="G1637" s="101" t="str">
        <f t="shared" si="120"/>
        <v/>
      </c>
      <c r="H1637" s="102" t="str">
        <f t="shared" si="118"/>
        <v/>
      </c>
    </row>
    <row r="1638" spans="4:8" x14ac:dyDescent="0.3">
      <c r="D1638" s="99" t="s">
        <v>2714</v>
      </c>
      <c r="E1638" s="100">
        <v>45660</v>
      </c>
      <c r="F1638" s="100">
        <f t="shared" si="119"/>
        <v>45772</v>
      </c>
      <c r="G1638" s="101">
        <f t="shared" si="120"/>
        <v>112</v>
      </c>
      <c r="H1638" s="102">
        <f t="shared" si="118"/>
        <v>0</v>
      </c>
    </row>
    <row r="1639" spans="4:8" x14ac:dyDescent="0.3">
      <c r="D1639" s="99" t="s">
        <v>2714</v>
      </c>
      <c r="E1639" s="100">
        <v>45772</v>
      </c>
      <c r="F1639" s="100">
        <f t="shared" si="119"/>
        <v>45967</v>
      </c>
      <c r="G1639" s="101">
        <f t="shared" si="120"/>
        <v>195</v>
      </c>
      <c r="H1639" s="102">
        <f t="shared" si="118"/>
        <v>0</v>
      </c>
    </row>
    <row r="1640" spans="4:8" x14ac:dyDescent="0.3">
      <c r="D1640" s="99" t="s">
        <v>2714</v>
      </c>
      <c r="E1640" s="100">
        <v>45967</v>
      </c>
      <c r="F1640" s="100" t="str">
        <f t="shared" si="119"/>
        <v/>
      </c>
      <c r="G1640" s="101" t="str">
        <f t="shared" si="120"/>
        <v/>
      </c>
      <c r="H1640" s="102" t="str">
        <f t="shared" si="118"/>
        <v/>
      </c>
    </row>
    <row r="1641" spans="4:8" x14ac:dyDescent="0.3">
      <c r="D1641" s="99" t="s">
        <v>2715</v>
      </c>
      <c r="E1641" s="100">
        <v>45680</v>
      </c>
      <c r="F1641" s="100">
        <f t="shared" si="119"/>
        <v>45777</v>
      </c>
      <c r="G1641" s="101">
        <f t="shared" si="120"/>
        <v>97</v>
      </c>
      <c r="H1641" s="102">
        <f t="shared" si="118"/>
        <v>0</v>
      </c>
    </row>
    <row r="1642" spans="4:8" x14ac:dyDescent="0.3">
      <c r="D1642" s="99" t="s">
        <v>2715</v>
      </c>
      <c r="E1642" s="100">
        <v>45777</v>
      </c>
      <c r="F1642" s="100" t="str">
        <f t="shared" si="119"/>
        <v/>
      </c>
      <c r="G1642" s="101" t="str">
        <f t="shared" si="120"/>
        <v/>
      </c>
      <c r="H1642" s="102" t="str">
        <f t="shared" si="118"/>
        <v/>
      </c>
    </row>
    <row r="1643" spans="4:8" x14ac:dyDescent="0.3">
      <c r="D1643" s="99" t="s">
        <v>2716</v>
      </c>
      <c r="E1643" s="100">
        <v>45693</v>
      </c>
      <c r="F1643" s="100">
        <f t="shared" si="119"/>
        <v>45769</v>
      </c>
      <c r="G1643" s="101">
        <f t="shared" si="120"/>
        <v>76</v>
      </c>
      <c r="H1643" s="102">
        <f t="shared" si="118"/>
        <v>0</v>
      </c>
    </row>
    <row r="1644" spans="4:8" x14ac:dyDescent="0.3">
      <c r="D1644" s="99" t="s">
        <v>2716</v>
      </c>
      <c r="E1644" s="100">
        <v>45769</v>
      </c>
      <c r="F1644" s="100">
        <f t="shared" si="119"/>
        <v>45812</v>
      </c>
      <c r="G1644" s="101">
        <f t="shared" si="120"/>
        <v>43</v>
      </c>
      <c r="H1644" s="102">
        <f t="shared" si="118"/>
        <v>0</v>
      </c>
    </row>
    <row r="1645" spans="4:8" x14ac:dyDescent="0.3">
      <c r="D1645" s="99" t="s">
        <v>2716</v>
      </c>
      <c r="E1645" s="100">
        <v>45812</v>
      </c>
      <c r="F1645" s="100" t="str">
        <f t="shared" si="119"/>
        <v/>
      </c>
      <c r="G1645" s="101" t="str">
        <f t="shared" si="120"/>
        <v/>
      </c>
      <c r="H1645" s="102" t="str">
        <f t="shared" si="118"/>
        <v/>
      </c>
    </row>
    <row r="1646" spans="4:8" x14ac:dyDescent="0.3">
      <c r="D1646" s="99" t="s">
        <v>2717</v>
      </c>
      <c r="E1646" s="100">
        <v>45663</v>
      </c>
      <c r="F1646" s="100">
        <f t="shared" si="119"/>
        <v>45923</v>
      </c>
      <c r="G1646" s="101">
        <f t="shared" si="120"/>
        <v>260</v>
      </c>
      <c r="H1646" s="102">
        <f t="shared" si="118"/>
        <v>0</v>
      </c>
    </row>
    <row r="1647" spans="4:8" x14ac:dyDescent="0.3">
      <c r="D1647" s="99" t="s">
        <v>2717</v>
      </c>
      <c r="E1647" s="100">
        <v>45923</v>
      </c>
      <c r="F1647" s="100">
        <f t="shared" si="119"/>
        <v>45959</v>
      </c>
      <c r="G1647" s="101">
        <f t="shared" si="120"/>
        <v>36</v>
      </c>
      <c r="H1647" s="102">
        <f t="shared" si="118"/>
        <v>0</v>
      </c>
    </row>
    <row r="1648" spans="4:8" x14ac:dyDescent="0.3">
      <c r="D1648" s="99" t="s">
        <v>2717</v>
      </c>
      <c r="E1648" s="100">
        <v>45959</v>
      </c>
      <c r="F1648" s="100" t="str">
        <f t="shared" si="119"/>
        <v/>
      </c>
      <c r="G1648" s="101" t="str">
        <f t="shared" si="120"/>
        <v/>
      </c>
      <c r="H1648" s="102" t="str">
        <f t="shared" si="118"/>
        <v/>
      </c>
    </row>
    <row r="1649" spans="4:8" x14ac:dyDescent="0.3">
      <c r="D1649" s="99" t="s">
        <v>2718</v>
      </c>
      <c r="E1649" s="100">
        <v>45910</v>
      </c>
      <c r="F1649" s="100" t="str">
        <f t="shared" si="119"/>
        <v/>
      </c>
      <c r="G1649" s="101" t="str">
        <f t="shared" si="120"/>
        <v/>
      </c>
      <c r="H1649" s="102" t="str">
        <f t="shared" si="118"/>
        <v/>
      </c>
    </row>
    <row r="1650" spans="4:8" x14ac:dyDescent="0.3">
      <c r="D1650" s="99" t="s">
        <v>2719</v>
      </c>
      <c r="E1650" s="100">
        <v>45789</v>
      </c>
      <c r="F1650" s="100">
        <f t="shared" si="119"/>
        <v>45834</v>
      </c>
      <c r="G1650" s="101">
        <f t="shared" si="120"/>
        <v>45</v>
      </c>
      <c r="H1650" s="102">
        <f t="shared" si="118"/>
        <v>0</v>
      </c>
    </row>
    <row r="1651" spans="4:8" x14ac:dyDescent="0.3">
      <c r="D1651" s="99" t="s">
        <v>2719</v>
      </c>
      <c r="E1651" s="100">
        <v>45834</v>
      </c>
      <c r="F1651" s="100">
        <f t="shared" si="119"/>
        <v>45994</v>
      </c>
      <c r="G1651" s="101">
        <f t="shared" si="120"/>
        <v>160</v>
      </c>
      <c r="H1651" s="102">
        <f t="shared" si="118"/>
        <v>0</v>
      </c>
    </row>
    <row r="1652" spans="4:8" x14ac:dyDescent="0.3">
      <c r="D1652" s="99" t="s">
        <v>2719</v>
      </c>
      <c r="E1652" s="100">
        <v>45994</v>
      </c>
      <c r="F1652" s="100">
        <f t="shared" si="119"/>
        <v>45996</v>
      </c>
      <c r="G1652" s="101">
        <f t="shared" si="120"/>
        <v>2</v>
      </c>
      <c r="H1652" s="102">
        <f t="shared" si="118"/>
        <v>1</v>
      </c>
    </row>
    <row r="1653" spans="4:8" x14ac:dyDescent="0.3">
      <c r="D1653" s="99" t="s">
        <v>2719</v>
      </c>
      <c r="E1653" s="100">
        <v>45996</v>
      </c>
      <c r="F1653" s="100" t="str">
        <f t="shared" si="119"/>
        <v/>
      </c>
      <c r="G1653" s="101" t="str">
        <f t="shared" si="120"/>
        <v/>
      </c>
      <c r="H1653" s="102" t="str">
        <f t="shared" si="118"/>
        <v/>
      </c>
    </row>
    <row r="1654" spans="4:8" x14ac:dyDescent="0.3">
      <c r="D1654" s="99" t="s">
        <v>2720</v>
      </c>
      <c r="E1654" s="100">
        <v>45699</v>
      </c>
      <c r="F1654" s="100">
        <f t="shared" si="119"/>
        <v>45847</v>
      </c>
      <c r="G1654" s="101">
        <f t="shared" si="120"/>
        <v>148</v>
      </c>
      <c r="H1654" s="102">
        <f t="shared" si="118"/>
        <v>0</v>
      </c>
    </row>
    <row r="1655" spans="4:8" x14ac:dyDescent="0.3">
      <c r="D1655" s="99" t="s">
        <v>2720</v>
      </c>
      <c r="E1655" s="100">
        <v>45847</v>
      </c>
      <c r="F1655" s="100">
        <f t="shared" si="119"/>
        <v>45940</v>
      </c>
      <c r="G1655" s="101">
        <f t="shared" si="120"/>
        <v>93</v>
      </c>
      <c r="H1655" s="102">
        <f t="shared" si="118"/>
        <v>0</v>
      </c>
    </row>
    <row r="1656" spans="4:8" x14ac:dyDescent="0.3">
      <c r="D1656" s="99" t="s">
        <v>2720</v>
      </c>
      <c r="E1656" s="100">
        <v>45940</v>
      </c>
      <c r="F1656" s="100" t="str">
        <f t="shared" si="119"/>
        <v/>
      </c>
      <c r="G1656" s="101" t="str">
        <f t="shared" si="120"/>
        <v/>
      </c>
      <c r="H1656" s="102" t="str">
        <f t="shared" si="118"/>
        <v/>
      </c>
    </row>
    <row r="1657" spans="4:8" x14ac:dyDescent="0.3">
      <c r="D1657" s="99" t="s">
        <v>2721</v>
      </c>
      <c r="E1657" s="100">
        <v>45699</v>
      </c>
      <c r="F1657" s="100">
        <f t="shared" si="119"/>
        <v>45751</v>
      </c>
      <c r="G1657" s="101">
        <f t="shared" si="120"/>
        <v>52</v>
      </c>
      <c r="H1657" s="102">
        <f t="shared" si="118"/>
        <v>0</v>
      </c>
    </row>
    <row r="1658" spans="4:8" x14ac:dyDescent="0.3">
      <c r="D1658" s="99" t="s">
        <v>2721</v>
      </c>
      <c r="E1658" s="100">
        <v>45751</v>
      </c>
      <c r="F1658" s="100">
        <f t="shared" si="119"/>
        <v>45882</v>
      </c>
      <c r="G1658" s="101">
        <f t="shared" si="120"/>
        <v>131</v>
      </c>
      <c r="H1658" s="102">
        <f t="shared" si="118"/>
        <v>0</v>
      </c>
    </row>
    <row r="1659" spans="4:8" x14ac:dyDescent="0.3">
      <c r="D1659" s="99" t="s">
        <v>2721</v>
      </c>
      <c r="E1659" s="100">
        <v>45882</v>
      </c>
      <c r="F1659" s="100">
        <f t="shared" si="119"/>
        <v>46007</v>
      </c>
      <c r="G1659" s="101">
        <f t="shared" si="120"/>
        <v>125</v>
      </c>
      <c r="H1659" s="102">
        <f t="shared" si="118"/>
        <v>0</v>
      </c>
    </row>
    <row r="1660" spans="4:8" x14ac:dyDescent="0.3">
      <c r="D1660" s="99" t="s">
        <v>2721</v>
      </c>
      <c r="E1660" s="100">
        <v>46007</v>
      </c>
      <c r="F1660" s="100" t="str">
        <f t="shared" si="119"/>
        <v/>
      </c>
      <c r="G1660" s="101" t="str">
        <f t="shared" si="120"/>
        <v/>
      </c>
      <c r="H1660" s="102" t="str">
        <f t="shared" si="118"/>
        <v/>
      </c>
    </row>
    <row r="1661" spans="4:8" x14ac:dyDescent="0.3">
      <c r="D1661" s="99" t="s">
        <v>2722</v>
      </c>
      <c r="E1661" s="100">
        <v>45685</v>
      </c>
      <c r="F1661" s="100">
        <f t="shared" si="119"/>
        <v>45727</v>
      </c>
      <c r="G1661" s="101">
        <f t="shared" si="120"/>
        <v>42</v>
      </c>
      <c r="H1661" s="102">
        <f t="shared" si="118"/>
        <v>0</v>
      </c>
    </row>
    <row r="1662" spans="4:8" x14ac:dyDescent="0.3">
      <c r="D1662" s="99" t="s">
        <v>2722</v>
      </c>
      <c r="E1662" s="100">
        <v>45727</v>
      </c>
      <c r="F1662" s="100">
        <f t="shared" si="119"/>
        <v>45959</v>
      </c>
      <c r="G1662" s="101">
        <f t="shared" si="120"/>
        <v>232</v>
      </c>
      <c r="H1662" s="102">
        <f t="shared" si="118"/>
        <v>0</v>
      </c>
    </row>
    <row r="1663" spans="4:8" x14ac:dyDescent="0.3">
      <c r="D1663" s="99" t="s">
        <v>2722</v>
      </c>
      <c r="E1663" s="100">
        <v>45959</v>
      </c>
      <c r="F1663" s="100" t="str">
        <f t="shared" si="119"/>
        <v/>
      </c>
      <c r="G1663" s="101" t="str">
        <f t="shared" si="120"/>
        <v/>
      </c>
      <c r="H1663" s="102" t="str">
        <f t="shared" si="118"/>
        <v/>
      </c>
    </row>
    <row r="1664" spans="4:8" x14ac:dyDescent="0.3">
      <c r="D1664" s="99" t="s">
        <v>2723</v>
      </c>
      <c r="E1664" s="100">
        <v>45729</v>
      </c>
      <c r="F1664" s="100">
        <f t="shared" si="119"/>
        <v>45750</v>
      </c>
      <c r="G1664" s="101">
        <f t="shared" si="120"/>
        <v>21</v>
      </c>
      <c r="H1664" s="102">
        <f t="shared" si="118"/>
        <v>1</v>
      </c>
    </row>
    <row r="1665" spans="4:8" x14ac:dyDescent="0.3">
      <c r="D1665" s="99" t="s">
        <v>2723</v>
      </c>
      <c r="E1665" s="100">
        <v>45750</v>
      </c>
      <c r="F1665" s="100">
        <f t="shared" si="119"/>
        <v>45968</v>
      </c>
      <c r="G1665" s="101">
        <f t="shared" si="120"/>
        <v>218</v>
      </c>
      <c r="H1665" s="102">
        <f t="shared" si="118"/>
        <v>0</v>
      </c>
    </row>
    <row r="1666" spans="4:8" x14ac:dyDescent="0.3">
      <c r="D1666" s="99" t="s">
        <v>2723</v>
      </c>
      <c r="E1666" s="100">
        <v>45968</v>
      </c>
      <c r="F1666" s="100" t="str">
        <f t="shared" si="119"/>
        <v/>
      </c>
      <c r="G1666" s="101" t="str">
        <f t="shared" si="120"/>
        <v/>
      </c>
      <c r="H1666" s="102" t="str">
        <f t="shared" si="118"/>
        <v/>
      </c>
    </row>
    <row r="1667" spans="4:8" x14ac:dyDescent="0.3">
      <c r="D1667" s="99" t="s">
        <v>2724</v>
      </c>
      <c r="E1667" s="100">
        <v>45694</v>
      </c>
      <c r="F1667" s="100">
        <f t="shared" si="119"/>
        <v>45938</v>
      </c>
      <c r="G1667" s="101">
        <f t="shared" si="120"/>
        <v>244</v>
      </c>
      <c r="H1667" s="102">
        <f t="shared" si="118"/>
        <v>0</v>
      </c>
    </row>
    <row r="1668" spans="4:8" x14ac:dyDescent="0.3">
      <c r="D1668" s="99" t="s">
        <v>2724</v>
      </c>
      <c r="E1668" s="100">
        <v>45938</v>
      </c>
      <c r="F1668" s="100">
        <f t="shared" si="119"/>
        <v>46014</v>
      </c>
      <c r="G1668" s="101">
        <f t="shared" si="120"/>
        <v>76</v>
      </c>
      <c r="H1668" s="102">
        <f t="shared" si="118"/>
        <v>0</v>
      </c>
    </row>
    <row r="1669" spans="4:8" x14ac:dyDescent="0.3">
      <c r="D1669" s="99" t="s">
        <v>2724</v>
      </c>
      <c r="E1669" s="100">
        <v>46014</v>
      </c>
      <c r="F1669" s="100" t="str">
        <f t="shared" si="119"/>
        <v/>
      </c>
      <c r="G1669" s="101" t="str">
        <f t="shared" si="120"/>
        <v/>
      </c>
      <c r="H1669" s="102" t="str">
        <f t="shared" si="118"/>
        <v/>
      </c>
    </row>
    <row r="1670" spans="4:8" x14ac:dyDescent="0.3">
      <c r="D1670" s="99" t="s">
        <v>2725</v>
      </c>
      <c r="E1670" s="100">
        <v>45987</v>
      </c>
      <c r="F1670" s="100" t="str">
        <f t="shared" si="119"/>
        <v/>
      </c>
      <c r="G1670" s="101" t="str">
        <f t="shared" si="120"/>
        <v/>
      </c>
      <c r="H1670" s="102" t="str">
        <f t="shared" si="118"/>
        <v/>
      </c>
    </row>
    <row r="1671" spans="4:8" x14ac:dyDescent="0.3">
      <c r="D1671" s="99" t="s">
        <v>2726</v>
      </c>
      <c r="E1671" s="100">
        <v>45979</v>
      </c>
      <c r="F1671" s="100" t="str">
        <f t="shared" si="119"/>
        <v/>
      </c>
      <c r="G1671" s="101" t="str">
        <f t="shared" si="120"/>
        <v/>
      </c>
      <c r="H1671" s="102" t="str">
        <f t="shared" ref="H1671:H1734" si="121">IF(G1671="","",IF(G1671&lt;=return_window,1,0))</f>
        <v/>
      </c>
    </row>
    <row r="1672" spans="4:8" x14ac:dyDescent="0.3">
      <c r="D1672" s="99" t="s">
        <v>2727</v>
      </c>
      <c r="E1672" s="100">
        <v>45825</v>
      </c>
      <c r="F1672" s="100">
        <f t="shared" ref="F1672:F1735" si="122">IF(D1672=D1673,E1673,"")</f>
        <v>45974</v>
      </c>
      <c r="G1672" s="101">
        <f t="shared" ref="G1672:G1735" si="123">IF(F1672="","",F1672-E1672)</f>
        <v>149</v>
      </c>
      <c r="H1672" s="102">
        <f t="shared" si="121"/>
        <v>0</v>
      </c>
    </row>
    <row r="1673" spans="4:8" x14ac:dyDescent="0.3">
      <c r="D1673" s="99" t="s">
        <v>2727</v>
      </c>
      <c r="E1673" s="100">
        <v>45974</v>
      </c>
      <c r="F1673" s="100">
        <f t="shared" si="122"/>
        <v>45988</v>
      </c>
      <c r="G1673" s="101">
        <f t="shared" si="123"/>
        <v>14</v>
      </c>
      <c r="H1673" s="102">
        <f t="shared" si="121"/>
        <v>1</v>
      </c>
    </row>
    <row r="1674" spans="4:8" x14ac:dyDescent="0.3">
      <c r="D1674" s="99" t="s">
        <v>2727</v>
      </c>
      <c r="E1674" s="100">
        <v>45988</v>
      </c>
      <c r="F1674" s="100" t="str">
        <f t="shared" si="122"/>
        <v/>
      </c>
      <c r="G1674" s="101" t="str">
        <f t="shared" si="123"/>
        <v/>
      </c>
      <c r="H1674" s="102" t="str">
        <f t="shared" si="121"/>
        <v/>
      </c>
    </row>
    <row r="1675" spans="4:8" x14ac:dyDescent="0.3">
      <c r="D1675" s="99" t="s">
        <v>2728</v>
      </c>
      <c r="E1675" s="100">
        <v>45747</v>
      </c>
      <c r="F1675" s="100">
        <f t="shared" si="122"/>
        <v>45817</v>
      </c>
      <c r="G1675" s="101">
        <f t="shared" si="123"/>
        <v>70</v>
      </c>
      <c r="H1675" s="102">
        <f t="shared" si="121"/>
        <v>0</v>
      </c>
    </row>
    <row r="1676" spans="4:8" x14ac:dyDescent="0.3">
      <c r="D1676" s="99" t="s">
        <v>2728</v>
      </c>
      <c r="E1676" s="100">
        <v>45817</v>
      </c>
      <c r="F1676" s="100">
        <f t="shared" si="122"/>
        <v>45896</v>
      </c>
      <c r="G1676" s="101">
        <f t="shared" si="123"/>
        <v>79</v>
      </c>
      <c r="H1676" s="102">
        <f t="shared" si="121"/>
        <v>0</v>
      </c>
    </row>
    <row r="1677" spans="4:8" x14ac:dyDescent="0.3">
      <c r="D1677" s="99" t="s">
        <v>2728</v>
      </c>
      <c r="E1677" s="100">
        <v>45896</v>
      </c>
      <c r="F1677" s="100">
        <f t="shared" si="122"/>
        <v>45966</v>
      </c>
      <c r="G1677" s="101">
        <f t="shared" si="123"/>
        <v>70</v>
      </c>
      <c r="H1677" s="102">
        <f t="shared" si="121"/>
        <v>0</v>
      </c>
    </row>
    <row r="1678" spans="4:8" x14ac:dyDescent="0.3">
      <c r="D1678" s="99" t="s">
        <v>2728</v>
      </c>
      <c r="E1678" s="100">
        <v>45966</v>
      </c>
      <c r="F1678" s="100" t="str">
        <f t="shared" si="122"/>
        <v/>
      </c>
      <c r="G1678" s="101" t="str">
        <f t="shared" si="123"/>
        <v/>
      </c>
      <c r="H1678" s="102" t="str">
        <f t="shared" si="121"/>
        <v/>
      </c>
    </row>
    <row r="1679" spans="4:8" x14ac:dyDescent="0.3">
      <c r="D1679" s="99" t="s">
        <v>2729</v>
      </c>
      <c r="E1679" s="100">
        <v>45930</v>
      </c>
      <c r="F1679" s="100">
        <f t="shared" si="122"/>
        <v>45937</v>
      </c>
      <c r="G1679" s="101">
        <f t="shared" si="123"/>
        <v>7</v>
      </c>
      <c r="H1679" s="102">
        <f t="shared" si="121"/>
        <v>1</v>
      </c>
    </row>
    <row r="1680" spans="4:8" x14ac:dyDescent="0.3">
      <c r="D1680" s="99" t="s">
        <v>2729</v>
      </c>
      <c r="E1680" s="100">
        <v>45937</v>
      </c>
      <c r="F1680" s="100" t="str">
        <f t="shared" si="122"/>
        <v/>
      </c>
      <c r="G1680" s="101" t="str">
        <f t="shared" si="123"/>
        <v/>
      </c>
      <c r="H1680" s="102" t="str">
        <f t="shared" si="121"/>
        <v/>
      </c>
    </row>
    <row r="1681" spans="4:8" x14ac:dyDescent="0.3">
      <c r="D1681" s="99" t="s">
        <v>2730</v>
      </c>
      <c r="E1681" s="100">
        <v>45926</v>
      </c>
      <c r="F1681" s="100" t="str">
        <f t="shared" si="122"/>
        <v/>
      </c>
      <c r="G1681" s="101" t="str">
        <f t="shared" si="123"/>
        <v/>
      </c>
      <c r="H1681" s="102" t="str">
        <f t="shared" si="121"/>
        <v/>
      </c>
    </row>
    <row r="1682" spans="4:8" x14ac:dyDescent="0.3">
      <c r="D1682" s="99" t="s">
        <v>2731</v>
      </c>
      <c r="E1682" s="100">
        <v>45762</v>
      </c>
      <c r="F1682" s="100">
        <f t="shared" si="122"/>
        <v>45842</v>
      </c>
      <c r="G1682" s="101">
        <f t="shared" si="123"/>
        <v>80</v>
      </c>
      <c r="H1682" s="102">
        <f t="shared" si="121"/>
        <v>0</v>
      </c>
    </row>
    <row r="1683" spans="4:8" x14ac:dyDescent="0.3">
      <c r="D1683" s="99" t="s">
        <v>2731</v>
      </c>
      <c r="E1683" s="100">
        <v>45842</v>
      </c>
      <c r="F1683" s="100">
        <f t="shared" si="122"/>
        <v>45863</v>
      </c>
      <c r="G1683" s="101">
        <f t="shared" si="123"/>
        <v>21</v>
      </c>
      <c r="H1683" s="102">
        <f t="shared" si="121"/>
        <v>1</v>
      </c>
    </row>
    <row r="1684" spans="4:8" x14ac:dyDescent="0.3">
      <c r="D1684" s="99" t="s">
        <v>2731</v>
      </c>
      <c r="E1684" s="100">
        <v>45863</v>
      </c>
      <c r="F1684" s="100">
        <f t="shared" si="122"/>
        <v>45882</v>
      </c>
      <c r="G1684" s="101">
        <f t="shared" si="123"/>
        <v>19</v>
      </c>
      <c r="H1684" s="102">
        <f t="shared" si="121"/>
        <v>1</v>
      </c>
    </row>
    <row r="1685" spans="4:8" x14ac:dyDescent="0.3">
      <c r="D1685" s="99" t="s">
        <v>2731</v>
      </c>
      <c r="E1685" s="100">
        <v>45882</v>
      </c>
      <c r="F1685" s="100" t="str">
        <f t="shared" si="122"/>
        <v/>
      </c>
      <c r="G1685" s="101" t="str">
        <f t="shared" si="123"/>
        <v/>
      </c>
      <c r="H1685" s="102" t="str">
        <f t="shared" si="121"/>
        <v/>
      </c>
    </row>
    <row r="1686" spans="4:8" x14ac:dyDescent="0.3">
      <c r="D1686" s="99" t="s">
        <v>2732</v>
      </c>
      <c r="E1686" s="100">
        <v>45842</v>
      </c>
      <c r="F1686" s="100">
        <f t="shared" si="122"/>
        <v>46015</v>
      </c>
      <c r="G1686" s="101">
        <f t="shared" si="123"/>
        <v>173</v>
      </c>
      <c r="H1686" s="102">
        <f t="shared" si="121"/>
        <v>0</v>
      </c>
    </row>
    <row r="1687" spans="4:8" x14ac:dyDescent="0.3">
      <c r="D1687" s="99" t="s">
        <v>2732</v>
      </c>
      <c r="E1687" s="100">
        <v>46015</v>
      </c>
      <c r="F1687" s="100" t="str">
        <f t="shared" si="122"/>
        <v/>
      </c>
      <c r="G1687" s="101" t="str">
        <f t="shared" si="123"/>
        <v/>
      </c>
      <c r="H1687" s="102" t="str">
        <f t="shared" si="121"/>
        <v/>
      </c>
    </row>
    <row r="1688" spans="4:8" x14ac:dyDescent="0.3">
      <c r="D1688" s="99" t="s">
        <v>2733</v>
      </c>
      <c r="E1688" s="100">
        <v>45861</v>
      </c>
      <c r="F1688" s="100">
        <f t="shared" si="122"/>
        <v>45980</v>
      </c>
      <c r="G1688" s="101">
        <f t="shared" si="123"/>
        <v>119</v>
      </c>
      <c r="H1688" s="102">
        <f t="shared" si="121"/>
        <v>0</v>
      </c>
    </row>
    <row r="1689" spans="4:8" x14ac:dyDescent="0.3">
      <c r="D1689" s="99" t="s">
        <v>2733</v>
      </c>
      <c r="E1689" s="100">
        <v>45980</v>
      </c>
      <c r="F1689" s="100" t="str">
        <f t="shared" si="122"/>
        <v/>
      </c>
      <c r="G1689" s="101" t="str">
        <f t="shared" si="123"/>
        <v/>
      </c>
      <c r="H1689" s="102" t="str">
        <f t="shared" si="121"/>
        <v/>
      </c>
    </row>
    <row r="1690" spans="4:8" x14ac:dyDescent="0.3">
      <c r="D1690" s="99" t="s">
        <v>2734</v>
      </c>
      <c r="E1690" s="100">
        <v>45972</v>
      </c>
      <c r="F1690" s="100" t="str">
        <f t="shared" si="122"/>
        <v/>
      </c>
      <c r="G1690" s="101" t="str">
        <f t="shared" si="123"/>
        <v/>
      </c>
      <c r="H1690" s="102" t="str">
        <f t="shared" si="121"/>
        <v/>
      </c>
    </row>
    <row r="1691" spans="4:8" x14ac:dyDescent="0.3">
      <c r="D1691" s="99" t="s">
        <v>2735</v>
      </c>
      <c r="E1691" s="100">
        <v>45698</v>
      </c>
      <c r="F1691" s="100" t="str">
        <f t="shared" si="122"/>
        <v/>
      </c>
      <c r="G1691" s="101" t="str">
        <f t="shared" si="123"/>
        <v/>
      </c>
      <c r="H1691" s="102" t="str">
        <f t="shared" si="121"/>
        <v/>
      </c>
    </row>
    <row r="1692" spans="4:8" x14ac:dyDescent="0.3">
      <c r="D1692" s="99" t="s">
        <v>2736</v>
      </c>
      <c r="E1692" s="100">
        <v>45908</v>
      </c>
      <c r="F1692" s="100" t="str">
        <f t="shared" si="122"/>
        <v/>
      </c>
      <c r="G1692" s="101" t="str">
        <f t="shared" si="123"/>
        <v/>
      </c>
      <c r="H1692" s="102" t="str">
        <f t="shared" si="121"/>
        <v/>
      </c>
    </row>
    <row r="1693" spans="4:8" x14ac:dyDescent="0.3">
      <c r="D1693" s="99" t="s">
        <v>2737</v>
      </c>
      <c r="E1693" s="100">
        <v>45726</v>
      </c>
      <c r="F1693" s="100">
        <f t="shared" si="122"/>
        <v>45924</v>
      </c>
      <c r="G1693" s="101">
        <f t="shared" si="123"/>
        <v>198</v>
      </c>
      <c r="H1693" s="102">
        <f t="shared" si="121"/>
        <v>0</v>
      </c>
    </row>
    <row r="1694" spans="4:8" x14ac:dyDescent="0.3">
      <c r="D1694" s="99" t="s">
        <v>2737</v>
      </c>
      <c r="E1694" s="100">
        <v>45924</v>
      </c>
      <c r="F1694" s="100" t="str">
        <f t="shared" si="122"/>
        <v/>
      </c>
      <c r="G1694" s="101" t="str">
        <f t="shared" si="123"/>
        <v/>
      </c>
      <c r="H1694" s="102" t="str">
        <f t="shared" si="121"/>
        <v/>
      </c>
    </row>
    <row r="1695" spans="4:8" x14ac:dyDescent="0.3">
      <c r="D1695" s="99" t="s">
        <v>2738</v>
      </c>
      <c r="E1695" s="100">
        <v>45742</v>
      </c>
      <c r="F1695" s="100">
        <f t="shared" si="122"/>
        <v>45782</v>
      </c>
      <c r="G1695" s="101">
        <f t="shared" si="123"/>
        <v>40</v>
      </c>
      <c r="H1695" s="102">
        <f t="shared" si="121"/>
        <v>0</v>
      </c>
    </row>
    <row r="1696" spans="4:8" x14ac:dyDescent="0.3">
      <c r="D1696" s="99" t="s">
        <v>2738</v>
      </c>
      <c r="E1696" s="100">
        <v>45782</v>
      </c>
      <c r="F1696" s="100">
        <f t="shared" si="122"/>
        <v>45862</v>
      </c>
      <c r="G1696" s="101">
        <f t="shared" si="123"/>
        <v>80</v>
      </c>
      <c r="H1696" s="102">
        <f t="shared" si="121"/>
        <v>0</v>
      </c>
    </row>
    <row r="1697" spans="4:8" x14ac:dyDescent="0.3">
      <c r="D1697" s="99" t="s">
        <v>2738</v>
      </c>
      <c r="E1697" s="100">
        <v>45862</v>
      </c>
      <c r="F1697" s="100">
        <f t="shared" si="122"/>
        <v>45925</v>
      </c>
      <c r="G1697" s="101">
        <f t="shared" si="123"/>
        <v>63</v>
      </c>
      <c r="H1697" s="102">
        <f t="shared" si="121"/>
        <v>0</v>
      </c>
    </row>
    <row r="1698" spans="4:8" x14ac:dyDescent="0.3">
      <c r="D1698" s="99" t="s">
        <v>2738</v>
      </c>
      <c r="E1698" s="100">
        <v>45925</v>
      </c>
      <c r="F1698" s="100">
        <f t="shared" si="122"/>
        <v>45940</v>
      </c>
      <c r="G1698" s="101">
        <f t="shared" si="123"/>
        <v>15</v>
      </c>
      <c r="H1698" s="102">
        <f t="shared" si="121"/>
        <v>1</v>
      </c>
    </row>
    <row r="1699" spans="4:8" x14ac:dyDescent="0.3">
      <c r="D1699" s="99" t="s">
        <v>2738</v>
      </c>
      <c r="E1699" s="100">
        <v>45940</v>
      </c>
      <c r="F1699" s="100">
        <f t="shared" si="122"/>
        <v>45992</v>
      </c>
      <c r="G1699" s="101">
        <f t="shared" si="123"/>
        <v>52</v>
      </c>
      <c r="H1699" s="102">
        <f t="shared" si="121"/>
        <v>0</v>
      </c>
    </row>
    <row r="1700" spans="4:8" x14ac:dyDescent="0.3">
      <c r="D1700" s="99" t="s">
        <v>2738</v>
      </c>
      <c r="E1700" s="100">
        <v>45992</v>
      </c>
      <c r="F1700" s="100" t="str">
        <f t="shared" si="122"/>
        <v/>
      </c>
      <c r="G1700" s="101" t="str">
        <f t="shared" si="123"/>
        <v/>
      </c>
      <c r="H1700" s="102" t="str">
        <f t="shared" si="121"/>
        <v/>
      </c>
    </row>
    <row r="1701" spans="4:8" x14ac:dyDescent="0.3">
      <c r="D1701" s="99" t="s">
        <v>2739</v>
      </c>
      <c r="E1701" s="100">
        <v>45798</v>
      </c>
      <c r="F1701" s="100">
        <f t="shared" si="122"/>
        <v>45866</v>
      </c>
      <c r="G1701" s="101">
        <f t="shared" si="123"/>
        <v>68</v>
      </c>
      <c r="H1701" s="102">
        <f t="shared" si="121"/>
        <v>0</v>
      </c>
    </row>
    <row r="1702" spans="4:8" x14ac:dyDescent="0.3">
      <c r="D1702" s="99" t="s">
        <v>2739</v>
      </c>
      <c r="E1702" s="100">
        <v>45866</v>
      </c>
      <c r="F1702" s="100">
        <f t="shared" si="122"/>
        <v>45967</v>
      </c>
      <c r="G1702" s="101">
        <f t="shared" si="123"/>
        <v>101</v>
      </c>
      <c r="H1702" s="102">
        <f t="shared" si="121"/>
        <v>0</v>
      </c>
    </row>
    <row r="1703" spans="4:8" x14ac:dyDescent="0.3">
      <c r="D1703" s="99" t="s">
        <v>2739</v>
      </c>
      <c r="E1703" s="100">
        <v>45967</v>
      </c>
      <c r="F1703" s="100">
        <f t="shared" si="122"/>
        <v>45994</v>
      </c>
      <c r="G1703" s="101">
        <f t="shared" si="123"/>
        <v>27</v>
      </c>
      <c r="H1703" s="102">
        <f t="shared" si="121"/>
        <v>1</v>
      </c>
    </row>
    <row r="1704" spans="4:8" x14ac:dyDescent="0.3">
      <c r="D1704" s="99" t="s">
        <v>2739</v>
      </c>
      <c r="E1704" s="100">
        <v>45994</v>
      </c>
      <c r="F1704" s="100" t="str">
        <f t="shared" si="122"/>
        <v/>
      </c>
      <c r="G1704" s="101" t="str">
        <f t="shared" si="123"/>
        <v/>
      </c>
      <c r="H1704" s="102" t="str">
        <f t="shared" si="121"/>
        <v/>
      </c>
    </row>
    <row r="1705" spans="4:8" x14ac:dyDescent="0.3">
      <c r="D1705" s="99" t="s">
        <v>2740</v>
      </c>
      <c r="E1705" s="100">
        <v>45716</v>
      </c>
      <c r="F1705" s="100">
        <f t="shared" si="122"/>
        <v>45825</v>
      </c>
      <c r="G1705" s="101">
        <f t="shared" si="123"/>
        <v>109</v>
      </c>
      <c r="H1705" s="102">
        <f t="shared" si="121"/>
        <v>0</v>
      </c>
    </row>
    <row r="1706" spans="4:8" x14ac:dyDescent="0.3">
      <c r="D1706" s="99" t="s">
        <v>2740</v>
      </c>
      <c r="E1706" s="100">
        <v>45825</v>
      </c>
      <c r="F1706" s="100">
        <f t="shared" si="122"/>
        <v>45931</v>
      </c>
      <c r="G1706" s="101">
        <f t="shared" si="123"/>
        <v>106</v>
      </c>
      <c r="H1706" s="102">
        <f t="shared" si="121"/>
        <v>0</v>
      </c>
    </row>
    <row r="1707" spans="4:8" x14ac:dyDescent="0.3">
      <c r="D1707" s="99" t="s">
        <v>2740</v>
      </c>
      <c r="E1707" s="100">
        <v>45931</v>
      </c>
      <c r="F1707" s="100">
        <f t="shared" si="122"/>
        <v>45968</v>
      </c>
      <c r="G1707" s="101">
        <f t="shared" si="123"/>
        <v>37</v>
      </c>
      <c r="H1707" s="102">
        <f t="shared" si="121"/>
        <v>0</v>
      </c>
    </row>
    <row r="1708" spans="4:8" x14ac:dyDescent="0.3">
      <c r="D1708" s="99" t="s">
        <v>2740</v>
      </c>
      <c r="E1708" s="100">
        <v>45968</v>
      </c>
      <c r="F1708" s="100">
        <f t="shared" si="122"/>
        <v>45992</v>
      </c>
      <c r="G1708" s="101">
        <f t="shared" si="123"/>
        <v>24</v>
      </c>
      <c r="H1708" s="102">
        <f t="shared" si="121"/>
        <v>1</v>
      </c>
    </row>
    <row r="1709" spans="4:8" x14ac:dyDescent="0.3">
      <c r="D1709" s="99" t="s">
        <v>2740</v>
      </c>
      <c r="E1709" s="100">
        <v>45992</v>
      </c>
      <c r="F1709" s="100" t="str">
        <f t="shared" si="122"/>
        <v/>
      </c>
      <c r="G1709" s="101" t="str">
        <f t="shared" si="123"/>
        <v/>
      </c>
      <c r="H1709" s="102" t="str">
        <f t="shared" si="121"/>
        <v/>
      </c>
    </row>
    <row r="1710" spans="4:8" x14ac:dyDescent="0.3">
      <c r="D1710" s="99" t="s">
        <v>2741</v>
      </c>
      <c r="E1710" s="100">
        <v>45680</v>
      </c>
      <c r="F1710" s="100">
        <f t="shared" si="122"/>
        <v>45819</v>
      </c>
      <c r="G1710" s="101">
        <f t="shared" si="123"/>
        <v>139</v>
      </c>
      <c r="H1710" s="102">
        <f t="shared" si="121"/>
        <v>0</v>
      </c>
    </row>
    <row r="1711" spans="4:8" x14ac:dyDescent="0.3">
      <c r="D1711" s="99" t="s">
        <v>2741</v>
      </c>
      <c r="E1711" s="100">
        <v>45819</v>
      </c>
      <c r="F1711" s="100" t="str">
        <f t="shared" si="122"/>
        <v/>
      </c>
      <c r="G1711" s="101" t="str">
        <f t="shared" si="123"/>
        <v/>
      </c>
      <c r="H1711" s="102" t="str">
        <f t="shared" si="121"/>
        <v/>
      </c>
    </row>
    <row r="1712" spans="4:8" x14ac:dyDescent="0.3">
      <c r="D1712" s="99" t="s">
        <v>2742</v>
      </c>
      <c r="E1712" s="100">
        <v>45968</v>
      </c>
      <c r="F1712" s="100" t="str">
        <f t="shared" si="122"/>
        <v/>
      </c>
      <c r="G1712" s="101" t="str">
        <f t="shared" si="123"/>
        <v/>
      </c>
      <c r="H1712" s="102" t="str">
        <f t="shared" si="121"/>
        <v/>
      </c>
    </row>
    <row r="1713" spans="4:8" x14ac:dyDescent="0.3">
      <c r="D1713" s="99" t="s">
        <v>2743</v>
      </c>
      <c r="E1713" s="100">
        <v>45747</v>
      </c>
      <c r="F1713" s="100" t="str">
        <f t="shared" si="122"/>
        <v/>
      </c>
      <c r="G1713" s="101" t="str">
        <f t="shared" si="123"/>
        <v/>
      </c>
      <c r="H1713" s="102" t="str">
        <f t="shared" si="121"/>
        <v/>
      </c>
    </row>
    <row r="1714" spans="4:8" x14ac:dyDescent="0.3">
      <c r="D1714" s="99" t="s">
        <v>2744</v>
      </c>
      <c r="E1714" s="100">
        <v>45672</v>
      </c>
      <c r="F1714" s="100">
        <f t="shared" si="122"/>
        <v>45888</v>
      </c>
      <c r="G1714" s="101">
        <f t="shared" si="123"/>
        <v>216</v>
      </c>
      <c r="H1714" s="102">
        <f t="shared" si="121"/>
        <v>0</v>
      </c>
    </row>
    <row r="1715" spans="4:8" x14ac:dyDescent="0.3">
      <c r="D1715" s="99" t="s">
        <v>2744</v>
      </c>
      <c r="E1715" s="100">
        <v>45888</v>
      </c>
      <c r="F1715" s="100">
        <f t="shared" si="122"/>
        <v>45995</v>
      </c>
      <c r="G1715" s="101">
        <f t="shared" si="123"/>
        <v>107</v>
      </c>
      <c r="H1715" s="102">
        <f t="shared" si="121"/>
        <v>0</v>
      </c>
    </row>
    <row r="1716" spans="4:8" x14ac:dyDescent="0.3">
      <c r="D1716" s="99" t="s">
        <v>2744</v>
      </c>
      <c r="E1716" s="100">
        <v>45995</v>
      </c>
      <c r="F1716" s="100" t="str">
        <f t="shared" si="122"/>
        <v/>
      </c>
      <c r="G1716" s="101" t="str">
        <f t="shared" si="123"/>
        <v/>
      </c>
      <c r="H1716" s="102" t="str">
        <f t="shared" si="121"/>
        <v/>
      </c>
    </row>
    <row r="1717" spans="4:8" x14ac:dyDescent="0.3">
      <c r="D1717" s="99" t="s">
        <v>2745</v>
      </c>
      <c r="E1717" s="100">
        <v>45673</v>
      </c>
      <c r="F1717" s="100" t="str">
        <f t="shared" si="122"/>
        <v/>
      </c>
      <c r="G1717" s="101" t="str">
        <f t="shared" si="123"/>
        <v/>
      </c>
      <c r="H1717" s="102" t="str">
        <f t="shared" si="121"/>
        <v/>
      </c>
    </row>
    <row r="1718" spans="4:8" x14ac:dyDescent="0.3">
      <c r="D1718" s="99" t="s">
        <v>2746</v>
      </c>
      <c r="E1718" s="100">
        <v>45687</v>
      </c>
      <c r="F1718" s="100">
        <f t="shared" si="122"/>
        <v>45824</v>
      </c>
      <c r="G1718" s="101">
        <f t="shared" si="123"/>
        <v>137</v>
      </c>
      <c r="H1718" s="102">
        <f t="shared" si="121"/>
        <v>0</v>
      </c>
    </row>
    <row r="1719" spans="4:8" x14ac:dyDescent="0.3">
      <c r="D1719" s="99" t="s">
        <v>2746</v>
      </c>
      <c r="E1719" s="100">
        <v>45824</v>
      </c>
      <c r="F1719" s="100">
        <f t="shared" si="122"/>
        <v>45994</v>
      </c>
      <c r="G1719" s="101">
        <f t="shared" si="123"/>
        <v>170</v>
      </c>
      <c r="H1719" s="102">
        <f t="shared" si="121"/>
        <v>0</v>
      </c>
    </row>
    <row r="1720" spans="4:8" x14ac:dyDescent="0.3">
      <c r="D1720" s="99" t="s">
        <v>2746</v>
      </c>
      <c r="E1720" s="100">
        <v>45994</v>
      </c>
      <c r="F1720" s="100">
        <f t="shared" si="122"/>
        <v>46015</v>
      </c>
      <c r="G1720" s="101">
        <f t="shared" si="123"/>
        <v>21</v>
      </c>
      <c r="H1720" s="102">
        <f t="shared" si="121"/>
        <v>1</v>
      </c>
    </row>
    <row r="1721" spans="4:8" x14ac:dyDescent="0.3">
      <c r="D1721" s="99" t="s">
        <v>2746</v>
      </c>
      <c r="E1721" s="100">
        <v>46015</v>
      </c>
      <c r="F1721" s="100" t="str">
        <f t="shared" si="122"/>
        <v/>
      </c>
      <c r="G1721" s="101" t="str">
        <f t="shared" si="123"/>
        <v/>
      </c>
      <c r="H1721" s="102" t="str">
        <f t="shared" si="121"/>
        <v/>
      </c>
    </row>
    <row r="1722" spans="4:8" x14ac:dyDescent="0.3">
      <c r="D1722" s="99" t="s">
        <v>2747</v>
      </c>
      <c r="E1722" s="100">
        <v>45658</v>
      </c>
      <c r="F1722" s="100">
        <f t="shared" si="122"/>
        <v>45698</v>
      </c>
      <c r="G1722" s="101">
        <f t="shared" si="123"/>
        <v>40</v>
      </c>
      <c r="H1722" s="102">
        <f t="shared" si="121"/>
        <v>0</v>
      </c>
    </row>
    <row r="1723" spans="4:8" x14ac:dyDescent="0.3">
      <c r="D1723" s="99" t="s">
        <v>2747</v>
      </c>
      <c r="E1723" s="100">
        <v>45698</v>
      </c>
      <c r="F1723" s="100">
        <f t="shared" si="122"/>
        <v>45959</v>
      </c>
      <c r="G1723" s="101">
        <f t="shared" si="123"/>
        <v>261</v>
      </c>
      <c r="H1723" s="102">
        <f t="shared" si="121"/>
        <v>0</v>
      </c>
    </row>
    <row r="1724" spans="4:8" x14ac:dyDescent="0.3">
      <c r="D1724" s="99" t="s">
        <v>2747</v>
      </c>
      <c r="E1724" s="100">
        <v>45959</v>
      </c>
      <c r="F1724" s="100" t="str">
        <f t="shared" si="122"/>
        <v/>
      </c>
      <c r="G1724" s="101" t="str">
        <f t="shared" si="123"/>
        <v/>
      </c>
      <c r="H1724" s="102" t="str">
        <f t="shared" si="121"/>
        <v/>
      </c>
    </row>
    <row r="1725" spans="4:8" x14ac:dyDescent="0.3">
      <c r="D1725" s="99" t="s">
        <v>2748</v>
      </c>
      <c r="E1725" s="100">
        <v>45825</v>
      </c>
      <c r="F1725" s="100" t="str">
        <f t="shared" si="122"/>
        <v/>
      </c>
      <c r="G1725" s="101" t="str">
        <f t="shared" si="123"/>
        <v/>
      </c>
      <c r="H1725" s="102" t="str">
        <f t="shared" si="121"/>
        <v/>
      </c>
    </row>
    <row r="1726" spans="4:8" x14ac:dyDescent="0.3">
      <c r="D1726" s="99" t="s">
        <v>2749</v>
      </c>
      <c r="E1726" s="100">
        <v>45728</v>
      </c>
      <c r="F1726" s="100" t="str">
        <f t="shared" si="122"/>
        <v/>
      </c>
      <c r="G1726" s="101" t="str">
        <f t="shared" si="123"/>
        <v/>
      </c>
      <c r="H1726" s="102" t="str">
        <f t="shared" si="121"/>
        <v/>
      </c>
    </row>
    <row r="1727" spans="4:8" x14ac:dyDescent="0.3">
      <c r="D1727" s="99" t="s">
        <v>2750</v>
      </c>
      <c r="E1727" s="100">
        <v>45698</v>
      </c>
      <c r="F1727" s="100">
        <f t="shared" si="122"/>
        <v>45805</v>
      </c>
      <c r="G1727" s="101">
        <f t="shared" si="123"/>
        <v>107</v>
      </c>
      <c r="H1727" s="102">
        <f t="shared" si="121"/>
        <v>0</v>
      </c>
    </row>
    <row r="1728" spans="4:8" x14ac:dyDescent="0.3">
      <c r="D1728" s="99" t="s">
        <v>2750</v>
      </c>
      <c r="E1728" s="100">
        <v>45805</v>
      </c>
      <c r="F1728" s="100">
        <f t="shared" si="122"/>
        <v>45882</v>
      </c>
      <c r="G1728" s="101">
        <f t="shared" si="123"/>
        <v>77</v>
      </c>
      <c r="H1728" s="102">
        <f t="shared" si="121"/>
        <v>0</v>
      </c>
    </row>
    <row r="1729" spans="4:8" x14ac:dyDescent="0.3">
      <c r="D1729" s="99" t="s">
        <v>2750</v>
      </c>
      <c r="E1729" s="100">
        <v>45882</v>
      </c>
      <c r="F1729" s="100">
        <f t="shared" si="122"/>
        <v>46022</v>
      </c>
      <c r="G1729" s="101">
        <f t="shared" si="123"/>
        <v>140</v>
      </c>
      <c r="H1729" s="102">
        <f t="shared" si="121"/>
        <v>0</v>
      </c>
    </row>
    <row r="1730" spans="4:8" x14ac:dyDescent="0.3">
      <c r="D1730" s="99" t="s">
        <v>2750</v>
      </c>
      <c r="E1730" s="100">
        <v>46022</v>
      </c>
      <c r="F1730" s="100" t="str">
        <f t="shared" si="122"/>
        <v/>
      </c>
      <c r="G1730" s="101" t="str">
        <f t="shared" si="123"/>
        <v/>
      </c>
      <c r="H1730" s="102" t="str">
        <f t="shared" si="121"/>
        <v/>
      </c>
    </row>
    <row r="1731" spans="4:8" x14ac:dyDescent="0.3">
      <c r="D1731" s="99" t="s">
        <v>2751</v>
      </c>
      <c r="E1731" s="100">
        <v>45666</v>
      </c>
      <c r="F1731" s="100">
        <f t="shared" si="122"/>
        <v>45968</v>
      </c>
      <c r="G1731" s="101">
        <f t="shared" si="123"/>
        <v>302</v>
      </c>
      <c r="H1731" s="102">
        <f t="shared" si="121"/>
        <v>0</v>
      </c>
    </row>
    <row r="1732" spans="4:8" x14ac:dyDescent="0.3">
      <c r="D1732" s="99" t="s">
        <v>2751</v>
      </c>
      <c r="E1732" s="100">
        <v>45968</v>
      </c>
      <c r="F1732" s="100" t="str">
        <f t="shared" si="122"/>
        <v/>
      </c>
      <c r="G1732" s="101" t="str">
        <f t="shared" si="123"/>
        <v/>
      </c>
      <c r="H1732" s="102" t="str">
        <f t="shared" si="121"/>
        <v/>
      </c>
    </row>
    <row r="1733" spans="4:8" x14ac:dyDescent="0.3">
      <c r="D1733" s="99" t="s">
        <v>2752</v>
      </c>
      <c r="E1733" s="100">
        <v>45820</v>
      </c>
      <c r="F1733" s="100">
        <f t="shared" si="122"/>
        <v>46013</v>
      </c>
      <c r="G1733" s="101">
        <f t="shared" si="123"/>
        <v>193</v>
      </c>
      <c r="H1733" s="102">
        <f t="shared" si="121"/>
        <v>0</v>
      </c>
    </row>
    <row r="1734" spans="4:8" x14ac:dyDescent="0.3">
      <c r="D1734" s="99" t="s">
        <v>2752</v>
      </c>
      <c r="E1734" s="100">
        <v>46013</v>
      </c>
      <c r="F1734" s="100" t="str">
        <f t="shared" si="122"/>
        <v/>
      </c>
      <c r="G1734" s="101" t="str">
        <f t="shared" si="123"/>
        <v/>
      </c>
      <c r="H1734" s="102" t="str">
        <f t="shared" si="121"/>
        <v/>
      </c>
    </row>
    <row r="1735" spans="4:8" x14ac:dyDescent="0.3">
      <c r="D1735" s="99" t="s">
        <v>2753</v>
      </c>
      <c r="E1735" s="100">
        <v>45665</v>
      </c>
      <c r="F1735" s="100">
        <f t="shared" si="122"/>
        <v>45796</v>
      </c>
      <c r="G1735" s="101">
        <f t="shared" si="123"/>
        <v>131</v>
      </c>
      <c r="H1735" s="102">
        <f t="shared" ref="H1735:H1798" si="124">IF(G1735="","",IF(G1735&lt;=return_window,1,0))</f>
        <v>0</v>
      </c>
    </row>
    <row r="1736" spans="4:8" x14ac:dyDescent="0.3">
      <c r="D1736" s="99" t="s">
        <v>2753</v>
      </c>
      <c r="E1736" s="100">
        <v>45796</v>
      </c>
      <c r="F1736" s="100">
        <f t="shared" ref="F1736:F1799" si="125">IF(D1736=D1737,E1737,"")</f>
        <v>45847</v>
      </c>
      <c r="G1736" s="101">
        <f t="shared" ref="G1736:G1799" si="126">IF(F1736="","",F1736-E1736)</f>
        <v>51</v>
      </c>
      <c r="H1736" s="102">
        <f t="shared" si="124"/>
        <v>0</v>
      </c>
    </row>
    <row r="1737" spans="4:8" x14ac:dyDescent="0.3">
      <c r="D1737" s="99" t="s">
        <v>2753</v>
      </c>
      <c r="E1737" s="100">
        <v>45847</v>
      </c>
      <c r="F1737" s="100">
        <f t="shared" si="125"/>
        <v>45852</v>
      </c>
      <c r="G1737" s="101">
        <f t="shared" si="126"/>
        <v>5</v>
      </c>
      <c r="H1737" s="102">
        <f t="shared" si="124"/>
        <v>1</v>
      </c>
    </row>
    <row r="1738" spans="4:8" x14ac:dyDescent="0.3">
      <c r="D1738" s="99" t="s">
        <v>2753</v>
      </c>
      <c r="E1738" s="100">
        <v>45852</v>
      </c>
      <c r="F1738" s="100">
        <f t="shared" si="125"/>
        <v>45895</v>
      </c>
      <c r="G1738" s="101">
        <f t="shared" si="126"/>
        <v>43</v>
      </c>
      <c r="H1738" s="102">
        <f t="shared" si="124"/>
        <v>0</v>
      </c>
    </row>
    <row r="1739" spans="4:8" x14ac:dyDescent="0.3">
      <c r="D1739" s="99" t="s">
        <v>2753</v>
      </c>
      <c r="E1739" s="100">
        <v>45895</v>
      </c>
      <c r="F1739" s="100">
        <f t="shared" si="125"/>
        <v>45961</v>
      </c>
      <c r="G1739" s="101">
        <f t="shared" si="126"/>
        <v>66</v>
      </c>
      <c r="H1739" s="102">
        <f t="shared" si="124"/>
        <v>0</v>
      </c>
    </row>
    <row r="1740" spans="4:8" x14ac:dyDescent="0.3">
      <c r="D1740" s="99" t="s">
        <v>2753</v>
      </c>
      <c r="E1740" s="100">
        <v>45961</v>
      </c>
      <c r="F1740" s="100">
        <f t="shared" si="125"/>
        <v>45978</v>
      </c>
      <c r="G1740" s="101">
        <f t="shared" si="126"/>
        <v>17</v>
      </c>
      <c r="H1740" s="102">
        <f t="shared" si="124"/>
        <v>1</v>
      </c>
    </row>
    <row r="1741" spans="4:8" x14ac:dyDescent="0.3">
      <c r="D1741" s="99" t="s">
        <v>2753</v>
      </c>
      <c r="E1741" s="100">
        <v>45978</v>
      </c>
      <c r="F1741" s="100" t="str">
        <f t="shared" si="125"/>
        <v/>
      </c>
      <c r="G1741" s="101" t="str">
        <f t="shared" si="126"/>
        <v/>
      </c>
      <c r="H1741" s="102" t="str">
        <f t="shared" si="124"/>
        <v/>
      </c>
    </row>
    <row r="1742" spans="4:8" x14ac:dyDescent="0.3">
      <c r="D1742" s="99" t="s">
        <v>2754</v>
      </c>
      <c r="E1742" s="100">
        <v>45664</v>
      </c>
      <c r="F1742" s="100">
        <f t="shared" si="125"/>
        <v>45905</v>
      </c>
      <c r="G1742" s="101">
        <f t="shared" si="126"/>
        <v>241</v>
      </c>
      <c r="H1742" s="102">
        <f t="shared" si="124"/>
        <v>0</v>
      </c>
    </row>
    <row r="1743" spans="4:8" x14ac:dyDescent="0.3">
      <c r="D1743" s="99" t="s">
        <v>2754</v>
      </c>
      <c r="E1743" s="100">
        <v>45905</v>
      </c>
      <c r="F1743" s="100">
        <f t="shared" si="125"/>
        <v>45945</v>
      </c>
      <c r="G1743" s="101">
        <f t="shared" si="126"/>
        <v>40</v>
      </c>
      <c r="H1743" s="102">
        <f t="shared" si="124"/>
        <v>0</v>
      </c>
    </row>
    <row r="1744" spans="4:8" x14ac:dyDescent="0.3">
      <c r="D1744" s="99" t="s">
        <v>2754</v>
      </c>
      <c r="E1744" s="100">
        <v>45945</v>
      </c>
      <c r="F1744" s="100">
        <f t="shared" si="125"/>
        <v>45986</v>
      </c>
      <c r="G1744" s="101">
        <f t="shared" si="126"/>
        <v>41</v>
      </c>
      <c r="H1744" s="102">
        <f t="shared" si="124"/>
        <v>0</v>
      </c>
    </row>
    <row r="1745" spans="4:8" x14ac:dyDescent="0.3">
      <c r="D1745" s="99" t="s">
        <v>2754</v>
      </c>
      <c r="E1745" s="100">
        <v>45986</v>
      </c>
      <c r="F1745" s="100">
        <f t="shared" si="125"/>
        <v>45999</v>
      </c>
      <c r="G1745" s="101">
        <f t="shared" si="126"/>
        <v>13</v>
      </c>
      <c r="H1745" s="102">
        <f t="shared" si="124"/>
        <v>1</v>
      </c>
    </row>
    <row r="1746" spans="4:8" x14ac:dyDescent="0.3">
      <c r="D1746" s="99" t="s">
        <v>2754</v>
      </c>
      <c r="E1746" s="100">
        <v>45999</v>
      </c>
      <c r="F1746" s="100" t="str">
        <f t="shared" si="125"/>
        <v/>
      </c>
      <c r="G1746" s="101" t="str">
        <f t="shared" si="126"/>
        <v/>
      </c>
      <c r="H1746" s="102" t="str">
        <f t="shared" si="124"/>
        <v/>
      </c>
    </row>
    <row r="1747" spans="4:8" x14ac:dyDescent="0.3">
      <c r="D1747" s="99" t="s">
        <v>2755</v>
      </c>
      <c r="E1747" s="100">
        <v>45716</v>
      </c>
      <c r="F1747" s="100">
        <f t="shared" si="125"/>
        <v>45874</v>
      </c>
      <c r="G1747" s="101">
        <f t="shared" si="126"/>
        <v>158</v>
      </c>
      <c r="H1747" s="102">
        <f t="shared" si="124"/>
        <v>0</v>
      </c>
    </row>
    <row r="1748" spans="4:8" x14ac:dyDescent="0.3">
      <c r="D1748" s="99" t="s">
        <v>2755</v>
      </c>
      <c r="E1748" s="100">
        <v>45874</v>
      </c>
      <c r="F1748" s="100" t="str">
        <f t="shared" si="125"/>
        <v/>
      </c>
      <c r="G1748" s="101" t="str">
        <f t="shared" si="126"/>
        <v/>
      </c>
      <c r="H1748" s="102" t="str">
        <f t="shared" si="124"/>
        <v/>
      </c>
    </row>
    <row r="1749" spans="4:8" x14ac:dyDescent="0.3">
      <c r="D1749" s="99" t="s">
        <v>2756</v>
      </c>
      <c r="E1749" s="100">
        <v>45722</v>
      </c>
      <c r="F1749" s="100">
        <f t="shared" si="125"/>
        <v>45792</v>
      </c>
      <c r="G1749" s="101">
        <f t="shared" si="126"/>
        <v>70</v>
      </c>
      <c r="H1749" s="102">
        <f t="shared" si="124"/>
        <v>0</v>
      </c>
    </row>
    <row r="1750" spans="4:8" x14ac:dyDescent="0.3">
      <c r="D1750" s="99" t="s">
        <v>2756</v>
      </c>
      <c r="E1750" s="100">
        <v>45792</v>
      </c>
      <c r="F1750" s="100">
        <f t="shared" si="125"/>
        <v>46015</v>
      </c>
      <c r="G1750" s="101">
        <f t="shared" si="126"/>
        <v>223</v>
      </c>
      <c r="H1750" s="102">
        <f t="shared" si="124"/>
        <v>0</v>
      </c>
    </row>
    <row r="1751" spans="4:8" x14ac:dyDescent="0.3">
      <c r="D1751" s="99" t="s">
        <v>2756</v>
      </c>
      <c r="E1751" s="100">
        <v>46015</v>
      </c>
      <c r="F1751" s="100" t="str">
        <f t="shared" si="125"/>
        <v/>
      </c>
      <c r="G1751" s="101" t="str">
        <f t="shared" si="126"/>
        <v/>
      </c>
      <c r="H1751" s="102" t="str">
        <f t="shared" si="124"/>
        <v/>
      </c>
    </row>
    <row r="1752" spans="4:8" x14ac:dyDescent="0.3">
      <c r="D1752" s="99" t="s">
        <v>2757</v>
      </c>
      <c r="E1752" s="100">
        <v>45729</v>
      </c>
      <c r="F1752" s="100">
        <f t="shared" si="125"/>
        <v>45748</v>
      </c>
      <c r="G1752" s="101">
        <f t="shared" si="126"/>
        <v>19</v>
      </c>
      <c r="H1752" s="102">
        <f t="shared" si="124"/>
        <v>1</v>
      </c>
    </row>
    <row r="1753" spans="4:8" x14ac:dyDescent="0.3">
      <c r="D1753" s="99" t="s">
        <v>2757</v>
      </c>
      <c r="E1753" s="100">
        <v>45748</v>
      </c>
      <c r="F1753" s="100">
        <f t="shared" si="125"/>
        <v>45849</v>
      </c>
      <c r="G1753" s="101">
        <f t="shared" si="126"/>
        <v>101</v>
      </c>
      <c r="H1753" s="102">
        <f t="shared" si="124"/>
        <v>0</v>
      </c>
    </row>
    <row r="1754" spans="4:8" x14ac:dyDescent="0.3">
      <c r="D1754" s="99" t="s">
        <v>2757</v>
      </c>
      <c r="E1754" s="100">
        <v>45849</v>
      </c>
      <c r="F1754" s="100">
        <f t="shared" si="125"/>
        <v>45960</v>
      </c>
      <c r="G1754" s="101">
        <f t="shared" si="126"/>
        <v>111</v>
      </c>
      <c r="H1754" s="102">
        <f t="shared" si="124"/>
        <v>0</v>
      </c>
    </row>
    <row r="1755" spans="4:8" x14ac:dyDescent="0.3">
      <c r="D1755" s="99" t="s">
        <v>2757</v>
      </c>
      <c r="E1755" s="100">
        <v>45960</v>
      </c>
      <c r="F1755" s="100" t="str">
        <f t="shared" si="125"/>
        <v/>
      </c>
      <c r="G1755" s="101" t="str">
        <f t="shared" si="126"/>
        <v/>
      </c>
      <c r="H1755" s="102" t="str">
        <f t="shared" si="124"/>
        <v/>
      </c>
    </row>
    <row r="1756" spans="4:8" x14ac:dyDescent="0.3">
      <c r="D1756" s="99" t="s">
        <v>2758</v>
      </c>
      <c r="E1756" s="100">
        <v>45849</v>
      </c>
      <c r="F1756" s="100" t="str">
        <f t="shared" si="125"/>
        <v/>
      </c>
      <c r="G1756" s="101" t="str">
        <f t="shared" si="126"/>
        <v/>
      </c>
      <c r="H1756" s="102" t="str">
        <f t="shared" si="124"/>
        <v/>
      </c>
    </row>
    <row r="1757" spans="4:8" x14ac:dyDescent="0.3">
      <c r="D1757" s="99" t="s">
        <v>2759</v>
      </c>
      <c r="E1757" s="100">
        <v>45743</v>
      </c>
      <c r="F1757" s="100">
        <f t="shared" si="125"/>
        <v>45754</v>
      </c>
      <c r="G1757" s="101">
        <f t="shared" si="126"/>
        <v>11</v>
      </c>
      <c r="H1757" s="102">
        <f t="shared" si="124"/>
        <v>1</v>
      </c>
    </row>
    <row r="1758" spans="4:8" x14ac:dyDescent="0.3">
      <c r="D1758" s="99" t="s">
        <v>2759</v>
      </c>
      <c r="E1758" s="100">
        <v>45754</v>
      </c>
      <c r="F1758" s="100" t="str">
        <f t="shared" si="125"/>
        <v/>
      </c>
      <c r="G1758" s="101" t="str">
        <f t="shared" si="126"/>
        <v/>
      </c>
      <c r="H1758" s="102" t="str">
        <f t="shared" si="124"/>
        <v/>
      </c>
    </row>
    <row r="1759" spans="4:8" x14ac:dyDescent="0.3">
      <c r="D1759" s="99" t="s">
        <v>2760</v>
      </c>
      <c r="E1759" s="100">
        <v>45741</v>
      </c>
      <c r="F1759" s="100">
        <f t="shared" si="125"/>
        <v>45777</v>
      </c>
      <c r="G1759" s="101">
        <f t="shared" si="126"/>
        <v>36</v>
      </c>
      <c r="H1759" s="102">
        <f t="shared" si="124"/>
        <v>0</v>
      </c>
    </row>
    <row r="1760" spans="4:8" x14ac:dyDescent="0.3">
      <c r="D1760" s="99" t="s">
        <v>2760</v>
      </c>
      <c r="E1760" s="100">
        <v>45777</v>
      </c>
      <c r="F1760" s="100">
        <f t="shared" si="125"/>
        <v>45912</v>
      </c>
      <c r="G1760" s="101">
        <f t="shared" si="126"/>
        <v>135</v>
      </c>
      <c r="H1760" s="102">
        <f t="shared" si="124"/>
        <v>0</v>
      </c>
    </row>
    <row r="1761" spans="4:8" x14ac:dyDescent="0.3">
      <c r="D1761" s="99" t="s">
        <v>2760</v>
      </c>
      <c r="E1761" s="100">
        <v>45912</v>
      </c>
      <c r="F1761" s="100" t="str">
        <f t="shared" si="125"/>
        <v/>
      </c>
      <c r="G1761" s="101" t="str">
        <f t="shared" si="126"/>
        <v/>
      </c>
      <c r="H1761" s="102" t="str">
        <f t="shared" si="124"/>
        <v/>
      </c>
    </row>
    <row r="1762" spans="4:8" x14ac:dyDescent="0.3">
      <c r="D1762" s="99" t="s">
        <v>2761</v>
      </c>
      <c r="E1762" s="100">
        <v>45687</v>
      </c>
      <c r="F1762" s="100">
        <f t="shared" si="125"/>
        <v>45912</v>
      </c>
      <c r="G1762" s="101">
        <f t="shared" si="126"/>
        <v>225</v>
      </c>
      <c r="H1762" s="102">
        <f t="shared" si="124"/>
        <v>0</v>
      </c>
    </row>
    <row r="1763" spans="4:8" x14ac:dyDescent="0.3">
      <c r="D1763" s="99" t="s">
        <v>2761</v>
      </c>
      <c r="E1763" s="100">
        <v>45912</v>
      </c>
      <c r="F1763" s="100">
        <f t="shared" si="125"/>
        <v>46016</v>
      </c>
      <c r="G1763" s="101">
        <f t="shared" si="126"/>
        <v>104</v>
      </c>
      <c r="H1763" s="102">
        <f t="shared" si="124"/>
        <v>0</v>
      </c>
    </row>
    <row r="1764" spans="4:8" x14ac:dyDescent="0.3">
      <c r="D1764" s="99" t="s">
        <v>2761</v>
      </c>
      <c r="E1764" s="100">
        <v>46016</v>
      </c>
      <c r="F1764" s="100" t="str">
        <f t="shared" si="125"/>
        <v/>
      </c>
      <c r="G1764" s="101" t="str">
        <f t="shared" si="126"/>
        <v/>
      </c>
      <c r="H1764" s="102" t="str">
        <f t="shared" si="124"/>
        <v/>
      </c>
    </row>
    <row r="1765" spans="4:8" x14ac:dyDescent="0.3">
      <c r="D1765" s="99" t="s">
        <v>2762</v>
      </c>
      <c r="E1765" s="100">
        <v>45715</v>
      </c>
      <c r="F1765" s="100">
        <f t="shared" si="125"/>
        <v>45861</v>
      </c>
      <c r="G1765" s="101">
        <f t="shared" si="126"/>
        <v>146</v>
      </c>
      <c r="H1765" s="102">
        <f t="shared" si="124"/>
        <v>0</v>
      </c>
    </row>
    <row r="1766" spans="4:8" x14ac:dyDescent="0.3">
      <c r="D1766" s="99" t="s">
        <v>2762</v>
      </c>
      <c r="E1766" s="100">
        <v>45861</v>
      </c>
      <c r="F1766" s="100">
        <f t="shared" si="125"/>
        <v>45961</v>
      </c>
      <c r="G1766" s="101">
        <f t="shared" si="126"/>
        <v>100</v>
      </c>
      <c r="H1766" s="102">
        <f t="shared" si="124"/>
        <v>0</v>
      </c>
    </row>
    <row r="1767" spans="4:8" x14ac:dyDescent="0.3">
      <c r="D1767" s="99" t="s">
        <v>2762</v>
      </c>
      <c r="E1767" s="100">
        <v>45961</v>
      </c>
      <c r="F1767" s="100" t="str">
        <f t="shared" si="125"/>
        <v/>
      </c>
      <c r="G1767" s="101" t="str">
        <f t="shared" si="126"/>
        <v/>
      </c>
      <c r="H1767" s="102" t="str">
        <f t="shared" si="124"/>
        <v/>
      </c>
    </row>
    <row r="1768" spans="4:8" x14ac:dyDescent="0.3">
      <c r="D1768" s="99" t="s">
        <v>2763</v>
      </c>
      <c r="E1768" s="100">
        <v>45750</v>
      </c>
      <c r="F1768" s="100">
        <f t="shared" si="125"/>
        <v>45908</v>
      </c>
      <c r="G1768" s="101">
        <f t="shared" si="126"/>
        <v>158</v>
      </c>
      <c r="H1768" s="102">
        <f t="shared" si="124"/>
        <v>0</v>
      </c>
    </row>
    <row r="1769" spans="4:8" x14ac:dyDescent="0.3">
      <c r="D1769" s="99" t="s">
        <v>2763</v>
      </c>
      <c r="E1769" s="100">
        <v>45908</v>
      </c>
      <c r="F1769" s="100">
        <f t="shared" si="125"/>
        <v>45911</v>
      </c>
      <c r="G1769" s="101">
        <f t="shared" si="126"/>
        <v>3</v>
      </c>
      <c r="H1769" s="102">
        <f t="shared" si="124"/>
        <v>1</v>
      </c>
    </row>
    <row r="1770" spans="4:8" x14ac:dyDescent="0.3">
      <c r="D1770" s="99" t="s">
        <v>2763</v>
      </c>
      <c r="E1770" s="100">
        <v>45911</v>
      </c>
      <c r="F1770" s="100">
        <f t="shared" si="125"/>
        <v>45940</v>
      </c>
      <c r="G1770" s="101">
        <f t="shared" si="126"/>
        <v>29</v>
      </c>
      <c r="H1770" s="102">
        <f t="shared" si="124"/>
        <v>1</v>
      </c>
    </row>
    <row r="1771" spans="4:8" x14ac:dyDescent="0.3">
      <c r="D1771" s="99" t="s">
        <v>2763</v>
      </c>
      <c r="E1771" s="100">
        <v>45940</v>
      </c>
      <c r="F1771" s="100">
        <f t="shared" si="125"/>
        <v>45982</v>
      </c>
      <c r="G1771" s="101">
        <f t="shared" si="126"/>
        <v>42</v>
      </c>
      <c r="H1771" s="102">
        <f t="shared" si="124"/>
        <v>0</v>
      </c>
    </row>
    <row r="1772" spans="4:8" x14ac:dyDescent="0.3">
      <c r="D1772" s="99" t="s">
        <v>2763</v>
      </c>
      <c r="E1772" s="100">
        <v>45982</v>
      </c>
      <c r="F1772" s="100" t="str">
        <f t="shared" si="125"/>
        <v/>
      </c>
      <c r="G1772" s="101" t="str">
        <f t="shared" si="126"/>
        <v/>
      </c>
      <c r="H1772" s="102" t="str">
        <f t="shared" si="124"/>
        <v/>
      </c>
    </row>
    <row r="1773" spans="4:8" x14ac:dyDescent="0.3">
      <c r="D1773" s="99" t="s">
        <v>2764</v>
      </c>
      <c r="E1773" s="100">
        <v>45952</v>
      </c>
      <c r="F1773" s="100" t="str">
        <f t="shared" si="125"/>
        <v/>
      </c>
      <c r="G1773" s="101" t="str">
        <f t="shared" si="126"/>
        <v/>
      </c>
      <c r="H1773" s="102" t="str">
        <f t="shared" si="124"/>
        <v/>
      </c>
    </row>
    <row r="1774" spans="4:8" x14ac:dyDescent="0.3">
      <c r="D1774" s="99" t="s">
        <v>2765</v>
      </c>
      <c r="E1774" s="100">
        <v>45693</v>
      </c>
      <c r="F1774" s="100">
        <f t="shared" si="125"/>
        <v>45905</v>
      </c>
      <c r="G1774" s="101">
        <f t="shared" si="126"/>
        <v>212</v>
      </c>
      <c r="H1774" s="102">
        <f t="shared" si="124"/>
        <v>0</v>
      </c>
    </row>
    <row r="1775" spans="4:8" x14ac:dyDescent="0.3">
      <c r="D1775" s="99" t="s">
        <v>2765</v>
      </c>
      <c r="E1775" s="100">
        <v>45905</v>
      </c>
      <c r="F1775" s="100" t="str">
        <f t="shared" si="125"/>
        <v/>
      </c>
      <c r="G1775" s="101" t="str">
        <f t="shared" si="126"/>
        <v/>
      </c>
      <c r="H1775" s="102" t="str">
        <f t="shared" si="124"/>
        <v/>
      </c>
    </row>
    <row r="1776" spans="4:8" x14ac:dyDescent="0.3">
      <c r="D1776" s="99" t="s">
        <v>2766</v>
      </c>
      <c r="E1776" s="100">
        <v>45659</v>
      </c>
      <c r="F1776" s="100" t="str">
        <f t="shared" si="125"/>
        <v/>
      </c>
      <c r="G1776" s="101" t="str">
        <f t="shared" si="126"/>
        <v/>
      </c>
      <c r="H1776" s="102" t="str">
        <f t="shared" si="124"/>
        <v/>
      </c>
    </row>
    <row r="1777" spans="4:8" x14ac:dyDescent="0.3">
      <c r="D1777" s="99" t="s">
        <v>2767</v>
      </c>
      <c r="E1777" s="100">
        <v>45694</v>
      </c>
      <c r="F1777" s="100">
        <f t="shared" si="125"/>
        <v>45950</v>
      </c>
      <c r="G1777" s="101">
        <f t="shared" si="126"/>
        <v>256</v>
      </c>
      <c r="H1777" s="102">
        <f t="shared" si="124"/>
        <v>0</v>
      </c>
    </row>
    <row r="1778" spans="4:8" x14ac:dyDescent="0.3">
      <c r="D1778" s="99" t="s">
        <v>2767</v>
      </c>
      <c r="E1778" s="100">
        <v>45950</v>
      </c>
      <c r="F1778" s="100" t="str">
        <f t="shared" si="125"/>
        <v/>
      </c>
      <c r="G1778" s="101" t="str">
        <f t="shared" si="126"/>
        <v/>
      </c>
      <c r="H1778" s="102" t="str">
        <f t="shared" si="124"/>
        <v/>
      </c>
    </row>
    <row r="1779" spans="4:8" x14ac:dyDescent="0.3">
      <c r="D1779" s="99" t="s">
        <v>2768</v>
      </c>
      <c r="E1779" s="100">
        <v>45720</v>
      </c>
      <c r="F1779" s="100">
        <f t="shared" si="125"/>
        <v>45789</v>
      </c>
      <c r="G1779" s="101">
        <f t="shared" si="126"/>
        <v>69</v>
      </c>
      <c r="H1779" s="102">
        <f t="shared" si="124"/>
        <v>0</v>
      </c>
    </row>
    <row r="1780" spans="4:8" x14ac:dyDescent="0.3">
      <c r="D1780" s="99" t="s">
        <v>2768</v>
      </c>
      <c r="E1780" s="100">
        <v>45789</v>
      </c>
      <c r="F1780" s="100" t="str">
        <f t="shared" si="125"/>
        <v/>
      </c>
      <c r="G1780" s="101" t="str">
        <f t="shared" si="126"/>
        <v/>
      </c>
      <c r="H1780" s="102" t="str">
        <f t="shared" si="124"/>
        <v/>
      </c>
    </row>
    <row r="1781" spans="4:8" x14ac:dyDescent="0.3">
      <c r="D1781" s="99" t="s">
        <v>2769</v>
      </c>
      <c r="E1781" s="100">
        <v>45978</v>
      </c>
      <c r="F1781" s="100" t="str">
        <f t="shared" si="125"/>
        <v/>
      </c>
      <c r="G1781" s="101" t="str">
        <f t="shared" si="126"/>
        <v/>
      </c>
      <c r="H1781" s="102" t="str">
        <f t="shared" si="124"/>
        <v/>
      </c>
    </row>
    <row r="1782" spans="4:8" x14ac:dyDescent="0.3">
      <c r="D1782" s="99" t="s">
        <v>2770</v>
      </c>
      <c r="E1782" s="100">
        <v>45730</v>
      </c>
      <c r="F1782" s="100">
        <f t="shared" si="125"/>
        <v>45831</v>
      </c>
      <c r="G1782" s="101">
        <f t="shared" si="126"/>
        <v>101</v>
      </c>
      <c r="H1782" s="102">
        <f t="shared" si="124"/>
        <v>0</v>
      </c>
    </row>
    <row r="1783" spans="4:8" x14ac:dyDescent="0.3">
      <c r="D1783" s="99" t="s">
        <v>2770</v>
      </c>
      <c r="E1783" s="100">
        <v>45831</v>
      </c>
      <c r="F1783" s="100" t="str">
        <f t="shared" si="125"/>
        <v/>
      </c>
      <c r="G1783" s="101" t="str">
        <f t="shared" si="126"/>
        <v/>
      </c>
      <c r="H1783" s="102" t="str">
        <f t="shared" si="124"/>
        <v/>
      </c>
    </row>
    <row r="1784" spans="4:8" x14ac:dyDescent="0.3">
      <c r="D1784" s="99" t="s">
        <v>2771</v>
      </c>
      <c r="E1784" s="100">
        <v>45768</v>
      </c>
      <c r="F1784" s="100" t="str">
        <f t="shared" si="125"/>
        <v/>
      </c>
      <c r="G1784" s="101" t="str">
        <f t="shared" si="126"/>
        <v/>
      </c>
      <c r="H1784" s="102" t="str">
        <f t="shared" si="124"/>
        <v/>
      </c>
    </row>
    <row r="1785" spans="4:8" x14ac:dyDescent="0.3">
      <c r="D1785" s="99" t="s">
        <v>2772</v>
      </c>
      <c r="E1785" s="100">
        <v>45712</v>
      </c>
      <c r="F1785" s="100">
        <f t="shared" si="125"/>
        <v>45882</v>
      </c>
      <c r="G1785" s="101">
        <f t="shared" si="126"/>
        <v>170</v>
      </c>
      <c r="H1785" s="102">
        <f t="shared" si="124"/>
        <v>0</v>
      </c>
    </row>
    <row r="1786" spans="4:8" x14ac:dyDescent="0.3">
      <c r="D1786" s="99" t="s">
        <v>2772</v>
      </c>
      <c r="E1786" s="100">
        <v>45882</v>
      </c>
      <c r="F1786" s="100">
        <f t="shared" si="125"/>
        <v>45931</v>
      </c>
      <c r="G1786" s="101">
        <f t="shared" si="126"/>
        <v>49</v>
      </c>
      <c r="H1786" s="102">
        <f t="shared" si="124"/>
        <v>0</v>
      </c>
    </row>
    <row r="1787" spans="4:8" x14ac:dyDescent="0.3">
      <c r="D1787" s="99" t="s">
        <v>2772</v>
      </c>
      <c r="E1787" s="100">
        <v>45931</v>
      </c>
      <c r="F1787" s="100">
        <f t="shared" si="125"/>
        <v>46022</v>
      </c>
      <c r="G1787" s="101">
        <f t="shared" si="126"/>
        <v>91</v>
      </c>
      <c r="H1787" s="102">
        <f t="shared" si="124"/>
        <v>0</v>
      </c>
    </row>
    <row r="1788" spans="4:8" x14ac:dyDescent="0.3">
      <c r="D1788" s="99" t="s">
        <v>2772</v>
      </c>
      <c r="E1788" s="100">
        <v>46022</v>
      </c>
      <c r="F1788" s="100" t="str">
        <f t="shared" si="125"/>
        <v/>
      </c>
      <c r="G1788" s="101" t="str">
        <f t="shared" si="126"/>
        <v/>
      </c>
      <c r="H1788" s="102" t="str">
        <f t="shared" si="124"/>
        <v/>
      </c>
    </row>
    <row r="1789" spans="4:8" x14ac:dyDescent="0.3">
      <c r="D1789" s="99" t="s">
        <v>2773</v>
      </c>
      <c r="E1789" s="100">
        <v>45664</v>
      </c>
      <c r="F1789" s="100">
        <f t="shared" si="125"/>
        <v>45679</v>
      </c>
      <c r="G1789" s="101">
        <f t="shared" si="126"/>
        <v>15</v>
      </c>
      <c r="H1789" s="102">
        <f t="shared" si="124"/>
        <v>1</v>
      </c>
    </row>
    <row r="1790" spans="4:8" x14ac:dyDescent="0.3">
      <c r="D1790" s="99" t="s">
        <v>2773</v>
      </c>
      <c r="E1790" s="100">
        <v>45679</v>
      </c>
      <c r="F1790" s="100">
        <f t="shared" si="125"/>
        <v>45807</v>
      </c>
      <c r="G1790" s="101">
        <f t="shared" si="126"/>
        <v>128</v>
      </c>
      <c r="H1790" s="102">
        <f t="shared" si="124"/>
        <v>0</v>
      </c>
    </row>
    <row r="1791" spans="4:8" x14ac:dyDescent="0.3">
      <c r="D1791" s="99" t="s">
        <v>2773</v>
      </c>
      <c r="E1791" s="100">
        <v>45807</v>
      </c>
      <c r="F1791" s="100">
        <f t="shared" si="125"/>
        <v>45840</v>
      </c>
      <c r="G1791" s="101">
        <f t="shared" si="126"/>
        <v>33</v>
      </c>
      <c r="H1791" s="102">
        <f t="shared" si="124"/>
        <v>0</v>
      </c>
    </row>
    <row r="1792" spans="4:8" x14ac:dyDescent="0.3">
      <c r="D1792" s="99" t="s">
        <v>2773</v>
      </c>
      <c r="E1792" s="100">
        <v>45840</v>
      </c>
      <c r="F1792" s="100" t="str">
        <f t="shared" si="125"/>
        <v/>
      </c>
      <c r="G1792" s="101" t="str">
        <f t="shared" si="126"/>
        <v/>
      </c>
      <c r="H1792" s="102" t="str">
        <f t="shared" si="124"/>
        <v/>
      </c>
    </row>
    <row r="1793" spans="4:8" x14ac:dyDescent="0.3">
      <c r="D1793" s="99" t="s">
        <v>2774</v>
      </c>
      <c r="E1793" s="100">
        <v>45663</v>
      </c>
      <c r="F1793" s="100">
        <f t="shared" si="125"/>
        <v>45685</v>
      </c>
      <c r="G1793" s="101">
        <f t="shared" si="126"/>
        <v>22</v>
      </c>
      <c r="H1793" s="102">
        <f t="shared" si="124"/>
        <v>1</v>
      </c>
    </row>
    <row r="1794" spans="4:8" x14ac:dyDescent="0.3">
      <c r="D1794" s="99" t="s">
        <v>2774</v>
      </c>
      <c r="E1794" s="100">
        <v>45685</v>
      </c>
      <c r="F1794" s="100">
        <f t="shared" si="125"/>
        <v>45833</v>
      </c>
      <c r="G1794" s="101">
        <f t="shared" si="126"/>
        <v>148</v>
      </c>
      <c r="H1794" s="102">
        <f t="shared" si="124"/>
        <v>0</v>
      </c>
    </row>
    <row r="1795" spans="4:8" x14ac:dyDescent="0.3">
      <c r="D1795" s="99" t="s">
        <v>2774</v>
      </c>
      <c r="E1795" s="100">
        <v>45833</v>
      </c>
      <c r="F1795" s="100">
        <f t="shared" si="125"/>
        <v>45994</v>
      </c>
      <c r="G1795" s="101">
        <f t="shared" si="126"/>
        <v>161</v>
      </c>
      <c r="H1795" s="102">
        <f t="shared" si="124"/>
        <v>0</v>
      </c>
    </row>
    <row r="1796" spans="4:8" x14ac:dyDescent="0.3">
      <c r="D1796" s="99" t="s">
        <v>2774</v>
      </c>
      <c r="E1796" s="100">
        <v>45994</v>
      </c>
      <c r="F1796" s="100" t="str">
        <f t="shared" si="125"/>
        <v/>
      </c>
      <c r="G1796" s="101" t="str">
        <f t="shared" si="126"/>
        <v/>
      </c>
      <c r="H1796" s="102" t="str">
        <f t="shared" si="124"/>
        <v/>
      </c>
    </row>
    <row r="1797" spans="4:8" x14ac:dyDescent="0.3">
      <c r="D1797" s="99" t="s">
        <v>2775</v>
      </c>
      <c r="E1797" s="100">
        <v>45952</v>
      </c>
      <c r="F1797" s="100" t="str">
        <f t="shared" si="125"/>
        <v/>
      </c>
      <c r="G1797" s="101" t="str">
        <f t="shared" si="126"/>
        <v/>
      </c>
      <c r="H1797" s="102" t="str">
        <f t="shared" si="124"/>
        <v/>
      </c>
    </row>
    <row r="1798" spans="4:8" x14ac:dyDescent="0.3">
      <c r="D1798" s="99" t="s">
        <v>2776</v>
      </c>
      <c r="E1798" s="100">
        <v>45756</v>
      </c>
      <c r="F1798" s="100">
        <f t="shared" si="125"/>
        <v>45831</v>
      </c>
      <c r="G1798" s="101">
        <f t="shared" si="126"/>
        <v>75</v>
      </c>
      <c r="H1798" s="102">
        <f t="shared" si="124"/>
        <v>0</v>
      </c>
    </row>
    <row r="1799" spans="4:8" x14ac:dyDescent="0.3">
      <c r="D1799" s="99" t="s">
        <v>2776</v>
      </c>
      <c r="E1799" s="100">
        <v>45831</v>
      </c>
      <c r="F1799" s="100">
        <f t="shared" si="125"/>
        <v>46007</v>
      </c>
      <c r="G1799" s="101">
        <f t="shared" si="126"/>
        <v>176</v>
      </c>
      <c r="H1799" s="102">
        <f t="shared" ref="H1799:H1862" si="127">IF(G1799="","",IF(G1799&lt;=return_window,1,0))</f>
        <v>0</v>
      </c>
    </row>
    <row r="1800" spans="4:8" x14ac:dyDescent="0.3">
      <c r="D1800" s="99" t="s">
        <v>2776</v>
      </c>
      <c r="E1800" s="100">
        <v>46007</v>
      </c>
      <c r="F1800" s="100" t="str">
        <f t="shared" ref="F1800:F1863" si="128">IF(D1800=D1801,E1801,"")</f>
        <v/>
      </c>
      <c r="G1800" s="101" t="str">
        <f t="shared" ref="G1800:G1863" si="129">IF(F1800="","",F1800-E1800)</f>
        <v/>
      </c>
      <c r="H1800" s="102" t="str">
        <f t="shared" si="127"/>
        <v/>
      </c>
    </row>
    <row r="1801" spans="4:8" x14ac:dyDescent="0.3">
      <c r="D1801" s="99" t="s">
        <v>2777</v>
      </c>
      <c r="E1801" s="100">
        <v>45796</v>
      </c>
      <c r="F1801" s="100">
        <f t="shared" si="128"/>
        <v>45824</v>
      </c>
      <c r="G1801" s="101">
        <f t="shared" si="129"/>
        <v>28</v>
      </c>
      <c r="H1801" s="102">
        <f t="shared" si="127"/>
        <v>1</v>
      </c>
    </row>
    <row r="1802" spans="4:8" x14ac:dyDescent="0.3">
      <c r="D1802" s="99" t="s">
        <v>2777</v>
      </c>
      <c r="E1802" s="100">
        <v>45824</v>
      </c>
      <c r="F1802" s="100">
        <f t="shared" si="128"/>
        <v>45922</v>
      </c>
      <c r="G1802" s="101">
        <f t="shared" si="129"/>
        <v>98</v>
      </c>
      <c r="H1802" s="102">
        <f t="shared" si="127"/>
        <v>0</v>
      </c>
    </row>
    <row r="1803" spans="4:8" x14ac:dyDescent="0.3">
      <c r="D1803" s="99" t="s">
        <v>2777</v>
      </c>
      <c r="E1803" s="100">
        <v>45922</v>
      </c>
      <c r="F1803" s="100">
        <f t="shared" si="128"/>
        <v>46007</v>
      </c>
      <c r="G1803" s="101">
        <f t="shared" si="129"/>
        <v>85</v>
      </c>
      <c r="H1803" s="102">
        <f t="shared" si="127"/>
        <v>0</v>
      </c>
    </row>
    <row r="1804" spans="4:8" x14ac:dyDescent="0.3">
      <c r="D1804" s="99" t="s">
        <v>2777</v>
      </c>
      <c r="E1804" s="100">
        <v>46007</v>
      </c>
      <c r="F1804" s="100" t="str">
        <f t="shared" si="128"/>
        <v/>
      </c>
      <c r="G1804" s="101" t="str">
        <f t="shared" si="129"/>
        <v/>
      </c>
      <c r="H1804" s="102" t="str">
        <f t="shared" si="127"/>
        <v/>
      </c>
    </row>
    <row r="1805" spans="4:8" x14ac:dyDescent="0.3">
      <c r="D1805" s="99" t="s">
        <v>2778</v>
      </c>
      <c r="E1805" s="100">
        <v>45863</v>
      </c>
      <c r="F1805" s="100" t="str">
        <f t="shared" si="128"/>
        <v/>
      </c>
      <c r="G1805" s="101" t="str">
        <f t="shared" si="129"/>
        <v/>
      </c>
      <c r="H1805" s="102" t="str">
        <f t="shared" si="127"/>
        <v/>
      </c>
    </row>
    <row r="1806" spans="4:8" x14ac:dyDescent="0.3">
      <c r="D1806" s="99" t="s">
        <v>2779</v>
      </c>
      <c r="E1806" s="100">
        <v>45730</v>
      </c>
      <c r="F1806" s="100">
        <f t="shared" si="128"/>
        <v>45747</v>
      </c>
      <c r="G1806" s="101">
        <f t="shared" si="129"/>
        <v>17</v>
      </c>
      <c r="H1806" s="102">
        <f t="shared" si="127"/>
        <v>1</v>
      </c>
    </row>
    <row r="1807" spans="4:8" x14ac:dyDescent="0.3">
      <c r="D1807" s="99" t="s">
        <v>2779</v>
      </c>
      <c r="E1807" s="100">
        <v>45747</v>
      </c>
      <c r="F1807" s="100">
        <f t="shared" si="128"/>
        <v>45754</v>
      </c>
      <c r="G1807" s="101">
        <f t="shared" si="129"/>
        <v>7</v>
      </c>
      <c r="H1807" s="102">
        <f t="shared" si="127"/>
        <v>1</v>
      </c>
    </row>
    <row r="1808" spans="4:8" x14ac:dyDescent="0.3">
      <c r="D1808" s="99" t="s">
        <v>2779</v>
      </c>
      <c r="E1808" s="100">
        <v>45754</v>
      </c>
      <c r="F1808" s="100">
        <f t="shared" si="128"/>
        <v>45807</v>
      </c>
      <c r="G1808" s="101">
        <f t="shared" si="129"/>
        <v>53</v>
      </c>
      <c r="H1808" s="102">
        <f t="shared" si="127"/>
        <v>0</v>
      </c>
    </row>
    <row r="1809" spans="4:8" x14ac:dyDescent="0.3">
      <c r="D1809" s="99" t="s">
        <v>2779</v>
      </c>
      <c r="E1809" s="100">
        <v>45807</v>
      </c>
      <c r="F1809" s="100">
        <f t="shared" si="128"/>
        <v>45817</v>
      </c>
      <c r="G1809" s="101">
        <f t="shared" si="129"/>
        <v>10</v>
      </c>
      <c r="H1809" s="102">
        <f t="shared" si="127"/>
        <v>1</v>
      </c>
    </row>
    <row r="1810" spans="4:8" x14ac:dyDescent="0.3">
      <c r="D1810" s="99" t="s">
        <v>2779</v>
      </c>
      <c r="E1810" s="100">
        <v>45817</v>
      </c>
      <c r="F1810" s="100">
        <f t="shared" si="128"/>
        <v>45817</v>
      </c>
      <c r="G1810" s="101">
        <f t="shared" si="129"/>
        <v>0</v>
      </c>
      <c r="H1810" s="102">
        <f t="shared" si="127"/>
        <v>1</v>
      </c>
    </row>
    <row r="1811" spans="4:8" x14ac:dyDescent="0.3">
      <c r="D1811" s="99" t="s">
        <v>2779</v>
      </c>
      <c r="E1811" s="100">
        <v>45817</v>
      </c>
      <c r="F1811" s="100">
        <f t="shared" si="128"/>
        <v>45965</v>
      </c>
      <c r="G1811" s="101">
        <f t="shared" si="129"/>
        <v>148</v>
      </c>
      <c r="H1811" s="102">
        <f t="shared" si="127"/>
        <v>0</v>
      </c>
    </row>
    <row r="1812" spans="4:8" x14ac:dyDescent="0.3">
      <c r="D1812" s="99" t="s">
        <v>2779</v>
      </c>
      <c r="E1812" s="100">
        <v>45965</v>
      </c>
      <c r="F1812" s="100">
        <f t="shared" si="128"/>
        <v>45982</v>
      </c>
      <c r="G1812" s="101">
        <f t="shared" si="129"/>
        <v>17</v>
      </c>
      <c r="H1812" s="102">
        <f t="shared" si="127"/>
        <v>1</v>
      </c>
    </row>
    <row r="1813" spans="4:8" x14ac:dyDescent="0.3">
      <c r="D1813" s="99" t="s">
        <v>2779</v>
      </c>
      <c r="E1813" s="100">
        <v>45982</v>
      </c>
      <c r="F1813" s="100">
        <f t="shared" si="128"/>
        <v>45987</v>
      </c>
      <c r="G1813" s="101">
        <f t="shared" si="129"/>
        <v>5</v>
      </c>
      <c r="H1813" s="102">
        <f t="shared" si="127"/>
        <v>1</v>
      </c>
    </row>
    <row r="1814" spans="4:8" x14ac:dyDescent="0.3">
      <c r="D1814" s="99" t="s">
        <v>2779</v>
      </c>
      <c r="E1814" s="100">
        <v>45987</v>
      </c>
      <c r="F1814" s="100">
        <f t="shared" si="128"/>
        <v>45992</v>
      </c>
      <c r="G1814" s="101">
        <f t="shared" si="129"/>
        <v>5</v>
      </c>
      <c r="H1814" s="102">
        <f t="shared" si="127"/>
        <v>1</v>
      </c>
    </row>
    <row r="1815" spans="4:8" x14ac:dyDescent="0.3">
      <c r="D1815" s="99" t="s">
        <v>2779</v>
      </c>
      <c r="E1815" s="100">
        <v>45992</v>
      </c>
      <c r="F1815" s="100" t="str">
        <f t="shared" si="128"/>
        <v/>
      </c>
      <c r="G1815" s="101" t="str">
        <f t="shared" si="129"/>
        <v/>
      </c>
      <c r="H1815" s="102" t="str">
        <f t="shared" si="127"/>
        <v/>
      </c>
    </row>
    <row r="1816" spans="4:8" x14ac:dyDescent="0.3">
      <c r="D1816" s="99" t="s">
        <v>2780</v>
      </c>
      <c r="E1816" s="100">
        <v>45677</v>
      </c>
      <c r="F1816" s="100">
        <f t="shared" si="128"/>
        <v>45728</v>
      </c>
      <c r="G1816" s="101">
        <f t="shared" si="129"/>
        <v>51</v>
      </c>
      <c r="H1816" s="102">
        <f t="shared" si="127"/>
        <v>0</v>
      </c>
    </row>
    <row r="1817" spans="4:8" x14ac:dyDescent="0.3">
      <c r="D1817" s="99" t="s">
        <v>2780</v>
      </c>
      <c r="E1817" s="100">
        <v>45728</v>
      </c>
      <c r="F1817" s="100">
        <f t="shared" si="128"/>
        <v>45740</v>
      </c>
      <c r="G1817" s="101">
        <f t="shared" si="129"/>
        <v>12</v>
      </c>
      <c r="H1817" s="102">
        <f t="shared" si="127"/>
        <v>1</v>
      </c>
    </row>
    <row r="1818" spans="4:8" x14ac:dyDescent="0.3">
      <c r="D1818" s="99" t="s">
        <v>2780</v>
      </c>
      <c r="E1818" s="100">
        <v>45740</v>
      </c>
      <c r="F1818" s="100">
        <f t="shared" si="128"/>
        <v>45756</v>
      </c>
      <c r="G1818" s="101">
        <f t="shared" si="129"/>
        <v>16</v>
      </c>
      <c r="H1818" s="102">
        <f t="shared" si="127"/>
        <v>1</v>
      </c>
    </row>
    <row r="1819" spans="4:8" x14ac:dyDescent="0.3">
      <c r="D1819" s="99" t="s">
        <v>2780</v>
      </c>
      <c r="E1819" s="100">
        <v>45756</v>
      </c>
      <c r="F1819" s="100">
        <f t="shared" si="128"/>
        <v>45834</v>
      </c>
      <c r="G1819" s="101">
        <f t="shared" si="129"/>
        <v>78</v>
      </c>
      <c r="H1819" s="102">
        <f t="shared" si="127"/>
        <v>0</v>
      </c>
    </row>
    <row r="1820" spans="4:8" x14ac:dyDescent="0.3">
      <c r="D1820" s="99" t="s">
        <v>2780</v>
      </c>
      <c r="E1820" s="100">
        <v>45834</v>
      </c>
      <c r="F1820" s="100">
        <f t="shared" si="128"/>
        <v>45835</v>
      </c>
      <c r="G1820" s="101">
        <f t="shared" si="129"/>
        <v>1</v>
      </c>
      <c r="H1820" s="102">
        <f t="shared" si="127"/>
        <v>1</v>
      </c>
    </row>
    <row r="1821" spans="4:8" x14ac:dyDescent="0.3">
      <c r="D1821" s="99" t="s">
        <v>2780</v>
      </c>
      <c r="E1821" s="100">
        <v>45835</v>
      </c>
      <c r="F1821" s="100">
        <f t="shared" si="128"/>
        <v>45945</v>
      </c>
      <c r="G1821" s="101">
        <f t="shared" si="129"/>
        <v>110</v>
      </c>
      <c r="H1821" s="102">
        <f t="shared" si="127"/>
        <v>0</v>
      </c>
    </row>
    <row r="1822" spans="4:8" x14ac:dyDescent="0.3">
      <c r="D1822" s="99" t="s">
        <v>2780</v>
      </c>
      <c r="E1822" s="100">
        <v>45945</v>
      </c>
      <c r="F1822" s="100">
        <f t="shared" si="128"/>
        <v>45982</v>
      </c>
      <c r="G1822" s="101">
        <f t="shared" si="129"/>
        <v>37</v>
      </c>
      <c r="H1822" s="102">
        <f t="shared" si="127"/>
        <v>0</v>
      </c>
    </row>
    <row r="1823" spans="4:8" x14ac:dyDescent="0.3">
      <c r="D1823" s="99" t="s">
        <v>2780</v>
      </c>
      <c r="E1823" s="100">
        <v>45982</v>
      </c>
      <c r="F1823" s="100" t="str">
        <f t="shared" si="128"/>
        <v/>
      </c>
      <c r="G1823" s="101" t="str">
        <f t="shared" si="129"/>
        <v/>
      </c>
      <c r="H1823" s="102" t="str">
        <f t="shared" si="127"/>
        <v/>
      </c>
    </row>
    <row r="1824" spans="4:8" x14ac:dyDescent="0.3">
      <c r="D1824" s="99" t="s">
        <v>2781</v>
      </c>
      <c r="E1824" s="100">
        <v>45866</v>
      </c>
      <c r="F1824" s="100">
        <f t="shared" si="128"/>
        <v>45945</v>
      </c>
      <c r="G1824" s="101">
        <f t="shared" si="129"/>
        <v>79</v>
      </c>
      <c r="H1824" s="102">
        <f t="shared" si="127"/>
        <v>0</v>
      </c>
    </row>
    <row r="1825" spans="4:8" x14ac:dyDescent="0.3">
      <c r="D1825" s="99" t="s">
        <v>2781</v>
      </c>
      <c r="E1825" s="100">
        <v>45945</v>
      </c>
      <c r="F1825" s="100">
        <f t="shared" si="128"/>
        <v>46015</v>
      </c>
      <c r="G1825" s="101">
        <f t="shared" si="129"/>
        <v>70</v>
      </c>
      <c r="H1825" s="102">
        <f t="shared" si="127"/>
        <v>0</v>
      </c>
    </row>
    <row r="1826" spans="4:8" x14ac:dyDescent="0.3">
      <c r="D1826" s="99" t="s">
        <v>2781</v>
      </c>
      <c r="E1826" s="100">
        <v>46015</v>
      </c>
      <c r="F1826" s="100" t="str">
        <f t="shared" si="128"/>
        <v/>
      </c>
      <c r="G1826" s="101" t="str">
        <f t="shared" si="129"/>
        <v/>
      </c>
      <c r="H1826" s="102" t="str">
        <f t="shared" si="127"/>
        <v/>
      </c>
    </row>
    <row r="1827" spans="4:8" x14ac:dyDescent="0.3">
      <c r="D1827" s="99" t="s">
        <v>2782</v>
      </c>
      <c r="E1827" s="100">
        <v>45782</v>
      </c>
      <c r="F1827" s="100">
        <f t="shared" si="128"/>
        <v>45847</v>
      </c>
      <c r="G1827" s="101">
        <f t="shared" si="129"/>
        <v>65</v>
      </c>
      <c r="H1827" s="102">
        <f t="shared" si="127"/>
        <v>0</v>
      </c>
    </row>
    <row r="1828" spans="4:8" x14ac:dyDescent="0.3">
      <c r="D1828" s="99" t="s">
        <v>2782</v>
      </c>
      <c r="E1828" s="100">
        <v>45847</v>
      </c>
      <c r="F1828" s="100" t="str">
        <f t="shared" si="128"/>
        <v/>
      </c>
      <c r="G1828" s="101" t="str">
        <f t="shared" si="129"/>
        <v/>
      </c>
      <c r="H1828" s="102" t="str">
        <f t="shared" si="127"/>
        <v/>
      </c>
    </row>
    <row r="1829" spans="4:8" x14ac:dyDescent="0.3">
      <c r="D1829" s="99" t="s">
        <v>2783</v>
      </c>
      <c r="E1829" s="100">
        <v>45924</v>
      </c>
      <c r="F1829" s="100">
        <f t="shared" si="128"/>
        <v>45926</v>
      </c>
      <c r="G1829" s="101">
        <f t="shared" si="129"/>
        <v>2</v>
      </c>
      <c r="H1829" s="102">
        <f t="shared" si="127"/>
        <v>1</v>
      </c>
    </row>
    <row r="1830" spans="4:8" x14ac:dyDescent="0.3">
      <c r="D1830" s="99" t="s">
        <v>2783</v>
      </c>
      <c r="E1830" s="100">
        <v>45926</v>
      </c>
      <c r="F1830" s="100" t="str">
        <f t="shared" si="128"/>
        <v/>
      </c>
      <c r="G1830" s="101" t="str">
        <f t="shared" si="129"/>
        <v/>
      </c>
      <c r="H1830" s="102" t="str">
        <f t="shared" si="127"/>
        <v/>
      </c>
    </row>
    <row r="1831" spans="4:8" x14ac:dyDescent="0.3">
      <c r="D1831" s="99" t="s">
        <v>2784</v>
      </c>
      <c r="E1831" s="100">
        <v>45740</v>
      </c>
      <c r="F1831" s="100" t="str">
        <f t="shared" si="128"/>
        <v/>
      </c>
      <c r="G1831" s="101" t="str">
        <f t="shared" si="129"/>
        <v/>
      </c>
      <c r="H1831" s="102" t="str">
        <f t="shared" si="127"/>
        <v/>
      </c>
    </row>
    <row r="1832" spans="4:8" x14ac:dyDescent="0.3">
      <c r="D1832" s="99" t="s">
        <v>2785</v>
      </c>
      <c r="E1832" s="100">
        <v>45792</v>
      </c>
      <c r="F1832" s="100">
        <f t="shared" si="128"/>
        <v>45895</v>
      </c>
      <c r="G1832" s="101">
        <f t="shared" si="129"/>
        <v>103</v>
      </c>
      <c r="H1832" s="102">
        <f t="shared" si="127"/>
        <v>0</v>
      </c>
    </row>
    <row r="1833" spans="4:8" x14ac:dyDescent="0.3">
      <c r="D1833" s="99" t="s">
        <v>2785</v>
      </c>
      <c r="E1833" s="100">
        <v>45895</v>
      </c>
      <c r="F1833" s="100">
        <f t="shared" si="128"/>
        <v>45961</v>
      </c>
      <c r="G1833" s="101">
        <f t="shared" si="129"/>
        <v>66</v>
      </c>
      <c r="H1833" s="102">
        <f t="shared" si="127"/>
        <v>0</v>
      </c>
    </row>
    <row r="1834" spans="4:8" x14ac:dyDescent="0.3">
      <c r="D1834" s="99" t="s">
        <v>2785</v>
      </c>
      <c r="E1834" s="100">
        <v>45961</v>
      </c>
      <c r="F1834" s="100" t="str">
        <f t="shared" si="128"/>
        <v/>
      </c>
      <c r="G1834" s="101" t="str">
        <f t="shared" si="129"/>
        <v/>
      </c>
      <c r="H1834" s="102" t="str">
        <f t="shared" si="127"/>
        <v/>
      </c>
    </row>
    <row r="1835" spans="4:8" x14ac:dyDescent="0.3">
      <c r="D1835" s="99" t="s">
        <v>2786</v>
      </c>
      <c r="E1835" s="100">
        <v>45792</v>
      </c>
      <c r="F1835" s="100">
        <f t="shared" si="128"/>
        <v>45950</v>
      </c>
      <c r="G1835" s="101">
        <f t="shared" si="129"/>
        <v>158</v>
      </c>
      <c r="H1835" s="102">
        <f t="shared" si="127"/>
        <v>0</v>
      </c>
    </row>
    <row r="1836" spans="4:8" x14ac:dyDescent="0.3">
      <c r="D1836" s="99" t="s">
        <v>2786</v>
      </c>
      <c r="E1836" s="100">
        <v>45950</v>
      </c>
      <c r="F1836" s="100">
        <f t="shared" si="128"/>
        <v>45978</v>
      </c>
      <c r="G1836" s="101">
        <f t="shared" si="129"/>
        <v>28</v>
      </c>
      <c r="H1836" s="102">
        <f t="shared" si="127"/>
        <v>1</v>
      </c>
    </row>
    <row r="1837" spans="4:8" x14ac:dyDescent="0.3">
      <c r="D1837" s="99" t="s">
        <v>2786</v>
      </c>
      <c r="E1837" s="100">
        <v>45978</v>
      </c>
      <c r="F1837" s="100" t="str">
        <f t="shared" si="128"/>
        <v/>
      </c>
      <c r="G1837" s="101" t="str">
        <f t="shared" si="129"/>
        <v/>
      </c>
      <c r="H1837" s="102" t="str">
        <f t="shared" si="127"/>
        <v/>
      </c>
    </row>
    <row r="1838" spans="4:8" x14ac:dyDescent="0.3">
      <c r="D1838" s="99" t="s">
        <v>2787</v>
      </c>
      <c r="E1838" s="100">
        <v>45677</v>
      </c>
      <c r="F1838" s="100">
        <f t="shared" si="128"/>
        <v>45838</v>
      </c>
      <c r="G1838" s="101">
        <f t="shared" si="129"/>
        <v>161</v>
      </c>
      <c r="H1838" s="102">
        <f t="shared" si="127"/>
        <v>0</v>
      </c>
    </row>
    <row r="1839" spans="4:8" x14ac:dyDescent="0.3">
      <c r="D1839" s="99" t="s">
        <v>2787</v>
      </c>
      <c r="E1839" s="100">
        <v>45838</v>
      </c>
      <c r="F1839" s="100">
        <f t="shared" si="128"/>
        <v>45874</v>
      </c>
      <c r="G1839" s="101">
        <f t="shared" si="129"/>
        <v>36</v>
      </c>
      <c r="H1839" s="102">
        <f t="shared" si="127"/>
        <v>0</v>
      </c>
    </row>
    <row r="1840" spans="4:8" x14ac:dyDescent="0.3">
      <c r="D1840" s="99" t="s">
        <v>2787</v>
      </c>
      <c r="E1840" s="100">
        <v>45874</v>
      </c>
      <c r="F1840" s="100" t="str">
        <f t="shared" si="128"/>
        <v/>
      </c>
      <c r="G1840" s="101" t="str">
        <f t="shared" si="129"/>
        <v/>
      </c>
      <c r="H1840" s="102" t="str">
        <f t="shared" si="127"/>
        <v/>
      </c>
    </row>
    <row r="1841" spans="4:8" x14ac:dyDescent="0.3">
      <c r="D1841" s="99" t="s">
        <v>2788</v>
      </c>
      <c r="E1841" s="100">
        <v>45720</v>
      </c>
      <c r="F1841" s="100">
        <f t="shared" si="128"/>
        <v>45729</v>
      </c>
      <c r="G1841" s="101">
        <f t="shared" si="129"/>
        <v>9</v>
      </c>
      <c r="H1841" s="102">
        <f t="shared" si="127"/>
        <v>1</v>
      </c>
    </row>
    <row r="1842" spans="4:8" x14ac:dyDescent="0.3">
      <c r="D1842" s="99" t="s">
        <v>2788</v>
      </c>
      <c r="E1842" s="100">
        <v>45729</v>
      </c>
      <c r="F1842" s="100">
        <f t="shared" si="128"/>
        <v>45770</v>
      </c>
      <c r="G1842" s="101">
        <f t="shared" si="129"/>
        <v>41</v>
      </c>
      <c r="H1842" s="102">
        <f t="shared" si="127"/>
        <v>0</v>
      </c>
    </row>
    <row r="1843" spans="4:8" x14ac:dyDescent="0.3">
      <c r="D1843" s="99" t="s">
        <v>2788</v>
      </c>
      <c r="E1843" s="100">
        <v>45770</v>
      </c>
      <c r="F1843" s="100">
        <f t="shared" si="128"/>
        <v>45868</v>
      </c>
      <c r="G1843" s="101">
        <f t="shared" si="129"/>
        <v>98</v>
      </c>
      <c r="H1843" s="102">
        <f t="shared" si="127"/>
        <v>0</v>
      </c>
    </row>
    <row r="1844" spans="4:8" x14ac:dyDescent="0.3">
      <c r="D1844" s="99" t="s">
        <v>2788</v>
      </c>
      <c r="E1844" s="100">
        <v>45868</v>
      </c>
      <c r="F1844" s="100">
        <f t="shared" si="128"/>
        <v>45875</v>
      </c>
      <c r="G1844" s="101">
        <f t="shared" si="129"/>
        <v>7</v>
      </c>
      <c r="H1844" s="102">
        <f t="shared" si="127"/>
        <v>1</v>
      </c>
    </row>
    <row r="1845" spans="4:8" x14ac:dyDescent="0.3">
      <c r="D1845" s="99" t="s">
        <v>2788</v>
      </c>
      <c r="E1845" s="100">
        <v>45875</v>
      </c>
      <c r="F1845" s="100">
        <f t="shared" si="128"/>
        <v>45922</v>
      </c>
      <c r="G1845" s="101">
        <f t="shared" si="129"/>
        <v>47</v>
      </c>
      <c r="H1845" s="102">
        <f t="shared" si="127"/>
        <v>0</v>
      </c>
    </row>
    <row r="1846" spans="4:8" x14ac:dyDescent="0.3">
      <c r="D1846" s="99" t="s">
        <v>2788</v>
      </c>
      <c r="E1846" s="100">
        <v>45922</v>
      </c>
      <c r="F1846" s="100" t="str">
        <f t="shared" si="128"/>
        <v/>
      </c>
      <c r="G1846" s="101" t="str">
        <f t="shared" si="129"/>
        <v/>
      </c>
      <c r="H1846" s="102" t="str">
        <f t="shared" si="127"/>
        <v/>
      </c>
    </row>
    <row r="1847" spans="4:8" x14ac:dyDescent="0.3">
      <c r="D1847" s="99" t="s">
        <v>2789</v>
      </c>
      <c r="E1847" s="100">
        <v>45768</v>
      </c>
      <c r="F1847" s="100">
        <f t="shared" si="128"/>
        <v>45770</v>
      </c>
      <c r="G1847" s="101">
        <f t="shared" si="129"/>
        <v>2</v>
      </c>
      <c r="H1847" s="102">
        <f t="shared" si="127"/>
        <v>1</v>
      </c>
    </row>
    <row r="1848" spans="4:8" x14ac:dyDescent="0.3">
      <c r="D1848" s="99" t="s">
        <v>2789</v>
      </c>
      <c r="E1848" s="100">
        <v>45770</v>
      </c>
      <c r="F1848" s="100">
        <f t="shared" si="128"/>
        <v>45777</v>
      </c>
      <c r="G1848" s="101">
        <f t="shared" si="129"/>
        <v>7</v>
      </c>
      <c r="H1848" s="102">
        <f t="shared" si="127"/>
        <v>1</v>
      </c>
    </row>
    <row r="1849" spans="4:8" x14ac:dyDescent="0.3">
      <c r="D1849" s="99" t="s">
        <v>2789</v>
      </c>
      <c r="E1849" s="100">
        <v>45777</v>
      </c>
      <c r="F1849" s="100">
        <f t="shared" si="128"/>
        <v>45778</v>
      </c>
      <c r="G1849" s="101">
        <f t="shared" si="129"/>
        <v>1</v>
      </c>
      <c r="H1849" s="102">
        <f t="shared" si="127"/>
        <v>1</v>
      </c>
    </row>
    <row r="1850" spans="4:8" x14ac:dyDescent="0.3">
      <c r="D1850" s="99" t="s">
        <v>2789</v>
      </c>
      <c r="E1850" s="100">
        <v>45778</v>
      </c>
      <c r="F1850" s="100">
        <f t="shared" si="128"/>
        <v>45854</v>
      </c>
      <c r="G1850" s="101">
        <f t="shared" si="129"/>
        <v>76</v>
      </c>
      <c r="H1850" s="102">
        <f t="shared" si="127"/>
        <v>0</v>
      </c>
    </row>
    <row r="1851" spans="4:8" x14ac:dyDescent="0.3">
      <c r="D1851" s="99" t="s">
        <v>2789</v>
      </c>
      <c r="E1851" s="100">
        <v>45854</v>
      </c>
      <c r="F1851" s="100" t="str">
        <f t="shared" si="128"/>
        <v/>
      </c>
      <c r="G1851" s="101" t="str">
        <f t="shared" si="129"/>
        <v/>
      </c>
      <c r="H1851" s="102" t="str">
        <f t="shared" si="127"/>
        <v/>
      </c>
    </row>
    <row r="1852" spans="4:8" x14ac:dyDescent="0.3">
      <c r="D1852" s="99" t="s">
        <v>2790</v>
      </c>
      <c r="E1852" s="100">
        <v>45930</v>
      </c>
      <c r="F1852" s="100" t="str">
        <f t="shared" si="128"/>
        <v/>
      </c>
      <c r="G1852" s="101" t="str">
        <f t="shared" si="129"/>
        <v/>
      </c>
      <c r="H1852" s="102" t="str">
        <f t="shared" si="127"/>
        <v/>
      </c>
    </row>
    <row r="1853" spans="4:8" x14ac:dyDescent="0.3">
      <c r="D1853" s="99" t="s">
        <v>2791</v>
      </c>
      <c r="E1853" s="100">
        <v>45659</v>
      </c>
      <c r="F1853" s="100" t="str">
        <f t="shared" si="128"/>
        <v/>
      </c>
      <c r="G1853" s="101" t="str">
        <f t="shared" si="129"/>
        <v/>
      </c>
      <c r="H1853" s="102" t="str">
        <f t="shared" si="127"/>
        <v/>
      </c>
    </row>
    <row r="1854" spans="4:8" x14ac:dyDescent="0.3">
      <c r="D1854" s="99" t="s">
        <v>2792</v>
      </c>
      <c r="E1854" s="100">
        <v>45996</v>
      </c>
      <c r="F1854" s="100" t="str">
        <f t="shared" si="128"/>
        <v/>
      </c>
      <c r="G1854" s="101" t="str">
        <f t="shared" si="129"/>
        <v/>
      </c>
      <c r="H1854" s="102" t="str">
        <f t="shared" si="127"/>
        <v/>
      </c>
    </row>
    <row r="1855" spans="4:8" x14ac:dyDescent="0.3">
      <c r="D1855" s="99" t="s">
        <v>2793</v>
      </c>
      <c r="E1855" s="100">
        <v>45699</v>
      </c>
      <c r="F1855" s="100" t="str">
        <f t="shared" si="128"/>
        <v/>
      </c>
      <c r="G1855" s="101" t="str">
        <f t="shared" si="129"/>
        <v/>
      </c>
      <c r="H1855" s="102" t="str">
        <f t="shared" si="127"/>
        <v/>
      </c>
    </row>
    <row r="1856" spans="4:8" x14ac:dyDescent="0.3">
      <c r="D1856" s="99" t="s">
        <v>2794</v>
      </c>
      <c r="E1856" s="100">
        <v>45799</v>
      </c>
      <c r="F1856" s="100" t="str">
        <f t="shared" si="128"/>
        <v/>
      </c>
      <c r="G1856" s="101" t="str">
        <f t="shared" si="129"/>
        <v/>
      </c>
      <c r="H1856" s="102" t="str">
        <f t="shared" si="127"/>
        <v/>
      </c>
    </row>
    <row r="1857" spans="4:8" x14ac:dyDescent="0.3">
      <c r="D1857" s="99" t="s">
        <v>2795</v>
      </c>
      <c r="E1857" s="100">
        <v>45835</v>
      </c>
      <c r="F1857" s="100" t="str">
        <f t="shared" si="128"/>
        <v/>
      </c>
      <c r="G1857" s="101" t="str">
        <f t="shared" si="129"/>
        <v/>
      </c>
      <c r="H1857" s="102" t="str">
        <f t="shared" si="127"/>
        <v/>
      </c>
    </row>
    <row r="1858" spans="4:8" x14ac:dyDescent="0.3">
      <c r="D1858" s="99" t="s">
        <v>2796</v>
      </c>
      <c r="E1858" s="100">
        <v>45730</v>
      </c>
      <c r="F1858" s="100">
        <f t="shared" si="128"/>
        <v>45756</v>
      </c>
      <c r="G1858" s="101">
        <f t="shared" si="129"/>
        <v>26</v>
      </c>
      <c r="H1858" s="102">
        <f t="shared" si="127"/>
        <v>1</v>
      </c>
    </row>
    <row r="1859" spans="4:8" x14ac:dyDescent="0.3">
      <c r="D1859" s="99" t="s">
        <v>2796</v>
      </c>
      <c r="E1859" s="100">
        <v>45756</v>
      </c>
      <c r="F1859" s="100">
        <f t="shared" si="128"/>
        <v>45874</v>
      </c>
      <c r="G1859" s="101">
        <f t="shared" si="129"/>
        <v>118</v>
      </c>
      <c r="H1859" s="102">
        <f t="shared" si="127"/>
        <v>0</v>
      </c>
    </row>
    <row r="1860" spans="4:8" x14ac:dyDescent="0.3">
      <c r="D1860" s="99" t="s">
        <v>2796</v>
      </c>
      <c r="E1860" s="100">
        <v>45874</v>
      </c>
      <c r="F1860" s="100" t="str">
        <f t="shared" si="128"/>
        <v/>
      </c>
      <c r="G1860" s="101" t="str">
        <f t="shared" si="129"/>
        <v/>
      </c>
      <c r="H1860" s="102" t="str">
        <f t="shared" si="127"/>
        <v/>
      </c>
    </row>
    <row r="1861" spans="4:8" x14ac:dyDescent="0.3">
      <c r="D1861" s="99" t="s">
        <v>2797</v>
      </c>
      <c r="E1861" s="100">
        <v>45915</v>
      </c>
      <c r="F1861" s="100">
        <f t="shared" si="128"/>
        <v>45978</v>
      </c>
      <c r="G1861" s="101">
        <f t="shared" si="129"/>
        <v>63</v>
      </c>
      <c r="H1861" s="102">
        <f t="shared" si="127"/>
        <v>0</v>
      </c>
    </row>
    <row r="1862" spans="4:8" x14ac:dyDescent="0.3">
      <c r="D1862" s="99" t="s">
        <v>2797</v>
      </c>
      <c r="E1862" s="100">
        <v>45978</v>
      </c>
      <c r="F1862" s="100" t="str">
        <f t="shared" si="128"/>
        <v/>
      </c>
      <c r="G1862" s="101" t="str">
        <f t="shared" si="129"/>
        <v/>
      </c>
      <c r="H1862" s="102" t="str">
        <f t="shared" si="127"/>
        <v/>
      </c>
    </row>
    <row r="1863" spans="4:8" x14ac:dyDescent="0.3">
      <c r="D1863" s="99" t="s">
        <v>2798</v>
      </c>
      <c r="E1863" s="100">
        <v>45764</v>
      </c>
      <c r="F1863" s="100" t="str">
        <f t="shared" si="128"/>
        <v/>
      </c>
      <c r="G1863" s="101" t="str">
        <f t="shared" si="129"/>
        <v/>
      </c>
      <c r="H1863" s="102" t="str">
        <f t="shared" ref="H1863:H1926" si="130">IF(G1863="","",IF(G1863&lt;=return_window,1,0))</f>
        <v/>
      </c>
    </row>
    <row r="1864" spans="4:8" x14ac:dyDescent="0.3">
      <c r="D1864" s="99" t="s">
        <v>2799</v>
      </c>
      <c r="E1864" s="100">
        <v>45883</v>
      </c>
      <c r="F1864" s="100" t="str">
        <f t="shared" ref="F1864:F1927" si="131">IF(D1864=D1865,E1865,"")</f>
        <v/>
      </c>
      <c r="G1864" s="101" t="str">
        <f t="shared" ref="G1864:G1927" si="132">IF(F1864="","",F1864-E1864)</f>
        <v/>
      </c>
      <c r="H1864" s="102" t="str">
        <f t="shared" si="130"/>
        <v/>
      </c>
    </row>
    <row r="1865" spans="4:8" x14ac:dyDescent="0.3">
      <c r="D1865" s="99" t="s">
        <v>2800</v>
      </c>
      <c r="E1865" s="100">
        <v>45660</v>
      </c>
      <c r="F1865" s="100">
        <f t="shared" si="131"/>
        <v>45789</v>
      </c>
      <c r="G1865" s="101">
        <f t="shared" si="132"/>
        <v>129</v>
      </c>
      <c r="H1865" s="102">
        <f t="shared" si="130"/>
        <v>0</v>
      </c>
    </row>
    <row r="1866" spans="4:8" x14ac:dyDescent="0.3">
      <c r="D1866" s="99" t="s">
        <v>2800</v>
      </c>
      <c r="E1866" s="100">
        <v>45789</v>
      </c>
      <c r="F1866" s="100">
        <f t="shared" si="131"/>
        <v>45883</v>
      </c>
      <c r="G1866" s="101">
        <f t="shared" si="132"/>
        <v>94</v>
      </c>
      <c r="H1866" s="102">
        <f t="shared" si="130"/>
        <v>0</v>
      </c>
    </row>
    <row r="1867" spans="4:8" x14ac:dyDescent="0.3">
      <c r="D1867" s="99" t="s">
        <v>2800</v>
      </c>
      <c r="E1867" s="100">
        <v>45883</v>
      </c>
      <c r="F1867" s="100" t="str">
        <f t="shared" si="131"/>
        <v/>
      </c>
      <c r="G1867" s="101" t="str">
        <f t="shared" si="132"/>
        <v/>
      </c>
      <c r="H1867" s="102" t="str">
        <f t="shared" si="130"/>
        <v/>
      </c>
    </row>
    <row r="1868" spans="4:8" x14ac:dyDescent="0.3">
      <c r="D1868" s="99" t="s">
        <v>2801</v>
      </c>
      <c r="E1868" s="100">
        <v>45799</v>
      </c>
      <c r="F1868" s="100">
        <f t="shared" si="131"/>
        <v>45952</v>
      </c>
      <c r="G1868" s="101">
        <f t="shared" si="132"/>
        <v>153</v>
      </c>
      <c r="H1868" s="102">
        <f t="shared" si="130"/>
        <v>0</v>
      </c>
    </row>
    <row r="1869" spans="4:8" x14ac:dyDescent="0.3">
      <c r="D1869" s="99" t="s">
        <v>2801</v>
      </c>
      <c r="E1869" s="100">
        <v>45952</v>
      </c>
      <c r="F1869" s="100">
        <f t="shared" si="131"/>
        <v>45974</v>
      </c>
      <c r="G1869" s="101">
        <f t="shared" si="132"/>
        <v>22</v>
      </c>
      <c r="H1869" s="102">
        <f t="shared" si="130"/>
        <v>1</v>
      </c>
    </row>
    <row r="1870" spans="4:8" x14ac:dyDescent="0.3">
      <c r="D1870" s="99" t="s">
        <v>2801</v>
      </c>
      <c r="E1870" s="100">
        <v>45974</v>
      </c>
      <c r="F1870" s="100" t="str">
        <f t="shared" si="131"/>
        <v/>
      </c>
      <c r="G1870" s="101" t="str">
        <f t="shared" si="132"/>
        <v/>
      </c>
      <c r="H1870" s="102" t="str">
        <f t="shared" si="130"/>
        <v/>
      </c>
    </row>
    <row r="1871" spans="4:8" x14ac:dyDescent="0.3">
      <c r="D1871" s="99" t="s">
        <v>2802</v>
      </c>
      <c r="E1871" s="100">
        <v>45967</v>
      </c>
      <c r="F1871" s="100" t="str">
        <f t="shared" si="131"/>
        <v/>
      </c>
      <c r="G1871" s="101" t="str">
        <f t="shared" si="132"/>
        <v/>
      </c>
      <c r="H1871" s="102" t="str">
        <f t="shared" si="130"/>
        <v/>
      </c>
    </row>
    <row r="1872" spans="4:8" x14ac:dyDescent="0.3">
      <c r="D1872" s="99" t="s">
        <v>2803</v>
      </c>
      <c r="E1872" s="100">
        <v>45740</v>
      </c>
      <c r="F1872" s="100" t="str">
        <f t="shared" si="131"/>
        <v/>
      </c>
      <c r="G1872" s="101" t="str">
        <f t="shared" si="132"/>
        <v/>
      </c>
      <c r="H1872" s="102" t="str">
        <f t="shared" si="130"/>
        <v/>
      </c>
    </row>
    <row r="1873" spans="4:8" x14ac:dyDescent="0.3">
      <c r="D1873" s="99" t="s">
        <v>2804</v>
      </c>
      <c r="E1873" s="100">
        <v>45796</v>
      </c>
      <c r="F1873" s="100">
        <f t="shared" si="131"/>
        <v>45875</v>
      </c>
      <c r="G1873" s="101">
        <f t="shared" si="132"/>
        <v>79</v>
      </c>
      <c r="H1873" s="102">
        <f t="shared" si="130"/>
        <v>0</v>
      </c>
    </row>
    <row r="1874" spans="4:8" x14ac:dyDescent="0.3">
      <c r="D1874" s="99" t="s">
        <v>2804</v>
      </c>
      <c r="E1874" s="100">
        <v>45875</v>
      </c>
      <c r="F1874" s="100">
        <f t="shared" si="131"/>
        <v>45959</v>
      </c>
      <c r="G1874" s="101">
        <f t="shared" si="132"/>
        <v>84</v>
      </c>
      <c r="H1874" s="102">
        <f t="shared" si="130"/>
        <v>0</v>
      </c>
    </row>
    <row r="1875" spans="4:8" x14ac:dyDescent="0.3">
      <c r="D1875" s="99" t="s">
        <v>2804</v>
      </c>
      <c r="E1875" s="100">
        <v>45959</v>
      </c>
      <c r="F1875" s="100" t="str">
        <f t="shared" si="131"/>
        <v/>
      </c>
      <c r="G1875" s="101" t="str">
        <f t="shared" si="132"/>
        <v/>
      </c>
      <c r="H1875" s="102" t="str">
        <f t="shared" si="130"/>
        <v/>
      </c>
    </row>
    <row r="1876" spans="4:8" x14ac:dyDescent="0.3">
      <c r="D1876" s="99" t="s">
        <v>2805</v>
      </c>
      <c r="E1876" s="100">
        <v>45986</v>
      </c>
      <c r="F1876" s="100" t="str">
        <f t="shared" si="131"/>
        <v/>
      </c>
      <c r="G1876" s="101" t="str">
        <f t="shared" si="132"/>
        <v/>
      </c>
      <c r="H1876" s="102" t="str">
        <f t="shared" si="130"/>
        <v/>
      </c>
    </row>
    <row r="1877" spans="4:8" x14ac:dyDescent="0.3">
      <c r="D1877" s="99" t="s">
        <v>2806</v>
      </c>
      <c r="E1877" s="100">
        <v>45678</v>
      </c>
      <c r="F1877" s="100">
        <f t="shared" si="131"/>
        <v>45770</v>
      </c>
      <c r="G1877" s="101">
        <f t="shared" si="132"/>
        <v>92</v>
      </c>
      <c r="H1877" s="102">
        <f t="shared" si="130"/>
        <v>0</v>
      </c>
    </row>
    <row r="1878" spans="4:8" x14ac:dyDescent="0.3">
      <c r="D1878" s="99" t="s">
        <v>2806</v>
      </c>
      <c r="E1878" s="100">
        <v>45770</v>
      </c>
      <c r="F1878" s="100">
        <f t="shared" si="131"/>
        <v>45772</v>
      </c>
      <c r="G1878" s="101">
        <f t="shared" si="132"/>
        <v>2</v>
      </c>
      <c r="H1878" s="102">
        <f t="shared" si="130"/>
        <v>1</v>
      </c>
    </row>
    <row r="1879" spans="4:8" x14ac:dyDescent="0.3">
      <c r="D1879" s="99" t="s">
        <v>2806</v>
      </c>
      <c r="E1879" s="100">
        <v>45772</v>
      </c>
      <c r="F1879" s="100">
        <f t="shared" si="131"/>
        <v>45875</v>
      </c>
      <c r="G1879" s="101">
        <f t="shared" si="132"/>
        <v>103</v>
      </c>
      <c r="H1879" s="102">
        <f t="shared" si="130"/>
        <v>0</v>
      </c>
    </row>
    <row r="1880" spans="4:8" x14ac:dyDescent="0.3">
      <c r="D1880" s="99" t="s">
        <v>2806</v>
      </c>
      <c r="E1880" s="100">
        <v>45875</v>
      </c>
      <c r="F1880" s="100" t="str">
        <f t="shared" si="131"/>
        <v/>
      </c>
      <c r="G1880" s="101" t="str">
        <f t="shared" si="132"/>
        <v/>
      </c>
      <c r="H1880" s="102" t="str">
        <f t="shared" si="130"/>
        <v/>
      </c>
    </row>
    <row r="1881" spans="4:8" x14ac:dyDescent="0.3">
      <c r="D1881" s="99" t="s">
        <v>2807</v>
      </c>
      <c r="E1881" s="100">
        <v>45824</v>
      </c>
      <c r="F1881" s="100">
        <f t="shared" si="131"/>
        <v>45834</v>
      </c>
      <c r="G1881" s="101">
        <f t="shared" si="132"/>
        <v>10</v>
      </c>
      <c r="H1881" s="102">
        <f t="shared" si="130"/>
        <v>1</v>
      </c>
    </row>
    <row r="1882" spans="4:8" x14ac:dyDescent="0.3">
      <c r="D1882" s="99" t="s">
        <v>2807</v>
      </c>
      <c r="E1882" s="100">
        <v>45834</v>
      </c>
      <c r="F1882" s="100">
        <f t="shared" si="131"/>
        <v>45911</v>
      </c>
      <c r="G1882" s="101">
        <f t="shared" si="132"/>
        <v>77</v>
      </c>
      <c r="H1882" s="102">
        <f t="shared" si="130"/>
        <v>0</v>
      </c>
    </row>
    <row r="1883" spans="4:8" x14ac:dyDescent="0.3">
      <c r="D1883" s="99" t="s">
        <v>2807</v>
      </c>
      <c r="E1883" s="100">
        <v>45911</v>
      </c>
      <c r="F1883" s="100" t="str">
        <f t="shared" si="131"/>
        <v/>
      </c>
      <c r="G1883" s="101" t="str">
        <f t="shared" si="132"/>
        <v/>
      </c>
      <c r="H1883" s="102" t="str">
        <f t="shared" si="130"/>
        <v/>
      </c>
    </row>
    <row r="1884" spans="4:8" x14ac:dyDescent="0.3">
      <c r="D1884" s="99" t="s">
        <v>2808</v>
      </c>
      <c r="E1884" s="100">
        <v>45792</v>
      </c>
      <c r="F1884" s="100">
        <f t="shared" si="131"/>
        <v>45821</v>
      </c>
      <c r="G1884" s="101">
        <f t="shared" si="132"/>
        <v>29</v>
      </c>
      <c r="H1884" s="102">
        <f t="shared" si="130"/>
        <v>1</v>
      </c>
    </row>
    <row r="1885" spans="4:8" x14ac:dyDescent="0.3">
      <c r="D1885" s="99" t="s">
        <v>2808</v>
      </c>
      <c r="E1885" s="100">
        <v>45821</v>
      </c>
      <c r="F1885" s="100">
        <f t="shared" si="131"/>
        <v>45863</v>
      </c>
      <c r="G1885" s="101">
        <f t="shared" si="132"/>
        <v>42</v>
      </c>
      <c r="H1885" s="102">
        <f t="shared" si="130"/>
        <v>0</v>
      </c>
    </row>
    <row r="1886" spans="4:8" x14ac:dyDescent="0.3">
      <c r="D1886" s="99" t="s">
        <v>2808</v>
      </c>
      <c r="E1886" s="100">
        <v>45863</v>
      </c>
      <c r="F1886" s="100">
        <f t="shared" si="131"/>
        <v>45966</v>
      </c>
      <c r="G1886" s="101">
        <f t="shared" si="132"/>
        <v>103</v>
      </c>
      <c r="H1886" s="102">
        <f t="shared" si="130"/>
        <v>0</v>
      </c>
    </row>
    <row r="1887" spans="4:8" x14ac:dyDescent="0.3">
      <c r="D1887" s="99" t="s">
        <v>2808</v>
      </c>
      <c r="E1887" s="100">
        <v>45966</v>
      </c>
      <c r="F1887" s="100">
        <f t="shared" si="131"/>
        <v>45979</v>
      </c>
      <c r="G1887" s="101">
        <f t="shared" si="132"/>
        <v>13</v>
      </c>
      <c r="H1887" s="102">
        <f t="shared" si="130"/>
        <v>1</v>
      </c>
    </row>
    <row r="1888" spans="4:8" x14ac:dyDescent="0.3">
      <c r="D1888" s="99" t="s">
        <v>2808</v>
      </c>
      <c r="E1888" s="100">
        <v>45979</v>
      </c>
      <c r="F1888" s="100">
        <f t="shared" si="131"/>
        <v>45992</v>
      </c>
      <c r="G1888" s="101">
        <f t="shared" si="132"/>
        <v>13</v>
      </c>
      <c r="H1888" s="102">
        <f t="shared" si="130"/>
        <v>1</v>
      </c>
    </row>
    <row r="1889" spans="4:8" x14ac:dyDescent="0.3">
      <c r="D1889" s="99" t="s">
        <v>2808</v>
      </c>
      <c r="E1889" s="100">
        <v>45992</v>
      </c>
      <c r="F1889" s="100">
        <f t="shared" si="131"/>
        <v>46003</v>
      </c>
      <c r="G1889" s="101">
        <f t="shared" si="132"/>
        <v>11</v>
      </c>
      <c r="H1889" s="102">
        <f t="shared" si="130"/>
        <v>1</v>
      </c>
    </row>
    <row r="1890" spans="4:8" x14ac:dyDescent="0.3">
      <c r="D1890" s="99" t="s">
        <v>2808</v>
      </c>
      <c r="E1890" s="100">
        <v>46003</v>
      </c>
      <c r="F1890" s="100">
        <f t="shared" si="131"/>
        <v>46008</v>
      </c>
      <c r="G1890" s="101">
        <f t="shared" si="132"/>
        <v>5</v>
      </c>
      <c r="H1890" s="102">
        <f t="shared" si="130"/>
        <v>1</v>
      </c>
    </row>
    <row r="1891" spans="4:8" x14ac:dyDescent="0.3">
      <c r="D1891" s="99" t="s">
        <v>2808</v>
      </c>
      <c r="E1891" s="100">
        <v>46008</v>
      </c>
      <c r="F1891" s="100" t="str">
        <f t="shared" si="131"/>
        <v/>
      </c>
      <c r="G1891" s="101" t="str">
        <f t="shared" si="132"/>
        <v/>
      </c>
      <c r="H1891" s="102" t="str">
        <f t="shared" si="130"/>
        <v/>
      </c>
    </row>
    <row r="1892" spans="4:8" x14ac:dyDescent="0.3">
      <c r="D1892" s="99" t="s">
        <v>2809</v>
      </c>
      <c r="E1892" s="100">
        <v>45677</v>
      </c>
      <c r="F1892" s="100">
        <f t="shared" si="131"/>
        <v>45693</v>
      </c>
      <c r="G1892" s="101">
        <f t="shared" si="132"/>
        <v>16</v>
      </c>
      <c r="H1892" s="102">
        <f t="shared" si="130"/>
        <v>1</v>
      </c>
    </row>
    <row r="1893" spans="4:8" x14ac:dyDescent="0.3">
      <c r="D1893" s="99" t="s">
        <v>2809</v>
      </c>
      <c r="E1893" s="100">
        <v>45693</v>
      </c>
      <c r="F1893" s="100">
        <f t="shared" si="131"/>
        <v>45923</v>
      </c>
      <c r="G1893" s="101">
        <f t="shared" si="132"/>
        <v>230</v>
      </c>
      <c r="H1893" s="102">
        <f t="shared" si="130"/>
        <v>0</v>
      </c>
    </row>
    <row r="1894" spans="4:8" x14ac:dyDescent="0.3">
      <c r="D1894" s="99" t="s">
        <v>2809</v>
      </c>
      <c r="E1894" s="100">
        <v>45923</v>
      </c>
      <c r="F1894" s="100">
        <f t="shared" si="131"/>
        <v>45924</v>
      </c>
      <c r="G1894" s="101">
        <f t="shared" si="132"/>
        <v>1</v>
      </c>
      <c r="H1894" s="102">
        <f t="shared" si="130"/>
        <v>1</v>
      </c>
    </row>
    <row r="1895" spans="4:8" x14ac:dyDescent="0.3">
      <c r="D1895" s="99" t="s">
        <v>2809</v>
      </c>
      <c r="E1895" s="100">
        <v>45924</v>
      </c>
      <c r="F1895" s="100" t="str">
        <f t="shared" si="131"/>
        <v/>
      </c>
      <c r="G1895" s="101" t="str">
        <f t="shared" si="132"/>
        <v/>
      </c>
      <c r="H1895" s="102" t="str">
        <f t="shared" si="130"/>
        <v/>
      </c>
    </row>
    <row r="1896" spans="4:8" x14ac:dyDescent="0.3">
      <c r="D1896" s="99" t="s">
        <v>2810</v>
      </c>
      <c r="E1896" s="100">
        <v>45715</v>
      </c>
      <c r="F1896" s="100">
        <f t="shared" si="131"/>
        <v>45940</v>
      </c>
      <c r="G1896" s="101">
        <f t="shared" si="132"/>
        <v>225</v>
      </c>
      <c r="H1896" s="102">
        <f t="shared" si="130"/>
        <v>0</v>
      </c>
    </row>
    <row r="1897" spans="4:8" x14ac:dyDescent="0.3">
      <c r="D1897" s="99" t="s">
        <v>2810</v>
      </c>
      <c r="E1897" s="100">
        <v>45940</v>
      </c>
      <c r="F1897" s="100" t="str">
        <f t="shared" si="131"/>
        <v/>
      </c>
      <c r="G1897" s="101" t="str">
        <f t="shared" si="132"/>
        <v/>
      </c>
      <c r="H1897" s="102" t="str">
        <f t="shared" si="130"/>
        <v/>
      </c>
    </row>
    <row r="1898" spans="4:8" x14ac:dyDescent="0.3">
      <c r="D1898" s="99" t="s">
        <v>2811</v>
      </c>
      <c r="E1898" s="100">
        <v>45667</v>
      </c>
      <c r="F1898" s="100">
        <f t="shared" si="131"/>
        <v>45833</v>
      </c>
      <c r="G1898" s="101">
        <f t="shared" si="132"/>
        <v>166</v>
      </c>
      <c r="H1898" s="102">
        <f t="shared" si="130"/>
        <v>0</v>
      </c>
    </row>
    <row r="1899" spans="4:8" x14ac:dyDescent="0.3">
      <c r="D1899" s="99" t="s">
        <v>2811</v>
      </c>
      <c r="E1899" s="100">
        <v>45833</v>
      </c>
      <c r="F1899" s="100" t="str">
        <f t="shared" si="131"/>
        <v/>
      </c>
      <c r="G1899" s="101" t="str">
        <f t="shared" si="132"/>
        <v/>
      </c>
      <c r="H1899" s="102" t="str">
        <f t="shared" si="130"/>
        <v/>
      </c>
    </row>
    <row r="1900" spans="4:8" x14ac:dyDescent="0.3">
      <c r="D1900" s="99" t="s">
        <v>2812</v>
      </c>
      <c r="E1900" s="100">
        <v>45807</v>
      </c>
      <c r="F1900" s="100" t="str">
        <f t="shared" si="131"/>
        <v/>
      </c>
      <c r="G1900" s="101" t="str">
        <f t="shared" si="132"/>
        <v/>
      </c>
      <c r="H1900" s="102" t="str">
        <f t="shared" si="130"/>
        <v/>
      </c>
    </row>
    <row r="1901" spans="4:8" x14ac:dyDescent="0.3">
      <c r="D1901" s="99" t="s">
        <v>2813</v>
      </c>
      <c r="E1901" s="100">
        <v>45673</v>
      </c>
      <c r="F1901" s="100" t="str">
        <f t="shared" si="131"/>
        <v/>
      </c>
      <c r="G1901" s="101" t="str">
        <f t="shared" si="132"/>
        <v/>
      </c>
      <c r="H1901" s="102" t="str">
        <f t="shared" si="130"/>
        <v/>
      </c>
    </row>
    <row r="1902" spans="4:8" x14ac:dyDescent="0.3">
      <c r="D1902" s="99" t="s">
        <v>2814</v>
      </c>
      <c r="E1902" s="100">
        <v>45742</v>
      </c>
      <c r="F1902" s="100">
        <f t="shared" si="131"/>
        <v>46000</v>
      </c>
      <c r="G1902" s="101">
        <f t="shared" si="132"/>
        <v>258</v>
      </c>
      <c r="H1902" s="102">
        <f t="shared" si="130"/>
        <v>0</v>
      </c>
    </row>
    <row r="1903" spans="4:8" x14ac:dyDescent="0.3">
      <c r="D1903" s="99" t="s">
        <v>2814</v>
      </c>
      <c r="E1903" s="100">
        <v>46000</v>
      </c>
      <c r="F1903" s="100" t="str">
        <f t="shared" si="131"/>
        <v/>
      </c>
      <c r="G1903" s="101" t="str">
        <f t="shared" si="132"/>
        <v/>
      </c>
      <c r="H1903" s="102" t="str">
        <f t="shared" si="130"/>
        <v/>
      </c>
    </row>
    <row r="1904" spans="4:8" x14ac:dyDescent="0.3">
      <c r="D1904" s="99" t="s">
        <v>2815</v>
      </c>
      <c r="E1904" s="100">
        <v>45714</v>
      </c>
      <c r="F1904" s="100">
        <f t="shared" si="131"/>
        <v>45764</v>
      </c>
      <c r="G1904" s="101">
        <f t="shared" si="132"/>
        <v>50</v>
      </c>
      <c r="H1904" s="102">
        <f t="shared" si="130"/>
        <v>0</v>
      </c>
    </row>
    <row r="1905" spans="4:8" x14ac:dyDescent="0.3">
      <c r="D1905" s="99" t="s">
        <v>2815</v>
      </c>
      <c r="E1905" s="100">
        <v>45764</v>
      </c>
      <c r="F1905" s="100">
        <f t="shared" si="131"/>
        <v>45782</v>
      </c>
      <c r="G1905" s="101">
        <f t="shared" si="132"/>
        <v>18</v>
      </c>
      <c r="H1905" s="102">
        <f t="shared" si="130"/>
        <v>1</v>
      </c>
    </row>
    <row r="1906" spans="4:8" x14ac:dyDescent="0.3">
      <c r="D1906" s="99" t="s">
        <v>2815</v>
      </c>
      <c r="E1906" s="100">
        <v>45782</v>
      </c>
      <c r="F1906" s="100">
        <f t="shared" si="131"/>
        <v>45863</v>
      </c>
      <c r="G1906" s="101">
        <f t="shared" si="132"/>
        <v>81</v>
      </c>
      <c r="H1906" s="102">
        <f t="shared" si="130"/>
        <v>0</v>
      </c>
    </row>
    <row r="1907" spans="4:8" x14ac:dyDescent="0.3">
      <c r="D1907" s="99" t="s">
        <v>2815</v>
      </c>
      <c r="E1907" s="100">
        <v>45863</v>
      </c>
      <c r="F1907" s="100">
        <f t="shared" si="131"/>
        <v>45904</v>
      </c>
      <c r="G1907" s="101">
        <f t="shared" si="132"/>
        <v>41</v>
      </c>
      <c r="H1907" s="102">
        <f t="shared" si="130"/>
        <v>0</v>
      </c>
    </row>
    <row r="1908" spans="4:8" x14ac:dyDescent="0.3">
      <c r="D1908" s="99" t="s">
        <v>2815</v>
      </c>
      <c r="E1908" s="100">
        <v>45904</v>
      </c>
      <c r="F1908" s="100">
        <f t="shared" si="131"/>
        <v>45994</v>
      </c>
      <c r="G1908" s="101">
        <f t="shared" si="132"/>
        <v>90</v>
      </c>
      <c r="H1908" s="102">
        <f t="shared" si="130"/>
        <v>0</v>
      </c>
    </row>
    <row r="1909" spans="4:8" x14ac:dyDescent="0.3">
      <c r="D1909" s="99" t="s">
        <v>2815</v>
      </c>
      <c r="E1909" s="100">
        <v>45994</v>
      </c>
      <c r="F1909" s="100" t="str">
        <f t="shared" si="131"/>
        <v/>
      </c>
      <c r="G1909" s="101" t="str">
        <f t="shared" si="132"/>
        <v/>
      </c>
      <c r="H1909" s="102" t="str">
        <f t="shared" si="130"/>
        <v/>
      </c>
    </row>
    <row r="1910" spans="4:8" x14ac:dyDescent="0.3">
      <c r="D1910" s="99" t="s">
        <v>2816</v>
      </c>
      <c r="E1910" s="100">
        <v>45863</v>
      </c>
      <c r="F1910" s="100">
        <f t="shared" si="131"/>
        <v>45881</v>
      </c>
      <c r="G1910" s="101">
        <f t="shared" si="132"/>
        <v>18</v>
      </c>
      <c r="H1910" s="102">
        <f t="shared" si="130"/>
        <v>1</v>
      </c>
    </row>
    <row r="1911" spans="4:8" x14ac:dyDescent="0.3">
      <c r="D1911" s="99" t="s">
        <v>2816</v>
      </c>
      <c r="E1911" s="100">
        <v>45881</v>
      </c>
      <c r="F1911" s="100" t="str">
        <f t="shared" si="131"/>
        <v/>
      </c>
      <c r="G1911" s="101" t="str">
        <f t="shared" si="132"/>
        <v/>
      </c>
      <c r="H1911" s="102" t="str">
        <f t="shared" si="130"/>
        <v/>
      </c>
    </row>
    <row r="1912" spans="4:8" x14ac:dyDescent="0.3">
      <c r="D1912" s="99" t="s">
        <v>2817</v>
      </c>
      <c r="E1912" s="100">
        <v>45685</v>
      </c>
      <c r="F1912" s="100">
        <f t="shared" si="131"/>
        <v>45714</v>
      </c>
      <c r="G1912" s="101">
        <f t="shared" si="132"/>
        <v>29</v>
      </c>
      <c r="H1912" s="102">
        <f t="shared" si="130"/>
        <v>1</v>
      </c>
    </row>
    <row r="1913" spans="4:8" x14ac:dyDescent="0.3">
      <c r="D1913" s="99" t="s">
        <v>2817</v>
      </c>
      <c r="E1913" s="100">
        <v>45714</v>
      </c>
      <c r="F1913" s="100">
        <f t="shared" si="131"/>
        <v>45758</v>
      </c>
      <c r="G1913" s="101">
        <f t="shared" si="132"/>
        <v>44</v>
      </c>
      <c r="H1913" s="102">
        <f t="shared" si="130"/>
        <v>0</v>
      </c>
    </row>
    <row r="1914" spans="4:8" x14ac:dyDescent="0.3">
      <c r="D1914" s="99" t="s">
        <v>2817</v>
      </c>
      <c r="E1914" s="100">
        <v>45758</v>
      </c>
      <c r="F1914" s="100">
        <f t="shared" si="131"/>
        <v>45790</v>
      </c>
      <c r="G1914" s="101">
        <f t="shared" si="132"/>
        <v>32</v>
      </c>
      <c r="H1914" s="102">
        <f t="shared" si="130"/>
        <v>0</v>
      </c>
    </row>
    <row r="1915" spans="4:8" x14ac:dyDescent="0.3">
      <c r="D1915" s="99" t="s">
        <v>2817</v>
      </c>
      <c r="E1915" s="100">
        <v>45790</v>
      </c>
      <c r="F1915" s="100">
        <f t="shared" si="131"/>
        <v>45838</v>
      </c>
      <c r="G1915" s="101">
        <f t="shared" si="132"/>
        <v>48</v>
      </c>
      <c r="H1915" s="102">
        <f t="shared" si="130"/>
        <v>0</v>
      </c>
    </row>
    <row r="1916" spans="4:8" x14ac:dyDescent="0.3">
      <c r="D1916" s="99" t="s">
        <v>2817</v>
      </c>
      <c r="E1916" s="100">
        <v>45838</v>
      </c>
      <c r="F1916" s="100">
        <f t="shared" si="131"/>
        <v>45917</v>
      </c>
      <c r="G1916" s="101">
        <f t="shared" si="132"/>
        <v>79</v>
      </c>
      <c r="H1916" s="102">
        <f t="shared" si="130"/>
        <v>0</v>
      </c>
    </row>
    <row r="1917" spans="4:8" x14ac:dyDescent="0.3">
      <c r="D1917" s="99" t="s">
        <v>2817</v>
      </c>
      <c r="E1917" s="100">
        <v>45917</v>
      </c>
      <c r="F1917" s="100" t="str">
        <f t="shared" si="131"/>
        <v/>
      </c>
      <c r="G1917" s="101" t="str">
        <f t="shared" si="132"/>
        <v/>
      </c>
      <c r="H1917" s="102" t="str">
        <f t="shared" si="130"/>
        <v/>
      </c>
    </row>
    <row r="1918" spans="4:8" x14ac:dyDescent="0.3">
      <c r="D1918" s="99" t="s">
        <v>2818</v>
      </c>
      <c r="E1918" s="100">
        <v>45768</v>
      </c>
      <c r="F1918" s="100">
        <f t="shared" si="131"/>
        <v>45771</v>
      </c>
      <c r="G1918" s="101">
        <f t="shared" si="132"/>
        <v>3</v>
      </c>
      <c r="H1918" s="102">
        <f t="shared" si="130"/>
        <v>1</v>
      </c>
    </row>
    <row r="1919" spans="4:8" x14ac:dyDescent="0.3">
      <c r="D1919" s="99" t="s">
        <v>2818</v>
      </c>
      <c r="E1919" s="100">
        <v>45771</v>
      </c>
      <c r="F1919" s="100">
        <f t="shared" si="131"/>
        <v>45915</v>
      </c>
      <c r="G1919" s="101">
        <f t="shared" si="132"/>
        <v>144</v>
      </c>
      <c r="H1919" s="102">
        <f t="shared" si="130"/>
        <v>0</v>
      </c>
    </row>
    <row r="1920" spans="4:8" x14ac:dyDescent="0.3">
      <c r="D1920" s="99" t="s">
        <v>2818</v>
      </c>
      <c r="E1920" s="100">
        <v>45915</v>
      </c>
      <c r="F1920" s="100">
        <f t="shared" si="131"/>
        <v>45944</v>
      </c>
      <c r="G1920" s="101">
        <f t="shared" si="132"/>
        <v>29</v>
      </c>
      <c r="H1920" s="102">
        <f t="shared" si="130"/>
        <v>1</v>
      </c>
    </row>
    <row r="1921" spans="4:8" x14ac:dyDescent="0.3">
      <c r="D1921" s="99" t="s">
        <v>2818</v>
      </c>
      <c r="E1921" s="100">
        <v>45944</v>
      </c>
      <c r="F1921" s="100">
        <f t="shared" si="131"/>
        <v>45988</v>
      </c>
      <c r="G1921" s="101">
        <f t="shared" si="132"/>
        <v>44</v>
      </c>
      <c r="H1921" s="102">
        <f t="shared" si="130"/>
        <v>0</v>
      </c>
    </row>
    <row r="1922" spans="4:8" x14ac:dyDescent="0.3">
      <c r="D1922" s="99" t="s">
        <v>2818</v>
      </c>
      <c r="E1922" s="100">
        <v>45988</v>
      </c>
      <c r="F1922" s="100" t="str">
        <f t="shared" si="131"/>
        <v/>
      </c>
      <c r="G1922" s="101" t="str">
        <f t="shared" si="132"/>
        <v/>
      </c>
      <c r="H1922" s="102" t="str">
        <f t="shared" si="130"/>
        <v/>
      </c>
    </row>
    <row r="1923" spans="4:8" x14ac:dyDescent="0.3">
      <c r="D1923" s="99" t="s">
        <v>2819</v>
      </c>
      <c r="E1923" s="100">
        <v>45938</v>
      </c>
      <c r="F1923" s="100" t="str">
        <f t="shared" si="131"/>
        <v/>
      </c>
      <c r="G1923" s="101" t="str">
        <f t="shared" si="132"/>
        <v/>
      </c>
      <c r="H1923" s="102" t="str">
        <f t="shared" si="130"/>
        <v/>
      </c>
    </row>
    <row r="1924" spans="4:8" x14ac:dyDescent="0.3">
      <c r="D1924" s="99" t="s">
        <v>2820</v>
      </c>
      <c r="E1924" s="100">
        <v>45789</v>
      </c>
      <c r="F1924" s="100">
        <f t="shared" si="131"/>
        <v>45792</v>
      </c>
      <c r="G1924" s="101">
        <f t="shared" si="132"/>
        <v>3</v>
      </c>
      <c r="H1924" s="102">
        <f t="shared" si="130"/>
        <v>1</v>
      </c>
    </row>
    <row r="1925" spans="4:8" x14ac:dyDescent="0.3">
      <c r="D1925" s="99" t="s">
        <v>2820</v>
      </c>
      <c r="E1925" s="100">
        <v>45792</v>
      </c>
      <c r="F1925" s="100">
        <f t="shared" si="131"/>
        <v>45796</v>
      </c>
      <c r="G1925" s="101">
        <f t="shared" si="132"/>
        <v>4</v>
      </c>
      <c r="H1925" s="102">
        <f t="shared" si="130"/>
        <v>1</v>
      </c>
    </row>
    <row r="1926" spans="4:8" x14ac:dyDescent="0.3">
      <c r="D1926" s="99" t="s">
        <v>2820</v>
      </c>
      <c r="E1926" s="100">
        <v>45796</v>
      </c>
      <c r="F1926" s="100">
        <f t="shared" si="131"/>
        <v>45863</v>
      </c>
      <c r="G1926" s="101">
        <f t="shared" si="132"/>
        <v>67</v>
      </c>
      <c r="H1926" s="102">
        <f t="shared" si="130"/>
        <v>0</v>
      </c>
    </row>
    <row r="1927" spans="4:8" x14ac:dyDescent="0.3">
      <c r="D1927" s="99" t="s">
        <v>2820</v>
      </c>
      <c r="E1927" s="100">
        <v>45863</v>
      </c>
      <c r="F1927" s="100">
        <f t="shared" si="131"/>
        <v>45985</v>
      </c>
      <c r="G1927" s="101">
        <f t="shared" si="132"/>
        <v>122</v>
      </c>
      <c r="H1927" s="102">
        <f t="shared" ref="H1927:H1990" si="133">IF(G1927="","",IF(G1927&lt;=return_window,1,0))</f>
        <v>0</v>
      </c>
    </row>
    <row r="1928" spans="4:8" x14ac:dyDescent="0.3">
      <c r="D1928" s="99" t="s">
        <v>2820</v>
      </c>
      <c r="E1928" s="100">
        <v>45985</v>
      </c>
      <c r="F1928" s="100">
        <f t="shared" ref="F1928:F1991" si="134">IF(D1928=D1929,E1929,"")</f>
        <v>46015</v>
      </c>
      <c r="G1928" s="101">
        <f t="shared" ref="G1928:G1991" si="135">IF(F1928="","",F1928-E1928)</f>
        <v>30</v>
      </c>
      <c r="H1928" s="102">
        <f t="shared" si="133"/>
        <v>1</v>
      </c>
    </row>
    <row r="1929" spans="4:8" x14ac:dyDescent="0.3">
      <c r="D1929" s="99" t="s">
        <v>2820</v>
      </c>
      <c r="E1929" s="100">
        <v>46015</v>
      </c>
      <c r="F1929" s="100" t="str">
        <f t="shared" si="134"/>
        <v/>
      </c>
      <c r="G1929" s="101" t="str">
        <f t="shared" si="135"/>
        <v/>
      </c>
      <c r="H1929" s="102" t="str">
        <f t="shared" si="133"/>
        <v/>
      </c>
    </row>
    <row r="1930" spans="4:8" x14ac:dyDescent="0.3">
      <c r="D1930" s="99" t="s">
        <v>2821</v>
      </c>
      <c r="E1930" s="100">
        <v>45909</v>
      </c>
      <c r="F1930" s="100" t="str">
        <f t="shared" si="134"/>
        <v/>
      </c>
      <c r="G1930" s="101" t="str">
        <f t="shared" si="135"/>
        <v/>
      </c>
      <c r="H1930" s="102" t="str">
        <f t="shared" si="133"/>
        <v/>
      </c>
    </row>
    <row r="1931" spans="4:8" x14ac:dyDescent="0.3">
      <c r="D1931" s="99" t="s">
        <v>2822</v>
      </c>
      <c r="E1931" s="100">
        <v>45922</v>
      </c>
      <c r="F1931" s="100" t="str">
        <f t="shared" si="134"/>
        <v/>
      </c>
      <c r="G1931" s="101" t="str">
        <f t="shared" si="135"/>
        <v/>
      </c>
      <c r="H1931" s="102" t="str">
        <f t="shared" si="133"/>
        <v/>
      </c>
    </row>
    <row r="1932" spans="4:8" x14ac:dyDescent="0.3">
      <c r="D1932" s="99" t="s">
        <v>2823</v>
      </c>
      <c r="E1932" s="100">
        <v>45770</v>
      </c>
      <c r="F1932" s="100">
        <f t="shared" si="134"/>
        <v>45820</v>
      </c>
      <c r="G1932" s="101">
        <f t="shared" si="135"/>
        <v>50</v>
      </c>
      <c r="H1932" s="102">
        <f t="shared" si="133"/>
        <v>0</v>
      </c>
    </row>
    <row r="1933" spans="4:8" x14ac:dyDescent="0.3">
      <c r="D1933" s="99" t="s">
        <v>2823</v>
      </c>
      <c r="E1933" s="100">
        <v>45820</v>
      </c>
      <c r="F1933" s="100">
        <f t="shared" si="134"/>
        <v>45855</v>
      </c>
      <c r="G1933" s="101">
        <f t="shared" si="135"/>
        <v>35</v>
      </c>
      <c r="H1933" s="102">
        <f t="shared" si="133"/>
        <v>0</v>
      </c>
    </row>
    <row r="1934" spans="4:8" x14ac:dyDescent="0.3">
      <c r="D1934" s="99" t="s">
        <v>2823</v>
      </c>
      <c r="E1934" s="100">
        <v>45855</v>
      </c>
      <c r="F1934" s="100">
        <f t="shared" si="134"/>
        <v>46022</v>
      </c>
      <c r="G1934" s="101">
        <f t="shared" si="135"/>
        <v>167</v>
      </c>
      <c r="H1934" s="102">
        <f t="shared" si="133"/>
        <v>0</v>
      </c>
    </row>
    <row r="1935" spans="4:8" x14ac:dyDescent="0.3">
      <c r="D1935" s="99" t="s">
        <v>2823</v>
      </c>
      <c r="E1935" s="100">
        <v>46022</v>
      </c>
      <c r="F1935" s="100" t="str">
        <f t="shared" si="134"/>
        <v/>
      </c>
      <c r="G1935" s="101" t="str">
        <f t="shared" si="135"/>
        <v/>
      </c>
      <c r="H1935" s="102" t="str">
        <f t="shared" si="133"/>
        <v/>
      </c>
    </row>
    <row r="1936" spans="4:8" x14ac:dyDescent="0.3">
      <c r="D1936" s="99" t="s">
        <v>2824</v>
      </c>
      <c r="E1936" s="100">
        <v>45694</v>
      </c>
      <c r="F1936" s="100">
        <f t="shared" si="134"/>
        <v>45758</v>
      </c>
      <c r="G1936" s="101">
        <f t="shared" si="135"/>
        <v>64</v>
      </c>
      <c r="H1936" s="102">
        <f t="shared" si="133"/>
        <v>0</v>
      </c>
    </row>
    <row r="1937" spans="4:8" x14ac:dyDescent="0.3">
      <c r="D1937" s="99" t="s">
        <v>2824</v>
      </c>
      <c r="E1937" s="100">
        <v>45758</v>
      </c>
      <c r="F1937" s="100">
        <f t="shared" si="134"/>
        <v>45896</v>
      </c>
      <c r="G1937" s="101">
        <f t="shared" si="135"/>
        <v>138</v>
      </c>
      <c r="H1937" s="102">
        <f t="shared" si="133"/>
        <v>0</v>
      </c>
    </row>
    <row r="1938" spans="4:8" x14ac:dyDescent="0.3">
      <c r="D1938" s="99" t="s">
        <v>2824</v>
      </c>
      <c r="E1938" s="100">
        <v>45896</v>
      </c>
      <c r="F1938" s="100">
        <f t="shared" si="134"/>
        <v>45904</v>
      </c>
      <c r="G1938" s="101">
        <f t="shared" si="135"/>
        <v>8</v>
      </c>
      <c r="H1938" s="102">
        <f t="shared" si="133"/>
        <v>1</v>
      </c>
    </row>
    <row r="1939" spans="4:8" x14ac:dyDescent="0.3">
      <c r="D1939" s="99" t="s">
        <v>2824</v>
      </c>
      <c r="E1939" s="100">
        <v>45904</v>
      </c>
      <c r="F1939" s="100">
        <f t="shared" si="134"/>
        <v>45965</v>
      </c>
      <c r="G1939" s="101">
        <f t="shared" si="135"/>
        <v>61</v>
      </c>
      <c r="H1939" s="102">
        <f t="shared" si="133"/>
        <v>0</v>
      </c>
    </row>
    <row r="1940" spans="4:8" x14ac:dyDescent="0.3">
      <c r="D1940" s="99" t="s">
        <v>2824</v>
      </c>
      <c r="E1940" s="100">
        <v>45965</v>
      </c>
      <c r="F1940" s="100">
        <f t="shared" si="134"/>
        <v>45978</v>
      </c>
      <c r="G1940" s="101">
        <f t="shared" si="135"/>
        <v>13</v>
      </c>
      <c r="H1940" s="102">
        <f t="shared" si="133"/>
        <v>1</v>
      </c>
    </row>
    <row r="1941" spans="4:8" x14ac:dyDescent="0.3">
      <c r="D1941" s="99" t="s">
        <v>2824</v>
      </c>
      <c r="E1941" s="100">
        <v>45978</v>
      </c>
      <c r="F1941" s="100">
        <f t="shared" si="134"/>
        <v>45992</v>
      </c>
      <c r="G1941" s="101">
        <f t="shared" si="135"/>
        <v>14</v>
      </c>
      <c r="H1941" s="102">
        <f t="shared" si="133"/>
        <v>1</v>
      </c>
    </row>
    <row r="1942" spans="4:8" x14ac:dyDescent="0.3">
      <c r="D1942" s="99" t="s">
        <v>2824</v>
      </c>
      <c r="E1942" s="100">
        <v>45992</v>
      </c>
      <c r="F1942" s="100" t="str">
        <f t="shared" si="134"/>
        <v/>
      </c>
      <c r="G1942" s="101" t="str">
        <f t="shared" si="135"/>
        <v/>
      </c>
      <c r="H1942" s="102" t="str">
        <f t="shared" si="133"/>
        <v/>
      </c>
    </row>
    <row r="1943" spans="4:8" x14ac:dyDescent="0.3">
      <c r="D1943" s="99" t="s">
        <v>2825</v>
      </c>
      <c r="E1943" s="100">
        <v>45672</v>
      </c>
      <c r="F1943" s="100">
        <f t="shared" si="134"/>
        <v>45685</v>
      </c>
      <c r="G1943" s="101">
        <f t="shared" si="135"/>
        <v>13</v>
      </c>
      <c r="H1943" s="102">
        <f t="shared" si="133"/>
        <v>1</v>
      </c>
    </row>
    <row r="1944" spans="4:8" x14ac:dyDescent="0.3">
      <c r="D1944" s="99" t="s">
        <v>2825</v>
      </c>
      <c r="E1944" s="100">
        <v>45685</v>
      </c>
      <c r="F1944" s="100">
        <f t="shared" si="134"/>
        <v>45744</v>
      </c>
      <c r="G1944" s="101">
        <f t="shared" si="135"/>
        <v>59</v>
      </c>
      <c r="H1944" s="102">
        <f t="shared" si="133"/>
        <v>0</v>
      </c>
    </row>
    <row r="1945" spans="4:8" x14ac:dyDescent="0.3">
      <c r="D1945" s="99" t="s">
        <v>2825</v>
      </c>
      <c r="E1945" s="100">
        <v>45744</v>
      </c>
      <c r="F1945" s="100">
        <f t="shared" si="134"/>
        <v>45995</v>
      </c>
      <c r="G1945" s="101">
        <f t="shared" si="135"/>
        <v>251</v>
      </c>
      <c r="H1945" s="102">
        <f t="shared" si="133"/>
        <v>0</v>
      </c>
    </row>
    <row r="1946" spans="4:8" x14ac:dyDescent="0.3">
      <c r="D1946" s="99" t="s">
        <v>2825</v>
      </c>
      <c r="E1946" s="100">
        <v>45995</v>
      </c>
      <c r="F1946" s="100" t="str">
        <f t="shared" si="134"/>
        <v/>
      </c>
      <c r="G1946" s="101" t="str">
        <f t="shared" si="135"/>
        <v/>
      </c>
      <c r="H1946" s="102" t="str">
        <f t="shared" si="133"/>
        <v/>
      </c>
    </row>
    <row r="1947" spans="4:8" x14ac:dyDescent="0.3">
      <c r="D1947" s="99" t="s">
        <v>2826</v>
      </c>
      <c r="E1947" s="100">
        <v>45750</v>
      </c>
      <c r="F1947" s="100" t="str">
        <f t="shared" si="134"/>
        <v/>
      </c>
      <c r="G1947" s="101" t="str">
        <f t="shared" si="135"/>
        <v/>
      </c>
      <c r="H1947" s="102" t="str">
        <f t="shared" si="133"/>
        <v/>
      </c>
    </row>
    <row r="1948" spans="4:8" x14ac:dyDescent="0.3">
      <c r="D1948" s="99" t="s">
        <v>2827</v>
      </c>
      <c r="E1948" s="100">
        <v>45842</v>
      </c>
      <c r="F1948" s="100">
        <f t="shared" si="134"/>
        <v>45842</v>
      </c>
      <c r="G1948" s="101">
        <f t="shared" si="135"/>
        <v>0</v>
      </c>
      <c r="H1948" s="102">
        <f t="shared" si="133"/>
        <v>1</v>
      </c>
    </row>
    <row r="1949" spans="4:8" x14ac:dyDescent="0.3">
      <c r="D1949" s="99" t="s">
        <v>2827</v>
      </c>
      <c r="E1949" s="100">
        <v>45842</v>
      </c>
      <c r="F1949" s="100" t="str">
        <f t="shared" si="134"/>
        <v/>
      </c>
      <c r="G1949" s="101" t="str">
        <f t="shared" si="135"/>
        <v/>
      </c>
      <c r="H1949" s="102" t="str">
        <f t="shared" si="133"/>
        <v/>
      </c>
    </row>
    <row r="1950" spans="4:8" x14ac:dyDescent="0.3">
      <c r="D1950" s="99" t="s">
        <v>2828</v>
      </c>
      <c r="E1950" s="100">
        <v>45730</v>
      </c>
      <c r="F1950" s="100">
        <f t="shared" si="134"/>
        <v>45847</v>
      </c>
      <c r="G1950" s="101">
        <f t="shared" si="135"/>
        <v>117</v>
      </c>
      <c r="H1950" s="102">
        <f t="shared" si="133"/>
        <v>0</v>
      </c>
    </row>
    <row r="1951" spans="4:8" x14ac:dyDescent="0.3">
      <c r="D1951" s="99" t="s">
        <v>2828</v>
      </c>
      <c r="E1951" s="100">
        <v>45847</v>
      </c>
      <c r="F1951" s="100">
        <f t="shared" si="134"/>
        <v>46013</v>
      </c>
      <c r="G1951" s="101">
        <f t="shared" si="135"/>
        <v>166</v>
      </c>
      <c r="H1951" s="102">
        <f t="shared" si="133"/>
        <v>0</v>
      </c>
    </row>
    <row r="1952" spans="4:8" x14ac:dyDescent="0.3">
      <c r="D1952" s="99" t="s">
        <v>2828</v>
      </c>
      <c r="E1952" s="100">
        <v>46013</v>
      </c>
      <c r="F1952" s="100" t="str">
        <f t="shared" si="134"/>
        <v/>
      </c>
      <c r="G1952" s="101" t="str">
        <f t="shared" si="135"/>
        <v/>
      </c>
      <c r="H1952" s="102" t="str">
        <f t="shared" si="133"/>
        <v/>
      </c>
    </row>
    <row r="1953" spans="4:8" x14ac:dyDescent="0.3">
      <c r="D1953" s="99" t="s">
        <v>2829</v>
      </c>
      <c r="E1953" s="100">
        <v>45943</v>
      </c>
      <c r="F1953" s="100">
        <f t="shared" si="134"/>
        <v>45974</v>
      </c>
      <c r="G1953" s="101">
        <f t="shared" si="135"/>
        <v>31</v>
      </c>
      <c r="H1953" s="102">
        <f t="shared" si="133"/>
        <v>0</v>
      </c>
    </row>
    <row r="1954" spans="4:8" x14ac:dyDescent="0.3">
      <c r="D1954" s="99" t="s">
        <v>2829</v>
      </c>
      <c r="E1954" s="100">
        <v>45974</v>
      </c>
      <c r="F1954" s="100">
        <f t="shared" si="134"/>
        <v>46016</v>
      </c>
      <c r="G1954" s="101">
        <f t="shared" si="135"/>
        <v>42</v>
      </c>
      <c r="H1954" s="102">
        <f t="shared" si="133"/>
        <v>0</v>
      </c>
    </row>
    <row r="1955" spans="4:8" x14ac:dyDescent="0.3">
      <c r="D1955" s="99" t="s">
        <v>2829</v>
      </c>
      <c r="E1955" s="100">
        <v>46016</v>
      </c>
      <c r="F1955" s="100" t="str">
        <f t="shared" si="134"/>
        <v/>
      </c>
      <c r="G1955" s="101" t="str">
        <f t="shared" si="135"/>
        <v/>
      </c>
      <c r="H1955" s="102" t="str">
        <f t="shared" si="133"/>
        <v/>
      </c>
    </row>
    <row r="1956" spans="4:8" x14ac:dyDescent="0.3">
      <c r="D1956" s="99" t="s">
        <v>2830</v>
      </c>
      <c r="E1956" s="100">
        <v>45698</v>
      </c>
      <c r="F1956" s="100">
        <f t="shared" si="134"/>
        <v>45882</v>
      </c>
      <c r="G1956" s="101">
        <f t="shared" si="135"/>
        <v>184</v>
      </c>
      <c r="H1956" s="102">
        <f t="shared" si="133"/>
        <v>0</v>
      </c>
    </row>
    <row r="1957" spans="4:8" x14ac:dyDescent="0.3">
      <c r="D1957" s="99" t="s">
        <v>2830</v>
      </c>
      <c r="E1957" s="100">
        <v>45882</v>
      </c>
      <c r="F1957" s="100">
        <f t="shared" si="134"/>
        <v>45950</v>
      </c>
      <c r="G1957" s="101">
        <f t="shared" si="135"/>
        <v>68</v>
      </c>
      <c r="H1957" s="102">
        <f t="shared" si="133"/>
        <v>0</v>
      </c>
    </row>
    <row r="1958" spans="4:8" x14ac:dyDescent="0.3">
      <c r="D1958" s="99" t="s">
        <v>2830</v>
      </c>
      <c r="E1958" s="100">
        <v>45950</v>
      </c>
      <c r="F1958" s="100">
        <f t="shared" si="134"/>
        <v>45954</v>
      </c>
      <c r="G1958" s="101">
        <f t="shared" si="135"/>
        <v>4</v>
      </c>
      <c r="H1958" s="102">
        <f t="shared" si="133"/>
        <v>1</v>
      </c>
    </row>
    <row r="1959" spans="4:8" x14ac:dyDescent="0.3">
      <c r="D1959" s="99" t="s">
        <v>2830</v>
      </c>
      <c r="E1959" s="100">
        <v>45954</v>
      </c>
      <c r="F1959" s="100" t="str">
        <f t="shared" si="134"/>
        <v/>
      </c>
      <c r="G1959" s="101" t="str">
        <f t="shared" si="135"/>
        <v/>
      </c>
      <c r="H1959" s="102" t="str">
        <f t="shared" si="133"/>
        <v/>
      </c>
    </row>
    <row r="1960" spans="4:8" x14ac:dyDescent="0.3">
      <c r="D1960" s="99" t="s">
        <v>2831</v>
      </c>
      <c r="E1960" s="100">
        <v>45742</v>
      </c>
      <c r="F1960" s="100">
        <f t="shared" si="134"/>
        <v>45817</v>
      </c>
      <c r="G1960" s="101">
        <f t="shared" si="135"/>
        <v>75</v>
      </c>
      <c r="H1960" s="102">
        <f t="shared" si="133"/>
        <v>0</v>
      </c>
    </row>
    <row r="1961" spans="4:8" x14ac:dyDescent="0.3">
      <c r="D1961" s="99" t="s">
        <v>2831</v>
      </c>
      <c r="E1961" s="100">
        <v>45817</v>
      </c>
      <c r="F1961" s="100">
        <f t="shared" si="134"/>
        <v>45827</v>
      </c>
      <c r="G1961" s="101">
        <f t="shared" si="135"/>
        <v>10</v>
      </c>
      <c r="H1961" s="102">
        <f t="shared" si="133"/>
        <v>1</v>
      </c>
    </row>
    <row r="1962" spans="4:8" x14ac:dyDescent="0.3">
      <c r="D1962" s="99" t="s">
        <v>2831</v>
      </c>
      <c r="E1962" s="100">
        <v>45827</v>
      </c>
      <c r="F1962" s="100">
        <f t="shared" si="134"/>
        <v>45827</v>
      </c>
      <c r="G1962" s="101">
        <f t="shared" si="135"/>
        <v>0</v>
      </c>
      <c r="H1962" s="102">
        <f t="shared" si="133"/>
        <v>1</v>
      </c>
    </row>
    <row r="1963" spans="4:8" x14ac:dyDescent="0.3">
      <c r="D1963" s="99" t="s">
        <v>2831</v>
      </c>
      <c r="E1963" s="100">
        <v>45827</v>
      </c>
      <c r="F1963" s="100" t="str">
        <f t="shared" si="134"/>
        <v/>
      </c>
      <c r="G1963" s="101" t="str">
        <f t="shared" si="135"/>
        <v/>
      </c>
      <c r="H1963" s="102" t="str">
        <f t="shared" si="133"/>
        <v/>
      </c>
    </row>
    <row r="1964" spans="4:8" x14ac:dyDescent="0.3">
      <c r="D1964" s="99" t="s">
        <v>2832</v>
      </c>
      <c r="E1964" s="100">
        <v>45699</v>
      </c>
      <c r="F1964" s="100">
        <f t="shared" si="134"/>
        <v>45799</v>
      </c>
      <c r="G1964" s="101">
        <f t="shared" si="135"/>
        <v>100</v>
      </c>
      <c r="H1964" s="102">
        <f t="shared" si="133"/>
        <v>0</v>
      </c>
    </row>
    <row r="1965" spans="4:8" x14ac:dyDescent="0.3">
      <c r="D1965" s="99" t="s">
        <v>2832</v>
      </c>
      <c r="E1965" s="100">
        <v>45799</v>
      </c>
      <c r="F1965" s="100" t="str">
        <f t="shared" si="134"/>
        <v/>
      </c>
      <c r="G1965" s="101" t="str">
        <f t="shared" si="135"/>
        <v/>
      </c>
      <c r="H1965" s="102" t="str">
        <f t="shared" si="133"/>
        <v/>
      </c>
    </row>
    <row r="1966" spans="4:8" x14ac:dyDescent="0.3">
      <c r="D1966" s="99" t="s">
        <v>2833</v>
      </c>
      <c r="E1966" s="100">
        <v>45666</v>
      </c>
      <c r="F1966" s="100">
        <f t="shared" si="134"/>
        <v>45755</v>
      </c>
      <c r="G1966" s="101">
        <f t="shared" si="135"/>
        <v>89</v>
      </c>
      <c r="H1966" s="102">
        <f t="shared" si="133"/>
        <v>0</v>
      </c>
    </row>
    <row r="1967" spans="4:8" x14ac:dyDescent="0.3">
      <c r="D1967" s="99" t="s">
        <v>2833</v>
      </c>
      <c r="E1967" s="100">
        <v>45755</v>
      </c>
      <c r="F1967" s="100">
        <f t="shared" si="134"/>
        <v>45881</v>
      </c>
      <c r="G1967" s="101">
        <f t="shared" si="135"/>
        <v>126</v>
      </c>
      <c r="H1967" s="102">
        <f t="shared" si="133"/>
        <v>0</v>
      </c>
    </row>
    <row r="1968" spans="4:8" x14ac:dyDescent="0.3">
      <c r="D1968" s="99" t="s">
        <v>2833</v>
      </c>
      <c r="E1968" s="100">
        <v>45881</v>
      </c>
      <c r="F1968" s="100">
        <f t="shared" si="134"/>
        <v>45951</v>
      </c>
      <c r="G1968" s="101">
        <f t="shared" si="135"/>
        <v>70</v>
      </c>
      <c r="H1968" s="102">
        <f t="shared" si="133"/>
        <v>0</v>
      </c>
    </row>
    <row r="1969" spans="4:8" x14ac:dyDescent="0.3">
      <c r="D1969" s="99" t="s">
        <v>2833</v>
      </c>
      <c r="E1969" s="100">
        <v>45951</v>
      </c>
      <c r="F1969" s="100" t="str">
        <f t="shared" si="134"/>
        <v/>
      </c>
      <c r="G1969" s="101" t="str">
        <f t="shared" si="135"/>
        <v/>
      </c>
      <c r="H1969" s="102" t="str">
        <f t="shared" si="133"/>
        <v/>
      </c>
    </row>
    <row r="1970" spans="4:8" x14ac:dyDescent="0.3">
      <c r="D1970" s="99" t="s">
        <v>2834</v>
      </c>
      <c r="E1970" s="100">
        <v>45827</v>
      </c>
      <c r="F1970" s="100">
        <f t="shared" si="134"/>
        <v>45835</v>
      </c>
      <c r="G1970" s="101">
        <f t="shared" si="135"/>
        <v>8</v>
      </c>
      <c r="H1970" s="102">
        <f t="shared" si="133"/>
        <v>1</v>
      </c>
    </row>
    <row r="1971" spans="4:8" x14ac:dyDescent="0.3">
      <c r="D1971" s="99" t="s">
        <v>2834</v>
      </c>
      <c r="E1971" s="100">
        <v>45835</v>
      </c>
      <c r="F1971" s="100">
        <f t="shared" si="134"/>
        <v>45848</v>
      </c>
      <c r="G1971" s="101">
        <f t="shared" si="135"/>
        <v>13</v>
      </c>
      <c r="H1971" s="102">
        <f t="shared" si="133"/>
        <v>1</v>
      </c>
    </row>
    <row r="1972" spans="4:8" x14ac:dyDescent="0.3">
      <c r="D1972" s="99" t="s">
        <v>2834</v>
      </c>
      <c r="E1972" s="100">
        <v>45848</v>
      </c>
      <c r="F1972" s="100" t="str">
        <f t="shared" si="134"/>
        <v/>
      </c>
      <c r="G1972" s="101" t="str">
        <f t="shared" si="135"/>
        <v/>
      </c>
      <c r="H1972" s="102" t="str">
        <f t="shared" si="133"/>
        <v/>
      </c>
    </row>
    <row r="1973" spans="4:8" x14ac:dyDescent="0.3">
      <c r="D1973" s="99" t="s">
        <v>2835</v>
      </c>
      <c r="E1973" s="100">
        <v>45701</v>
      </c>
      <c r="F1973" s="100" t="str">
        <f t="shared" si="134"/>
        <v/>
      </c>
      <c r="G1973" s="101" t="str">
        <f t="shared" si="135"/>
        <v/>
      </c>
      <c r="H1973" s="102" t="str">
        <f t="shared" si="133"/>
        <v/>
      </c>
    </row>
    <row r="1974" spans="4:8" x14ac:dyDescent="0.3">
      <c r="D1974" s="99" t="s">
        <v>2836</v>
      </c>
      <c r="E1974" s="100">
        <v>45716</v>
      </c>
      <c r="F1974" s="100" t="str">
        <f t="shared" si="134"/>
        <v/>
      </c>
      <c r="G1974" s="101" t="str">
        <f t="shared" si="135"/>
        <v/>
      </c>
      <c r="H1974" s="102" t="str">
        <f t="shared" si="133"/>
        <v/>
      </c>
    </row>
    <row r="1975" spans="4:8" x14ac:dyDescent="0.3">
      <c r="D1975" s="99" t="s">
        <v>2837</v>
      </c>
      <c r="E1975" s="100">
        <v>45658</v>
      </c>
      <c r="F1975" s="100">
        <f t="shared" si="134"/>
        <v>45861</v>
      </c>
      <c r="G1975" s="101">
        <f t="shared" si="135"/>
        <v>203</v>
      </c>
      <c r="H1975" s="102">
        <f t="shared" si="133"/>
        <v>0</v>
      </c>
    </row>
    <row r="1976" spans="4:8" x14ac:dyDescent="0.3">
      <c r="D1976" s="99" t="s">
        <v>2837</v>
      </c>
      <c r="E1976" s="100">
        <v>45861</v>
      </c>
      <c r="F1976" s="100">
        <f t="shared" si="134"/>
        <v>45882</v>
      </c>
      <c r="G1976" s="101">
        <f t="shared" si="135"/>
        <v>21</v>
      </c>
      <c r="H1976" s="102">
        <f t="shared" si="133"/>
        <v>1</v>
      </c>
    </row>
    <row r="1977" spans="4:8" x14ac:dyDescent="0.3">
      <c r="D1977" s="99" t="s">
        <v>2837</v>
      </c>
      <c r="E1977" s="100">
        <v>45882</v>
      </c>
      <c r="F1977" s="100">
        <f t="shared" si="134"/>
        <v>45905</v>
      </c>
      <c r="G1977" s="101">
        <f t="shared" si="135"/>
        <v>23</v>
      </c>
      <c r="H1977" s="102">
        <f t="shared" si="133"/>
        <v>1</v>
      </c>
    </row>
    <row r="1978" spans="4:8" x14ac:dyDescent="0.3">
      <c r="D1978" s="99" t="s">
        <v>2837</v>
      </c>
      <c r="E1978" s="100">
        <v>45905</v>
      </c>
      <c r="F1978" s="100">
        <f t="shared" si="134"/>
        <v>45999</v>
      </c>
      <c r="G1978" s="101">
        <f t="shared" si="135"/>
        <v>94</v>
      </c>
      <c r="H1978" s="102">
        <f t="shared" si="133"/>
        <v>0</v>
      </c>
    </row>
    <row r="1979" spans="4:8" x14ac:dyDescent="0.3">
      <c r="D1979" s="99" t="s">
        <v>2837</v>
      </c>
      <c r="E1979" s="100">
        <v>45999</v>
      </c>
      <c r="F1979" s="100" t="str">
        <f t="shared" si="134"/>
        <v/>
      </c>
      <c r="G1979" s="101" t="str">
        <f t="shared" si="135"/>
        <v/>
      </c>
      <c r="H1979" s="102" t="str">
        <f t="shared" si="133"/>
        <v/>
      </c>
    </row>
    <row r="1980" spans="4:8" x14ac:dyDescent="0.3">
      <c r="D1980" s="99" t="s">
        <v>2838</v>
      </c>
      <c r="E1980" s="100">
        <v>45726</v>
      </c>
      <c r="F1980" s="100" t="str">
        <f t="shared" si="134"/>
        <v/>
      </c>
      <c r="G1980" s="101" t="str">
        <f t="shared" si="135"/>
        <v/>
      </c>
      <c r="H1980" s="102" t="str">
        <f t="shared" si="133"/>
        <v/>
      </c>
    </row>
    <row r="1981" spans="4:8" x14ac:dyDescent="0.3">
      <c r="D1981" s="99" t="s">
        <v>2839</v>
      </c>
      <c r="E1981" s="100">
        <v>45847</v>
      </c>
      <c r="F1981" s="100">
        <f t="shared" si="134"/>
        <v>45918</v>
      </c>
      <c r="G1981" s="101">
        <f t="shared" si="135"/>
        <v>71</v>
      </c>
      <c r="H1981" s="102">
        <f t="shared" si="133"/>
        <v>0</v>
      </c>
    </row>
    <row r="1982" spans="4:8" x14ac:dyDescent="0.3">
      <c r="D1982" s="99" t="s">
        <v>2839</v>
      </c>
      <c r="E1982" s="100">
        <v>45918</v>
      </c>
      <c r="F1982" s="100" t="str">
        <f t="shared" si="134"/>
        <v/>
      </c>
      <c r="G1982" s="101" t="str">
        <f t="shared" si="135"/>
        <v/>
      </c>
      <c r="H1982" s="102" t="str">
        <f t="shared" si="133"/>
        <v/>
      </c>
    </row>
    <row r="1983" spans="4:8" x14ac:dyDescent="0.3">
      <c r="D1983" s="99" t="s">
        <v>2840</v>
      </c>
      <c r="E1983" s="100">
        <v>45698</v>
      </c>
      <c r="F1983" s="100" t="str">
        <f t="shared" si="134"/>
        <v/>
      </c>
      <c r="G1983" s="101" t="str">
        <f t="shared" si="135"/>
        <v/>
      </c>
      <c r="H1983" s="102" t="str">
        <f t="shared" si="133"/>
        <v/>
      </c>
    </row>
    <row r="1984" spans="4:8" x14ac:dyDescent="0.3">
      <c r="D1984" s="99" t="s">
        <v>2841</v>
      </c>
      <c r="E1984" s="100">
        <v>45714</v>
      </c>
      <c r="F1984" s="100">
        <f t="shared" si="134"/>
        <v>45875</v>
      </c>
      <c r="G1984" s="101">
        <f t="shared" si="135"/>
        <v>161</v>
      </c>
      <c r="H1984" s="102">
        <f t="shared" si="133"/>
        <v>0</v>
      </c>
    </row>
    <row r="1985" spans="4:8" x14ac:dyDescent="0.3">
      <c r="D1985" s="99" t="s">
        <v>2841</v>
      </c>
      <c r="E1985" s="100">
        <v>45875</v>
      </c>
      <c r="F1985" s="100" t="str">
        <f t="shared" si="134"/>
        <v/>
      </c>
      <c r="G1985" s="101" t="str">
        <f t="shared" si="135"/>
        <v/>
      </c>
      <c r="H1985" s="102" t="str">
        <f t="shared" si="133"/>
        <v/>
      </c>
    </row>
    <row r="1986" spans="4:8" x14ac:dyDescent="0.3">
      <c r="D1986" s="99" t="s">
        <v>2842</v>
      </c>
      <c r="E1986" s="100">
        <v>45790</v>
      </c>
      <c r="F1986" s="100">
        <f t="shared" si="134"/>
        <v>45929</v>
      </c>
      <c r="G1986" s="101">
        <f t="shared" si="135"/>
        <v>139</v>
      </c>
      <c r="H1986" s="102">
        <f t="shared" si="133"/>
        <v>0</v>
      </c>
    </row>
    <row r="1987" spans="4:8" x14ac:dyDescent="0.3">
      <c r="D1987" s="99" t="s">
        <v>2842</v>
      </c>
      <c r="E1987" s="100">
        <v>45929</v>
      </c>
      <c r="F1987" s="100">
        <f t="shared" si="134"/>
        <v>46008</v>
      </c>
      <c r="G1987" s="101">
        <f t="shared" si="135"/>
        <v>79</v>
      </c>
      <c r="H1987" s="102">
        <f t="shared" si="133"/>
        <v>0</v>
      </c>
    </row>
    <row r="1988" spans="4:8" x14ac:dyDescent="0.3">
      <c r="D1988" s="99" t="s">
        <v>2842</v>
      </c>
      <c r="E1988" s="100">
        <v>46008</v>
      </c>
      <c r="F1988" s="100" t="str">
        <f t="shared" si="134"/>
        <v/>
      </c>
      <c r="G1988" s="101" t="str">
        <f t="shared" si="135"/>
        <v/>
      </c>
      <c r="H1988" s="102" t="str">
        <f t="shared" si="133"/>
        <v/>
      </c>
    </row>
    <row r="1989" spans="4:8" x14ac:dyDescent="0.3">
      <c r="D1989" s="99" t="s">
        <v>2843</v>
      </c>
      <c r="E1989" s="100">
        <v>45750</v>
      </c>
      <c r="F1989" s="100">
        <f t="shared" si="134"/>
        <v>45840</v>
      </c>
      <c r="G1989" s="101">
        <f t="shared" si="135"/>
        <v>90</v>
      </c>
      <c r="H1989" s="102">
        <f t="shared" si="133"/>
        <v>0</v>
      </c>
    </row>
    <row r="1990" spans="4:8" x14ac:dyDescent="0.3">
      <c r="D1990" s="99" t="s">
        <v>2843</v>
      </c>
      <c r="E1990" s="100">
        <v>45840</v>
      </c>
      <c r="F1990" s="100">
        <f t="shared" si="134"/>
        <v>45861</v>
      </c>
      <c r="G1990" s="101">
        <f t="shared" si="135"/>
        <v>21</v>
      </c>
      <c r="H1990" s="102">
        <f t="shared" si="133"/>
        <v>1</v>
      </c>
    </row>
    <row r="1991" spans="4:8" x14ac:dyDescent="0.3">
      <c r="D1991" s="99" t="s">
        <v>2843</v>
      </c>
      <c r="E1991" s="100">
        <v>45861</v>
      </c>
      <c r="F1991" s="100" t="str">
        <f t="shared" si="134"/>
        <v/>
      </c>
      <c r="G1991" s="101" t="str">
        <f t="shared" si="135"/>
        <v/>
      </c>
      <c r="H1991" s="102" t="str">
        <f t="shared" ref="H1991:H2006" si="136">IF(G1991="","",IF(G1991&lt;=return_window,1,0))</f>
        <v/>
      </c>
    </row>
    <row r="1992" spans="4:8" x14ac:dyDescent="0.3">
      <c r="D1992" s="99" t="s">
        <v>2844</v>
      </c>
      <c r="E1992" s="100">
        <v>45994</v>
      </c>
      <c r="F1992" s="100">
        <f t="shared" ref="F1992:F2006" si="137">IF(D1992=D1993,E1993,"")</f>
        <v>46014</v>
      </c>
      <c r="G1992" s="101">
        <f t="shared" ref="G1992:G2005" si="138">IF(F1992="","",F1992-E1992)</f>
        <v>20</v>
      </c>
      <c r="H1992" s="102">
        <f t="shared" si="136"/>
        <v>1</v>
      </c>
    </row>
    <row r="1993" spans="4:8" x14ac:dyDescent="0.3">
      <c r="D1993" s="99" t="s">
        <v>2844</v>
      </c>
      <c r="E1993" s="100">
        <v>46014</v>
      </c>
      <c r="F1993" s="100" t="str">
        <f t="shared" si="137"/>
        <v/>
      </c>
      <c r="G1993" s="101" t="str">
        <f t="shared" si="138"/>
        <v/>
      </c>
      <c r="H1993" s="102" t="str">
        <f t="shared" si="136"/>
        <v/>
      </c>
    </row>
    <row r="1994" spans="4:8" x14ac:dyDescent="0.3">
      <c r="D1994" s="99" t="s">
        <v>2845</v>
      </c>
      <c r="E1994" s="100">
        <v>45861</v>
      </c>
      <c r="F1994" s="100">
        <f t="shared" si="137"/>
        <v>45905</v>
      </c>
      <c r="G1994" s="101">
        <f t="shared" si="138"/>
        <v>44</v>
      </c>
      <c r="H1994" s="102">
        <f t="shared" si="136"/>
        <v>0</v>
      </c>
    </row>
    <row r="1995" spans="4:8" x14ac:dyDescent="0.3">
      <c r="D1995" s="99" t="s">
        <v>2845</v>
      </c>
      <c r="E1995" s="100">
        <v>45905</v>
      </c>
      <c r="F1995" s="100">
        <f t="shared" si="137"/>
        <v>45918</v>
      </c>
      <c r="G1995" s="101">
        <f t="shared" si="138"/>
        <v>13</v>
      </c>
      <c r="H1995" s="102">
        <f t="shared" si="136"/>
        <v>1</v>
      </c>
    </row>
    <row r="1996" spans="4:8" x14ac:dyDescent="0.3">
      <c r="D1996" s="99" t="s">
        <v>2845</v>
      </c>
      <c r="E1996" s="100">
        <v>45918</v>
      </c>
      <c r="F1996" s="100" t="str">
        <f t="shared" si="137"/>
        <v/>
      </c>
      <c r="G1996" s="101" t="str">
        <f t="shared" si="138"/>
        <v/>
      </c>
      <c r="H1996" s="102" t="str">
        <f t="shared" si="136"/>
        <v/>
      </c>
    </row>
    <row r="1997" spans="4:8" x14ac:dyDescent="0.3">
      <c r="D1997" s="99" t="s">
        <v>2846</v>
      </c>
      <c r="E1997" s="100">
        <v>45748</v>
      </c>
      <c r="F1997" s="100">
        <f t="shared" si="137"/>
        <v>45833</v>
      </c>
      <c r="G1997" s="101">
        <f t="shared" si="138"/>
        <v>85</v>
      </c>
      <c r="H1997" s="102">
        <f t="shared" si="136"/>
        <v>0</v>
      </c>
    </row>
    <row r="1998" spans="4:8" x14ac:dyDescent="0.3">
      <c r="D1998" s="99" t="s">
        <v>2846</v>
      </c>
      <c r="E1998" s="100">
        <v>45833</v>
      </c>
      <c r="F1998" s="100">
        <f t="shared" si="137"/>
        <v>45918</v>
      </c>
      <c r="G1998" s="101">
        <f t="shared" si="138"/>
        <v>85</v>
      </c>
      <c r="H1998" s="102">
        <f t="shared" si="136"/>
        <v>0</v>
      </c>
    </row>
    <row r="1999" spans="4:8" x14ac:dyDescent="0.3">
      <c r="D1999" s="99" t="s">
        <v>2846</v>
      </c>
      <c r="E1999" s="100">
        <v>45918</v>
      </c>
      <c r="F1999" s="100" t="str">
        <f t="shared" si="137"/>
        <v/>
      </c>
      <c r="G1999" s="101" t="str">
        <f t="shared" si="138"/>
        <v/>
      </c>
      <c r="H1999" s="102" t="str">
        <f t="shared" si="136"/>
        <v/>
      </c>
    </row>
    <row r="2000" spans="4:8" x14ac:dyDescent="0.3">
      <c r="D2000" s="99" t="s">
        <v>2847</v>
      </c>
      <c r="E2000" s="100">
        <v>45798</v>
      </c>
      <c r="F2000" s="100">
        <f t="shared" si="137"/>
        <v>45855</v>
      </c>
      <c r="G2000" s="101">
        <f t="shared" si="138"/>
        <v>57</v>
      </c>
      <c r="H2000" s="102">
        <f t="shared" si="136"/>
        <v>0</v>
      </c>
    </row>
    <row r="2001" spans="4:8" x14ac:dyDescent="0.3">
      <c r="D2001" s="99" t="s">
        <v>2847</v>
      </c>
      <c r="E2001" s="100">
        <v>45855</v>
      </c>
      <c r="F2001" s="100">
        <f t="shared" si="137"/>
        <v>45876</v>
      </c>
      <c r="G2001" s="101">
        <f t="shared" si="138"/>
        <v>21</v>
      </c>
      <c r="H2001" s="102">
        <f t="shared" si="136"/>
        <v>1</v>
      </c>
    </row>
    <row r="2002" spans="4:8" x14ac:dyDescent="0.3">
      <c r="D2002" s="99" t="s">
        <v>2847</v>
      </c>
      <c r="E2002" s="100">
        <v>45876</v>
      </c>
      <c r="F2002" s="100">
        <f t="shared" si="137"/>
        <v>45905</v>
      </c>
      <c r="G2002" s="101">
        <f t="shared" si="138"/>
        <v>29</v>
      </c>
      <c r="H2002" s="102">
        <f t="shared" si="136"/>
        <v>1</v>
      </c>
    </row>
    <row r="2003" spans="4:8" x14ac:dyDescent="0.3">
      <c r="D2003" s="99" t="s">
        <v>2847</v>
      </c>
      <c r="E2003" s="100">
        <v>45905</v>
      </c>
      <c r="F2003" s="100">
        <f t="shared" si="137"/>
        <v>45943</v>
      </c>
      <c r="G2003" s="101">
        <f t="shared" si="138"/>
        <v>38</v>
      </c>
      <c r="H2003" s="102">
        <f t="shared" si="136"/>
        <v>0</v>
      </c>
    </row>
    <row r="2004" spans="4:8" x14ac:dyDescent="0.3">
      <c r="D2004" s="99" t="s">
        <v>2847</v>
      </c>
      <c r="E2004" s="100">
        <v>45943</v>
      </c>
      <c r="F2004" s="100" t="str">
        <f t="shared" si="137"/>
        <v/>
      </c>
      <c r="G2004" s="101" t="str">
        <f t="shared" si="138"/>
        <v/>
      </c>
      <c r="H2004" s="102" t="str">
        <f t="shared" si="136"/>
        <v/>
      </c>
    </row>
    <row r="2005" spans="4:8" x14ac:dyDescent="0.3">
      <c r="D2005" s="99" t="s">
        <v>2848</v>
      </c>
      <c r="E2005" s="100">
        <v>45658</v>
      </c>
      <c r="F2005" s="100">
        <f>IF(D2005=D2006,E2006,"")</f>
        <v>45855</v>
      </c>
      <c r="G2005" s="101">
        <f t="shared" si="138"/>
        <v>197</v>
      </c>
      <c r="H2005" s="102">
        <f t="shared" si="136"/>
        <v>0</v>
      </c>
    </row>
    <row r="2006" spans="4:8" x14ac:dyDescent="0.3">
      <c r="D2006" s="99" t="s">
        <v>2848</v>
      </c>
      <c r="E2006" s="100">
        <v>45855</v>
      </c>
      <c r="F2006" s="100" t="str">
        <f t="shared" si="137"/>
        <v/>
      </c>
      <c r="G2006" s="101" t="str">
        <f>IF(F2006="","",F2006-E2006)</f>
        <v/>
      </c>
      <c r="H2006" s="102" t="str">
        <f t="shared" si="136"/>
        <v/>
      </c>
    </row>
  </sheetData>
  <autoFilter ref="D6:H2006" xr:uid="{FE582D4D-F104-4775-80CB-5454C2E1711A}"/>
  <sortState xmlns:xlrd2="http://schemas.microsoft.com/office/spreadsheetml/2017/richdata2" ref="D7:H2006">
    <sortCondition ref="D7:D2006"/>
    <sortCondition ref="E7:E200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8139-D638-404E-B78B-1164D2306C59}">
  <sheetPr>
    <tabColor theme="1" tint="4.9989318521683403E-2"/>
  </sheetPr>
  <dimension ref="A1:Q2006"/>
  <sheetViews>
    <sheetView showGridLines="0" topLeftCell="A4" zoomScale="80" zoomScaleNormal="80" workbookViewId="0">
      <selection activeCell="H8" sqref="H8"/>
    </sheetView>
  </sheetViews>
  <sheetFormatPr defaultColWidth="8.77734375" defaultRowHeight="15.6" x14ac:dyDescent="0.3"/>
  <cols>
    <col min="1" max="1" width="20.77734375" style="92" customWidth="1"/>
    <col min="2" max="2" width="3.21875" style="92" customWidth="1"/>
    <col min="3" max="3" width="15" style="92" bestFit="1" customWidth="1"/>
    <col min="4" max="5" width="3.21875" style="92" customWidth="1"/>
    <col min="6" max="6" width="15" bestFit="1" customWidth="1"/>
    <col min="7" max="7" width="11" style="92" customWidth="1"/>
    <col min="8" max="8" width="9.109375" style="92" customWidth="1"/>
    <col min="9" max="9" width="3.21875" style="92" customWidth="1"/>
    <col min="10" max="10" width="9.33203125" style="92" customWidth="1"/>
    <col min="11" max="11" width="10.33203125" style="92" bestFit="1" customWidth="1"/>
    <col min="12" max="12" width="14.44140625" style="92" customWidth="1"/>
    <col min="13" max="13" width="12.21875" style="92" customWidth="1"/>
    <col min="14" max="14" width="8.77734375" style="92"/>
    <col min="15" max="15" width="21.5546875" style="92" customWidth="1"/>
    <col min="16" max="20" width="8.77734375" style="92"/>
    <col min="21" max="21" width="33.44140625" style="92" bestFit="1" customWidth="1"/>
    <col min="22" max="16384" width="8.77734375" style="92"/>
  </cols>
  <sheetData>
    <row r="1" spans="1:17" s="87" customFormat="1" x14ac:dyDescent="0.3">
      <c r="A1" s="108" t="s">
        <v>2920</v>
      </c>
    </row>
    <row r="2" spans="1:17" s="89" customFormat="1" x14ac:dyDescent="0.3">
      <c r="A2" s="89" t="s">
        <v>2921</v>
      </c>
    </row>
    <row r="3" spans="1:17" s="89" customFormat="1" x14ac:dyDescent="0.3">
      <c r="A3" s="87" t="s">
        <v>3103</v>
      </c>
    </row>
    <row r="4" spans="1:17" x14ac:dyDescent="0.3">
      <c r="F4" s="92"/>
      <c r="G4" s="92" t="s">
        <v>2868</v>
      </c>
    </row>
    <row r="5" spans="1:17" x14ac:dyDescent="0.3">
      <c r="F5" s="92"/>
      <c r="G5" s="92" t="s">
        <v>3104</v>
      </c>
    </row>
    <row r="6" spans="1:17" s="91" customFormat="1" x14ac:dyDescent="0.3">
      <c r="A6" s="105" t="s">
        <v>2874</v>
      </c>
      <c r="C6" s="95" t="s">
        <v>2116</v>
      </c>
      <c r="F6" s="95" t="s">
        <v>2116</v>
      </c>
      <c r="G6" s="94" t="s">
        <v>2867</v>
      </c>
      <c r="H6" s="105" t="s">
        <v>2872</v>
      </c>
      <c r="K6" s="94" t="s">
        <v>2867</v>
      </c>
      <c r="L6" s="94" t="s">
        <v>2869</v>
      </c>
      <c r="M6" s="94" t="s">
        <v>2870</v>
      </c>
      <c r="N6" s="94" t="s">
        <v>3054</v>
      </c>
      <c r="O6" s="94" t="s">
        <v>3101</v>
      </c>
      <c r="Q6" s="115" t="s">
        <v>3102</v>
      </c>
    </row>
    <row r="7" spans="1:17" x14ac:dyDescent="0.3">
      <c r="A7" s="116">
        <v>3</v>
      </c>
      <c r="C7" s="99" t="s">
        <v>46</v>
      </c>
      <c r="F7" s="99" t="s">
        <v>46</v>
      </c>
      <c r="G7" s="42">
        <v>3</v>
      </c>
      <c r="H7" s="99" t="str">
        <f>IF(G7&gt;=frequency_threshold,"High","Low")</f>
        <v>High</v>
      </c>
      <c r="K7" s="99">
        <v>1</v>
      </c>
      <c r="L7" s="99">
        <f>COUNTIFS($G$7:$G$818,"&gt;="&amp;K7)</f>
        <v>812</v>
      </c>
      <c r="M7" s="103">
        <f>L7/$L$7</f>
        <v>1</v>
      </c>
      <c r="N7" s="103"/>
      <c r="O7" s="103"/>
    </row>
    <row r="8" spans="1:17" x14ac:dyDescent="0.3">
      <c r="C8" s="99" t="s">
        <v>46</v>
      </c>
      <c r="F8" s="99" t="s">
        <v>68</v>
      </c>
      <c r="G8" s="42">
        <v>5</v>
      </c>
      <c r="H8" s="99" t="str">
        <f t="shared" ref="H8:H70" si="0">IF(G8&gt;=frequency_threshold,"High","Low")</f>
        <v>High</v>
      </c>
      <c r="K8" s="99">
        <v>2</v>
      </c>
      <c r="L8" s="99">
        <f>COUNTIFS($G$7:$G$818,"&gt;="&amp;K8)</f>
        <v>520</v>
      </c>
      <c r="M8" s="103">
        <f>L8/$L$7</f>
        <v>0.64039408866995073</v>
      </c>
      <c r="N8" s="103">
        <f>M7-M8</f>
        <v>0.35960591133004927</v>
      </c>
      <c r="O8" s="103"/>
    </row>
    <row r="9" spans="1:17" x14ac:dyDescent="0.3">
      <c r="C9" s="99" t="s">
        <v>46</v>
      </c>
      <c r="F9" s="99" t="s">
        <v>78</v>
      </c>
      <c r="G9" s="42">
        <v>2</v>
      </c>
      <c r="H9" s="99" t="str">
        <f t="shared" si="0"/>
        <v>Low</v>
      </c>
      <c r="K9" s="118">
        <v>3</v>
      </c>
      <c r="L9" s="99">
        <f>COUNTIFS($G$7:$G$818,"&gt;="&amp;K9)</f>
        <v>313</v>
      </c>
      <c r="M9" s="103">
        <f t="shared" ref="M9:M15" si="1">L9/$L$7</f>
        <v>0.3854679802955665</v>
      </c>
      <c r="N9" s="103">
        <f t="shared" ref="N9:O16" si="2">M8-M9</f>
        <v>0.25492610837438423</v>
      </c>
      <c r="O9" s="103">
        <f>N8-N9</f>
        <v>0.10467980295566504</v>
      </c>
    </row>
    <row r="10" spans="1:17" x14ac:dyDescent="0.3">
      <c r="C10" s="99" t="s">
        <v>68</v>
      </c>
      <c r="F10" s="99" t="s">
        <v>89</v>
      </c>
      <c r="G10" s="42">
        <v>1</v>
      </c>
      <c r="H10" s="99" t="str">
        <f t="shared" si="0"/>
        <v>Low</v>
      </c>
      <c r="K10" s="99">
        <v>4</v>
      </c>
      <c r="L10" s="99">
        <f>COUNTIFS($G$7:$G$818,"&gt;="&amp;K10)</f>
        <v>163</v>
      </c>
      <c r="M10" s="103">
        <f t="shared" si="1"/>
        <v>0.20073891625615764</v>
      </c>
      <c r="N10" s="103">
        <f t="shared" si="2"/>
        <v>0.18472906403940886</v>
      </c>
      <c r="O10" s="103">
        <f t="shared" si="2"/>
        <v>7.0197044334975367E-2</v>
      </c>
    </row>
    <row r="11" spans="1:17" x14ac:dyDescent="0.3">
      <c r="C11" s="99" t="s">
        <v>68</v>
      </c>
      <c r="F11" s="99" t="s">
        <v>100</v>
      </c>
      <c r="G11" s="42">
        <v>1</v>
      </c>
      <c r="H11" s="99" t="str">
        <f t="shared" si="0"/>
        <v>Low</v>
      </c>
      <c r="K11" s="99">
        <v>5</v>
      </c>
      <c r="L11" s="99">
        <f t="shared" ref="L11:L16" si="3">COUNTIFS($G$7:$G$818,"&gt;="&amp;K11)</f>
        <v>85</v>
      </c>
      <c r="M11" s="103">
        <f t="shared" si="1"/>
        <v>0.10467980295566502</v>
      </c>
      <c r="N11" s="103">
        <f t="shared" si="2"/>
        <v>9.6059113300492618E-2</v>
      </c>
      <c r="O11" s="103">
        <f t="shared" si="2"/>
        <v>8.8669950738916245E-2</v>
      </c>
    </row>
    <row r="12" spans="1:17" x14ac:dyDescent="0.3">
      <c r="C12" s="99" t="s">
        <v>68</v>
      </c>
      <c r="F12" s="99" t="s">
        <v>117</v>
      </c>
      <c r="G12" s="42">
        <v>1</v>
      </c>
      <c r="H12" s="99" t="str">
        <f t="shared" si="0"/>
        <v>Low</v>
      </c>
      <c r="K12" s="99">
        <v>6</v>
      </c>
      <c r="L12" s="99">
        <f t="shared" si="3"/>
        <v>56</v>
      </c>
      <c r="M12" s="103">
        <f t="shared" si="1"/>
        <v>6.8965517241379309E-2</v>
      </c>
      <c r="N12" s="103">
        <f t="shared" si="2"/>
        <v>3.5714285714285712E-2</v>
      </c>
      <c r="O12" s="103">
        <f t="shared" si="2"/>
        <v>6.0344827586206906E-2</v>
      </c>
    </row>
    <row r="13" spans="1:17" x14ac:dyDescent="0.3">
      <c r="C13" s="99" t="s">
        <v>68</v>
      </c>
      <c r="F13" s="99" t="s">
        <v>126</v>
      </c>
      <c r="G13" s="42">
        <v>2</v>
      </c>
      <c r="H13" s="99" t="str">
        <f t="shared" si="0"/>
        <v>Low</v>
      </c>
      <c r="K13" s="99">
        <v>7</v>
      </c>
      <c r="L13" s="99">
        <f t="shared" si="3"/>
        <v>30</v>
      </c>
      <c r="M13" s="103">
        <f t="shared" si="1"/>
        <v>3.6945812807881777E-2</v>
      </c>
      <c r="N13" s="103">
        <f t="shared" si="2"/>
        <v>3.2019704433497533E-2</v>
      </c>
      <c r="O13" s="103">
        <f t="shared" si="2"/>
        <v>3.6945812807881798E-3</v>
      </c>
    </row>
    <row r="14" spans="1:17" x14ac:dyDescent="0.3">
      <c r="C14" s="99" t="s">
        <v>68</v>
      </c>
      <c r="F14" s="99" t="s">
        <v>152</v>
      </c>
      <c r="G14" s="42">
        <v>3</v>
      </c>
      <c r="H14" s="99" t="str">
        <f t="shared" si="0"/>
        <v>High</v>
      </c>
      <c r="K14" s="99">
        <v>8</v>
      </c>
      <c r="L14" s="99">
        <f t="shared" si="3"/>
        <v>12</v>
      </c>
      <c r="M14" s="103">
        <f t="shared" si="1"/>
        <v>1.4778325123152709E-2</v>
      </c>
      <c r="N14" s="103">
        <f t="shared" si="2"/>
        <v>2.2167487684729068E-2</v>
      </c>
      <c r="O14" s="103">
        <f t="shared" si="2"/>
        <v>9.8522167487684643E-3</v>
      </c>
    </row>
    <row r="15" spans="1:17" x14ac:dyDescent="0.3">
      <c r="C15" s="99" t="s">
        <v>78</v>
      </c>
      <c r="F15" s="99" t="s">
        <v>164</v>
      </c>
      <c r="G15" s="42">
        <v>3</v>
      </c>
      <c r="H15" s="99" t="str">
        <f t="shared" si="0"/>
        <v>High</v>
      </c>
      <c r="K15" s="99">
        <v>9</v>
      </c>
      <c r="L15" s="99">
        <f t="shared" si="3"/>
        <v>7</v>
      </c>
      <c r="M15" s="103">
        <f t="shared" si="1"/>
        <v>8.6206896551724137E-3</v>
      </c>
      <c r="N15" s="103">
        <f t="shared" si="2"/>
        <v>6.157635467980295E-3</v>
      </c>
      <c r="O15" s="103">
        <f t="shared" si="2"/>
        <v>1.6009852216748773E-2</v>
      </c>
    </row>
    <row r="16" spans="1:17" x14ac:dyDescent="0.3">
      <c r="C16" s="99" t="s">
        <v>78</v>
      </c>
      <c r="F16" s="99" t="s">
        <v>184</v>
      </c>
      <c r="G16" s="42">
        <v>1</v>
      </c>
      <c r="H16" s="99" t="str">
        <f t="shared" si="0"/>
        <v>Low</v>
      </c>
      <c r="K16" s="99">
        <v>10</v>
      </c>
      <c r="L16" s="99">
        <f t="shared" si="3"/>
        <v>2</v>
      </c>
      <c r="M16" s="103">
        <f>L16/$L$7</f>
        <v>2.4630541871921183E-3</v>
      </c>
      <c r="N16" s="103">
        <f t="shared" si="2"/>
        <v>6.157635467980295E-3</v>
      </c>
      <c r="O16" s="103">
        <f t="shared" si="2"/>
        <v>0</v>
      </c>
    </row>
    <row r="17" spans="3:12" x14ac:dyDescent="0.3">
      <c r="C17" s="99" t="s">
        <v>89</v>
      </c>
      <c r="F17" s="99" t="s">
        <v>204</v>
      </c>
      <c r="G17" s="42">
        <v>1</v>
      </c>
      <c r="H17" s="99" t="str">
        <f t="shared" si="0"/>
        <v>Low</v>
      </c>
    </row>
    <row r="18" spans="3:12" x14ac:dyDescent="0.3">
      <c r="C18" s="99" t="s">
        <v>100</v>
      </c>
      <c r="F18" s="99" t="s">
        <v>216</v>
      </c>
      <c r="G18" s="42">
        <v>3</v>
      </c>
      <c r="H18" s="99" t="str">
        <f t="shared" si="0"/>
        <v>High</v>
      </c>
      <c r="L18" s="117" t="s">
        <v>3105</v>
      </c>
    </row>
    <row r="19" spans="3:12" x14ac:dyDescent="0.3">
      <c r="C19" s="99" t="s">
        <v>117</v>
      </c>
      <c r="F19" s="99" t="s">
        <v>229</v>
      </c>
      <c r="G19" s="42">
        <v>3</v>
      </c>
      <c r="H19" s="99" t="str">
        <f t="shared" si="0"/>
        <v>High</v>
      </c>
      <c r="L19" s="93" t="s">
        <v>3106</v>
      </c>
    </row>
    <row r="20" spans="3:12" x14ac:dyDescent="0.3">
      <c r="C20" s="99" t="s">
        <v>126</v>
      </c>
      <c r="F20" s="99" t="s">
        <v>258</v>
      </c>
      <c r="G20" s="42">
        <v>3</v>
      </c>
      <c r="H20" s="99" t="str">
        <f t="shared" si="0"/>
        <v>High</v>
      </c>
      <c r="L20" s="93" t="s">
        <v>3107</v>
      </c>
    </row>
    <row r="21" spans="3:12" x14ac:dyDescent="0.3">
      <c r="C21" s="99" t="s">
        <v>126</v>
      </c>
      <c r="F21" s="99" t="s">
        <v>274</v>
      </c>
      <c r="G21" s="42">
        <v>5</v>
      </c>
      <c r="H21" s="99" t="str">
        <f t="shared" si="0"/>
        <v>High</v>
      </c>
    </row>
    <row r="22" spans="3:12" x14ac:dyDescent="0.3">
      <c r="C22" s="99" t="s">
        <v>152</v>
      </c>
      <c r="F22" s="99" t="s">
        <v>287</v>
      </c>
      <c r="G22" s="42">
        <v>2</v>
      </c>
      <c r="H22" s="99" t="str">
        <f t="shared" si="0"/>
        <v>Low</v>
      </c>
    </row>
    <row r="23" spans="3:12" x14ac:dyDescent="0.3">
      <c r="C23" s="99" t="s">
        <v>152</v>
      </c>
      <c r="F23" s="99" t="s">
        <v>307</v>
      </c>
      <c r="G23" s="42">
        <v>3</v>
      </c>
      <c r="H23" s="99" t="str">
        <f t="shared" si="0"/>
        <v>High</v>
      </c>
    </row>
    <row r="24" spans="3:12" x14ac:dyDescent="0.3">
      <c r="C24" s="99" t="s">
        <v>152</v>
      </c>
      <c r="F24" s="99" t="s">
        <v>325</v>
      </c>
      <c r="G24" s="42">
        <v>2</v>
      </c>
      <c r="H24" s="99" t="str">
        <f t="shared" si="0"/>
        <v>Low</v>
      </c>
    </row>
    <row r="25" spans="3:12" x14ac:dyDescent="0.3">
      <c r="C25" s="99" t="s">
        <v>164</v>
      </c>
      <c r="F25" s="99" t="s">
        <v>339</v>
      </c>
      <c r="G25" s="42">
        <v>1</v>
      </c>
      <c r="H25" s="99" t="str">
        <f t="shared" si="0"/>
        <v>Low</v>
      </c>
    </row>
    <row r="26" spans="3:12" x14ac:dyDescent="0.3">
      <c r="C26" s="99" t="s">
        <v>164</v>
      </c>
      <c r="F26" s="99" t="s">
        <v>359</v>
      </c>
      <c r="G26" s="42">
        <v>3</v>
      </c>
      <c r="H26" s="99" t="str">
        <f t="shared" si="0"/>
        <v>High</v>
      </c>
    </row>
    <row r="27" spans="3:12" x14ac:dyDescent="0.3">
      <c r="C27" s="99" t="s">
        <v>164</v>
      </c>
      <c r="F27" s="99" t="s">
        <v>379</v>
      </c>
      <c r="G27" s="42">
        <v>1</v>
      </c>
      <c r="H27" s="99" t="str">
        <f t="shared" si="0"/>
        <v>Low</v>
      </c>
    </row>
    <row r="28" spans="3:12" x14ac:dyDescent="0.3">
      <c r="C28" s="99" t="s">
        <v>184</v>
      </c>
      <c r="F28" s="99" t="s">
        <v>402</v>
      </c>
      <c r="G28" s="42">
        <v>2</v>
      </c>
      <c r="H28" s="99" t="str">
        <f t="shared" si="0"/>
        <v>Low</v>
      </c>
    </row>
    <row r="29" spans="3:12" x14ac:dyDescent="0.3">
      <c r="C29" s="99" t="s">
        <v>204</v>
      </c>
      <c r="F29" s="99" t="s">
        <v>418</v>
      </c>
      <c r="G29" s="42">
        <v>1</v>
      </c>
      <c r="H29" s="99" t="str">
        <f t="shared" si="0"/>
        <v>Low</v>
      </c>
    </row>
    <row r="30" spans="3:12" x14ac:dyDescent="0.3">
      <c r="C30" s="99" t="s">
        <v>216</v>
      </c>
      <c r="F30" s="99" t="s">
        <v>442</v>
      </c>
      <c r="G30" s="42">
        <v>2</v>
      </c>
      <c r="H30" s="99" t="str">
        <f t="shared" si="0"/>
        <v>Low</v>
      </c>
    </row>
    <row r="31" spans="3:12" x14ac:dyDescent="0.3">
      <c r="C31" s="99" t="s">
        <v>216</v>
      </c>
      <c r="F31" s="99" t="s">
        <v>461</v>
      </c>
      <c r="G31" s="42">
        <v>4</v>
      </c>
      <c r="H31" s="99" t="str">
        <f t="shared" si="0"/>
        <v>High</v>
      </c>
    </row>
    <row r="32" spans="3:12" x14ac:dyDescent="0.3">
      <c r="C32" s="99" t="s">
        <v>216</v>
      </c>
      <c r="F32" s="99" t="s">
        <v>485</v>
      </c>
      <c r="G32" s="42">
        <v>2</v>
      </c>
      <c r="H32" s="99" t="str">
        <f t="shared" si="0"/>
        <v>Low</v>
      </c>
    </row>
    <row r="33" spans="3:8" x14ac:dyDescent="0.3">
      <c r="C33" s="99" t="s">
        <v>229</v>
      </c>
      <c r="F33" s="99" t="s">
        <v>533</v>
      </c>
      <c r="G33" s="42">
        <v>3</v>
      </c>
      <c r="H33" s="99" t="str">
        <f t="shared" si="0"/>
        <v>High</v>
      </c>
    </row>
    <row r="34" spans="3:8" x14ac:dyDescent="0.3">
      <c r="C34" s="99" t="s">
        <v>229</v>
      </c>
      <c r="F34" s="99" t="s">
        <v>573</v>
      </c>
      <c r="G34" s="42">
        <v>3</v>
      </c>
      <c r="H34" s="99" t="str">
        <f t="shared" si="0"/>
        <v>High</v>
      </c>
    </row>
    <row r="35" spans="3:8" x14ac:dyDescent="0.3">
      <c r="C35" s="99" t="s">
        <v>229</v>
      </c>
      <c r="F35" s="99" t="s">
        <v>596</v>
      </c>
      <c r="G35" s="42">
        <v>2</v>
      </c>
      <c r="H35" s="99" t="str">
        <f t="shared" si="0"/>
        <v>Low</v>
      </c>
    </row>
    <row r="36" spans="3:8" x14ac:dyDescent="0.3">
      <c r="C36" s="99" t="s">
        <v>258</v>
      </c>
      <c r="F36" s="99" t="s">
        <v>642</v>
      </c>
      <c r="G36" s="42">
        <v>5</v>
      </c>
      <c r="H36" s="99" t="str">
        <f t="shared" si="0"/>
        <v>High</v>
      </c>
    </row>
    <row r="37" spans="3:8" x14ac:dyDescent="0.3">
      <c r="C37" s="99" t="s">
        <v>258</v>
      </c>
      <c r="F37" s="99" t="s">
        <v>670</v>
      </c>
      <c r="G37" s="42">
        <v>1</v>
      </c>
      <c r="H37" s="99" t="str">
        <f t="shared" si="0"/>
        <v>Low</v>
      </c>
    </row>
    <row r="38" spans="3:8" x14ac:dyDescent="0.3">
      <c r="C38" s="99" t="s">
        <v>258</v>
      </c>
      <c r="F38" s="99" t="s">
        <v>692</v>
      </c>
      <c r="G38" s="42">
        <v>2</v>
      </c>
      <c r="H38" s="99" t="str">
        <f t="shared" si="0"/>
        <v>Low</v>
      </c>
    </row>
    <row r="39" spans="3:8" x14ac:dyDescent="0.3">
      <c r="C39" s="99" t="s">
        <v>274</v>
      </c>
      <c r="F39" s="99" t="s">
        <v>709</v>
      </c>
      <c r="G39" s="42">
        <v>2</v>
      </c>
      <c r="H39" s="99" t="str">
        <f t="shared" si="0"/>
        <v>Low</v>
      </c>
    </row>
    <row r="40" spans="3:8" x14ac:dyDescent="0.3">
      <c r="C40" s="99" t="s">
        <v>274</v>
      </c>
      <c r="F40" s="99" t="s">
        <v>728</v>
      </c>
      <c r="G40" s="42">
        <v>4</v>
      </c>
      <c r="H40" s="99" t="str">
        <f t="shared" si="0"/>
        <v>High</v>
      </c>
    </row>
    <row r="41" spans="3:8" x14ac:dyDescent="0.3">
      <c r="C41" s="99" t="s">
        <v>274</v>
      </c>
      <c r="F41" s="99" t="s">
        <v>771</v>
      </c>
      <c r="G41" s="42">
        <v>1</v>
      </c>
      <c r="H41" s="99" t="str">
        <f t="shared" si="0"/>
        <v>Low</v>
      </c>
    </row>
    <row r="42" spans="3:8" x14ac:dyDescent="0.3">
      <c r="C42" s="99" t="s">
        <v>274</v>
      </c>
      <c r="F42" s="99" t="s">
        <v>792</v>
      </c>
      <c r="G42" s="42">
        <v>1</v>
      </c>
      <c r="H42" s="99" t="str">
        <f t="shared" si="0"/>
        <v>Low</v>
      </c>
    </row>
    <row r="43" spans="3:8" x14ac:dyDescent="0.3">
      <c r="C43" s="99" t="s">
        <v>274</v>
      </c>
      <c r="F43" s="99" t="s">
        <v>824</v>
      </c>
      <c r="G43" s="42">
        <v>2</v>
      </c>
      <c r="H43" s="99" t="str">
        <f t="shared" si="0"/>
        <v>Low</v>
      </c>
    </row>
    <row r="44" spans="3:8" x14ac:dyDescent="0.3">
      <c r="C44" s="99" t="s">
        <v>287</v>
      </c>
      <c r="F44" s="99" t="s">
        <v>840</v>
      </c>
      <c r="G44" s="42">
        <v>2</v>
      </c>
      <c r="H44" s="99" t="str">
        <f t="shared" si="0"/>
        <v>Low</v>
      </c>
    </row>
    <row r="45" spans="3:8" x14ac:dyDescent="0.3">
      <c r="C45" s="99" t="s">
        <v>287</v>
      </c>
      <c r="F45" s="99" t="s">
        <v>853</v>
      </c>
      <c r="G45" s="42">
        <v>5</v>
      </c>
      <c r="H45" s="99" t="str">
        <f t="shared" si="0"/>
        <v>High</v>
      </c>
    </row>
    <row r="46" spans="3:8" x14ac:dyDescent="0.3">
      <c r="C46" s="99" t="s">
        <v>307</v>
      </c>
      <c r="F46" s="99" t="s">
        <v>863</v>
      </c>
      <c r="G46" s="42">
        <v>2</v>
      </c>
      <c r="H46" s="99" t="str">
        <f t="shared" si="0"/>
        <v>Low</v>
      </c>
    </row>
    <row r="47" spans="3:8" x14ac:dyDescent="0.3">
      <c r="C47" s="99" t="s">
        <v>307</v>
      </c>
      <c r="F47" s="99" t="s">
        <v>878</v>
      </c>
      <c r="G47" s="42">
        <v>3</v>
      </c>
      <c r="H47" s="99" t="str">
        <f t="shared" si="0"/>
        <v>High</v>
      </c>
    </row>
    <row r="48" spans="3:8" x14ac:dyDescent="0.3">
      <c r="C48" s="99" t="s">
        <v>307</v>
      </c>
      <c r="F48" s="99" t="s">
        <v>897</v>
      </c>
      <c r="G48" s="42">
        <v>1</v>
      </c>
      <c r="H48" s="99" t="str">
        <f t="shared" si="0"/>
        <v>Low</v>
      </c>
    </row>
    <row r="49" spans="3:8" x14ac:dyDescent="0.3">
      <c r="C49" s="99" t="s">
        <v>325</v>
      </c>
      <c r="F49" s="99" t="s">
        <v>924</v>
      </c>
      <c r="G49" s="42">
        <v>1</v>
      </c>
      <c r="H49" s="99" t="str">
        <f t="shared" si="0"/>
        <v>Low</v>
      </c>
    </row>
    <row r="50" spans="3:8" x14ac:dyDescent="0.3">
      <c r="C50" s="99" t="s">
        <v>325</v>
      </c>
      <c r="F50" s="99" t="s">
        <v>968</v>
      </c>
      <c r="G50" s="42">
        <v>1</v>
      </c>
      <c r="H50" s="99" t="str">
        <f t="shared" si="0"/>
        <v>Low</v>
      </c>
    </row>
    <row r="51" spans="3:8" x14ac:dyDescent="0.3">
      <c r="C51" s="99" t="s">
        <v>339</v>
      </c>
      <c r="F51" s="99" t="s">
        <v>1037</v>
      </c>
      <c r="G51" s="42">
        <v>1</v>
      </c>
      <c r="H51" s="99" t="str">
        <f t="shared" si="0"/>
        <v>Low</v>
      </c>
    </row>
    <row r="52" spans="3:8" x14ac:dyDescent="0.3">
      <c r="C52" s="99" t="s">
        <v>359</v>
      </c>
      <c r="F52" s="99" t="s">
        <v>1164</v>
      </c>
      <c r="G52" s="42">
        <v>1</v>
      </c>
      <c r="H52" s="99" t="str">
        <f t="shared" si="0"/>
        <v>Low</v>
      </c>
    </row>
    <row r="53" spans="3:8" x14ac:dyDescent="0.3">
      <c r="C53" s="99" t="s">
        <v>359</v>
      </c>
      <c r="F53" s="99" t="s">
        <v>1195</v>
      </c>
      <c r="G53" s="42">
        <v>1</v>
      </c>
      <c r="H53" s="99" t="str">
        <f t="shared" si="0"/>
        <v>Low</v>
      </c>
    </row>
    <row r="54" spans="3:8" x14ac:dyDescent="0.3">
      <c r="C54" s="99" t="s">
        <v>359</v>
      </c>
      <c r="F54" s="99" t="s">
        <v>1242</v>
      </c>
      <c r="G54" s="42">
        <v>6</v>
      </c>
      <c r="H54" s="99" t="str">
        <f t="shared" si="0"/>
        <v>High</v>
      </c>
    </row>
    <row r="55" spans="3:8" x14ac:dyDescent="0.3">
      <c r="C55" s="99" t="s">
        <v>379</v>
      </c>
      <c r="F55" s="99" t="s">
        <v>1280</v>
      </c>
      <c r="G55" s="42">
        <v>3</v>
      </c>
      <c r="H55" s="99" t="str">
        <f t="shared" si="0"/>
        <v>High</v>
      </c>
    </row>
    <row r="56" spans="3:8" x14ac:dyDescent="0.3">
      <c r="C56" s="99" t="s">
        <v>402</v>
      </c>
      <c r="F56" s="99" t="s">
        <v>1320</v>
      </c>
      <c r="G56" s="42">
        <v>3</v>
      </c>
      <c r="H56" s="99" t="str">
        <f t="shared" si="0"/>
        <v>High</v>
      </c>
    </row>
    <row r="57" spans="3:8" x14ac:dyDescent="0.3">
      <c r="C57" s="99" t="s">
        <v>402</v>
      </c>
      <c r="F57" s="99" t="s">
        <v>1358</v>
      </c>
      <c r="G57" s="42">
        <v>2</v>
      </c>
      <c r="H57" s="99" t="str">
        <f t="shared" si="0"/>
        <v>Low</v>
      </c>
    </row>
    <row r="58" spans="3:8" x14ac:dyDescent="0.3">
      <c r="C58" s="99" t="s">
        <v>418</v>
      </c>
      <c r="F58" s="99" t="s">
        <v>1398</v>
      </c>
      <c r="G58" s="42">
        <v>1</v>
      </c>
      <c r="H58" s="99" t="str">
        <f t="shared" si="0"/>
        <v>Low</v>
      </c>
    </row>
    <row r="59" spans="3:8" x14ac:dyDescent="0.3">
      <c r="C59" s="99" t="s">
        <v>442</v>
      </c>
      <c r="F59" s="99" t="s">
        <v>1431</v>
      </c>
      <c r="G59" s="42">
        <v>2</v>
      </c>
      <c r="H59" s="99" t="str">
        <f t="shared" si="0"/>
        <v>Low</v>
      </c>
    </row>
    <row r="60" spans="3:8" x14ac:dyDescent="0.3">
      <c r="C60" s="99" t="s">
        <v>442</v>
      </c>
      <c r="F60" s="99" t="s">
        <v>1470</v>
      </c>
      <c r="G60" s="42">
        <v>2</v>
      </c>
      <c r="H60" s="99" t="str">
        <f t="shared" si="0"/>
        <v>Low</v>
      </c>
    </row>
    <row r="61" spans="3:8" x14ac:dyDescent="0.3">
      <c r="C61" s="99" t="s">
        <v>461</v>
      </c>
      <c r="F61" s="99" t="s">
        <v>1554</v>
      </c>
      <c r="G61" s="42">
        <v>1</v>
      </c>
      <c r="H61" s="99" t="str">
        <f t="shared" si="0"/>
        <v>Low</v>
      </c>
    </row>
    <row r="62" spans="3:8" x14ac:dyDescent="0.3">
      <c r="C62" s="99" t="s">
        <v>461</v>
      </c>
      <c r="F62" s="99" t="s">
        <v>1584</v>
      </c>
      <c r="G62" s="42">
        <v>7</v>
      </c>
      <c r="H62" s="99" t="str">
        <f t="shared" si="0"/>
        <v>High</v>
      </c>
    </row>
    <row r="63" spans="3:8" x14ac:dyDescent="0.3">
      <c r="C63" s="99" t="s">
        <v>461</v>
      </c>
      <c r="F63" s="99" t="s">
        <v>1640</v>
      </c>
      <c r="G63" s="42">
        <v>3</v>
      </c>
      <c r="H63" s="99" t="str">
        <f t="shared" si="0"/>
        <v>High</v>
      </c>
    </row>
    <row r="64" spans="3:8" x14ac:dyDescent="0.3">
      <c r="C64" s="99" t="s">
        <v>461</v>
      </c>
      <c r="F64" s="99" t="s">
        <v>1683</v>
      </c>
      <c r="G64" s="42">
        <v>1</v>
      </c>
      <c r="H64" s="99" t="str">
        <f t="shared" si="0"/>
        <v>Low</v>
      </c>
    </row>
    <row r="65" spans="3:8" x14ac:dyDescent="0.3">
      <c r="C65" s="99" t="s">
        <v>485</v>
      </c>
      <c r="F65" s="99" t="s">
        <v>1716</v>
      </c>
      <c r="G65" s="42">
        <v>2</v>
      </c>
      <c r="H65" s="99" t="str">
        <f t="shared" si="0"/>
        <v>Low</v>
      </c>
    </row>
    <row r="66" spans="3:8" x14ac:dyDescent="0.3">
      <c r="C66" s="99" t="s">
        <v>485</v>
      </c>
      <c r="F66" s="99" t="s">
        <v>1756</v>
      </c>
      <c r="G66" s="42">
        <v>1</v>
      </c>
      <c r="H66" s="99" t="str">
        <f t="shared" si="0"/>
        <v>Low</v>
      </c>
    </row>
    <row r="67" spans="3:8" x14ac:dyDescent="0.3">
      <c r="C67" s="99" t="s">
        <v>533</v>
      </c>
      <c r="F67" s="99" t="s">
        <v>1789</v>
      </c>
      <c r="G67" s="42">
        <v>5</v>
      </c>
      <c r="H67" s="99" t="str">
        <f t="shared" si="0"/>
        <v>High</v>
      </c>
    </row>
    <row r="68" spans="3:8" x14ac:dyDescent="0.3">
      <c r="C68" s="99" t="s">
        <v>533</v>
      </c>
      <c r="F68" s="99" t="s">
        <v>1855</v>
      </c>
      <c r="G68" s="42">
        <v>2</v>
      </c>
      <c r="H68" s="99" t="str">
        <f t="shared" si="0"/>
        <v>Low</v>
      </c>
    </row>
    <row r="69" spans="3:8" x14ac:dyDescent="0.3">
      <c r="C69" s="99" t="s">
        <v>533</v>
      </c>
      <c r="F69" s="99" t="s">
        <v>1885</v>
      </c>
      <c r="G69" s="42">
        <v>1</v>
      </c>
      <c r="H69" s="99" t="str">
        <f t="shared" si="0"/>
        <v>Low</v>
      </c>
    </row>
    <row r="70" spans="3:8" x14ac:dyDescent="0.3">
      <c r="C70" s="99" t="s">
        <v>573</v>
      </c>
      <c r="F70" s="99" t="s">
        <v>1899</v>
      </c>
      <c r="G70" s="42">
        <v>1</v>
      </c>
      <c r="H70" s="99" t="str">
        <f t="shared" si="0"/>
        <v>Low</v>
      </c>
    </row>
    <row r="71" spans="3:8" x14ac:dyDescent="0.3">
      <c r="C71" s="99" t="s">
        <v>573</v>
      </c>
      <c r="F71" s="99" t="s">
        <v>1913</v>
      </c>
      <c r="G71" s="42">
        <v>1</v>
      </c>
      <c r="H71" s="99" t="str">
        <f t="shared" ref="H71:H134" si="4">IF(G71&gt;=frequency_threshold,"High","Low")</f>
        <v>Low</v>
      </c>
    </row>
    <row r="72" spans="3:8" x14ac:dyDescent="0.3">
      <c r="C72" s="99" t="s">
        <v>573</v>
      </c>
      <c r="F72" s="99" t="s">
        <v>1926</v>
      </c>
      <c r="G72" s="42">
        <v>1</v>
      </c>
      <c r="H72" s="99" t="str">
        <f t="shared" si="4"/>
        <v>Low</v>
      </c>
    </row>
    <row r="73" spans="3:8" x14ac:dyDescent="0.3">
      <c r="C73" s="99" t="s">
        <v>596</v>
      </c>
      <c r="F73" s="99" t="s">
        <v>1939</v>
      </c>
      <c r="G73" s="42">
        <v>3</v>
      </c>
      <c r="H73" s="99" t="str">
        <f t="shared" si="4"/>
        <v>High</v>
      </c>
    </row>
    <row r="74" spans="3:8" x14ac:dyDescent="0.3">
      <c r="C74" s="99" t="s">
        <v>596</v>
      </c>
      <c r="F74" s="99" t="s">
        <v>1951</v>
      </c>
      <c r="G74" s="42">
        <v>1</v>
      </c>
      <c r="H74" s="99" t="str">
        <f t="shared" si="4"/>
        <v>Low</v>
      </c>
    </row>
    <row r="75" spans="3:8" x14ac:dyDescent="0.3">
      <c r="C75" s="99" t="s">
        <v>642</v>
      </c>
      <c r="F75" s="99" t="s">
        <v>1959</v>
      </c>
      <c r="G75" s="42">
        <v>1</v>
      </c>
      <c r="H75" s="99" t="str">
        <f t="shared" si="4"/>
        <v>Low</v>
      </c>
    </row>
    <row r="76" spans="3:8" x14ac:dyDescent="0.3">
      <c r="C76" s="99" t="s">
        <v>642</v>
      </c>
      <c r="F76" s="99" t="s">
        <v>1970</v>
      </c>
      <c r="G76" s="42">
        <v>3</v>
      </c>
      <c r="H76" s="99" t="str">
        <f t="shared" si="4"/>
        <v>High</v>
      </c>
    </row>
    <row r="77" spans="3:8" x14ac:dyDescent="0.3">
      <c r="C77" s="99" t="s">
        <v>642</v>
      </c>
      <c r="F77" s="99" t="s">
        <v>1977</v>
      </c>
      <c r="G77" s="42">
        <v>1</v>
      </c>
      <c r="H77" s="99" t="str">
        <f t="shared" si="4"/>
        <v>Low</v>
      </c>
    </row>
    <row r="78" spans="3:8" x14ac:dyDescent="0.3">
      <c r="C78" s="99" t="s">
        <v>642</v>
      </c>
      <c r="F78" s="99" t="s">
        <v>1986</v>
      </c>
      <c r="G78" s="42">
        <v>1</v>
      </c>
      <c r="H78" s="99" t="str">
        <f t="shared" si="4"/>
        <v>Low</v>
      </c>
    </row>
    <row r="79" spans="3:8" x14ac:dyDescent="0.3">
      <c r="C79" s="99" t="s">
        <v>642</v>
      </c>
      <c r="F79" s="99" t="s">
        <v>2003</v>
      </c>
      <c r="G79" s="42">
        <v>1</v>
      </c>
      <c r="H79" s="99" t="str">
        <f t="shared" si="4"/>
        <v>Low</v>
      </c>
    </row>
    <row r="80" spans="3:8" x14ac:dyDescent="0.3">
      <c r="C80" s="99" t="s">
        <v>670</v>
      </c>
      <c r="F80" s="99" t="s">
        <v>2012</v>
      </c>
      <c r="G80" s="42">
        <v>2</v>
      </c>
      <c r="H80" s="99" t="str">
        <f t="shared" si="4"/>
        <v>Low</v>
      </c>
    </row>
    <row r="81" spans="3:8" x14ac:dyDescent="0.3">
      <c r="C81" s="99" t="s">
        <v>692</v>
      </c>
      <c r="F81" s="99" t="s">
        <v>2026</v>
      </c>
      <c r="G81" s="42">
        <v>1</v>
      </c>
      <c r="H81" s="99" t="str">
        <f t="shared" si="4"/>
        <v>Low</v>
      </c>
    </row>
    <row r="82" spans="3:8" x14ac:dyDescent="0.3">
      <c r="C82" s="99" t="s">
        <v>692</v>
      </c>
      <c r="F82" s="99" t="s">
        <v>2040</v>
      </c>
      <c r="G82" s="42">
        <v>1</v>
      </c>
      <c r="H82" s="99" t="str">
        <f t="shared" si="4"/>
        <v>Low</v>
      </c>
    </row>
    <row r="83" spans="3:8" x14ac:dyDescent="0.3">
      <c r="C83" s="99" t="s">
        <v>709</v>
      </c>
      <c r="F83" s="99" t="s">
        <v>2053</v>
      </c>
      <c r="G83" s="42">
        <v>4</v>
      </c>
      <c r="H83" s="99" t="str">
        <f t="shared" si="4"/>
        <v>High</v>
      </c>
    </row>
    <row r="84" spans="3:8" x14ac:dyDescent="0.3">
      <c r="C84" s="99" t="s">
        <v>709</v>
      </c>
      <c r="F84" s="99" t="s">
        <v>2061</v>
      </c>
      <c r="G84" s="42">
        <v>1</v>
      </c>
      <c r="H84" s="99" t="str">
        <f t="shared" si="4"/>
        <v>Low</v>
      </c>
    </row>
    <row r="85" spans="3:8" x14ac:dyDescent="0.3">
      <c r="C85" s="99" t="s">
        <v>728</v>
      </c>
      <c r="F85" s="99" t="s">
        <v>2073</v>
      </c>
      <c r="G85" s="42">
        <v>1</v>
      </c>
      <c r="H85" s="99" t="str">
        <f t="shared" si="4"/>
        <v>Low</v>
      </c>
    </row>
    <row r="86" spans="3:8" x14ac:dyDescent="0.3">
      <c r="C86" s="99" t="s">
        <v>728</v>
      </c>
      <c r="F86" s="99" t="s">
        <v>2095</v>
      </c>
      <c r="G86" s="42">
        <v>3</v>
      </c>
      <c r="H86" s="99" t="str">
        <f t="shared" si="4"/>
        <v>High</v>
      </c>
    </row>
    <row r="87" spans="3:8" x14ac:dyDescent="0.3">
      <c r="C87" s="99" t="s">
        <v>728</v>
      </c>
      <c r="F87" s="99" t="s">
        <v>2849</v>
      </c>
      <c r="G87" s="42">
        <v>1</v>
      </c>
      <c r="H87" s="99" t="str">
        <f t="shared" si="4"/>
        <v>Low</v>
      </c>
    </row>
    <row r="88" spans="3:8" x14ac:dyDescent="0.3">
      <c r="C88" s="99" t="s">
        <v>728</v>
      </c>
      <c r="F88" s="99" t="s">
        <v>2118</v>
      </c>
      <c r="G88" s="42">
        <v>3</v>
      </c>
      <c r="H88" s="99" t="str">
        <f t="shared" si="4"/>
        <v>High</v>
      </c>
    </row>
    <row r="89" spans="3:8" x14ac:dyDescent="0.3">
      <c r="C89" s="99" t="s">
        <v>771</v>
      </c>
      <c r="F89" s="99" t="s">
        <v>2119</v>
      </c>
      <c r="G89" s="42">
        <v>4</v>
      </c>
      <c r="H89" s="99" t="str">
        <f t="shared" si="4"/>
        <v>High</v>
      </c>
    </row>
    <row r="90" spans="3:8" x14ac:dyDescent="0.3">
      <c r="C90" s="99" t="s">
        <v>792</v>
      </c>
      <c r="F90" s="99" t="s">
        <v>2120</v>
      </c>
      <c r="G90" s="42">
        <v>3</v>
      </c>
      <c r="H90" s="99" t="str">
        <f t="shared" si="4"/>
        <v>High</v>
      </c>
    </row>
    <row r="91" spans="3:8" x14ac:dyDescent="0.3">
      <c r="C91" s="99" t="s">
        <v>824</v>
      </c>
      <c r="F91" s="99" t="s">
        <v>2121</v>
      </c>
      <c r="G91" s="42">
        <v>1</v>
      </c>
      <c r="H91" s="99" t="str">
        <f t="shared" si="4"/>
        <v>Low</v>
      </c>
    </row>
    <row r="92" spans="3:8" x14ac:dyDescent="0.3">
      <c r="C92" s="99" t="s">
        <v>824</v>
      </c>
      <c r="F92" s="99" t="s">
        <v>2122</v>
      </c>
      <c r="G92" s="42">
        <v>4</v>
      </c>
      <c r="H92" s="99" t="str">
        <f t="shared" si="4"/>
        <v>High</v>
      </c>
    </row>
    <row r="93" spans="3:8" x14ac:dyDescent="0.3">
      <c r="C93" s="99" t="s">
        <v>840</v>
      </c>
      <c r="F93" s="99" t="s">
        <v>2123</v>
      </c>
      <c r="G93" s="42">
        <v>1</v>
      </c>
      <c r="H93" s="99" t="str">
        <f t="shared" si="4"/>
        <v>Low</v>
      </c>
    </row>
    <row r="94" spans="3:8" x14ac:dyDescent="0.3">
      <c r="C94" s="99" t="s">
        <v>840</v>
      </c>
      <c r="F94" s="99" t="s">
        <v>2124</v>
      </c>
      <c r="G94" s="42">
        <v>2</v>
      </c>
      <c r="H94" s="99" t="str">
        <f t="shared" si="4"/>
        <v>Low</v>
      </c>
    </row>
    <row r="95" spans="3:8" x14ac:dyDescent="0.3">
      <c r="C95" s="99" t="s">
        <v>853</v>
      </c>
      <c r="F95" s="99" t="s">
        <v>2125</v>
      </c>
      <c r="G95" s="42">
        <v>3</v>
      </c>
      <c r="H95" s="99" t="str">
        <f t="shared" si="4"/>
        <v>High</v>
      </c>
    </row>
    <row r="96" spans="3:8" x14ac:dyDescent="0.3">
      <c r="C96" s="99" t="s">
        <v>853</v>
      </c>
      <c r="F96" s="99" t="s">
        <v>2126</v>
      </c>
      <c r="G96" s="42">
        <v>2</v>
      </c>
      <c r="H96" s="99" t="str">
        <f t="shared" si="4"/>
        <v>Low</v>
      </c>
    </row>
    <row r="97" spans="3:8" x14ac:dyDescent="0.3">
      <c r="C97" s="99" t="s">
        <v>853</v>
      </c>
      <c r="F97" s="99" t="s">
        <v>2127</v>
      </c>
      <c r="G97" s="42">
        <v>3</v>
      </c>
      <c r="H97" s="99" t="str">
        <f t="shared" si="4"/>
        <v>High</v>
      </c>
    </row>
    <row r="98" spans="3:8" x14ac:dyDescent="0.3">
      <c r="C98" s="99" t="s">
        <v>853</v>
      </c>
      <c r="F98" s="99" t="s">
        <v>2128</v>
      </c>
      <c r="G98" s="42">
        <v>5</v>
      </c>
      <c r="H98" s="99" t="str">
        <f t="shared" si="4"/>
        <v>High</v>
      </c>
    </row>
    <row r="99" spans="3:8" x14ac:dyDescent="0.3">
      <c r="C99" s="99" t="s">
        <v>853</v>
      </c>
      <c r="F99" s="99" t="s">
        <v>2129</v>
      </c>
      <c r="G99" s="42">
        <v>6</v>
      </c>
      <c r="H99" s="99" t="str">
        <f t="shared" si="4"/>
        <v>High</v>
      </c>
    </row>
    <row r="100" spans="3:8" x14ac:dyDescent="0.3">
      <c r="C100" s="99" t="s">
        <v>863</v>
      </c>
      <c r="F100" s="99" t="s">
        <v>2130</v>
      </c>
      <c r="G100" s="42">
        <v>1</v>
      </c>
      <c r="H100" s="99" t="str">
        <f t="shared" si="4"/>
        <v>Low</v>
      </c>
    </row>
    <row r="101" spans="3:8" x14ac:dyDescent="0.3">
      <c r="C101" s="99" t="s">
        <v>863</v>
      </c>
      <c r="F101" s="99" t="s">
        <v>2131</v>
      </c>
      <c r="G101" s="42">
        <v>3</v>
      </c>
      <c r="H101" s="99" t="str">
        <f t="shared" si="4"/>
        <v>High</v>
      </c>
    </row>
    <row r="102" spans="3:8" x14ac:dyDescent="0.3">
      <c r="C102" s="99" t="s">
        <v>878</v>
      </c>
      <c r="F102" s="99" t="s">
        <v>2132</v>
      </c>
      <c r="G102" s="42">
        <v>1</v>
      </c>
      <c r="H102" s="99" t="str">
        <f t="shared" si="4"/>
        <v>Low</v>
      </c>
    </row>
    <row r="103" spans="3:8" x14ac:dyDescent="0.3">
      <c r="C103" s="99" t="s">
        <v>878</v>
      </c>
      <c r="F103" s="99" t="s">
        <v>2133</v>
      </c>
      <c r="G103" s="42">
        <v>3</v>
      </c>
      <c r="H103" s="99" t="str">
        <f t="shared" si="4"/>
        <v>High</v>
      </c>
    </row>
    <row r="104" spans="3:8" x14ac:dyDescent="0.3">
      <c r="C104" s="99" t="s">
        <v>878</v>
      </c>
      <c r="F104" s="99" t="s">
        <v>2134</v>
      </c>
      <c r="G104" s="42">
        <v>2</v>
      </c>
      <c r="H104" s="99" t="str">
        <f t="shared" si="4"/>
        <v>Low</v>
      </c>
    </row>
    <row r="105" spans="3:8" x14ac:dyDescent="0.3">
      <c r="C105" s="99" t="s">
        <v>897</v>
      </c>
      <c r="F105" s="99" t="s">
        <v>2135</v>
      </c>
      <c r="G105" s="42">
        <v>3</v>
      </c>
      <c r="H105" s="99" t="str">
        <f t="shared" si="4"/>
        <v>High</v>
      </c>
    </row>
    <row r="106" spans="3:8" x14ac:dyDescent="0.3">
      <c r="C106" s="99" t="s">
        <v>924</v>
      </c>
      <c r="F106" s="99" t="s">
        <v>2136</v>
      </c>
      <c r="G106" s="42">
        <v>2</v>
      </c>
      <c r="H106" s="99" t="str">
        <f t="shared" si="4"/>
        <v>Low</v>
      </c>
    </row>
    <row r="107" spans="3:8" x14ac:dyDescent="0.3">
      <c r="C107" s="99" t="s">
        <v>968</v>
      </c>
      <c r="F107" s="99" t="s">
        <v>2137</v>
      </c>
      <c r="G107" s="42">
        <v>1</v>
      </c>
      <c r="H107" s="99" t="str">
        <f t="shared" si="4"/>
        <v>Low</v>
      </c>
    </row>
    <row r="108" spans="3:8" x14ac:dyDescent="0.3">
      <c r="C108" s="99" t="s">
        <v>1037</v>
      </c>
      <c r="F108" s="99" t="s">
        <v>2138</v>
      </c>
      <c r="G108" s="42">
        <v>1</v>
      </c>
      <c r="H108" s="99" t="str">
        <f t="shared" si="4"/>
        <v>Low</v>
      </c>
    </row>
    <row r="109" spans="3:8" x14ac:dyDescent="0.3">
      <c r="C109" s="99" t="s">
        <v>1164</v>
      </c>
      <c r="F109" s="99" t="s">
        <v>2139</v>
      </c>
      <c r="G109" s="42">
        <v>3</v>
      </c>
      <c r="H109" s="99" t="str">
        <f t="shared" si="4"/>
        <v>High</v>
      </c>
    </row>
    <row r="110" spans="3:8" x14ac:dyDescent="0.3">
      <c r="C110" s="99" t="s">
        <v>1195</v>
      </c>
      <c r="F110" s="99" t="s">
        <v>2140</v>
      </c>
      <c r="G110" s="42">
        <v>3</v>
      </c>
      <c r="H110" s="99" t="str">
        <f t="shared" si="4"/>
        <v>High</v>
      </c>
    </row>
    <row r="111" spans="3:8" x14ac:dyDescent="0.3">
      <c r="C111" s="99" t="s">
        <v>1242</v>
      </c>
      <c r="F111" s="99" t="s">
        <v>2141</v>
      </c>
      <c r="G111" s="42">
        <v>2</v>
      </c>
      <c r="H111" s="99" t="str">
        <f t="shared" si="4"/>
        <v>Low</v>
      </c>
    </row>
    <row r="112" spans="3:8" x14ac:dyDescent="0.3">
      <c r="C112" s="99" t="s">
        <v>1242</v>
      </c>
      <c r="F112" s="99" t="s">
        <v>2142</v>
      </c>
      <c r="G112" s="42">
        <v>3</v>
      </c>
      <c r="H112" s="99" t="str">
        <f t="shared" si="4"/>
        <v>High</v>
      </c>
    </row>
    <row r="113" spans="3:8" x14ac:dyDescent="0.3">
      <c r="C113" s="99" t="s">
        <v>1242</v>
      </c>
      <c r="F113" s="99" t="s">
        <v>2143</v>
      </c>
      <c r="G113" s="42">
        <v>2</v>
      </c>
      <c r="H113" s="99" t="str">
        <f t="shared" si="4"/>
        <v>Low</v>
      </c>
    </row>
    <row r="114" spans="3:8" x14ac:dyDescent="0.3">
      <c r="C114" s="99" t="s">
        <v>1242</v>
      </c>
      <c r="F114" s="99" t="s">
        <v>2144</v>
      </c>
      <c r="G114" s="42">
        <v>3</v>
      </c>
      <c r="H114" s="99" t="str">
        <f t="shared" si="4"/>
        <v>High</v>
      </c>
    </row>
    <row r="115" spans="3:8" x14ac:dyDescent="0.3">
      <c r="C115" s="99" t="s">
        <v>1242</v>
      </c>
      <c r="F115" s="99" t="s">
        <v>2145</v>
      </c>
      <c r="G115" s="42">
        <v>1</v>
      </c>
      <c r="H115" s="99" t="str">
        <f t="shared" si="4"/>
        <v>Low</v>
      </c>
    </row>
    <row r="116" spans="3:8" x14ac:dyDescent="0.3">
      <c r="C116" s="99" t="s">
        <v>1242</v>
      </c>
      <c r="F116" s="99" t="s">
        <v>2146</v>
      </c>
      <c r="G116" s="42">
        <v>2</v>
      </c>
      <c r="H116" s="99" t="str">
        <f t="shared" si="4"/>
        <v>Low</v>
      </c>
    </row>
    <row r="117" spans="3:8" x14ac:dyDescent="0.3">
      <c r="C117" s="99" t="s">
        <v>1280</v>
      </c>
      <c r="F117" s="99" t="s">
        <v>2147</v>
      </c>
      <c r="G117" s="42">
        <v>1</v>
      </c>
      <c r="H117" s="99" t="str">
        <f t="shared" si="4"/>
        <v>Low</v>
      </c>
    </row>
    <row r="118" spans="3:8" x14ac:dyDescent="0.3">
      <c r="C118" s="99" t="s">
        <v>1280</v>
      </c>
      <c r="F118" s="99" t="s">
        <v>2148</v>
      </c>
      <c r="G118" s="42">
        <v>4</v>
      </c>
      <c r="H118" s="99" t="str">
        <f t="shared" si="4"/>
        <v>High</v>
      </c>
    </row>
    <row r="119" spans="3:8" x14ac:dyDescent="0.3">
      <c r="C119" s="99" t="s">
        <v>1280</v>
      </c>
      <c r="F119" s="99" t="s">
        <v>2149</v>
      </c>
      <c r="G119" s="42">
        <v>9</v>
      </c>
      <c r="H119" s="99" t="str">
        <f t="shared" si="4"/>
        <v>High</v>
      </c>
    </row>
    <row r="120" spans="3:8" x14ac:dyDescent="0.3">
      <c r="C120" s="99" t="s">
        <v>1320</v>
      </c>
      <c r="F120" s="99" t="s">
        <v>2150</v>
      </c>
      <c r="G120" s="42">
        <v>2</v>
      </c>
      <c r="H120" s="99" t="str">
        <f t="shared" si="4"/>
        <v>Low</v>
      </c>
    </row>
    <row r="121" spans="3:8" x14ac:dyDescent="0.3">
      <c r="C121" s="99" t="s">
        <v>1320</v>
      </c>
      <c r="F121" s="99" t="s">
        <v>2151</v>
      </c>
      <c r="G121" s="42">
        <v>1</v>
      </c>
      <c r="H121" s="99" t="str">
        <f t="shared" si="4"/>
        <v>Low</v>
      </c>
    </row>
    <row r="122" spans="3:8" x14ac:dyDescent="0.3">
      <c r="C122" s="99" t="s">
        <v>1320</v>
      </c>
      <c r="F122" s="99" t="s">
        <v>2152</v>
      </c>
      <c r="G122" s="42">
        <v>4</v>
      </c>
      <c r="H122" s="99" t="str">
        <f t="shared" si="4"/>
        <v>High</v>
      </c>
    </row>
    <row r="123" spans="3:8" x14ac:dyDescent="0.3">
      <c r="C123" s="99" t="s">
        <v>1358</v>
      </c>
      <c r="F123" s="99" t="s">
        <v>2153</v>
      </c>
      <c r="G123" s="42">
        <v>4</v>
      </c>
      <c r="H123" s="99" t="str">
        <f t="shared" si="4"/>
        <v>High</v>
      </c>
    </row>
    <row r="124" spans="3:8" x14ac:dyDescent="0.3">
      <c r="C124" s="99" t="s">
        <v>1358</v>
      </c>
      <c r="F124" s="99" t="s">
        <v>2154</v>
      </c>
      <c r="G124" s="42">
        <v>3</v>
      </c>
      <c r="H124" s="99" t="str">
        <f t="shared" si="4"/>
        <v>High</v>
      </c>
    </row>
    <row r="125" spans="3:8" x14ac:dyDescent="0.3">
      <c r="C125" s="99" t="s">
        <v>1398</v>
      </c>
      <c r="F125" s="99" t="s">
        <v>2155</v>
      </c>
      <c r="G125" s="42">
        <v>2</v>
      </c>
      <c r="H125" s="99" t="str">
        <f t="shared" si="4"/>
        <v>Low</v>
      </c>
    </row>
    <row r="126" spans="3:8" x14ac:dyDescent="0.3">
      <c r="C126" s="99" t="s">
        <v>1431</v>
      </c>
      <c r="F126" s="99" t="s">
        <v>2156</v>
      </c>
      <c r="G126" s="42">
        <v>3</v>
      </c>
      <c r="H126" s="99" t="str">
        <f t="shared" si="4"/>
        <v>High</v>
      </c>
    </row>
    <row r="127" spans="3:8" x14ac:dyDescent="0.3">
      <c r="C127" s="99" t="s">
        <v>1431</v>
      </c>
      <c r="F127" s="99" t="s">
        <v>2157</v>
      </c>
      <c r="G127" s="42">
        <v>2</v>
      </c>
      <c r="H127" s="99" t="str">
        <f t="shared" si="4"/>
        <v>Low</v>
      </c>
    </row>
    <row r="128" spans="3:8" x14ac:dyDescent="0.3">
      <c r="C128" s="99" t="s">
        <v>1470</v>
      </c>
      <c r="F128" s="99" t="s">
        <v>2158</v>
      </c>
      <c r="G128" s="42">
        <v>1</v>
      </c>
      <c r="H128" s="99" t="str">
        <f t="shared" si="4"/>
        <v>Low</v>
      </c>
    </row>
    <row r="129" spans="3:8" x14ac:dyDescent="0.3">
      <c r="C129" s="99" t="s">
        <v>1470</v>
      </c>
      <c r="F129" s="99" t="s">
        <v>2159</v>
      </c>
      <c r="G129" s="42">
        <v>3</v>
      </c>
      <c r="H129" s="99" t="str">
        <f t="shared" si="4"/>
        <v>High</v>
      </c>
    </row>
    <row r="130" spans="3:8" x14ac:dyDescent="0.3">
      <c r="C130" s="99" t="s">
        <v>1554</v>
      </c>
      <c r="F130" s="99" t="s">
        <v>2160</v>
      </c>
      <c r="G130" s="42">
        <v>7</v>
      </c>
      <c r="H130" s="99" t="str">
        <f t="shared" si="4"/>
        <v>High</v>
      </c>
    </row>
    <row r="131" spans="3:8" x14ac:dyDescent="0.3">
      <c r="C131" s="99" t="s">
        <v>1584</v>
      </c>
      <c r="F131" s="99" t="s">
        <v>2161</v>
      </c>
      <c r="G131" s="42">
        <v>1</v>
      </c>
      <c r="H131" s="99" t="str">
        <f t="shared" si="4"/>
        <v>Low</v>
      </c>
    </row>
    <row r="132" spans="3:8" x14ac:dyDescent="0.3">
      <c r="C132" s="99" t="s">
        <v>1584</v>
      </c>
      <c r="F132" s="99" t="s">
        <v>2162</v>
      </c>
      <c r="G132" s="42">
        <v>4</v>
      </c>
      <c r="H132" s="99" t="str">
        <f t="shared" si="4"/>
        <v>High</v>
      </c>
    </row>
    <row r="133" spans="3:8" x14ac:dyDescent="0.3">
      <c r="C133" s="99" t="s">
        <v>1584</v>
      </c>
      <c r="F133" s="99" t="s">
        <v>2163</v>
      </c>
      <c r="G133" s="42">
        <v>2</v>
      </c>
      <c r="H133" s="99" t="str">
        <f t="shared" si="4"/>
        <v>Low</v>
      </c>
    </row>
    <row r="134" spans="3:8" x14ac:dyDescent="0.3">
      <c r="C134" s="99" t="s">
        <v>1584</v>
      </c>
      <c r="F134" s="99" t="s">
        <v>2164</v>
      </c>
      <c r="G134" s="42">
        <v>2</v>
      </c>
      <c r="H134" s="99" t="str">
        <f t="shared" si="4"/>
        <v>Low</v>
      </c>
    </row>
    <row r="135" spans="3:8" x14ac:dyDescent="0.3">
      <c r="C135" s="99" t="s">
        <v>1584</v>
      </c>
      <c r="F135" s="99" t="s">
        <v>2165</v>
      </c>
      <c r="G135" s="42">
        <v>1</v>
      </c>
      <c r="H135" s="99" t="str">
        <f t="shared" ref="H135:H198" si="5">IF(G135&gt;=frequency_threshold,"High","Low")</f>
        <v>Low</v>
      </c>
    </row>
    <row r="136" spans="3:8" x14ac:dyDescent="0.3">
      <c r="C136" s="99" t="s">
        <v>1584</v>
      </c>
      <c r="F136" s="99" t="s">
        <v>2166</v>
      </c>
      <c r="G136" s="42">
        <v>2</v>
      </c>
      <c r="H136" s="99" t="str">
        <f t="shared" si="5"/>
        <v>Low</v>
      </c>
    </row>
    <row r="137" spans="3:8" x14ac:dyDescent="0.3">
      <c r="C137" s="99" t="s">
        <v>1584</v>
      </c>
      <c r="F137" s="99" t="s">
        <v>2167</v>
      </c>
      <c r="G137" s="42">
        <v>1</v>
      </c>
      <c r="H137" s="99" t="str">
        <f t="shared" si="5"/>
        <v>Low</v>
      </c>
    </row>
    <row r="138" spans="3:8" x14ac:dyDescent="0.3">
      <c r="C138" s="99" t="s">
        <v>1640</v>
      </c>
      <c r="F138" s="99" t="s">
        <v>2168</v>
      </c>
      <c r="G138" s="42">
        <v>2</v>
      </c>
      <c r="H138" s="99" t="str">
        <f t="shared" si="5"/>
        <v>Low</v>
      </c>
    </row>
    <row r="139" spans="3:8" x14ac:dyDescent="0.3">
      <c r="C139" s="99" t="s">
        <v>1640</v>
      </c>
      <c r="F139" s="99" t="s">
        <v>2169</v>
      </c>
      <c r="G139" s="42">
        <v>6</v>
      </c>
      <c r="H139" s="99" t="str">
        <f t="shared" si="5"/>
        <v>High</v>
      </c>
    </row>
    <row r="140" spans="3:8" x14ac:dyDescent="0.3">
      <c r="C140" s="99" t="s">
        <v>1640</v>
      </c>
      <c r="F140" s="99" t="s">
        <v>2170</v>
      </c>
      <c r="G140" s="42">
        <v>1</v>
      </c>
      <c r="H140" s="99" t="str">
        <f t="shared" si="5"/>
        <v>Low</v>
      </c>
    </row>
    <row r="141" spans="3:8" x14ac:dyDescent="0.3">
      <c r="C141" s="99" t="s">
        <v>1683</v>
      </c>
      <c r="F141" s="99" t="s">
        <v>2171</v>
      </c>
      <c r="G141" s="42">
        <v>1</v>
      </c>
      <c r="H141" s="99" t="str">
        <f t="shared" si="5"/>
        <v>Low</v>
      </c>
    </row>
    <row r="142" spans="3:8" x14ac:dyDescent="0.3">
      <c r="C142" s="99" t="s">
        <v>1716</v>
      </c>
      <c r="F142" s="99" t="s">
        <v>2172</v>
      </c>
      <c r="G142" s="42">
        <v>1</v>
      </c>
      <c r="H142" s="99" t="str">
        <f t="shared" si="5"/>
        <v>Low</v>
      </c>
    </row>
    <row r="143" spans="3:8" x14ac:dyDescent="0.3">
      <c r="C143" s="99" t="s">
        <v>1716</v>
      </c>
      <c r="F143" s="99" t="s">
        <v>2173</v>
      </c>
      <c r="G143" s="42">
        <v>4</v>
      </c>
      <c r="H143" s="99" t="str">
        <f t="shared" si="5"/>
        <v>High</v>
      </c>
    </row>
    <row r="144" spans="3:8" x14ac:dyDescent="0.3">
      <c r="C144" s="99" t="s">
        <v>1756</v>
      </c>
      <c r="F144" s="99" t="s">
        <v>2174</v>
      </c>
      <c r="G144" s="42">
        <v>1</v>
      </c>
      <c r="H144" s="99" t="str">
        <f t="shared" si="5"/>
        <v>Low</v>
      </c>
    </row>
    <row r="145" spans="3:8" x14ac:dyDescent="0.3">
      <c r="C145" s="99" t="s">
        <v>1789</v>
      </c>
      <c r="F145" s="99" t="s">
        <v>2175</v>
      </c>
      <c r="G145" s="42">
        <v>2</v>
      </c>
      <c r="H145" s="99" t="str">
        <f t="shared" si="5"/>
        <v>Low</v>
      </c>
    </row>
    <row r="146" spans="3:8" x14ac:dyDescent="0.3">
      <c r="C146" s="99" t="s">
        <v>1789</v>
      </c>
      <c r="F146" s="99" t="s">
        <v>2176</v>
      </c>
      <c r="G146" s="42">
        <v>3</v>
      </c>
      <c r="H146" s="99" t="str">
        <f t="shared" si="5"/>
        <v>High</v>
      </c>
    </row>
    <row r="147" spans="3:8" x14ac:dyDescent="0.3">
      <c r="C147" s="99" t="s">
        <v>1789</v>
      </c>
      <c r="F147" s="99" t="s">
        <v>2177</v>
      </c>
      <c r="G147" s="42">
        <v>1</v>
      </c>
      <c r="H147" s="99" t="str">
        <f t="shared" si="5"/>
        <v>Low</v>
      </c>
    </row>
    <row r="148" spans="3:8" x14ac:dyDescent="0.3">
      <c r="C148" s="99" t="s">
        <v>1789</v>
      </c>
      <c r="F148" s="99" t="s">
        <v>2178</v>
      </c>
      <c r="G148" s="42">
        <v>2</v>
      </c>
      <c r="H148" s="99" t="str">
        <f t="shared" si="5"/>
        <v>Low</v>
      </c>
    </row>
    <row r="149" spans="3:8" x14ac:dyDescent="0.3">
      <c r="C149" s="99" t="s">
        <v>1789</v>
      </c>
      <c r="F149" s="99" t="s">
        <v>2179</v>
      </c>
      <c r="G149" s="42">
        <v>7</v>
      </c>
      <c r="H149" s="99" t="str">
        <f t="shared" si="5"/>
        <v>High</v>
      </c>
    </row>
    <row r="150" spans="3:8" x14ac:dyDescent="0.3">
      <c r="C150" s="99" t="s">
        <v>1855</v>
      </c>
      <c r="F150" s="99" t="s">
        <v>2180</v>
      </c>
      <c r="G150" s="42">
        <v>1</v>
      </c>
      <c r="H150" s="99" t="str">
        <f t="shared" si="5"/>
        <v>Low</v>
      </c>
    </row>
    <row r="151" spans="3:8" x14ac:dyDescent="0.3">
      <c r="C151" s="99" t="s">
        <v>1855</v>
      </c>
      <c r="F151" s="99" t="s">
        <v>2181</v>
      </c>
      <c r="G151" s="42">
        <v>1</v>
      </c>
      <c r="H151" s="99" t="str">
        <f t="shared" si="5"/>
        <v>Low</v>
      </c>
    </row>
    <row r="152" spans="3:8" x14ac:dyDescent="0.3">
      <c r="C152" s="99" t="s">
        <v>1885</v>
      </c>
      <c r="F152" s="99" t="s">
        <v>2182</v>
      </c>
      <c r="G152" s="42">
        <v>2</v>
      </c>
      <c r="H152" s="99" t="str">
        <f t="shared" si="5"/>
        <v>Low</v>
      </c>
    </row>
    <row r="153" spans="3:8" x14ac:dyDescent="0.3">
      <c r="C153" s="99" t="s">
        <v>1899</v>
      </c>
      <c r="F153" s="99" t="s">
        <v>2183</v>
      </c>
      <c r="G153" s="42">
        <v>4</v>
      </c>
      <c r="H153" s="99" t="str">
        <f t="shared" si="5"/>
        <v>High</v>
      </c>
    </row>
    <row r="154" spans="3:8" x14ac:dyDescent="0.3">
      <c r="C154" s="99" t="s">
        <v>1913</v>
      </c>
      <c r="F154" s="99" t="s">
        <v>2184</v>
      </c>
      <c r="G154" s="42">
        <v>9</v>
      </c>
      <c r="H154" s="99" t="str">
        <f t="shared" si="5"/>
        <v>High</v>
      </c>
    </row>
    <row r="155" spans="3:8" x14ac:dyDescent="0.3">
      <c r="C155" s="99" t="s">
        <v>1926</v>
      </c>
      <c r="F155" s="99" t="s">
        <v>2185</v>
      </c>
      <c r="G155" s="42">
        <v>1</v>
      </c>
      <c r="H155" s="99" t="str">
        <f t="shared" si="5"/>
        <v>Low</v>
      </c>
    </row>
    <row r="156" spans="3:8" x14ac:dyDescent="0.3">
      <c r="C156" s="99" t="s">
        <v>1939</v>
      </c>
      <c r="F156" s="99" t="s">
        <v>2186</v>
      </c>
      <c r="G156" s="42">
        <v>2</v>
      </c>
      <c r="H156" s="99" t="str">
        <f t="shared" si="5"/>
        <v>Low</v>
      </c>
    </row>
    <row r="157" spans="3:8" x14ac:dyDescent="0.3">
      <c r="C157" s="99" t="s">
        <v>1939</v>
      </c>
      <c r="F157" s="99" t="s">
        <v>2187</v>
      </c>
      <c r="G157" s="42">
        <v>2</v>
      </c>
      <c r="H157" s="99" t="str">
        <f t="shared" si="5"/>
        <v>Low</v>
      </c>
    </row>
    <row r="158" spans="3:8" x14ac:dyDescent="0.3">
      <c r="C158" s="99" t="s">
        <v>1939</v>
      </c>
      <c r="F158" s="99" t="s">
        <v>2188</v>
      </c>
      <c r="G158" s="42">
        <v>2</v>
      </c>
      <c r="H158" s="99" t="str">
        <f t="shared" si="5"/>
        <v>Low</v>
      </c>
    </row>
    <row r="159" spans="3:8" x14ac:dyDescent="0.3">
      <c r="C159" s="99" t="s">
        <v>1951</v>
      </c>
      <c r="F159" s="99" t="s">
        <v>2189</v>
      </c>
      <c r="G159" s="42">
        <v>1</v>
      </c>
      <c r="H159" s="99" t="str">
        <f t="shared" si="5"/>
        <v>Low</v>
      </c>
    </row>
    <row r="160" spans="3:8" x14ac:dyDescent="0.3">
      <c r="C160" s="99" t="s">
        <v>1959</v>
      </c>
      <c r="F160" s="99" t="s">
        <v>2190</v>
      </c>
      <c r="G160" s="42">
        <v>3</v>
      </c>
      <c r="H160" s="99" t="str">
        <f t="shared" si="5"/>
        <v>High</v>
      </c>
    </row>
    <row r="161" spans="3:8" x14ac:dyDescent="0.3">
      <c r="C161" s="99" t="s">
        <v>1970</v>
      </c>
      <c r="F161" s="99" t="s">
        <v>2191</v>
      </c>
      <c r="G161" s="42">
        <v>4</v>
      </c>
      <c r="H161" s="99" t="str">
        <f t="shared" si="5"/>
        <v>High</v>
      </c>
    </row>
    <row r="162" spans="3:8" x14ac:dyDescent="0.3">
      <c r="C162" s="99" t="s">
        <v>1970</v>
      </c>
      <c r="F162" s="99" t="s">
        <v>2192</v>
      </c>
      <c r="G162" s="42">
        <v>2</v>
      </c>
      <c r="H162" s="99" t="str">
        <f t="shared" si="5"/>
        <v>Low</v>
      </c>
    </row>
    <row r="163" spans="3:8" x14ac:dyDescent="0.3">
      <c r="C163" s="99" t="s">
        <v>1970</v>
      </c>
      <c r="F163" s="99" t="s">
        <v>2193</v>
      </c>
      <c r="G163" s="42">
        <v>3</v>
      </c>
      <c r="H163" s="99" t="str">
        <f t="shared" si="5"/>
        <v>High</v>
      </c>
    </row>
    <row r="164" spans="3:8" x14ac:dyDescent="0.3">
      <c r="C164" s="99" t="s">
        <v>1977</v>
      </c>
      <c r="F164" s="99" t="s">
        <v>2194</v>
      </c>
      <c r="G164" s="42">
        <v>2</v>
      </c>
      <c r="H164" s="99" t="str">
        <f t="shared" si="5"/>
        <v>Low</v>
      </c>
    </row>
    <row r="165" spans="3:8" x14ac:dyDescent="0.3">
      <c r="C165" s="99" t="s">
        <v>1986</v>
      </c>
      <c r="F165" s="99" t="s">
        <v>2195</v>
      </c>
      <c r="G165" s="42">
        <v>3</v>
      </c>
      <c r="H165" s="99" t="str">
        <f t="shared" si="5"/>
        <v>High</v>
      </c>
    </row>
    <row r="166" spans="3:8" x14ac:dyDescent="0.3">
      <c r="C166" s="99" t="s">
        <v>2003</v>
      </c>
      <c r="F166" s="99" t="s">
        <v>2196</v>
      </c>
      <c r="G166" s="42">
        <v>1</v>
      </c>
      <c r="H166" s="99" t="str">
        <f t="shared" si="5"/>
        <v>Low</v>
      </c>
    </row>
    <row r="167" spans="3:8" x14ac:dyDescent="0.3">
      <c r="C167" s="99" t="s">
        <v>2012</v>
      </c>
      <c r="F167" s="99" t="s">
        <v>2197</v>
      </c>
      <c r="G167" s="42">
        <v>6</v>
      </c>
      <c r="H167" s="99" t="str">
        <f t="shared" si="5"/>
        <v>High</v>
      </c>
    </row>
    <row r="168" spans="3:8" x14ac:dyDescent="0.3">
      <c r="C168" s="99" t="s">
        <v>2012</v>
      </c>
      <c r="F168" s="99" t="s">
        <v>2198</v>
      </c>
      <c r="G168" s="42">
        <v>2</v>
      </c>
      <c r="H168" s="99" t="str">
        <f t="shared" si="5"/>
        <v>Low</v>
      </c>
    </row>
    <row r="169" spans="3:8" x14ac:dyDescent="0.3">
      <c r="C169" s="99" t="s">
        <v>2026</v>
      </c>
      <c r="F169" s="99" t="s">
        <v>2199</v>
      </c>
      <c r="G169" s="42">
        <v>1</v>
      </c>
      <c r="H169" s="99" t="str">
        <f t="shared" si="5"/>
        <v>Low</v>
      </c>
    </row>
    <row r="170" spans="3:8" x14ac:dyDescent="0.3">
      <c r="C170" s="99" t="s">
        <v>2040</v>
      </c>
      <c r="F170" s="99" t="s">
        <v>2200</v>
      </c>
      <c r="G170" s="42">
        <v>2</v>
      </c>
      <c r="H170" s="99" t="str">
        <f t="shared" si="5"/>
        <v>Low</v>
      </c>
    </row>
    <row r="171" spans="3:8" x14ac:dyDescent="0.3">
      <c r="C171" s="99" t="s">
        <v>2053</v>
      </c>
      <c r="F171" s="99" t="s">
        <v>2201</v>
      </c>
      <c r="G171" s="42">
        <v>2</v>
      </c>
      <c r="H171" s="99" t="str">
        <f t="shared" si="5"/>
        <v>Low</v>
      </c>
    </row>
    <row r="172" spans="3:8" x14ac:dyDescent="0.3">
      <c r="C172" s="99" t="s">
        <v>2053</v>
      </c>
      <c r="F172" s="99" t="s">
        <v>2202</v>
      </c>
      <c r="G172" s="42">
        <v>3</v>
      </c>
      <c r="H172" s="99" t="str">
        <f t="shared" si="5"/>
        <v>High</v>
      </c>
    </row>
    <row r="173" spans="3:8" x14ac:dyDescent="0.3">
      <c r="C173" s="99" t="s">
        <v>2053</v>
      </c>
      <c r="F173" s="99" t="s">
        <v>2203</v>
      </c>
      <c r="G173" s="42">
        <v>1</v>
      </c>
      <c r="H173" s="99" t="str">
        <f t="shared" si="5"/>
        <v>Low</v>
      </c>
    </row>
    <row r="174" spans="3:8" x14ac:dyDescent="0.3">
      <c r="C174" s="99" t="s">
        <v>2053</v>
      </c>
      <c r="F174" s="99" t="s">
        <v>2204</v>
      </c>
      <c r="G174" s="42">
        <v>2</v>
      </c>
      <c r="H174" s="99" t="str">
        <f t="shared" si="5"/>
        <v>Low</v>
      </c>
    </row>
    <row r="175" spans="3:8" x14ac:dyDescent="0.3">
      <c r="C175" s="99" t="s">
        <v>2061</v>
      </c>
      <c r="F175" s="99" t="s">
        <v>2205</v>
      </c>
      <c r="G175" s="42">
        <v>2</v>
      </c>
      <c r="H175" s="99" t="str">
        <f t="shared" si="5"/>
        <v>Low</v>
      </c>
    </row>
    <row r="176" spans="3:8" x14ac:dyDescent="0.3">
      <c r="C176" s="99" t="s">
        <v>2073</v>
      </c>
      <c r="F176" s="99" t="s">
        <v>2206</v>
      </c>
      <c r="G176" s="42">
        <v>4</v>
      </c>
      <c r="H176" s="99" t="str">
        <f t="shared" si="5"/>
        <v>High</v>
      </c>
    </row>
    <row r="177" spans="3:8" x14ac:dyDescent="0.3">
      <c r="C177" s="99" t="s">
        <v>2095</v>
      </c>
      <c r="F177" s="99" t="s">
        <v>2207</v>
      </c>
      <c r="G177" s="42">
        <v>2</v>
      </c>
      <c r="H177" s="99" t="str">
        <f t="shared" si="5"/>
        <v>Low</v>
      </c>
    </row>
    <row r="178" spans="3:8" x14ac:dyDescent="0.3">
      <c r="C178" s="99" t="s">
        <v>2095</v>
      </c>
      <c r="F178" s="99" t="s">
        <v>2208</v>
      </c>
      <c r="G178" s="42">
        <v>1</v>
      </c>
      <c r="H178" s="99" t="str">
        <f t="shared" si="5"/>
        <v>Low</v>
      </c>
    </row>
    <row r="179" spans="3:8" x14ac:dyDescent="0.3">
      <c r="C179" s="99" t="s">
        <v>2095</v>
      </c>
      <c r="F179" s="99" t="s">
        <v>2209</v>
      </c>
      <c r="G179" s="42">
        <v>2</v>
      </c>
      <c r="H179" s="99" t="str">
        <f t="shared" si="5"/>
        <v>Low</v>
      </c>
    </row>
    <row r="180" spans="3:8" x14ac:dyDescent="0.3">
      <c r="C180" s="99" t="s">
        <v>2849</v>
      </c>
      <c r="F180" s="99" t="s">
        <v>2210</v>
      </c>
      <c r="G180" s="42">
        <v>2</v>
      </c>
      <c r="H180" s="99" t="str">
        <f t="shared" si="5"/>
        <v>Low</v>
      </c>
    </row>
    <row r="181" spans="3:8" x14ac:dyDescent="0.3">
      <c r="C181" s="99" t="s">
        <v>2118</v>
      </c>
      <c r="F181" s="99" t="s">
        <v>2211</v>
      </c>
      <c r="G181" s="42">
        <v>1</v>
      </c>
      <c r="H181" s="99" t="str">
        <f t="shared" si="5"/>
        <v>Low</v>
      </c>
    </row>
    <row r="182" spans="3:8" x14ac:dyDescent="0.3">
      <c r="C182" s="99" t="s">
        <v>2118</v>
      </c>
      <c r="F182" s="99" t="s">
        <v>2212</v>
      </c>
      <c r="G182" s="42">
        <v>1</v>
      </c>
      <c r="H182" s="99" t="str">
        <f t="shared" si="5"/>
        <v>Low</v>
      </c>
    </row>
    <row r="183" spans="3:8" x14ac:dyDescent="0.3">
      <c r="C183" s="99" t="s">
        <v>2118</v>
      </c>
      <c r="F183" s="99" t="s">
        <v>2213</v>
      </c>
      <c r="G183" s="42">
        <v>2</v>
      </c>
      <c r="H183" s="99" t="str">
        <f t="shared" si="5"/>
        <v>Low</v>
      </c>
    </row>
    <row r="184" spans="3:8" x14ac:dyDescent="0.3">
      <c r="C184" s="99" t="s">
        <v>2119</v>
      </c>
      <c r="F184" s="99" t="s">
        <v>2214</v>
      </c>
      <c r="G184" s="42">
        <v>1</v>
      </c>
      <c r="H184" s="99" t="str">
        <f t="shared" si="5"/>
        <v>Low</v>
      </c>
    </row>
    <row r="185" spans="3:8" x14ac:dyDescent="0.3">
      <c r="C185" s="99" t="s">
        <v>2119</v>
      </c>
      <c r="F185" s="99" t="s">
        <v>2215</v>
      </c>
      <c r="G185" s="42">
        <v>1</v>
      </c>
      <c r="H185" s="99" t="str">
        <f t="shared" si="5"/>
        <v>Low</v>
      </c>
    </row>
    <row r="186" spans="3:8" x14ac:dyDescent="0.3">
      <c r="C186" s="99" t="s">
        <v>2119</v>
      </c>
      <c r="F186" s="99" t="s">
        <v>2216</v>
      </c>
      <c r="G186" s="42">
        <v>1</v>
      </c>
      <c r="H186" s="99" t="str">
        <f t="shared" si="5"/>
        <v>Low</v>
      </c>
    </row>
    <row r="187" spans="3:8" x14ac:dyDescent="0.3">
      <c r="C187" s="99" t="s">
        <v>2119</v>
      </c>
      <c r="F187" s="99" t="s">
        <v>2217</v>
      </c>
      <c r="G187" s="42">
        <v>3</v>
      </c>
      <c r="H187" s="99" t="str">
        <f t="shared" si="5"/>
        <v>High</v>
      </c>
    </row>
    <row r="188" spans="3:8" x14ac:dyDescent="0.3">
      <c r="C188" s="99" t="s">
        <v>2120</v>
      </c>
      <c r="F188" s="99" t="s">
        <v>2218</v>
      </c>
      <c r="G188" s="42">
        <v>2</v>
      </c>
      <c r="H188" s="99" t="str">
        <f t="shared" si="5"/>
        <v>Low</v>
      </c>
    </row>
    <row r="189" spans="3:8" x14ac:dyDescent="0.3">
      <c r="C189" s="99" t="s">
        <v>2120</v>
      </c>
      <c r="F189" s="99" t="s">
        <v>2219</v>
      </c>
      <c r="G189" s="42">
        <v>1</v>
      </c>
      <c r="H189" s="99" t="str">
        <f t="shared" si="5"/>
        <v>Low</v>
      </c>
    </row>
    <row r="190" spans="3:8" x14ac:dyDescent="0.3">
      <c r="C190" s="99" t="s">
        <v>2120</v>
      </c>
      <c r="F190" s="99" t="s">
        <v>2220</v>
      </c>
      <c r="G190" s="42">
        <v>1</v>
      </c>
      <c r="H190" s="99" t="str">
        <f t="shared" si="5"/>
        <v>Low</v>
      </c>
    </row>
    <row r="191" spans="3:8" x14ac:dyDescent="0.3">
      <c r="C191" s="99" t="s">
        <v>2121</v>
      </c>
      <c r="F191" s="99" t="s">
        <v>2221</v>
      </c>
      <c r="G191" s="42">
        <v>2</v>
      </c>
      <c r="H191" s="99" t="str">
        <f t="shared" si="5"/>
        <v>Low</v>
      </c>
    </row>
    <row r="192" spans="3:8" x14ac:dyDescent="0.3">
      <c r="C192" s="99" t="s">
        <v>2122</v>
      </c>
      <c r="F192" s="99" t="s">
        <v>2222</v>
      </c>
      <c r="G192" s="42">
        <v>1</v>
      </c>
      <c r="H192" s="99" t="str">
        <f t="shared" si="5"/>
        <v>Low</v>
      </c>
    </row>
    <row r="193" spans="3:8" x14ac:dyDescent="0.3">
      <c r="C193" s="99" t="s">
        <v>2122</v>
      </c>
      <c r="F193" s="99" t="s">
        <v>2223</v>
      </c>
      <c r="G193" s="42">
        <v>2</v>
      </c>
      <c r="H193" s="99" t="str">
        <f t="shared" si="5"/>
        <v>Low</v>
      </c>
    </row>
    <row r="194" spans="3:8" x14ac:dyDescent="0.3">
      <c r="C194" s="99" t="s">
        <v>2122</v>
      </c>
      <c r="F194" s="99" t="s">
        <v>2224</v>
      </c>
      <c r="G194" s="42">
        <v>2</v>
      </c>
      <c r="H194" s="99" t="str">
        <f t="shared" si="5"/>
        <v>Low</v>
      </c>
    </row>
    <row r="195" spans="3:8" x14ac:dyDescent="0.3">
      <c r="C195" s="99" t="s">
        <v>2122</v>
      </c>
      <c r="F195" s="99" t="s">
        <v>2225</v>
      </c>
      <c r="G195" s="42">
        <v>2</v>
      </c>
      <c r="H195" s="99" t="str">
        <f t="shared" si="5"/>
        <v>Low</v>
      </c>
    </row>
    <row r="196" spans="3:8" x14ac:dyDescent="0.3">
      <c r="C196" s="99" t="s">
        <v>2123</v>
      </c>
      <c r="F196" s="99" t="s">
        <v>2226</v>
      </c>
      <c r="G196" s="42">
        <v>1</v>
      </c>
      <c r="H196" s="99" t="str">
        <f t="shared" si="5"/>
        <v>Low</v>
      </c>
    </row>
    <row r="197" spans="3:8" x14ac:dyDescent="0.3">
      <c r="C197" s="99" t="s">
        <v>2124</v>
      </c>
      <c r="F197" s="99" t="s">
        <v>2227</v>
      </c>
      <c r="G197" s="42">
        <v>1</v>
      </c>
      <c r="H197" s="99" t="str">
        <f t="shared" si="5"/>
        <v>Low</v>
      </c>
    </row>
    <row r="198" spans="3:8" x14ac:dyDescent="0.3">
      <c r="C198" s="99" t="s">
        <v>2124</v>
      </c>
      <c r="F198" s="99" t="s">
        <v>2228</v>
      </c>
      <c r="G198" s="42">
        <v>1</v>
      </c>
      <c r="H198" s="99" t="str">
        <f t="shared" si="5"/>
        <v>Low</v>
      </c>
    </row>
    <row r="199" spans="3:8" x14ac:dyDescent="0.3">
      <c r="C199" s="99" t="s">
        <v>2125</v>
      </c>
      <c r="F199" s="99" t="s">
        <v>2229</v>
      </c>
      <c r="G199" s="42">
        <v>3</v>
      </c>
      <c r="H199" s="99" t="str">
        <f t="shared" ref="H199:H262" si="6">IF(G199&gt;=frequency_threshold,"High","Low")</f>
        <v>High</v>
      </c>
    </row>
    <row r="200" spans="3:8" x14ac:dyDescent="0.3">
      <c r="C200" s="99" t="s">
        <v>2125</v>
      </c>
      <c r="F200" s="99" t="s">
        <v>2230</v>
      </c>
      <c r="G200" s="42">
        <v>2</v>
      </c>
      <c r="H200" s="99" t="str">
        <f t="shared" si="6"/>
        <v>Low</v>
      </c>
    </row>
    <row r="201" spans="3:8" x14ac:dyDescent="0.3">
      <c r="C201" s="99" t="s">
        <v>2125</v>
      </c>
      <c r="F201" s="99" t="s">
        <v>2231</v>
      </c>
      <c r="G201" s="42">
        <v>1</v>
      </c>
      <c r="H201" s="99" t="str">
        <f t="shared" si="6"/>
        <v>Low</v>
      </c>
    </row>
    <row r="202" spans="3:8" x14ac:dyDescent="0.3">
      <c r="C202" s="99" t="s">
        <v>2126</v>
      </c>
      <c r="F202" s="99" t="s">
        <v>2232</v>
      </c>
      <c r="G202" s="42">
        <v>1</v>
      </c>
      <c r="H202" s="99" t="str">
        <f t="shared" si="6"/>
        <v>Low</v>
      </c>
    </row>
    <row r="203" spans="3:8" x14ac:dyDescent="0.3">
      <c r="C203" s="99" t="s">
        <v>2126</v>
      </c>
      <c r="F203" s="99" t="s">
        <v>2233</v>
      </c>
      <c r="G203" s="42">
        <v>7</v>
      </c>
      <c r="H203" s="99" t="str">
        <f t="shared" si="6"/>
        <v>High</v>
      </c>
    </row>
    <row r="204" spans="3:8" x14ac:dyDescent="0.3">
      <c r="C204" s="99" t="s">
        <v>2127</v>
      </c>
      <c r="F204" s="99" t="s">
        <v>2234</v>
      </c>
      <c r="G204" s="42">
        <v>3</v>
      </c>
      <c r="H204" s="99" t="str">
        <f t="shared" si="6"/>
        <v>High</v>
      </c>
    </row>
    <row r="205" spans="3:8" x14ac:dyDescent="0.3">
      <c r="C205" s="99" t="s">
        <v>2127</v>
      </c>
      <c r="F205" s="99" t="s">
        <v>2235</v>
      </c>
      <c r="G205" s="42">
        <v>4</v>
      </c>
      <c r="H205" s="99" t="str">
        <f t="shared" si="6"/>
        <v>High</v>
      </c>
    </row>
    <row r="206" spans="3:8" x14ac:dyDescent="0.3">
      <c r="C206" s="99" t="s">
        <v>2127</v>
      </c>
      <c r="F206" s="99" t="s">
        <v>2236</v>
      </c>
      <c r="G206" s="42">
        <v>6</v>
      </c>
      <c r="H206" s="99" t="str">
        <f t="shared" si="6"/>
        <v>High</v>
      </c>
    </row>
    <row r="207" spans="3:8" x14ac:dyDescent="0.3">
      <c r="C207" s="99" t="s">
        <v>2128</v>
      </c>
      <c r="F207" s="99" t="s">
        <v>2237</v>
      </c>
      <c r="G207" s="42">
        <v>1</v>
      </c>
      <c r="H207" s="99" t="str">
        <f t="shared" si="6"/>
        <v>Low</v>
      </c>
    </row>
    <row r="208" spans="3:8" x14ac:dyDescent="0.3">
      <c r="C208" s="99" t="s">
        <v>2128</v>
      </c>
      <c r="F208" s="99" t="s">
        <v>2238</v>
      </c>
      <c r="G208" s="42">
        <v>1</v>
      </c>
      <c r="H208" s="99" t="str">
        <f t="shared" si="6"/>
        <v>Low</v>
      </c>
    </row>
    <row r="209" spans="3:8" x14ac:dyDescent="0.3">
      <c r="C209" s="99" t="s">
        <v>2128</v>
      </c>
      <c r="F209" s="99" t="s">
        <v>2239</v>
      </c>
      <c r="G209" s="42">
        <v>6</v>
      </c>
      <c r="H209" s="99" t="str">
        <f t="shared" si="6"/>
        <v>High</v>
      </c>
    </row>
    <row r="210" spans="3:8" x14ac:dyDescent="0.3">
      <c r="C210" s="99" t="s">
        <v>2128</v>
      </c>
      <c r="F210" s="99" t="s">
        <v>2240</v>
      </c>
      <c r="G210" s="42">
        <v>1</v>
      </c>
      <c r="H210" s="99" t="str">
        <f t="shared" si="6"/>
        <v>Low</v>
      </c>
    </row>
    <row r="211" spans="3:8" x14ac:dyDescent="0.3">
      <c r="C211" s="99" t="s">
        <v>2128</v>
      </c>
      <c r="F211" s="99" t="s">
        <v>2241</v>
      </c>
      <c r="G211" s="42">
        <v>1</v>
      </c>
      <c r="H211" s="99" t="str">
        <f t="shared" si="6"/>
        <v>Low</v>
      </c>
    </row>
    <row r="212" spans="3:8" x14ac:dyDescent="0.3">
      <c r="C212" s="99" t="s">
        <v>2129</v>
      </c>
      <c r="F212" s="99" t="s">
        <v>2242</v>
      </c>
      <c r="G212" s="42">
        <v>1</v>
      </c>
      <c r="H212" s="99" t="str">
        <f t="shared" si="6"/>
        <v>Low</v>
      </c>
    </row>
    <row r="213" spans="3:8" x14ac:dyDescent="0.3">
      <c r="C213" s="99" t="s">
        <v>2129</v>
      </c>
      <c r="F213" s="99" t="s">
        <v>2243</v>
      </c>
      <c r="G213" s="42">
        <v>3</v>
      </c>
      <c r="H213" s="99" t="str">
        <f t="shared" si="6"/>
        <v>High</v>
      </c>
    </row>
    <row r="214" spans="3:8" x14ac:dyDescent="0.3">
      <c r="C214" s="99" t="s">
        <v>2129</v>
      </c>
      <c r="F214" s="99" t="s">
        <v>2244</v>
      </c>
      <c r="G214" s="42">
        <v>1</v>
      </c>
      <c r="H214" s="99" t="str">
        <f t="shared" si="6"/>
        <v>Low</v>
      </c>
    </row>
    <row r="215" spans="3:8" x14ac:dyDescent="0.3">
      <c r="C215" s="99" t="s">
        <v>2129</v>
      </c>
      <c r="F215" s="99" t="s">
        <v>2245</v>
      </c>
      <c r="G215" s="42">
        <v>6</v>
      </c>
      <c r="H215" s="99" t="str">
        <f t="shared" si="6"/>
        <v>High</v>
      </c>
    </row>
    <row r="216" spans="3:8" x14ac:dyDescent="0.3">
      <c r="C216" s="99" t="s">
        <v>2129</v>
      </c>
      <c r="F216" s="99" t="s">
        <v>2246</v>
      </c>
      <c r="G216" s="42">
        <v>1</v>
      </c>
      <c r="H216" s="99" t="str">
        <f t="shared" si="6"/>
        <v>Low</v>
      </c>
    </row>
    <row r="217" spans="3:8" x14ac:dyDescent="0.3">
      <c r="C217" s="99" t="s">
        <v>2129</v>
      </c>
      <c r="F217" s="99" t="s">
        <v>2247</v>
      </c>
      <c r="G217" s="42">
        <v>3</v>
      </c>
      <c r="H217" s="99" t="str">
        <f t="shared" si="6"/>
        <v>High</v>
      </c>
    </row>
    <row r="218" spans="3:8" x14ac:dyDescent="0.3">
      <c r="C218" s="99" t="s">
        <v>2130</v>
      </c>
      <c r="F218" s="99" t="s">
        <v>2248</v>
      </c>
      <c r="G218" s="42">
        <v>5</v>
      </c>
      <c r="H218" s="99" t="str">
        <f t="shared" si="6"/>
        <v>High</v>
      </c>
    </row>
    <row r="219" spans="3:8" x14ac:dyDescent="0.3">
      <c r="C219" s="99" t="s">
        <v>2131</v>
      </c>
      <c r="F219" s="99" t="s">
        <v>2249</v>
      </c>
      <c r="G219" s="42">
        <v>2</v>
      </c>
      <c r="H219" s="99" t="str">
        <f t="shared" si="6"/>
        <v>Low</v>
      </c>
    </row>
    <row r="220" spans="3:8" x14ac:dyDescent="0.3">
      <c r="C220" s="99" t="s">
        <v>2131</v>
      </c>
      <c r="F220" s="99" t="s">
        <v>2250</v>
      </c>
      <c r="G220" s="42">
        <v>7</v>
      </c>
      <c r="H220" s="99" t="str">
        <f t="shared" si="6"/>
        <v>High</v>
      </c>
    </row>
    <row r="221" spans="3:8" x14ac:dyDescent="0.3">
      <c r="C221" s="99" t="s">
        <v>2131</v>
      </c>
      <c r="F221" s="99" t="s">
        <v>2251</v>
      </c>
      <c r="G221" s="42">
        <v>4</v>
      </c>
      <c r="H221" s="99" t="str">
        <f t="shared" si="6"/>
        <v>High</v>
      </c>
    </row>
    <row r="222" spans="3:8" x14ac:dyDescent="0.3">
      <c r="C222" s="99" t="s">
        <v>2132</v>
      </c>
      <c r="F222" s="99" t="s">
        <v>2252</v>
      </c>
      <c r="G222" s="42">
        <v>2</v>
      </c>
      <c r="H222" s="99" t="str">
        <f t="shared" si="6"/>
        <v>Low</v>
      </c>
    </row>
    <row r="223" spans="3:8" x14ac:dyDescent="0.3">
      <c r="C223" s="99" t="s">
        <v>2133</v>
      </c>
      <c r="F223" s="99" t="s">
        <v>2253</v>
      </c>
      <c r="G223" s="42">
        <v>4</v>
      </c>
      <c r="H223" s="99" t="str">
        <f t="shared" si="6"/>
        <v>High</v>
      </c>
    </row>
    <row r="224" spans="3:8" x14ac:dyDescent="0.3">
      <c r="C224" s="99" t="s">
        <v>2133</v>
      </c>
      <c r="F224" s="99" t="s">
        <v>2254</v>
      </c>
      <c r="G224" s="42">
        <v>1</v>
      </c>
      <c r="H224" s="99" t="str">
        <f t="shared" si="6"/>
        <v>Low</v>
      </c>
    </row>
    <row r="225" spans="3:8" x14ac:dyDescent="0.3">
      <c r="C225" s="99" t="s">
        <v>2133</v>
      </c>
      <c r="F225" s="99" t="s">
        <v>2255</v>
      </c>
      <c r="G225" s="42">
        <v>1</v>
      </c>
      <c r="H225" s="99" t="str">
        <f t="shared" si="6"/>
        <v>Low</v>
      </c>
    </row>
    <row r="226" spans="3:8" x14ac:dyDescent="0.3">
      <c r="C226" s="99" t="s">
        <v>2134</v>
      </c>
      <c r="F226" s="99" t="s">
        <v>2256</v>
      </c>
      <c r="G226" s="42">
        <v>2</v>
      </c>
      <c r="H226" s="99" t="str">
        <f t="shared" si="6"/>
        <v>Low</v>
      </c>
    </row>
    <row r="227" spans="3:8" x14ac:dyDescent="0.3">
      <c r="C227" s="99" t="s">
        <v>2134</v>
      </c>
      <c r="F227" s="99" t="s">
        <v>2257</v>
      </c>
      <c r="G227" s="42">
        <v>4</v>
      </c>
      <c r="H227" s="99" t="str">
        <f t="shared" si="6"/>
        <v>High</v>
      </c>
    </row>
    <row r="228" spans="3:8" x14ac:dyDescent="0.3">
      <c r="C228" s="99" t="s">
        <v>2135</v>
      </c>
      <c r="F228" s="99" t="s">
        <v>2258</v>
      </c>
      <c r="G228" s="42">
        <v>3</v>
      </c>
      <c r="H228" s="99" t="str">
        <f t="shared" si="6"/>
        <v>High</v>
      </c>
    </row>
    <row r="229" spans="3:8" x14ac:dyDescent="0.3">
      <c r="C229" s="99" t="s">
        <v>2135</v>
      </c>
      <c r="F229" s="99" t="s">
        <v>2259</v>
      </c>
      <c r="G229" s="42">
        <v>2</v>
      </c>
      <c r="H229" s="99" t="str">
        <f t="shared" si="6"/>
        <v>Low</v>
      </c>
    </row>
    <row r="230" spans="3:8" x14ac:dyDescent="0.3">
      <c r="C230" s="99" t="s">
        <v>2135</v>
      </c>
      <c r="F230" s="99" t="s">
        <v>2260</v>
      </c>
      <c r="G230" s="42">
        <v>6</v>
      </c>
      <c r="H230" s="99" t="str">
        <f t="shared" si="6"/>
        <v>High</v>
      </c>
    </row>
    <row r="231" spans="3:8" x14ac:dyDescent="0.3">
      <c r="C231" s="99" t="s">
        <v>2136</v>
      </c>
      <c r="F231" s="99" t="s">
        <v>2261</v>
      </c>
      <c r="G231" s="42">
        <v>1</v>
      </c>
      <c r="H231" s="99" t="str">
        <f t="shared" si="6"/>
        <v>Low</v>
      </c>
    </row>
    <row r="232" spans="3:8" x14ac:dyDescent="0.3">
      <c r="C232" s="99" t="s">
        <v>2136</v>
      </c>
      <c r="F232" s="99" t="s">
        <v>2262</v>
      </c>
      <c r="G232" s="42">
        <v>1</v>
      </c>
      <c r="H232" s="99" t="str">
        <f t="shared" si="6"/>
        <v>Low</v>
      </c>
    </row>
    <row r="233" spans="3:8" x14ac:dyDescent="0.3">
      <c r="C233" s="99" t="s">
        <v>2137</v>
      </c>
      <c r="F233" s="99" t="s">
        <v>2263</v>
      </c>
      <c r="G233" s="42">
        <v>7</v>
      </c>
      <c r="H233" s="99" t="str">
        <f t="shared" si="6"/>
        <v>High</v>
      </c>
    </row>
    <row r="234" spans="3:8" x14ac:dyDescent="0.3">
      <c r="C234" s="99" t="s">
        <v>2138</v>
      </c>
      <c r="F234" s="99" t="s">
        <v>2264</v>
      </c>
      <c r="G234" s="42">
        <v>1</v>
      </c>
      <c r="H234" s="99" t="str">
        <f t="shared" si="6"/>
        <v>Low</v>
      </c>
    </row>
    <row r="235" spans="3:8" x14ac:dyDescent="0.3">
      <c r="C235" s="99" t="s">
        <v>2139</v>
      </c>
      <c r="F235" s="99" t="s">
        <v>2265</v>
      </c>
      <c r="G235" s="42">
        <v>1</v>
      </c>
      <c r="H235" s="99" t="str">
        <f t="shared" si="6"/>
        <v>Low</v>
      </c>
    </row>
    <row r="236" spans="3:8" x14ac:dyDescent="0.3">
      <c r="C236" s="99" t="s">
        <v>2139</v>
      </c>
      <c r="F236" s="99" t="s">
        <v>2266</v>
      </c>
      <c r="G236" s="42">
        <v>7</v>
      </c>
      <c r="H236" s="99" t="str">
        <f t="shared" si="6"/>
        <v>High</v>
      </c>
    </row>
    <row r="237" spans="3:8" x14ac:dyDescent="0.3">
      <c r="C237" s="99" t="s">
        <v>2139</v>
      </c>
      <c r="F237" s="99" t="s">
        <v>2267</v>
      </c>
      <c r="G237" s="42">
        <v>3</v>
      </c>
      <c r="H237" s="99" t="str">
        <f t="shared" si="6"/>
        <v>High</v>
      </c>
    </row>
    <row r="238" spans="3:8" x14ac:dyDescent="0.3">
      <c r="C238" s="99" t="s">
        <v>2140</v>
      </c>
      <c r="F238" s="99" t="s">
        <v>2268</v>
      </c>
      <c r="G238" s="42">
        <v>1</v>
      </c>
      <c r="H238" s="99" t="str">
        <f t="shared" si="6"/>
        <v>Low</v>
      </c>
    </row>
    <row r="239" spans="3:8" x14ac:dyDescent="0.3">
      <c r="C239" s="99" t="s">
        <v>2140</v>
      </c>
      <c r="F239" s="99" t="s">
        <v>2269</v>
      </c>
      <c r="G239" s="42">
        <v>2</v>
      </c>
      <c r="H239" s="99" t="str">
        <f t="shared" si="6"/>
        <v>Low</v>
      </c>
    </row>
    <row r="240" spans="3:8" x14ac:dyDescent="0.3">
      <c r="C240" s="99" t="s">
        <v>2140</v>
      </c>
      <c r="F240" s="99" t="s">
        <v>2270</v>
      </c>
      <c r="G240" s="42">
        <v>2</v>
      </c>
      <c r="H240" s="99" t="str">
        <f t="shared" si="6"/>
        <v>Low</v>
      </c>
    </row>
    <row r="241" spans="3:8" x14ac:dyDescent="0.3">
      <c r="C241" s="99" t="s">
        <v>2141</v>
      </c>
      <c r="F241" s="99" t="s">
        <v>2271</v>
      </c>
      <c r="G241" s="42">
        <v>2</v>
      </c>
      <c r="H241" s="99" t="str">
        <f t="shared" si="6"/>
        <v>Low</v>
      </c>
    </row>
    <row r="242" spans="3:8" x14ac:dyDescent="0.3">
      <c r="C242" s="99" t="s">
        <v>2141</v>
      </c>
      <c r="F242" s="99" t="s">
        <v>2272</v>
      </c>
      <c r="G242" s="42">
        <v>2</v>
      </c>
      <c r="H242" s="99" t="str">
        <f t="shared" si="6"/>
        <v>Low</v>
      </c>
    </row>
    <row r="243" spans="3:8" x14ac:dyDescent="0.3">
      <c r="C243" s="99" t="s">
        <v>2142</v>
      </c>
      <c r="F243" s="99" t="s">
        <v>2273</v>
      </c>
      <c r="G243" s="42">
        <v>4</v>
      </c>
      <c r="H243" s="99" t="str">
        <f t="shared" si="6"/>
        <v>High</v>
      </c>
    </row>
    <row r="244" spans="3:8" x14ac:dyDescent="0.3">
      <c r="C244" s="99" t="s">
        <v>2142</v>
      </c>
      <c r="F244" s="99" t="s">
        <v>2274</v>
      </c>
      <c r="G244" s="42">
        <v>3</v>
      </c>
      <c r="H244" s="99" t="str">
        <f t="shared" si="6"/>
        <v>High</v>
      </c>
    </row>
    <row r="245" spans="3:8" x14ac:dyDescent="0.3">
      <c r="C245" s="99" t="s">
        <v>2142</v>
      </c>
      <c r="F245" s="99" t="s">
        <v>2275</v>
      </c>
      <c r="G245" s="42">
        <v>1</v>
      </c>
      <c r="H245" s="99" t="str">
        <f t="shared" si="6"/>
        <v>Low</v>
      </c>
    </row>
    <row r="246" spans="3:8" x14ac:dyDescent="0.3">
      <c r="C246" s="99" t="s">
        <v>2143</v>
      </c>
      <c r="F246" s="99" t="s">
        <v>2276</v>
      </c>
      <c r="G246" s="42">
        <v>7</v>
      </c>
      <c r="H246" s="99" t="str">
        <f t="shared" si="6"/>
        <v>High</v>
      </c>
    </row>
    <row r="247" spans="3:8" x14ac:dyDescent="0.3">
      <c r="C247" s="99" t="s">
        <v>2143</v>
      </c>
      <c r="F247" s="99" t="s">
        <v>2277</v>
      </c>
      <c r="G247" s="42">
        <v>2</v>
      </c>
      <c r="H247" s="99" t="str">
        <f t="shared" si="6"/>
        <v>Low</v>
      </c>
    </row>
    <row r="248" spans="3:8" x14ac:dyDescent="0.3">
      <c r="C248" s="99" t="s">
        <v>2144</v>
      </c>
      <c r="F248" s="99" t="s">
        <v>2278</v>
      </c>
      <c r="G248" s="42">
        <v>2</v>
      </c>
      <c r="H248" s="99" t="str">
        <f t="shared" si="6"/>
        <v>Low</v>
      </c>
    </row>
    <row r="249" spans="3:8" x14ac:dyDescent="0.3">
      <c r="C249" s="99" t="s">
        <v>2144</v>
      </c>
      <c r="F249" s="99" t="s">
        <v>2279</v>
      </c>
      <c r="G249" s="42">
        <v>1</v>
      </c>
      <c r="H249" s="99" t="str">
        <f t="shared" si="6"/>
        <v>Low</v>
      </c>
    </row>
    <row r="250" spans="3:8" x14ac:dyDescent="0.3">
      <c r="C250" s="99" t="s">
        <v>2144</v>
      </c>
      <c r="F250" s="99" t="s">
        <v>2280</v>
      </c>
      <c r="G250" s="42">
        <v>2</v>
      </c>
      <c r="H250" s="99" t="str">
        <f t="shared" si="6"/>
        <v>Low</v>
      </c>
    </row>
    <row r="251" spans="3:8" x14ac:dyDescent="0.3">
      <c r="C251" s="99" t="s">
        <v>2145</v>
      </c>
      <c r="F251" s="99" t="s">
        <v>2281</v>
      </c>
      <c r="G251" s="42">
        <v>1</v>
      </c>
      <c r="H251" s="99" t="str">
        <f t="shared" si="6"/>
        <v>Low</v>
      </c>
    </row>
    <row r="252" spans="3:8" x14ac:dyDescent="0.3">
      <c r="C252" s="99" t="s">
        <v>2146</v>
      </c>
      <c r="F252" s="99" t="s">
        <v>2282</v>
      </c>
      <c r="G252" s="42">
        <v>3</v>
      </c>
      <c r="H252" s="99" t="str">
        <f t="shared" si="6"/>
        <v>High</v>
      </c>
    </row>
    <row r="253" spans="3:8" x14ac:dyDescent="0.3">
      <c r="C253" s="99" t="s">
        <v>2146</v>
      </c>
      <c r="F253" s="99" t="s">
        <v>2283</v>
      </c>
      <c r="G253" s="42">
        <v>1</v>
      </c>
      <c r="H253" s="99" t="str">
        <f t="shared" si="6"/>
        <v>Low</v>
      </c>
    </row>
    <row r="254" spans="3:8" x14ac:dyDescent="0.3">
      <c r="C254" s="99" t="s">
        <v>2147</v>
      </c>
      <c r="F254" s="99" t="s">
        <v>2284</v>
      </c>
      <c r="G254" s="42">
        <v>1</v>
      </c>
      <c r="H254" s="99" t="str">
        <f t="shared" si="6"/>
        <v>Low</v>
      </c>
    </row>
    <row r="255" spans="3:8" x14ac:dyDescent="0.3">
      <c r="C255" s="99" t="s">
        <v>2148</v>
      </c>
      <c r="F255" s="99" t="s">
        <v>2285</v>
      </c>
      <c r="G255" s="42">
        <v>2</v>
      </c>
      <c r="H255" s="99" t="str">
        <f t="shared" si="6"/>
        <v>Low</v>
      </c>
    </row>
    <row r="256" spans="3:8" x14ac:dyDescent="0.3">
      <c r="C256" s="99" t="s">
        <v>2148</v>
      </c>
      <c r="F256" s="99" t="s">
        <v>2286</v>
      </c>
      <c r="G256" s="42">
        <v>1</v>
      </c>
      <c r="H256" s="99" t="str">
        <f t="shared" si="6"/>
        <v>Low</v>
      </c>
    </row>
    <row r="257" spans="3:8" x14ac:dyDescent="0.3">
      <c r="C257" s="99" t="s">
        <v>2148</v>
      </c>
      <c r="F257" s="99" t="s">
        <v>2287</v>
      </c>
      <c r="G257" s="42">
        <v>3</v>
      </c>
      <c r="H257" s="99" t="str">
        <f t="shared" si="6"/>
        <v>High</v>
      </c>
    </row>
    <row r="258" spans="3:8" x14ac:dyDescent="0.3">
      <c r="C258" s="99" t="s">
        <v>2148</v>
      </c>
      <c r="F258" s="99" t="s">
        <v>2288</v>
      </c>
      <c r="G258" s="42">
        <v>2</v>
      </c>
      <c r="H258" s="99" t="str">
        <f t="shared" si="6"/>
        <v>Low</v>
      </c>
    </row>
    <row r="259" spans="3:8" x14ac:dyDescent="0.3">
      <c r="C259" s="99" t="s">
        <v>2149</v>
      </c>
      <c r="F259" s="99" t="s">
        <v>2289</v>
      </c>
      <c r="G259" s="42">
        <v>1</v>
      </c>
      <c r="H259" s="99" t="str">
        <f t="shared" si="6"/>
        <v>Low</v>
      </c>
    </row>
    <row r="260" spans="3:8" x14ac:dyDescent="0.3">
      <c r="C260" s="99" t="s">
        <v>2149</v>
      </c>
      <c r="F260" s="99" t="s">
        <v>2290</v>
      </c>
      <c r="G260" s="42">
        <v>1</v>
      </c>
      <c r="H260" s="99" t="str">
        <f t="shared" si="6"/>
        <v>Low</v>
      </c>
    </row>
    <row r="261" spans="3:8" x14ac:dyDescent="0.3">
      <c r="C261" s="99" t="s">
        <v>2149</v>
      </c>
      <c r="F261" s="99" t="s">
        <v>2291</v>
      </c>
      <c r="G261" s="42">
        <v>5</v>
      </c>
      <c r="H261" s="99" t="str">
        <f t="shared" si="6"/>
        <v>High</v>
      </c>
    </row>
    <row r="262" spans="3:8" x14ac:dyDescent="0.3">
      <c r="C262" s="99" t="s">
        <v>2149</v>
      </c>
      <c r="F262" s="99" t="s">
        <v>2292</v>
      </c>
      <c r="G262" s="42">
        <v>3</v>
      </c>
      <c r="H262" s="99" t="str">
        <f t="shared" si="6"/>
        <v>High</v>
      </c>
    </row>
    <row r="263" spans="3:8" x14ac:dyDescent="0.3">
      <c r="C263" s="99" t="s">
        <v>2149</v>
      </c>
      <c r="F263" s="99" t="s">
        <v>2293</v>
      </c>
      <c r="G263" s="42">
        <v>3</v>
      </c>
      <c r="H263" s="99" t="str">
        <f t="shared" ref="H263:H326" si="7">IF(G263&gt;=frequency_threshold,"High","Low")</f>
        <v>High</v>
      </c>
    </row>
    <row r="264" spans="3:8" x14ac:dyDescent="0.3">
      <c r="C264" s="99" t="s">
        <v>2149</v>
      </c>
      <c r="F264" s="99" t="s">
        <v>2294</v>
      </c>
      <c r="G264" s="42">
        <v>1</v>
      </c>
      <c r="H264" s="99" t="str">
        <f t="shared" si="7"/>
        <v>Low</v>
      </c>
    </row>
    <row r="265" spans="3:8" x14ac:dyDescent="0.3">
      <c r="C265" s="99" t="s">
        <v>2149</v>
      </c>
      <c r="F265" s="99" t="s">
        <v>2295</v>
      </c>
      <c r="G265" s="42">
        <v>2</v>
      </c>
      <c r="H265" s="99" t="str">
        <f t="shared" si="7"/>
        <v>Low</v>
      </c>
    </row>
    <row r="266" spans="3:8" x14ac:dyDescent="0.3">
      <c r="C266" s="99" t="s">
        <v>2149</v>
      </c>
      <c r="F266" s="99" t="s">
        <v>2296</v>
      </c>
      <c r="G266" s="42">
        <v>3</v>
      </c>
      <c r="H266" s="99" t="str">
        <f t="shared" si="7"/>
        <v>High</v>
      </c>
    </row>
    <row r="267" spans="3:8" x14ac:dyDescent="0.3">
      <c r="C267" s="99" t="s">
        <v>2149</v>
      </c>
      <c r="F267" s="99" t="s">
        <v>2297</v>
      </c>
      <c r="G267" s="42">
        <v>3</v>
      </c>
      <c r="H267" s="99" t="str">
        <f t="shared" si="7"/>
        <v>High</v>
      </c>
    </row>
    <row r="268" spans="3:8" x14ac:dyDescent="0.3">
      <c r="C268" s="99" t="s">
        <v>2150</v>
      </c>
      <c r="F268" s="99" t="s">
        <v>2298</v>
      </c>
      <c r="G268" s="42">
        <v>2</v>
      </c>
      <c r="H268" s="99" t="str">
        <f t="shared" si="7"/>
        <v>Low</v>
      </c>
    </row>
    <row r="269" spans="3:8" x14ac:dyDescent="0.3">
      <c r="C269" s="99" t="s">
        <v>2150</v>
      </c>
      <c r="F269" s="99" t="s">
        <v>2299</v>
      </c>
      <c r="G269" s="42">
        <v>6</v>
      </c>
      <c r="H269" s="99" t="str">
        <f t="shared" si="7"/>
        <v>High</v>
      </c>
    </row>
    <row r="270" spans="3:8" x14ac:dyDescent="0.3">
      <c r="C270" s="99" t="s">
        <v>2151</v>
      </c>
      <c r="F270" s="99" t="s">
        <v>2300</v>
      </c>
      <c r="G270" s="42">
        <v>2</v>
      </c>
      <c r="H270" s="99" t="str">
        <f t="shared" si="7"/>
        <v>Low</v>
      </c>
    </row>
    <row r="271" spans="3:8" x14ac:dyDescent="0.3">
      <c r="C271" s="99" t="s">
        <v>2152</v>
      </c>
      <c r="F271" s="99" t="s">
        <v>2301</v>
      </c>
      <c r="G271" s="42">
        <v>6</v>
      </c>
      <c r="H271" s="99" t="str">
        <f t="shared" si="7"/>
        <v>High</v>
      </c>
    </row>
    <row r="272" spans="3:8" x14ac:dyDescent="0.3">
      <c r="C272" s="99" t="s">
        <v>2152</v>
      </c>
      <c r="F272" s="99" t="s">
        <v>2302</v>
      </c>
      <c r="G272" s="42">
        <v>4</v>
      </c>
      <c r="H272" s="99" t="str">
        <f t="shared" si="7"/>
        <v>High</v>
      </c>
    </row>
    <row r="273" spans="3:8" x14ac:dyDescent="0.3">
      <c r="C273" s="99" t="s">
        <v>2152</v>
      </c>
      <c r="F273" s="99" t="s">
        <v>2303</v>
      </c>
      <c r="G273" s="42">
        <v>3</v>
      </c>
      <c r="H273" s="99" t="str">
        <f t="shared" si="7"/>
        <v>High</v>
      </c>
    </row>
    <row r="274" spans="3:8" x14ac:dyDescent="0.3">
      <c r="C274" s="99" t="s">
        <v>2152</v>
      </c>
      <c r="F274" s="99" t="s">
        <v>2304</v>
      </c>
      <c r="G274" s="42">
        <v>2</v>
      </c>
      <c r="H274" s="99" t="str">
        <f t="shared" si="7"/>
        <v>Low</v>
      </c>
    </row>
    <row r="275" spans="3:8" x14ac:dyDescent="0.3">
      <c r="C275" s="99" t="s">
        <v>2153</v>
      </c>
      <c r="F275" s="99" t="s">
        <v>2305</v>
      </c>
      <c r="G275" s="42">
        <v>3</v>
      </c>
      <c r="H275" s="99" t="str">
        <f t="shared" si="7"/>
        <v>High</v>
      </c>
    </row>
    <row r="276" spans="3:8" x14ac:dyDescent="0.3">
      <c r="C276" s="99" t="s">
        <v>2153</v>
      </c>
      <c r="F276" s="99" t="s">
        <v>2306</v>
      </c>
      <c r="G276" s="42">
        <v>1</v>
      </c>
      <c r="H276" s="99" t="str">
        <f t="shared" si="7"/>
        <v>Low</v>
      </c>
    </row>
    <row r="277" spans="3:8" x14ac:dyDescent="0.3">
      <c r="C277" s="99" t="s">
        <v>2153</v>
      </c>
      <c r="F277" s="99" t="s">
        <v>2307</v>
      </c>
      <c r="G277" s="42">
        <v>2</v>
      </c>
      <c r="H277" s="99" t="str">
        <f t="shared" si="7"/>
        <v>Low</v>
      </c>
    </row>
    <row r="278" spans="3:8" x14ac:dyDescent="0.3">
      <c r="C278" s="99" t="s">
        <v>2153</v>
      </c>
      <c r="F278" s="99" t="s">
        <v>2308</v>
      </c>
      <c r="G278" s="42">
        <v>1</v>
      </c>
      <c r="H278" s="99" t="str">
        <f t="shared" si="7"/>
        <v>Low</v>
      </c>
    </row>
    <row r="279" spans="3:8" x14ac:dyDescent="0.3">
      <c r="C279" s="99" t="s">
        <v>2154</v>
      </c>
      <c r="F279" s="99" t="s">
        <v>2309</v>
      </c>
      <c r="G279" s="42">
        <v>4</v>
      </c>
      <c r="H279" s="99" t="str">
        <f t="shared" si="7"/>
        <v>High</v>
      </c>
    </row>
    <row r="280" spans="3:8" x14ac:dyDescent="0.3">
      <c r="C280" s="99" t="s">
        <v>2154</v>
      </c>
      <c r="F280" s="99" t="s">
        <v>2310</v>
      </c>
      <c r="G280" s="42">
        <v>3</v>
      </c>
      <c r="H280" s="99" t="str">
        <f t="shared" si="7"/>
        <v>High</v>
      </c>
    </row>
    <row r="281" spans="3:8" x14ac:dyDescent="0.3">
      <c r="C281" s="99" t="s">
        <v>2154</v>
      </c>
      <c r="F281" s="99" t="s">
        <v>2311</v>
      </c>
      <c r="G281" s="42">
        <v>2</v>
      </c>
      <c r="H281" s="99" t="str">
        <f t="shared" si="7"/>
        <v>Low</v>
      </c>
    </row>
    <row r="282" spans="3:8" x14ac:dyDescent="0.3">
      <c r="C282" s="99" t="s">
        <v>2155</v>
      </c>
      <c r="F282" s="99" t="s">
        <v>2312</v>
      </c>
      <c r="G282" s="42">
        <v>5</v>
      </c>
      <c r="H282" s="99" t="str">
        <f t="shared" si="7"/>
        <v>High</v>
      </c>
    </row>
    <row r="283" spans="3:8" x14ac:dyDescent="0.3">
      <c r="C283" s="99" t="s">
        <v>2155</v>
      </c>
      <c r="F283" s="99" t="s">
        <v>2313</v>
      </c>
      <c r="G283" s="42">
        <v>1</v>
      </c>
      <c r="H283" s="99" t="str">
        <f t="shared" si="7"/>
        <v>Low</v>
      </c>
    </row>
    <row r="284" spans="3:8" x14ac:dyDescent="0.3">
      <c r="C284" s="99" t="s">
        <v>2156</v>
      </c>
      <c r="F284" s="99" t="s">
        <v>2314</v>
      </c>
      <c r="G284" s="42">
        <v>2</v>
      </c>
      <c r="H284" s="99" t="str">
        <f t="shared" si="7"/>
        <v>Low</v>
      </c>
    </row>
    <row r="285" spans="3:8" x14ac:dyDescent="0.3">
      <c r="C285" s="99" t="s">
        <v>2156</v>
      </c>
      <c r="F285" s="99" t="s">
        <v>2315</v>
      </c>
      <c r="G285" s="42">
        <v>1</v>
      </c>
      <c r="H285" s="99" t="str">
        <f t="shared" si="7"/>
        <v>Low</v>
      </c>
    </row>
    <row r="286" spans="3:8" x14ac:dyDescent="0.3">
      <c r="C286" s="99" t="s">
        <v>2156</v>
      </c>
      <c r="F286" s="99" t="s">
        <v>2316</v>
      </c>
      <c r="G286" s="42">
        <v>2</v>
      </c>
      <c r="H286" s="99" t="str">
        <f t="shared" si="7"/>
        <v>Low</v>
      </c>
    </row>
    <row r="287" spans="3:8" x14ac:dyDescent="0.3">
      <c r="C287" s="99" t="s">
        <v>2157</v>
      </c>
      <c r="F287" s="99" t="s">
        <v>2317</v>
      </c>
      <c r="G287" s="42">
        <v>1</v>
      </c>
      <c r="H287" s="99" t="str">
        <f t="shared" si="7"/>
        <v>Low</v>
      </c>
    </row>
    <row r="288" spans="3:8" x14ac:dyDescent="0.3">
      <c r="C288" s="99" t="s">
        <v>2157</v>
      </c>
      <c r="F288" s="99" t="s">
        <v>2318</v>
      </c>
      <c r="G288" s="42">
        <v>2</v>
      </c>
      <c r="H288" s="99" t="str">
        <f t="shared" si="7"/>
        <v>Low</v>
      </c>
    </row>
    <row r="289" spans="3:8" x14ac:dyDescent="0.3">
      <c r="C289" s="99" t="s">
        <v>2158</v>
      </c>
      <c r="F289" s="99" t="s">
        <v>2319</v>
      </c>
      <c r="G289" s="42">
        <v>3</v>
      </c>
      <c r="H289" s="99" t="str">
        <f t="shared" si="7"/>
        <v>High</v>
      </c>
    </row>
    <row r="290" spans="3:8" x14ac:dyDescent="0.3">
      <c r="C290" s="99" t="s">
        <v>2159</v>
      </c>
      <c r="F290" s="99" t="s">
        <v>2320</v>
      </c>
      <c r="G290" s="42">
        <v>2</v>
      </c>
      <c r="H290" s="99" t="str">
        <f t="shared" si="7"/>
        <v>Low</v>
      </c>
    </row>
    <row r="291" spans="3:8" x14ac:dyDescent="0.3">
      <c r="C291" s="99" t="s">
        <v>2159</v>
      </c>
      <c r="F291" s="99" t="s">
        <v>2321</v>
      </c>
      <c r="G291" s="42">
        <v>1</v>
      </c>
      <c r="H291" s="99" t="str">
        <f t="shared" si="7"/>
        <v>Low</v>
      </c>
    </row>
    <row r="292" spans="3:8" x14ac:dyDescent="0.3">
      <c r="C292" s="99" t="s">
        <v>2159</v>
      </c>
      <c r="F292" s="99" t="s">
        <v>2322</v>
      </c>
      <c r="G292" s="42">
        <v>1</v>
      </c>
      <c r="H292" s="99" t="str">
        <f t="shared" si="7"/>
        <v>Low</v>
      </c>
    </row>
    <row r="293" spans="3:8" x14ac:dyDescent="0.3">
      <c r="C293" s="99" t="s">
        <v>2160</v>
      </c>
      <c r="F293" s="99" t="s">
        <v>2323</v>
      </c>
      <c r="G293" s="42">
        <v>3</v>
      </c>
      <c r="H293" s="99" t="str">
        <f t="shared" si="7"/>
        <v>High</v>
      </c>
    </row>
    <row r="294" spans="3:8" x14ac:dyDescent="0.3">
      <c r="C294" s="99" t="s">
        <v>2160</v>
      </c>
      <c r="F294" s="99" t="s">
        <v>2324</v>
      </c>
      <c r="G294" s="42">
        <v>1</v>
      </c>
      <c r="H294" s="99" t="str">
        <f t="shared" si="7"/>
        <v>Low</v>
      </c>
    </row>
    <row r="295" spans="3:8" x14ac:dyDescent="0.3">
      <c r="C295" s="99" t="s">
        <v>2160</v>
      </c>
      <c r="F295" s="99" t="s">
        <v>2325</v>
      </c>
      <c r="G295" s="42">
        <v>3</v>
      </c>
      <c r="H295" s="99" t="str">
        <f t="shared" si="7"/>
        <v>High</v>
      </c>
    </row>
    <row r="296" spans="3:8" x14ac:dyDescent="0.3">
      <c r="C296" s="99" t="s">
        <v>2160</v>
      </c>
      <c r="F296" s="99" t="s">
        <v>2326</v>
      </c>
      <c r="G296" s="42">
        <v>3</v>
      </c>
      <c r="H296" s="99" t="str">
        <f t="shared" si="7"/>
        <v>High</v>
      </c>
    </row>
    <row r="297" spans="3:8" x14ac:dyDescent="0.3">
      <c r="C297" s="99" t="s">
        <v>2160</v>
      </c>
      <c r="F297" s="99" t="s">
        <v>2327</v>
      </c>
      <c r="G297" s="42">
        <v>4</v>
      </c>
      <c r="H297" s="99" t="str">
        <f t="shared" si="7"/>
        <v>High</v>
      </c>
    </row>
    <row r="298" spans="3:8" x14ac:dyDescent="0.3">
      <c r="C298" s="99" t="s">
        <v>2160</v>
      </c>
      <c r="F298" s="99" t="s">
        <v>2328</v>
      </c>
      <c r="G298" s="42">
        <v>3</v>
      </c>
      <c r="H298" s="99" t="str">
        <f t="shared" si="7"/>
        <v>High</v>
      </c>
    </row>
    <row r="299" spans="3:8" x14ac:dyDescent="0.3">
      <c r="C299" s="99" t="s">
        <v>2160</v>
      </c>
      <c r="F299" s="99" t="s">
        <v>2329</v>
      </c>
      <c r="G299" s="42">
        <v>2</v>
      </c>
      <c r="H299" s="99" t="str">
        <f t="shared" si="7"/>
        <v>Low</v>
      </c>
    </row>
    <row r="300" spans="3:8" x14ac:dyDescent="0.3">
      <c r="C300" s="99" t="s">
        <v>2161</v>
      </c>
      <c r="F300" s="99" t="s">
        <v>2330</v>
      </c>
      <c r="G300" s="42">
        <v>3</v>
      </c>
      <c r="H300" s="99" t="str">
        <f t="shared" si="7"/>
        <v>High</v>
      </c>
    </row>
    <row r="301" spans="3:8" x14ac:dyDescent="0.3">
      <c r="C301" s="99" t="s">
        <v>2162</v>
      </c>
      <c r="F301" s="99" t="s">
        <v>2331</v>
      </c>
      <c r="G301" s="42">
        <v>1</v>
      </c>
      <c r="H301" s="99" t="str">
        <f t="shared" si="7"/>
        <v>Low</v>
      </c>
    </row>
    <row r="302" spans="3:8" x14ac:dyDescent="0.3">
      <c r="C302" s="99" t="s">
        <v>2162</v>
      </c>
      <c r="F302" s="99" t="s">
        <v>2332</v>
      </c>
      <c r="G302" s="42">
        <v>1</v>
      </c>
      <c r="H302" s="99" t="str">
        <f t="shared" si="7"/>
        <v>Low</v>
      </c>
    </row>
    <row r="303" spans="3:8" x14ac:dyDescent="0.3">
      <c r="C303" s="99" t="s">
        <v>2162</v>
      </c>
      <c r="F303" s="99" t="s">
        <v>2333</v>
      </c>
      <c r="G303" s="42">
        <v>3</v>
      </c>
      <c r="H303" s="99" t="str">
        <f t="shared" si="7"/>
        <v>High</v>
      </c>
    </row>
    <row r="304" spans="3:8" x14ac:dyDescent="0.3">
      <c r="C304" s="99" t="s">
        <v>2162</v>
      </c>
      <c r="F304" s="99" t="s">
        <v>2334</v>
      </c>
      <c r="G304" s="42">
        <v>3</v>
      </c>
      <c r="H304" s="99" t="str">
        <f t="shared" si="7"/>
        <v>High</v>
      </c>
    </row>
    <row r="305" spans="3:8" x14ac:dyDescent="0.3">
      <c r="C305" s="99" t="s">
        <v>2163</v>
      </c>
      <c r="F305" s="99" t="s">
        <v>2335</v>
      </c>
      <c r="G305" s="42">
        <v>2</v>
      </c>
      <c r="H305" s="99" t="str">
        <f t="shared" si="7"/>
        <v>Low</v>
      </c>
    </row>
    <row r="306" spans="3:8" x14ac:dyDescent="0.3">
      <c r="C306" s="99" t="s">
        <v>2163</v>
      </c>
      <c r="F306" s="99" t="s">
        <v>2336</v>
      </c>
      <c r="G306" s="42">
        <v>1</v>
      </c>
      <c r="H306" s="99" t="str">
        <f t="shared" si="7"/>
        <v>Low</v>
      </c>
    </row>
    <row r="307" spans="3:8" x14ac:dyDescent="0.3">
      <c r="C307" s="99" t="s">
        <v>2164</v>
      </c>
      <c r="F307" s="99" t="s">
        <v>2337</v>
      </c>
      <c r="G307" s="42">
        <v>1</v>
      </c>
      <c r="H307" s="99" t="str">
        <f t="shared" si="7"/>
        <v>Low</v>
      </c>
    </row>
    <row r="308" spans="3:8" x14ac:dyDescent="0.3">
      <c r="C308" s="99" t="s">
        <v>2164</v>
      </c>
      <c r="F308" s="99" t="s">
        <v>2338</v>
      </c>
      <c r="G308" s="42">
        <v>1</v>
      </c>
      <c r="H308" s="99" t="str">
        <f t="shared" si="7"/>
        <v>Low</v>
      </c>
    </row>
    <row r="309" spans="3:8" x14ac:dyDescent="0.3">
      <c r="C309" s="99" t="s">
        <v>2165</v>
      </c>
      <c r="F309" s="99" t="s">
        <v>2339</v>
      </c>
      <c r="G309" s="42">
        <v>2</v>
      </c>
      <c r="H309" s="99" t="str">
        <f t="shared" si="7"/>
        <v>Low</v>
      </c>
    </row>
    <row r="310" spans="3:8" x14ac:dyDescent="0.3">
      <c r="C310" s="99" t="s">
        <v>2166</v>
      </c>
      <c r="F310" s="99" t="s">
        <v>2340</v>
      </c>
      <c r="G310" s="42">
        <v>1</v>
      </c>
      <c r="H310" s="99" t="str">
        <f t="shared" si="7"/>
        <v>Low</v>
      </c>
    </row>
    <row r="311" spans="3:8" x14ac:dyDescent="0.3">
      <c r="C311" s="99" t="s">
        <v>2166</v>
      </c>
      <c r="F311" s="99" t="s">
        <v>2341</v>
      </c>
      <c r="G311" s="42">
        <v>1</v>
      </c>
      <c r="H311" s="99" t="str">
        <f t="shared" si="7"/>
        <v>Low</v>
      </c>
    </row>
    <row r="312" spans="3:8" x14ac:dyDescent="0.3">
      <c r="C312" s="99" t="s">
        <v>2167</v>
      </c>
      <c r="F312" s="99" t="s">
        <v>2342</v>
      </c>
      <c r="G312" s="42">
        <v>2</v>
      </c>
      <c r="H312" s="99" t="str">
        <f t="shared" si="7"/>
        <v>Low</v>
      </c>
    </row>
    <row r="313" spans="3:8" x14ac:dyDescent="0.3">
      <c r="C313" s="99" t="s">
        <v>2168</v>
      </c>
      <c r="F313" s="99" t="s">
        <v>2343</v>
      </c>
      <c r="G313" s="42">
        <v>2</v>
      </c>
      <c r="H313" s="99" t="str">
        <f t="shared" si="7"/>
        <v>Low</v>
      </c>
    </row>
    <row r="314" spans="3:8" x14ac:dyDescent="0.3">
      <c r="C314" s="99" t="s">
        <v>2168</v>
      </c>
      <c r="F314" s="99" t="s">
        <v>2344</v>
      </c>
      <c r="G314" s="42">
        <v>1</v>
      </c>
      <c r="H314" s="99" t="str">
        <f t="shared" si="7"/>
        <v>Low</v>
      </c>
    </row>
    <row r="315" spans="3:8" x14ac:dyDescent="0.3">
      <c r="C315" s="99" t="s">
        <v>2169</v>
      </c>
      <c r="F315" s="99" t="s">
        <v>2345</v>
      </c>
      <c r="G315" s="42">
        <v>6</v>
      </c>
      <c r="H315" s="99" t="str">
        <f t="shared" si="7"/>
        <v>High</v>
      </c>
    </row>
    <row r="316" spans="3:8" x14ac:dyDescent="0.3">
      <c r="C316" s="99" t="s">
        <v>2169</v>
      </c>
      <c r="F316" s="99" t="s">
        <v>2346</v>
      </c>
      <c r="G316" s="42">
        <v>4</v>
      </c>
      <c r="H316" s="99" t="str">
        <f t="shared" si="7"/>
        <v>High</v>
      </c>
    </row>
    <row r="317" spans="3:8" x14ac:dyDescent="0.3">
      <c r="C317" s="99" t="s">
        <v>2169</v>
      </c>
      <c r="F317" s="99" t="s">
        <v>2347</v>
      </c>
      <c r="G317" s="42">
        <v>3</v>
      </c>
      <c r="H317" s="99" t="str">
        <f t="shared" si="7"/>
        <v>High</v>
      </c>
    </row>
    <row r="318" spans="3:8" x14ac:dyDescent="0.3">
      <c r="C318" s="99" t="s">
        <v>2169</v>
      </c>
      <c r="F318" s="99" t="s">
        <v>2348</v>
      </c>
      <c r="G318" s="42">
        <v>1</v>
      </c>
      <c r="H318" s="99" t="str">
        <f t="shared" si="7"/>
        <v>Low</v>
      </c>
    </row>
    <row r="319" spans="3:8" x14ac:dyDescent="0.3">
      <c r="C319" s="99" t="s">
        <v>2169</v>
      </c>
      <c r="F319" s="99" t="s">
        <v>2349</v>
      </c>
      <c r="G319" s="42">
        <v>2</v>
      </c>
      <c r="H319" s="99" t="str">
        <f t="shared" si="7"/>
        <v>Low</v>
      </c>
    </row>
    <row r="320" spans="3:8" x14ac:dyDescent="0.3">
      <c r="C320" s="99" t="s">
        <v>2169</v>
      </c>
      <c r="F320" s="99" t="s">
        <v>2350</v>
      </c>
      <c r="G320" s="42">
        <v>1</v>
      </c>
      <c r="H320" s="99" t="str">
        <f t="shared" si="7"/>
        <v>Low</v>
      </c>
    </row>
    <row r="321" spans="3:8" x14ac:dyDescent="0.3">
      <c r="C321" s="99" t="s">
        <v>2170</v>
      </c>
      <c r="F321" s="99" t="s">
        <v>2351</v>
      </c>
      <c r="G321" s="42">
        <v>3</v>
      </c>
      <c r="H321" s="99" t="str">
        <f t="shared" si="7"/>
        <v>High</v>
      </c>
    </row>
    <row r="322" spans="3:8" x14ac:dyDescent="0.3">
      <c r="C322" s="99" t="s">
        <v>2171</v>
      </c>
      <c r="F322" s="99" t="s">
        <v>2352</v>
      </c>
      <c r="G322" s="42">
        <v>1</v>
      </c>
      <c r="H322" s="99" t="str">
        <f t="shared" si="7"/>
        <v>Low</v>
      </c>
    </row>
    <row r="323" spans="3:8" x14ac:dyDescent="0.3">
      <c r="C323" s="99" t="s">
        <v>2172</v>
      </c>
      <c r="F323" s="99" t="s">
        <v>2353</v>
      </c>
      <c r="G323" s="42">
        <v>3</v>
      </c>
      <c r="H323" s="99" t="str">
        <f t="shared" si="7"/>
        <v>High</v>
      </c>
    </row>
    <row r="324" spans="3:8" x14ac:dyDescent="0.3">
      <c r="C324" s="99" t="s">
        <v>2173</v>
      </c>
      <c r="F324" s="99" t="s">
        <v>2354</v>
      </c>
      <c r="G324" s="42">
        <v>1</v>
      </c>
      <c r="H324" s="99" t="str">
        <f t="shared" si="7"/>
        <v>Low</v>
      </c>
    </row>
    <row r="325" spans="3:8" x14ac:dyDescent="0.3">
      <c r="C325" s="99" t="s">
        <v>2173</v>
      </c>
      <c r="F325" s="99" t="s">
        <v>2355</v>
      </c>
      <c r="G325" s="42">
        <v>3</v>
      </c>
      <c r="H325" s="99" t="str">
        <f t="shared" si="7"/>
        <v>High</v>
      </c>
    </row>
    <row r="326" spans="3:8" x14ac:dyDescent="0.3">
      <c r="C326" s="99" t="s">
        <v>2173</v>
      </c>
      <c r="F326" s="99" t="s">
        <v>2356</v>
      </c>
      <c r="G326" s="42">
        <v>5</v>
      </c>
      <c r="H326" s="99" t="str">
        <f t="shared" si="7"/>
        <v>High</v>
      </c>
    </row>
    <row r="327" spans="3:8" x14ac:dyDescent="0.3">
      <c r="C327" s="99" t="s">
        <v>2173</v>
      </c>
      <c r="F327" s="99" t="s">
        <v>2357</v>
      </c>
      <c r="G327" s="42">
        <v>1</v>
      </c>
      <c r="H327" s="99" t="str">
        <f t="shared" ref="H327:H390" si="8">IF(G327&gt;=frequency_threshold,"High","Low")</f>
        <v>Low</v>
      </c>
    </row>
    <row r="328" spans="3:8" x14ac:dyDescent="0.3">
      <c r="C328" s="99" t="s">
        <v>2174</v>
      </c>
      <c r="F328" s="99" t="s">
        <v>2358</v>
      </c>
      <c r="G328" s="42">
        <v>1</v>
      </c>
      <c r="H328" s="99" t="str">
        <f t="shared" si="8"/>
        <v>Low</v>
      </c>
    </row>
    <row r="329" spans="3:8" x14ac:dyDescent="0.3">
      <c r="C329" s="99" t="s">
        <v>2175</v>
      </c>
      <c r="F329" s="99" t="s">
        <v>2359</v>
      </c>
      <c r="G329" s="42">
        <v>3</v>
      </c>
      <c r="H329" s="99" t="str">
        <f t="shared" si="8"/>
        <v>High</v>
      </c>
    </row>
    <row r="330" spans="3:8" x14ac:dyDescent="0.3">
      <c r="C330" s="99" t="s">
        <v>2175</v>
      </c>
      <c r="F330" s="99" t="s">
        <v>2360</v>
      </c>
      <c r="G330" s="42">
        <v>1</v>
      </c>
      <c r="H330" s="99" t="str">
        <f t="shared" si="8"/>
        <v>Low</v>
      </c>
    </row>
    <row r="331" spans="3:8" x14ac:dyDescent="0.3">
      <c r="C331" s="99" t="s">
        <v>2176</v>
      </c>
      <c r="F331" s="99" t="s">
        <v>2361</v>
      </c>
      <c r="G331" s="42">
        <v>1</v>
      </c>
      <c r="H331" s="99" t="str">
        <f t="shared" si="8"/>
        <v>Low</v>
      </c>
    </row>
    <row r="332" spans="3:8" x14ac:dyDescent="0.3">
      <c r="C332" s="99" t="s">
        <v>2176</v>
      </c>
      <c r="F332" s="99" t="s">
        <v>2362</v>
      </c>
      <c r="G332" s="42">
        <v>7</v>
      </c>
      <c r="H332" s="99" t="str">
        <f t="shared" si="8"/>
        <v>High</v>
      </c>
    </row>
    <row r="333" spans="3:8" x14ac:dyDescent="0.3">
      <c r="C333" s="99" t="s">
        <v>2176</v>
      </c>
      <c r="F333" s="99" t="s">
        <v>2363</v>
      </c>
      <c r="G333" s="42">
        <v>4</v>
      </c>
      <c r="H333" s="99" t="str">
        <f t="shared" si="8"/>
        <v>High</v>
      </c>
    </row>
    <row r="334" spans="3:8" x14ac:dyDescent="0.3">
      <c r="C334" s="99" t="s">
        <v>2177</v>
      </c>
      <c r="F334" s="99" t="s">
        <v>2364</v>
      </c>
      <c r="G334" s="42">
        <v>4</v>
      </c>
      <c r="H334" s="99" t="str">
        <f t="shared" si="8"/>
        <v>High</v>
      </c>
    </row>
    <row r="335" spans="3:8" x14ac:dyDescent="0.3">
      <c r="C335" s="99" t="s">
        <v>2178</v>
      </c>
      <c r="F335" s="99" t="s">
        <v>2365</v>
      </c>
      <c r="G335" s="42">
        <v>4</v>
      </c>
      <c r="H335" s="99" t="str">
        <f t="shared" si="8"/>
        <v>High</v>
      </c>
    </row>
    <row r="336" spans="3:8" x14ac:dyDescent="0.3">
      <c r="C336" s="99" t="s">
        <v>2178</v>
      </c>
      <c r="F336" s="99" t="s">
        <v>2366</v>
      </c>
      <c r="G336" s="42">
        <v>2</v>
      </c>
      <c r="H336" s="99" t="str">
        <f t="shared" si="8"/>
        <v>Low</v>
      </c>
    </row>
    <row r="337" spans="3:8" x14ac:dyDescent="0.3">
      <c r="C337" s="99" t="s">
        <v>2179</v>
      </c>
      <c r="F337" s="99" t="s">
        <v>2367</v>
      </c>
      <c r="G337" s="42">
        <v>2</v>
      </c>
      <c r="H337" s="99" t="str">
        <f t="shared" si="8"/>
        <v>Low</v>
      </c>
    </row>
    <row r="338" spans="3:8" x14ac:dyDescent="0.3">
      <c r="C338" s="99" t="s">
        <v>2179</v>
      </c>
      <c r="F338" s="99" t="s">
        <v>2368</v>
      </c>
      <c r="G338" s="42">
        <v>1</v>
      </c>
      <c r="H338" s="99" t="str">
        <f t="shared" si="8"/>
        <v>Low</v>
      </c>
    </row>
    <row r="339" spans="3:8" x14ac:dyDescent="0.3">
      <c r="C339" s="99" t="s">
        <v>2179</v>
      </c>
      <c r="F339" s="99" t="s">
        <v>2369</v>
      </c>
      <c r="G339" s="42">
        <v>1</v>
      </c>
      <c r="H339" s="99" t="str">
        <f t="shared" si="8"/>
        <v>Low</v>
      </c>
    </row>
    <row r="340" spans="3:8" x14ac:dyDescent="0.3">
      <c r="C340" s="99" t="s">
        <v>2179</v>
      </c>
      <c r="F340" s="99" t="s">
        <v>2370</v>
      </c>
      <c r="G340" s="42">
        <v>2</v>
      </c>
      <c r="H340" s="99" t="str">
        <f t="shared" si="8"/>
        <v>Low</v>
      </c>
    </row>
    <row r="341" spans="3:8" x14ac:dyDescent="0.3">
      <c r="C341" s="99" t="s">
        <v>2179</v>
      </c>
      <c r="F341" s="99" t="s">
        <v>2371</v>
      </c>
      <c r="G341" s="42">
        <v>2</v>
      </c>
      <c r="H341" s="99" t="str">
        <f t="shared" si="8"/>
        <v>Low</v>
      </c>
    </row>
    <row r="342" spans="3:8" x14ac:dyDescent="0.3">
      <c r="C342" s="99" t="s">
        <v>2179</v>
      </c>
      <c r="F342" s="99" t="s">
        <v>2372</v>
      </c>
      <c r="G342" s="42">
        <v>2</v>
      </c>
      <c r="H342" s="99" t="str">
        <f t="shared" si="8"/>
        <v>Low</v>
      </c>
    </row>
    <row r="343" spans="3:8" x14ac:dyDescent="0.3">
      <c r="C343" s="99" t="s">
        <v>2179</v>
      </c>
      <c r="F343" s="99" t="s">
        <v>2373</v>
      </c>
      <c r="G343" s="42">
        <v>2</v>
      </c>
      <c r="H343" s="99" t="str">
        <f t="shared" si="8"/>
        <v>Low</v>
      </c>
    </row>
    <row r="344" spans="3:8" x14ac:dyDescent="0.3">
      <c r="C344" s="99" t="s">
        <v>2180</v>
      </c>
      <c r="F344" s="99" t="s">
        <v>2374</v>
      </c>
      <c r="G344" s="42">
        <v>1</v>
      </c>
      <c r="H344" s="99" t="str">
        <f t="shared" si="8"/>
        <v>Low</v>
      </c>
    </row>
    <row r="345" spans="3:8" x14ac:dyDescent="0.3">
      <c r="C345" s="99" t="s">
        <v>2181</v>
      </c>
      <c r="F345" s="99" t="s">
        <v>2375</v>
      </c>
      <c r="G345" s="42">
        <v>1</v>
      </c>
      <c r="H345" s="99" t="str">
        <f t="shared" si="8"/>
        <v>Low</v>
      </c>
    </row>
    <row r="346" spans="3:8" x14ac:dyDescent="0.3">
      <c r="C346" s="99" t="s">
        <v>2182</v>
      </c>
      <c r="F346" s="99" t="s">
        <v>2376</v>
      </c>
      <c r="G346" s="42">
        <v>6</v>
      </c>
      <c r="H346" s="99" t="str">
        <f t="shared" si="8"/>
        <v>High</v>
      </c>
    </row>
    <row r="347" spans="3:8" x14ac:dyDescent="0.3">
      <c r="C347" s="99" t="s">
        <v>2182</v>
      </c>
      <c r="F347" s="99" t="s">
        <v>2377</v>
      </c>
      <c r="G347" s="42">
        <v>1</v>
      </c>
      <c r="H347" s="99" t="str">
        <f t="shared" si="8"/>
        <v>Low</v>
      </c>
    </row>
    <row r="348" spans="3:8" x14ac:dyDescent="0.3">
      <c r="C348" s="99" t="s">
        <v>2183</v>
      </c>
      <c r="F348" s="99" t="s">
        <v>2378</v>
      </c>
      <c r="G348" s="42">
        <v>1</v>
      </c>
      <c r="H348" s="99" t="str">
        <f t="shared" si="8"/>
        <v>Low</v>
      </c>
    </row>
    <row r="349" spans="3:8" x14ac:dyDescent="0.3">
      <c r="C349" s="99" t="s">
        <v>2183</v>
      </c>
      <c r="F349" s="99" t="s">
        <v>2379</v>
      </c>
      <c r="G349" s="42">
        <v>2</v>
      </c>
      <c r="H349" s="99" t="str">
        <f t="shared" si="8"/>
        <v>Low</v>
      </c>
    </row>
    <row r="350" spans="3:8" x14ac:dyDescent="0.3">
      <c r="C350" s="99" t="s">
        <v>2183</v>
      </c>
      <c r="F350" s="99" t="s">
        <v>2380</v>
      </c>
      <c r="G350" s="42">
        <v>2</v>
      </c>
      <c r="H350" s="99" t="str">
        <f t="shared" si="8"/>
        <v>Low</v>
      </c>
    </row>
    <row r="351" spans="3:8" x14ac:dyDescent="0.3">
      <c r="C351" s="99" t="s">
        <v>2183</v>
      </c>
      <c r="F351" s="99" t="s">
        <v>2381</v>
      </c>
      <c r="G351" s="42">
        <v>2</v>
      </c>
      <c r="H351" s="99" t="str">
        <f t="shared" si="8"/>
        <v>Low</v>
      </c>
    </row>
    <row r="352" spans="3:8" x14ac:dyDescent="0.3">
      <c r="C352" s="99" t="s">
        <v>2184</v>
      </c>
      <c r="F352" s="99" t="s">
        <v>2382</v>
      </c>
      <c r="G352" s="42">
        <v>1</v>
      </c>
      <c r="H352" s="99" t="str">
        <f t="shared" si="8"/>
        <v>Low</v>
      </c>
    </row>
    <row r="353" spans="3:8" x14ac:dyDescent="0.3">
      <c r="C353" s="99" t="s">
        <v>2184</v>
      </c>
      <c r="F353" s="99" t="s">
        <v>2383</v>
      </c>
      <c r="G353" s="42">
        <v>1</v>
      </c>
      <c r="H353" s="99" t="str">
        <f t="shared" si="8"/>
        <v>Low</v>
      </c>
    </row>
    <row r="354" spans="3:8" x14ac:dyDescent="0.3">
      <c r="C354" s="99" t="s">
        <v>2184</v>
      </c>
      <c r="F354" s="99" t="s">
        <v>2384</v>
      </c>
      <c r="G354" s="42">
        <v>1</v>
      </c>
      <c r="H354" s="99" t="str">
        <f t="shared" si="8"/>
        <v>Low</v>
      </c>
    </row>
    <row r="355" spans="3:8" x14ac:dyDescent="0.3">
      <c r="C355" s="99" t="s">
        <v>2184</v>
      </c>
      <c r="F355" s="99" t="s">
        <v>2385</v>
      </c>
      <c r="G355" s="42">
        <v>3</v>
      </c>
      <c r="H355" s="99" t="str">
        <f t="shared" si="8"/>
        <v>High</v>
      </c>
    </row>
    <row r="356" spans="3:8" x14ac:dyDescent="0.3">
      <c r="C356" s="99" t="s">
        <v>2184</v>
      </c>
      <c r="F356" s="99" t="s">
        <v>2386</v>
      </c>
      <c r="G356" s="42">
        <v>2</v>
      </c>
      <c r="H356" s="99" t="str">
        <f t="shared" si="8"/>
        <v>Low</v>
      </c>
    </row>
    <row r="357" spans="3:8" x14ac:dyDescent="0.3">
      <c r="C357" s="99" t="s">
        <v>2184</v>
      </c>
      <c r="F357" s="99" t="s">
        <v>2387</v>
      </c>
      <c r="G357" s="42">
        <v>3</v>
      </c>
      <c r="H357" s="99" t="str">
        <f t="shared" si="8"/>
        <v>High</v>
      </c>
    </row>
    <row r="358" spans="3:8" x14ac:dyDescent="0.3">
      <c r="C358" s="99" t="s">
        <v>2184</v>
      </c>
      <c r="F358" s="99" t="s">
        <v>2388</v>
      </c>
      <c r="G358" s="42">
        <v>1</v>
      </c>
      <c r="H358" s="99" t="str">
        <f t="shared" si="8"/>
        <v>Low</v>
      </c>
    </row>
    <row r="359" spans="3:8" x14ac:dyDescent="0.3">
      <c r="C359" s="99" t="s">
        <v>2184</v>
      </c>
      <c r="F359" s="99" t="s">
        <v>2389</v>
      </c>
      <c r="G359" s="42">
        <v>1</v>
      </c>
      <c r="H359" s="99" t="str">
        <f t="shared" si="8"/>
        <v>Low</v>
      </c>
    </row>
    <row r="360" spans="3:8" x14ac:dyDescent="0.3">
      <c r="C360" s="99" t="s">
        <v>2184</v>
      </c>
      <c r="F360" s="99" t="s">
        <v>2390</v>
      </c>
      <c r="G360" s="42">
        <v>1</v>
      </c>
      <c r="H360" s="99" t="str">
        <f t="shared" si="8"/>
        <v>Low</v>
      </c>
    </row>
    <row r="361" spans="3:8" x14ac:dyDescent="0.3">
      <c r="C361" s="99" t="s">
        <v>2185</v>
      </c>
      <c r="F361" s="99" t="s">
        <v>2391</v>
      </c>
      <c r="G361" s="42">
        <v>4</v>
      </c>
      <c r="H361" s="99" t="str">
        <f t="shared" si="8"/>
        <v>High</v>
      </c>
    </row>
    <row r="362" spans="3:8" x14ac:dyDescent="0.3">
      <c r="C362" s="99" t="s">
        <v>2186</v>
      </c>
      <c r="F362" s="99" t="s">
        <v>2392</v>
      </c>
      <c r="G362" s="42">
        <v>6</v>
      </c>
      <c r="H362" s="99" t="str">
        <f t="shared" si="8"/>
        <v>High</v>
      </c>
    </row>
    <row r="363" spans="3:8" x14ac:dyDescent="0.3">
      <c r="C363" s="99" t="s">
        <v>2186</v>
      </c>
      <c r="F363" s="99" t="s">
        <v>2393</v>
      </c>
      <c r="G363" s="42">
        <v>1</v>
      </c>
      <c r="H363" s="99" t="str">
        <f t="shared" si="8"/>
        <v>Low</v>
      </c>
    </row>
    <row r="364" spans="3:8" x14ac:dyDescent="0.3">
      <c r="C364" s="99" t="s">
        <v>2187</v>
      </c>
      <c r="F364" s="99" t="s">
        <v>2394</v>
      </c>
      <c r="G364" s="42">
        <v>3</v>
      </c>
      <c r="H364" s="99" t="str">
        <f t="shared" si="8"/>
        <v>High</v>
      </c>
    </row>
    <row r="365" spans="3:8" x14ac:dyDescent="0.3">
      <c r="C365" s="99" t="s">
        <v>2187</v>
      </c>
      <c r="F365" s="99" t="s">
        <v>2395</v>
      </c>
      <c r="G365" s="42">
        <v>3</v>
      </c>
      <c r="H365" s="99" t="str">
        <f t="shared" si="8"/>
        <v>High</v>
      </c>
    </row>
    <row r="366" spans="3:8" x14ac:dyDescent="0.3">
      <c r="C366" s="99" t="s">
        <v>2188</v>
      </c>
      <c r="F366" s="99" t="s">
        <v>2396</v>
      </c>
      <c r="G366" s="42">
        <v>2</v>
      </c>
      <c r="H366" s="99" t="str">
        <f t="shared" si="8"/>
        <v>Low</v>
      </c>
    </row>
    <row r="367" spans="3:8" x14ac:dyDescent="0.3">
      <c r="C367" s="99" t="s">
        <v>2188</v>
      </c>
      <c r="F367" s="99" t="s">
        <v>2397</v>
      </c>
      <c r="G367" s="42">
        <v>3</v>
      </c>
      <c r="H367" s="99" t="str">
        <f t="shared" si="8"/>
        <v>High</v>
      </c>
    </row>
    <row r="368" spans="3:8" x14ac:dyDescent="0.3">
      <c r="C368" s="99" t="s">
        <v>2189</v>
      </c>
      <c r="F368" s="99" t="s">
        <v>2398</v>
      </c>
      <c r="G368" s="42">
        <v>1</v>
      </c>
      <c r="H368" s="99" t="str">
        <f t="shared" si="8"/>
        <v>Low</v>
      </c>
    </row>
    <row r="369" spans="3:8" x14ac:dyDescent="0.3">
      <c r="C369" s="99" t="s">
        <v>2190</v>
      </c>
      <c r="F369" s="99" t="s">
        <v>2399</v>
      </c>
      <c r="G369" s="42">
        <v>1</v>
      </c>
      <c r="H369" s="99" t="str">
        <f t="shared" si="8"/>
        <v>Low</v>
      </c>
    </row>
    <row r="370" spans="3:8" x14ac:dyDescent="0.3">
      <c r="C370" s="99" t="s">
        <v>2190</v>
      </c>
      <c r="F370" s="99" t="s">
        <v>2400</v>
      </c>
      <c r="G370" s="42">
        <v>2</v>
      </c>
      <c r="H370" s="99" t="str">
        <f t="shared" si="8"/>
        <v>Low</v>
      </c>
    </row>
    <row r="371" spans="3:8" x14ac:dyDescent="0.3">
      <c r="C371" s="99" t="s">
        <v>2190</v>
      </c>
      <c r="F371" s="99" t="s">
        <v>2401</v>
      </c>
      <c r="G371" s="42">
        <v>1</v>
      </c>
      <c r="H371" s="99" t="str">
        <f t="shared" si="8"/>
        <v>Low</v>
      </c>
    </row>
    <row r="372" spans="3:8" x14ac:dyDescent="0.3">
      <c r="C372" s="99" t="s">
        <v>2191</v>
      </c>
      <c r="F372" s="99" t="s">
        <v>2402</v>
      </c>
      <c r="G372" s="42">
        <v>3</v>
      </c>
      <c r="H372" s="99" t="str">
        <f t="shared" si="8"/>
        <v>High</v>
      </c>
    </row>
    <row r="373" spans="3:8" x14ac:dyDescent="0.3">
      <c r="C373" s="99" t="s">
        <v>2191</v>
      </c>
      <c r="F373" s="99" t="s">
        <v>2403</v>
      </c>
      <c r="G373" s="42">
        <v>3</v>
      </c>
      <c r="H373" s="99" t="str">
        <f t="shared" si="8"/>
        <v>High</v>
      </c>
    </row>
    <row r="374" spans="3:8" x14ac:dyDescent="0.3">
      <c r="C374" s="99" t="s">
        <v>2191</v>
      </c>
      <c r="F374" s="99" t="s">
        <v>2404</v>
      </c>
      <c r="G374" s="42">
        <v>4</v>
      </c>
      <c r="H374" s="99" t="str">
        <f t="shared" si="8"/>
        <v>High</v>
      </c>
    </row>
    <row r="375" spans="3:8" x14ac:dyDescent="0.3">
      <c r="C375" s="99" t="s">
        <v>2191</v>
      </c>
      <c r="F375" s="99" t="s">
        <v>2405</v>
      </c>
      <c r="G375" s="42">
        <v>1</v>
      </c>
      <c r="H375" s="99" t="str">
        <f t="shared" si="8"/>
        <v>Low</v>
      </c>
    </row>
    <row r="376" spans="3:8" x14ac:dyDescent="0.3">
      <c r="C376" s="99" t="s">
        <v>2192</v>
      </c>
      <c r="F376" s="99" t="s">
        <v>2406</v>
      </c>
      <c r="G376" s="42">
        <v>1</v>
      </c>
      <c r="H376" s="99" t="str">
        <f t="shared" si="8"/>
        <v>Low</v>
      </c>
    </row>
    <row r="377" spans="3:8" x14ac:dyDescent="0.3">
      <c r="C377" s="99" t="s">
        <v>2192</v>
      </c>
      <c r="F377" s="99" t="s">
        <v>2407</v>
      </c>
      <c r="G377" s="42">
        <v>1</v>
      </c>
      <c r="H377" s="99" t="str">
        <f t="shared" si="8"/>
        <v>Low</v>
      </c>
    </row>
    <row r="378" spans="3:8" x14ac:dyDescent="0.3">
      <c r="C378" s="99" t="s">
        <v>2193</v>
      </c>
      <c r="F378" s="99" t="s">
        <v>2408</v>
      </c>
      <c r="G378" s="42">
        <v>1</v>
      </c>
      <c r="H378" s="99" t="str">
        <f t="shared" si="8"/>
        <v>Low</v>
      </c>
    </row>
    <row r="379" spans="3:8" x14ac:dyDescent="0.3">
      <c r="C379" s="99" t="s">
        <v>2193</v>
      </c>
      <c r="F379" s="99" t="s">
        <v>2409</v>
      </c>
      <c r="G379" s="42">
        <v>3</v>
      </c>
      <c r="H379" s="99" t="str">
        <f t="shared" si="8"/>
        <v>High</v>
      </c>
    </row>
    <row r="380" spans="3:8" x14ac:dyDescent="0.3">
      <c r="C380" s="99" t="s">
        <v>2193</v>
      </c>
      <c r="F380" s="99" t="s">
        <v>2410</v>
      </c>
      <c r="G380" s="42">
        <v>3</v>
      </c>
      <c r="H380" s="99" t="str">
        <f t="shared" si="8"/>
        <v>High</v>
      </c>
    </row>
    <row r="381" spans="3:8" x14ac:dyDescent="0.3">
      <c r="C381" s="99" t="s">
        <v>2194</v>
      </c>
      <c r="F381" s="99" t="s">
        <v>2411</v>
      </c>
      <c r="G381" s="42">
        <v>3</v>
      </c>
      <c r="H381" s="99" t="str">
        <f t="shared" si="8"/>
        <v>High</v>
      </c>
    </row>
    <row r="382" spans="3:8" x14ac:dyDescent="0.3">
      <c r="C382" s="99" t="s">
        <v>2194</v>
      </c>
      <c r="F382" s="99" t="s">
        <v>2412</v>
      </c>
      <c r="G382" s="42">
        <v>1</v>
      </c>
      <c r="H382" s="99" t="str">
        <f t="shared" si="8"/>
        <v>Low</v>
      </c>
    </row>
    <row r="383" spans="3:8" x14ac:dyDescent="0.3">
      <c r="C383" s="99" t="s">
        <v>2195</v>
      </c>
      <c r="F383" s="99" t="s">
        <v>2413</v>
      </c>
      <c r="G383" s="42">
        <v>4</v>
      </c>
      <c r="H383" s="99" t="str">
        <f t="shared" si="8"/>
        <v>High</v>
      </c>
    </row>
    <row r="384" spans="3:8" x14ac:dyDescent="0.3">
      <c r="C384" s="99" t="s">
        <v>2195</v>
      </c>
      <c r="F384" s="99" t="s">
        <v>2414</v>
      </c>
      <c r="G384" s="42">
        <v>2</v>
      </c>
      <c r="H384" s="99" t="str">
        <f t="shared" si="8"/>
        <v>Low</v>
      </c>
    </row>
    <row r="385" spans="3:8" x14ac:dyDescent="0.3">
      <c r="C385" s="99" t="s">
        <v>2195</v>
      </c>
      <c r="F385" s="99" t="s">
        <v>2415</v>
      </c>
      <c r="G385" s="42">
        <v>3</v>
      </c>
      <c r="H385" s="99" t="str">
        <f t="shared" si="8"/>
        <v>High</v>
      </c>
    </row>
    <row r="386" spans="3:8" x14ac:dyDescent="0.3">
      <c r="C386" s="99" t="s">
        <v>2196</v>
      </c>
      <c r="F386" s="99" t="s">
        <v>2416</v>
      </c>
      <c r="G386" s="42">
        <v>2</v>
      </c>
      <c r="H386" s="99" t="str">
        <f t="shared" si="8"/>
        <v>Low</v>
      </c>
    </row>
    <row r="387" spans="3:8" x14ac:dyDescent="0.3">
      <c r="C387" s="99" t="s">
        <v>2197</v>
      </c>
      <c r="F387" s="99" t="s">
        <v>2417</v>
      </c>
      <c r="G387" s="42">
        <v>1</v>
      </c>
      <c r="H387" s="99" t="str">
        <f t="shared" si="8"/>
        <v>Low</v>
      </c>
    </row>
    <row r="388" spans="3:8" x14ac:dyDescent="0.3">
      <c r="C388" s="99" t="s">
        <v>2197</v>
      </c>
      <c r="F388" s="99" t="s">
        <v>2418</v>
      </c>
      <c r="G388" s="42">
        <v>1</v>
      </c>
      <c r="H388" s="99" t="str">
        <f t="shared" si="8"/>
        <v>Low</v>
      </c>
    </row>
    <row r="389" spans="3:8" x14ac:dyDescent="0.3">
      <c r="C389" s="99" t="s">
        <v>2197</v>
      </c>
      <c r="F389" s="99" t="s">
        <v>2419</v>
      </c>
      <c r="G389" s="42">
        <v>1</v>
      </c>
      <c r="H389" s="99" t="str">
        <f t="shared" si="8"/>
        <v>Low</v>
      </c>
    </row>
    <row r="390" spans="3:8" x14ac:dyDescent="0.3">
      <c r="C390" s="99" t="s">
        <v>2197</v>
      </c>
      <c r="F390" s="99" t="s">
        <v>2420</v>
      </c>
      <c r="G390" s="42">
        <v>7</v>
      </c>
      <c r="H390" s="99" t="str">
        <f t="shared" si="8"/>
        <v>High</v>
      </c>
    </row>
    <row r="391" spans="3:8" x14ac:dyDescent="0.3">
      <c r="C391" s="99" t="s">
        <v>2197</v>
      </c>
      <c r="F391" s="99" t="s">
        <v>2421</v>
      </c>
      <c r="G391" s="42">
        <v>2</v>
      </c>
      <c r="H391" s="99" t="str">
        <f t="shared" ref="H391:H454" si="9">IF(G391&gt;=frequency_threshold,"High","Low")</f>
        <v>Low</v>
      </c>
    </row>
    <row r="392" spans="3:8" x14ac:dyDescent="0.3">
      <c r="C392" s="99" t="s">
        <v>2197</v>
      </c>
      <c r="F392" s="99" t="s">
        <v>2422</v>
      </c>
      <c r="G392" s="42">
        <v>2</v>
      </c>
      <c r="H392" s="99" t="str">
        <f t="shared" si="9"/>
        <v>Low</v>
      </c>
    </row>
    <row r="393" spans="3:8" x14ac:dyDescent="0.3">
      <c r="C393" s="99" t="s">
        <v>2198</v>
      </c>
      <c r="F393" s="99" t="s">
        <v>2423</v>
      </c>
      <c r="G393" s="42">
        <v>1</v>
      </c>
      <c r="H393" s="99" t="str">
        <f t="shared" si="9"/>
        <v>Low</v>
      </c>
    </row>
    <row r="394" spans="3:8" x14ac:dyDescent="0.3">
      <c r="C394" s="99" t="s">
        <v>2198</v>
      </c>
      <c r="F394" s="99" t="s">
        <v>2424</v>
      </c>
      <c r="G394" s="42">
        <v>1</v>
      </c>
      <c r="H394" s="99" t="str">
        <f t="shared" si="9"/>
        <v>Low</v>
      </c>
    </row>
    <row r="395" spans="3:8" x14ac:dyDescent="0.3">
      <c r="C395" s="99" t="s">
        <v>2199</v>
      </c>
      <c r="F395" s="99" t="s">
        <v>2425</v>
      </c>
      <c r="G395" s="42">
        <v>2</v>
      </c>
      <c r="H395" s="99" t="str">
        <f t="shared" si="9"/>
        <v>Low</v>
      </c>
    </row>
    <row r="396" spans="3:8" x14ac:dyDescent="0.3">
      <c r="C396" s="99" t="s">
        <v>2200</v>
      </c>
      <c r="F396" s="99" t="s">
        <v>2426</v>
      </c>
      <c r="G396" s="42">
        <v>2</v>
      </c>
      <c r="H396" s="99" t="str">
        <f t="shared" si="9"/>
        <v>Low</v>
      </c>
    </row>
    <row r="397" spans="3:8" x14ac:dyDescent="0.3">
      <c r="C397" s="99" t="s">
        <v>2200</v>
      </c>
      <c r="F397" s="99" t="s">
        <v>2427</v>
      </c>
      <c r="G397" s="42">
        <v>2</v>
      </c>
      <c r="H397" s="99" t="str">
        <f t="shared" si="9"/>
        <v>Low</v>
      </c>
    </row>
    <row r="398" spans="3:8" x14ac:dyDescent="0.3">
      <c r="C398" s="99" t="s">
        <v>2201</v>
      </c>
      <c r="F398" s="99" t="s">
        <v>2428</v>
      </c>
      <c r="G398" s="42">
        <v>1</v>
      </c>
      <c r="H398" s="99" t="str">
        <f t="shared" si="9"/>
        <v>Low</v>
      </c>
    </row>
    <row r="399" spans="3:8" x14ac:dyDescent="0.3">
      <c r="C399" s="99" t="s">
        <v>2201</v>
      </c>
      <c r="F399" s="99" t="s">
        <v>2429</v>
      </c>
      <c r="G399" s="42">
        <v>6</v>
      </c>
      <c r="H399" s="99" t="str">
        <f t="shared" si="9"/>
        <v>High</v>
      </c>
    </row>
    <row r="400" spans="3:8" x14ac:dyDescent="0.3">
      <c r="C400" s="99" t="s">
        <v>2202</v>
      </c>
      <c r="F400" s="99" t="s">
        <v>2430</v>
      </c>
      <c r="G400" s="42">
        <v>1</v>
      </c>
      <c r="H400" s="99" t="str">
        <f t="shared" si="9"/>
        <v>Low</v>
      </c>
    </row>
    <row r="401" spans="3:8" x14ac:dyDescent="0.3">
      <c r="C401" s="99" t="s">
        <v>2202</v>
      </c>
      <c r="F401" s="99" t="s">
        <v>2431</v>
      </c>
      <c r="G401" s="42">
        <v>2</v>
      </c>
      <c r="H401" s="99" t="str">
        <f t="shared" si="9"/>
        <v>Low</v>
      </c>
    </row>
    <row r="402" spans="3:8" x14ac:dyDescent="0.3">
      <c r="C402" s="99" t="s">
        <v>2202</v>
      </c>
      <c r="F402" s="99" t="s">
        <v>2432</v>
      </c>
      <c r="G402" s="42">
        <v>9</v>
      </c>
      <c r="H402" s="99" t="str">
        <f t="shared" si="9"/>
        <v>High</v>
      </c>
    </row>
    <row r="403" spans="3:8" x14ac:dyDescent="0.3">
      <c r="C403" s="99" t="s">
        <v>2203</v>
      </c>
      <c r="F403" s="99" t="s">
        <v>2433</v>
      </c>
      <c r="G403" s="42">
        <v>1</v>
      </c>
      <c r="H403" s="99" t="str">
        <f t="shared" si="9"/>
        <v>Low</v>
      </c>
    </row>
    <row r="404" spans="3:8" x14ac:dyDescent="0.3">
      <c r="C404" s="99" t="s">
        <v>2204</v>
      </c>
      <c r="F404" s="99" t="s">
        <v>2434</v>
      </c>
      <c r="G404" s="42">
        <v>2</v>
      </c>
      <c r="H404" s="99" t="str">
        <f t="shared" si="9"/>
        <v>Low</v>
      </c>
    </row>
    <row r="405" spans="3:8" x14ac:dyDescent="0.3">
      <c r="C405" s="99" t="s">
        <v>2204</v>
      </c>
      <c r="F405" s="99" t="s">
        <v>2435</v>
      </c>
      <c r="G405" s="42">
        <v>3</v>
      </c>
      <c r="H405" s="99" t="str">
        <f t="shared" si="9"/>
        <v>High</v>
      </c>
    </row>
    <row r="406" spans="3:8" x14ac:dyDescent="0.3">
      <c r="C406" s="99" t="s">
        <v>2205</v>
      </c>
      <c r="F406" s="99" t="s">
        <v>2436</v>
      </c>
      <c r="G406" s="42">
        <v>1</v>
      </c>
      <c r="H406" s="99" t="str">
        <f t="shared" si="9"/>
        <v>Low</v>
      </c>
    </row>
    <row r="407" spans="3:8" x14ac:dyDescent="0.3">
      <c r="C407" s="99" t="s">
        <v>2205</v>
      </c>
      <c r="F407" s="99" t="s">
        <v>2437</v>
      </c>
      <c r="G407" s="42">
        <v>4</v>
      </c>
      <c r="H407" s="99" t="str">
        <f t="shared" si="9"/>
        <v>High</v>
      </c>
    </row>
    <row r="408" spans="3:8" x14ac:dyDescent="0.3">
      <c r="C408" s="99" t="s">
        <v>2206</v>
      </c>
      <c r="F408" s="99" t="s">
        <v>2438</v>
      </c>
      <c r="G408" s="42">
        <v>1</v>
      </c>
      <c r="H408" s="99" t="str">
        <f t="shared" si="9"/>
        <v>Low</v>
      </c>
    </row>
    <row r="409" spans="3:8" x14ac:dyDescent="0.3">
      <c r="C409" s="99" t="s">
        <v>2206</v>
      </c>
      <c r="F409" s="99" t="s">
        <v>2439</v>
      </c>
      <c r="G409" s="42">
        <v>1</v>
      </c>
      <c r="H409" s="99" t="str">
        <f t="shared" si="9"/>
        <v>Low</v>
      </c>
    </row>
    <row r="410" spans="3:8" x14ac:dyDescent="0.3">
      <c r="C410" s="99" t="s">
        <v>2206</v>
      </c>
      <c r="F410" s="99" t="s">
        <v>2440</v>
      </c>
      <c r="G410" s="42">
        <v>3</v>
      </c>
      <c r="H410" s="99" t="str">
        <f t="shared" si="9"/>
        <v>High</v>
      </c>
    </row>
    <row r="411" spans="3:8" x14ac:dyDescent="0.3">
      <c r="C411" s="99" t="s">
        <v>2206</v>
      </c>
      <c r="F411" s="99" t="s">
        <v>2441</v>
      </c>
      <c r="G411" s="42">
        <v>2</v>
      </c>
      <c r="H411" s="99" t="str">
        <f t="shared" si="9"/>
        <v>Low</v>
      </c>
    </row>
    <row r="412" spans="3:8" x14ac:dyDescent="0.3">
      <c r="C412" s="99" t="s">
        <v>2207</v>
      </c>
      <c r="F412" s="99" t="s">
        <v>2442</v>
      </c>
      <c r="G412" s="42">
        <v>2</v>
      </c>
      <c r="H412" s="99" t="str">
        <f t="shared" si="9"/>
        <v>Low</v>
      </c>
    </row>
    <row r="413" spans="3:8" x14ac:dyDescent="0.3">
      <c r="C413" s="99" t="s">
        <v>2207</v>
      </c>
      <c r="F413" s="99" t="s">
        <v>2443</v>
      </c>
      <c r="G413" s="42">
        <v>2</v>
      </c>
      <c r="H413" s="99" t="str">
        <f t="shared" si="9"/>
        <v>Low</v>
      </c>
    </row>
    <row r="414" spans="3:8" x14ac:dyDescent="0.3">
      <c r="C414" s="99" t="s">
        <v>2208</v>
      </c>
      <c r="F414" s="99" t="s">
        <v>2444</v>
      </c>
      <c r="G414" s="42">
        <v>1</v>
      </c>
      <c r="H414" s="99" t="str">
        <f t="shared" si="9"/>
        <v>Low</v>
      </c>
    </row>
    <row r="415" spans="3:8" x14ac:dyDescent="0.3">
      <c r="C415" s="99" t="s">
        <v>2209</v>
      </c>
      <c r="F415" s="99" t="s">
        <v>2445</v>
      </c>
      <c r="G415" s="42">
        <v>1</v>
      </c>
      <c r="H415" s="99" t="str">
        <f t="shared" si="9"/>
        <v>Low</v>
      </c>
    </row>
    <row r="416" spans="3:8" x14ac:dyDescent="0.3">
      <c r="C416" s="99" t="s">
        <v>2209</v>
      </c>
      <c r="F416" s="99" t="s">
        <v>2446</v>
      </c>
      <c r="G416" s="42">
        <v>1</v>
      </c>
      <c r="H416" s="99" t="str">
        <f t="shared" si="9"/>
        <v>Low</v>
      </c>
    </row>
    <row r="417" spans="3:8" x14ac:dyDescent="0.3">
      <c r="C417" s="99" t="s">
        <v>2210</v>
      </c>
      <c r="F417" s="99" t="s">
        <v>2447</v>
      </c>
      <c r="G417" s="42">
        <v>5</v>
      </c>
      <c r="H417" s="99" t="str">
        <f t="shared" si="9"/>
        <v>High</v>
      </c>
    </row>
    <row r="418" spans="3:8" x14ac:dyDescent="0.3">
      <c r="C418" s="99" t="s">
        <v>2210</v>
      </c>
      <c r="F418" s="99" t="s">
        <v>2448</v>
      </c>
      <c r="G418" s="42">
        <v>4</v>
      </c>
      <c r="H418" s="99" t="str">
        <f t="shared" si="9"/>
        <v>High</v>
      </c>
    </row>
    <row r="419" spans="3:8" x14ac:dyDescent="0.3">
      <c r="C419" s="99" t="s">
        <v>2211</v>
      </c>
      <c r="F419" s="99" t="s">
        <v>2449</v>
      </c>
      <c r="G419" s="42">
        <v>1</v>
      </c>
      <c r="H419" s="99" t="str">
        <f t="shared" si="9"/>
        <v>Low</v>
      </c>
    </row>
    <row r="420" spans="3:8" x14ac:dyDescent="0.3">
      <c r="C420" s="99" t="s">
        <v>2212</v>
      </c>
      <c r="F420" s="99" t="s">
        <v>2450</v>
      </c>
      <c r="G420" s="42">
        <v>3</v>
      </c>
      <c r="H420" s="99" t="str">
        <f t="shared" si="9"/>
        <v>High</v>
      </c>
    </row>
    <row r="421" spans="3:8" x14ac:dyDescent="0.3">
      <c r="C421" s="99" t="s">
        <v>2213</v>
      </c>
      <c r="F421" s="99" t="s">
        <v>2451</v>
      </c>
      <c r="G421" s="42">
        <v>1</v>
      </c>
      <c r="H421" s="99" t="str">
        <f t="shared" si="9"/>
        <v>Low</v>
      </c>
    </row>
    <row r="422" spans="3:8" x14ac:dyDescent="0.3">
      <c r="C422" s="99" t="s">
        <v>2213</v>
      </c>
      <c r="F422" s="99" t="s">
        <v>2452</v>
      </c>
      <c r="G422" s="42">
        <v>1</v>
      </c>
      <c r="H422" s="99" t="str">
        <f t="shared" si="9"/>
        <v>Low</v>
      </c>
    </row>
    <row r="423" spans="3:8" x14ac:dyDescent="0.3">
      <c r="C423" s="99" t="s">
        <v>2214</v>
      </c>
      <c r="F423" s="99" t="s">
        <v>2453</v>
      </c>
      <c r="G423" s="42">
        <v>4</v>
      </c>
      <c r="H423" s="99" t="str">
        <f t="shared" si="9"/>
        <v>High</v>
      </c>
    </row>
    <row r="424" spans="3:8" x14ac:dyDescent="0.3">
      <c r="C424" s="99" t="s">
        <v>2215</v>
      </c>
      <c r="F424" s="99" t="s">
        <v>2454</v>
      </c>
      <c r="G424" s="42">
        <v>1</v>
      </c>
      <c r="H424" s="99" t="str">
        <f t="shared" si="9"/>
        <v>Low</v>
      </c>
    </row>
    <row r="425" spans="3:8" x14ac:dyDescent="0.3">
      <c r="C425" s="99" t="s">
        <v>2216</v>
      </c>
      <c r="F425" s="99" t="s">
        <v>2455</v>
      </c>
      <c r="G425" s="42">
        <v>1</v>
      </c>
      <c r="H425" s="99" t="str">
        <f t="shared" si="9"/>
        <v>Low</v>
      </c>
    </row>
    <row r="426" spans="3:8" x14ac:dyDescent="0.3">
      <c r="C426" s="99" t="s">
        <v>2217</v>
      </c>
      <c r="F426" s="99" t="s">
        <v>2456</v>
      </c>
      <c r="G426" s="42">
        <v>2</v>
      </c>
      <c r="H426" s="99" t="str">
        <f t="shared" si="9"/>
        <v>Low</v>
      </c>
    </row>
    <row r="427" spans="3:8" x14ac:dyDescent="0.3">
      <c r="C427" s="99" t="s">
        <v>2217</v>
      </c>
      <c r="F427" s="99" t="s">
        <v>2457</v>
      </c>
      <c r="G427" s="42">
        <v>1</v>
      </c>
      <c r="H427" s="99" t="str">
        <f t="shared" si="9"/>
        <v>Low</v>
      </c>
    </row>
    <row r="428" spans="3:8" x14ac:dyDescent="0.3">
      <c r="C428" s="99" t="s">
        <v>2217</v>
      </c>
      <c r="F428" s="99" t="s">
        <v>2458</v>
      </c>
      <c r="G428" s="42">
        <v>1</v>
      </c>
      <c r="H428" s="99" t="str">
        <f t="shared" si="9"/>
        <v>Low</v>
      </c>
    </row>
    <row r="429" spans="3:8" x14ac:dyDescent="0.3">
      <c r="C429" s="99" t="s">
        <v>2218</v>
      </c>
      <c r="F429" s="99" t="s">
        <v>2459</v>
      </c>
      <c r="G429" s="42">
        <v>3</v>
      </c>
      <c r="H429" s="99" t="str">
        <f t="shared" si="9"/>
        <v>High</v>
      </c>
    </row>
    <row r="430" spans="3:8" x14ac:dyDescent="0.3">
      <c r="C430" s="99" t="s">
        <v>2218</v>
      </c>
      <c r="F430" s="99" t="s">
        <v>2460</v>
      </c>
      <c r="G430" s="42">
        <v>1</v>
      </c>
      <c r="H430" s="99" t="str">
        <f t="shared" si="9"/>
        <v>Low</v>
      </c>
    </row>
    <row r="431" spans="3:8" x14ac:dyDescent="0.3">
      <c r="C431" s="99" t="s">
        <v>2219</v>
      </c>
      <c r="F431" s="99" t="s">
        <v>2461</v>
      </c>
      <c r="G431" s="42">
        <v>1</v>
      </c>
      <c r="H431" s="99" t="str">
        <f t="shared" si="9"/>
        <v>Low</v>
      </c>
    </row>
    <row r="432" spans="3:8" x14ac:dyDescent="0.3">
      <c r="C432" s="99" t="s">
        <v>2220</v>
      </c>
      <c r="F432" s="99" t="s">
        <v>2462</v>
      </c>
      <c r="G432" s="42">
        <v>2</v>
      </c>
      <c r="H432" s="99" t="str">
        <f t="shared" si="9"/>
        <v>Low</v>
      </c>
    </row>
    <row r="433" spans="3:8" x14ac:dyDescent="0.3">
      <c r="C433" s="99" t="s">
        <v>2221</v>
      </c>
      <c r="F433" s="99" t="s">
        <v>2463</v>
      </c>
      <c r="G433" s="42">
        <v>3</v>
      </c>
      <c r="H433" s="99" t="str">
        <f t="shared" si="9"/>
        <v>High</v>
      </c>
    </row>
    <row r="434" spans="3:8" x14ac:dyDescent="0.3">
      <c r="C434" s="99" t="s">
        <v>2221</v>
      </c>
      <c r="F434" s="99" t="s">
        <v>2464</v>
      </c>
      <c r="G434" s="42">
        <v>4</v>
      </c>
      <c r="H434" s="99" t="str">
        <f t="shared" si="9"/>
        <v>High</v>
      </c>
    </row>
    <row r="435" spans="3:8" x14ac:dyDescent="0.3">
      <c r="C435" s="99" t="s">
        <v>2222</v>
      </c>
      <c r="F435" s="99" t="s">
        <v>2465</v>
      </c>
      <c r="G435" s="42">
        <v>5</v>
      </c>
      <c r="H435" s="99" t="str">
        <f t="shared" si="9"/>
        <v>High</v>
      </c>
    </row>
    <row r="436" spans="3:8" x14ac:dyDescent="0.3">
      <c r="C436" s="99" t="s">
        <v>2223</v>
      </c>
      <c r="F436" s="99" t="s">
        <v>2466</v>
      </c>
      <c r="G436" s="42">
        <v>2</v>
      </c>
      <c r="H436" s="99" t="str">
        <f t="shared" si="9"/>
        <v>Low</v>
      </c>
    </row>
    <row r="437" spans="3:8" x14ac:dyDescent="0.3">
      <c r="C437" s="99" t="s">
        <v>2223</v>
      </c>
      <c r="F437" s="99" t="s">
        <v>2467</v>
      </c>
      <c r="G437" s="42">
        <v>1</v>
      </c>
      <c r="H437" s="99" t="str">
        <f t="shared" si="9"/>
        <v>Low</v>
      </c>
    </row>
    <row r="438" spans="3:8" x14ac:dyDescent="0.3">
      <c r="C438" s="99" t="s">
        <v>2224</v>
      </c>
      <c r="F438" s="99" t="s">
        <v>2468</v>
      </c>
      <c r="G438" s="42">
        <v>4</v>
      </c>
      <c r="H438" s="99" t="str">
        <f t="shared" si="9"/>
        <v>High</v>
      </c>
    </row>
    <row r="439" spans="3:8" x14ac:dyDescent="0.3">
      <c r="C439" s="99" t="s">
        <v>2224</v>
      </c>
      <c r="F439" s="99" t="s">
        <v>2469</v>
      </c>
      <c r="G439" s="42">
        <v>2</v>
      </c>
      <c r="H439" s="99" t="str">
        <f t="shared" si="9"/>
        <v>Low</v>
      </c>
    </row>
    <row r="440" spans="3:8" x14ac:dyDescent="0.3">
      <c r="C440" s="99" t="s">
        <v>2225</v>
      </c>
      <c r="F440" s="99" t="s">
        <v>2470</v>
      </c>
      <c r="G440" s="42">
        <v>3</v>
      </c>
      <c r="H440" s="99" t="str">
        <f t="shared" si="9"/>
        <v>High</v>
      </c>
    </row>
    <row r="441" spans="3:8" x14ac:dyDescent="0.3">
      <c r="C441" s="99" t="s">
        <v>2225</v>
      </c>
      <c r="F441" s="99" t="s">
        <v>2471</v>
      </c>
      <c r="G441" s="42">
        <v>2</v>
      </c>
      <c r="H441" s="99" t="str">
        <f t="shared" si="9"/>
        <v>Low</v>
      </c>
    </row>
    <row r="442" spans="3:8" x14ac:dyDescent="0.3">
      <c r="C442" s="99" t="s">
        <v>2226</v>
      </c>
      <c r="F442" s="99" t="s">
        <v>2472</v>
      </c>
      <c r="G442" s="42">
        <v>1</v>
      </c>
      <c r="H442" s="99" t="str">
        <f t="shared" si="9"/>
        <v>Low</v>
      </c>
    </row>
    <row r="443" spans="3:8" x14ac:dyDescent="0.3">
      <c r="C443" s="99" t="s">
        <v>2227</v>
      </c>
      <c r="F443" s="99" t="s">
        <v>2473</v>
      </c>
      <c r="G443" s="42">
        <v>1</v>
      </c>
      <c r="H443" s="99" t="str">
        <f t="shared" si="9"/>
        <v>Low</v>
      </c>
    </row>
    <row r="444" spans="3:8" x14ac:dyDescent="0.3">
      <c r="C444" s="99" t="s">
        <v>2228</v>
      </c>
      <c r="F444" s="99" t="s">
        <v>2474</v>
      </c>
      <c r="G444" s="42">
        <v>1</v>
      </c>
      <c r="H444" s="99" t="str">
        <f t="shared" si="9"/>
        <v>Low</v>
      </c>
    </row>
    <row r="445" spans="3:8" x14ac:dyDescent="0.3">
      <c r="C445" s="99" t="s">
        <v>2229</v>
      </c>
      <c r="F445" s="99" t="s">
        <v>2475</v>
      </c>
      <c r="G445" s="42">
        <v>4</v>
      </c>
      <c r="H445" s="99" t="str">
        <f t="shared" si="9"/>
        <v>High</v>
      </c>
    </row>
    <row r="446" spans="3:8" x14ac:dyDescent="0.3">
      <c r="C446" s="99" t="s">
        <v>2229</v>
      </c>
      <c r="F446" s="99" t="s">
        <v>2476</v>
      </c>
      <c r="G446" s="42">
        <v>1</v>
      </c>
      <c r="H446" s="99" t="str">
        <f t="shared" si="9"/>
        <v>Low</v>
      </c>
    </row>
    <row r="447" spans="3:8" x14ac:dyDescent="0.3">
      <c r="C447" s="99" t="s">
        <v>2229</v>
      </c>
      <c r="F447" s="99" t="s">
        <v>2477</v>
      </c>
      <c r="G447" s="42">
        <v>2</v>
      </c>
      <c r="H447" s="99" t="str">
        <f t="shared" si="9"/>
        <v>Low</v>
      </c>
    </row>
    <row r="448" spans="3:8" x14ac:dyDescent="0.3">
      <c r="C448" s="99" t="s">
        <v>2230</v>
      </c>
      <c r="F448" s="99" t="s">
        <v>2478</v>
      </c>
      <c r="G448" s="42">
        <v>1</v>
      </c>
      <c r="H448" s="99" t="str">
        <f t="shared" si="9"/>
        <v>Low</v>
      </c>
    </row>
    <row r="449" spans="3:8" x14ac:dyDescent="0.3">
      <c r="C449" s="99" t="s">
        <v>2230</v>
      </c>
      <c r="F449" s="99" t="s">
        <v>2479</v>
      </c>
      <c r="G449" s="42">
        <v>1</v>
      </c>
      <c r="H449" s="99" t="str">
        <f t="shared" si="9"/>
        <v>Low</v>
      </c>
    </row>
    <row r="450" spans="3:8" x14ac:dyDescent="0.3">
      <c r="C450" s="99" t="s">
        <v>2231</v>
      </c>
      <c r="F450" s="99" t="s">
        <v>2480</v>
      </c>
      <c r="G450" s="42">
        <v>4</v>
      </c>
      <c r="H450" s="99" t="str">
        <f t="shared" si="9"/>
        <v>High</v>
      </c>
    </row>
    <row r="451" spans="3:8" x14ac:dyDescent="0.3">
      <c r="C451" s="99" t="s">
        <v>2232</v>
      </c>
      <c r="F451" s="99" t="s">
        <v>2481</v>
      </c>
      <c r="G451" s="42">
        <v>1</v>
      </c>
      <c r="H451" s="99" t="str">
        <f t="shared" si="9"/>
        <v>Low</v>
      </c>
    </row>
    <row r="452" spans="3:8" x14ac:dyDescent="0.3">
      <c r="C452" s="99" t="s">
        <v>2233</v>
      </c>
      <c r="F452" s="99" t="s">
        <v>2482</v>
      </c>
      <c r="G452" s="42">
        <v>2</v>
      </c>
      <c r="H452" s="99" t="str">
        <f t="shared" si="9"/>
        <v>Low</v>
      </c>
    </row>
    <row r="453" spans="3:8" x14ac:dyDescent="0.3">
      <c r="C453" s="99" t="s">
        <v>2233</v>
      </c>
      <c r="F453" s="99" t="s">
        <v>2483</v>
      </c>
      <c r="G453" s="42">
        <v>3</v>
      </c>
      <c r="H453" s="99" t="str">
        <f t="shared" si="9"/>
        <v>High</v>
      </c>
    </row>
    <row r="454" spans="3:8" x14ac:dyDescent="0.3">
      <c r="C454" s="99" t="s">
        <v>2233</v>
      </c>
      <c r="F454" s="99" t="s">
        <v>2484</v>
      </c>
      <c r="G454" s="42">
        <v>4</v>
      </c>
      <c r="H454" s="99" t="str">
        <f t="shared" si="9"/>
        <v>High</v>
      </c>
    </row>
    <row r="455" spans="3:8" x14ac:dyDescent="0.3">
      <c r="C455" s="99" t="s">
        <v>2233</v>
      </c>
      <c r="F455" s="99" t="s">
        <v>2485</v>
      </c>
      <c r="G455" s="42">
        <v>3</v>
      </c>
      <c r="H455" s="99" t="str">
        <f t="shared" ref="H455:H518" si="10">IF(G455&gt;=frequency_threshold,"High","Low")</f>
        <v>High</v>
      </c>
    </row>
    <row r="456" spans="3:8" x14ac:dyDescent="0.3">
      <c r="C456" s="99" t="s">
        <v>2233</v>
      </c>
      <c r="F456" s="99" t="s">
        <v>2486</v>
      </c>
      <c r="G456" s="42">
        <v>5</v>
      </c>
      <c r="H456" s="99" t="str">
        <f t="shared" si="10"/>
        <v>High</v>
      </c>
    </row>
    <row r="457" spans="3:8" x14ac:dyDescent="0.3">
      <c r="C457" s="99" t="s">
        <v>2233</v>
      </c>
      <c r="F457" s="99" t="s">
        <v>2487</v>
      </c>
      <c r="G457" s="42">
        <v>2</v>
      </c>
      <c r="H457" s="99" t="str">
        <f t="shared" si="10"/>
        <v>Low</v>
      </c>
    </row>
    <row r="458" spans="3:8" x14ac:dyDescent="0.3">
      <c r="C458" s="99" t="s">
        <v>2233</v>
      </c>
      <c r="F458" s="99" t="s">
        <v>2488</v>
      </c>
      <c r="G458" s="42">
        <v>3</v>
      </c>
      <c r="H458" s="99" t="str">
        <f t="shared" si="10"/>
        <v>High</v>
      </c>
    </row>
    <row r="459" spans="3:8" x14ac:dyDescent="0.3">
      <c r="C459" s="99" t="s">
        <v>2234</v>
      </c>
      <c r="F459" s="99" t="s">
        <v>2489</v>
      </c>
      <c r="G459" s="42">
        <v>1</v>
      </c>
      <c r="H459" s="99" t="str">
        <f t="shared" si="10"/>
        <v>Low</v>
      </c>
    </row>
    <row r="460" spans="3:8" x14ac:dyDescent="0.3">
      <c r="C460" s="99" t="s">
        <v>2234</v>
      </c>
      <c r="F460" s="99" t="s">
        <v>2490</v>
      </c>
      <c r="G460" s="42">
        <v>1</v>
      </c>
      <c r="H460" s="99" t="str">
        <f t="shared" si="10"/>
        <v>Low</v>
      </c>
    </row>
    <row r="461" spans="3:8" x14ac:dyDescent="0.3">
      <c r="C461" s="99" t="s">
        <v>2234</v>
      </c>
      <c r="F461" s="99" t="s">
        <v>2491</v>
      </c>
      <c r="G461" s="42">
        <v>1</v>
      </c>
      <c r="H461" s="99" t="str">
        <f t="shared" si="10"/>
        <v>Low</v>
      </c>
    </row>
    <row r="462" spans="3:8" x14ac:dyDescent="0.3">
      <c r="C462" s="99" t="s">
        <v>2235</v>
      </c>
      <c r="F462" s="99" t="s">
        <v>2492</v>
      </c>
      <c r="G462" s="42">
        <v>1</v>
      </c>
      <c r="H462" s="99" t="str">
        <f t="shared" si="10"/>
        <v>Low</v>
      </c>
    </row>
    <row r="463" spans="3:8" x14ac:dyDescent="0.3">
      <c r="C463" s="99" t="s">
        <v>2235</v>
      </c>
      <c r="F463" s="99" t="s">
        <v>2493</v>
      </c>
      <c r="G463" s="42">
        <v>1</v>
      </c>
      <c r="H463" s="99" t="str">
        <f t="shared" si="10"/>
        <v>Low</v>
      </c>
    </row>
    <row r="464" spans="3:8" x14ac:dyDescent="0.3">
      <c r="C464" s="99" t="s">
        <v>2235</v>
      </c>
      <c r="F464" s="99" t="s">
        <v>2494</v>
      </c>
      <c r="G464" s="42">
        <v>2</v>
      </c>
      <c r="H464" s="99" t="str">
        <f t="shared" si="10"/>
        <v>Low</v>
      </c>
    </row>
    <row r="465" spans="3:8" x14ac:dyDescent="0.3">
      <c r="C465" s="99" t="s">
        <v>2235</v>
      </c>
      <c r="F465" s="99" t="s">
        <v>2495</v>
      </c>
      <c r="G465" s="42">
        <v>5</v>
      </c>
      <c r="H465" s="99" t="str">
        <f t="shared" si="10"/>
        <v>High</v>
      </c>
    </row>
    <row r="466" spans="3:8" x14ac:dyDescent="0.3">
      <c r="C466" s="99" t="s">
        <v>2236</v>
      </c>
      <c r="F466" s="99" t="s">
        <v>2496</v>
      </c>
      <c r="G466" s="42">
        <v>3</v>
      </c>
      <c r="H466" s="99" t="str">
        <f t="shared" si="10"/>
        <v>High</v>
      </c>
    </row>
    <row r="467" spans="3:8" x14ac:dyDescent="0.3">
      <c r="C467" s="99" t="s">
        <v>2236</v>
      </c>
      <c r="F467" s="99" t="s">
        <v>2497</v>
      </c>
      <c r="G467" s="42">
        <v>5</v>
      </c>
      <c r="H467" s="99" t="str">
        <f t="shared" si="10"/>
        <v>High</v>
      </c>
    </row>
    <row r="468" spans="3:8" x14ac:dyDescent="0.3">
      <c r="C468" s="99" t="s">
        <v>2236</v>
      </c>
      <c r="F468" s="99" t="s">
        <v>2498</v>
      </c>
      <c r="G468" s="42">
        <v>1</v>
      </c>
      <c r="H468" s="99" t="str">
        <f t="shared" si="10"/>
        <v>Low</v>
      </c>
    </row>
    <row r="469" spans="3:8" x14ac:dyDescent="0.3">
      <c r="C469" s="99" t="s">
        <v>2236</v>
      </c>
      <c r="F469" s="99" t="s">
        <v>2499</v>
      </c>
      <c r="G469" s="42">
        <v>1</v>
      </c>
      <c r="H469" s="99" t="str">
        <f t="shared" si="10"/>
        <v>Low</v>
      </c>
    </row>
    <row r="470" spans="3:8" x14ac:dyDescent="0.3">
      <c r="C470" s="99" t="s">
        <v>2236</v>
      </c>
      <c r="F470" s="99" t="s">
        <v>2500</v>
      </c>
      <c r="G470" s="42">
        <v>2</v>
      </c>
      <c r="H470" s="99" t="str">
        <f t="shared" si="10"/>
        <v>Low</v>
      </c>
    </row>
    <row r="471" spans="3:8" x14ac:dyDescent="0.3">
      <c r="C471" s="99" t="s">
        <v>2236</v>
      </c>
      <c r="F471" s="99" t="s">
        <v>2501</v>
      </c>
      <c r="G471" s="42">
        <v>3</v>
      </c>
      <c r="H471" s="99" t="str">
        <f t="shared" si="10"/>
        <v>High</v>
      </c>
    </row>
    <row r="472" spans="3:8" x14ac:dyDescent="0.3">
      <c r="C472" s="99" t="s">
        <v>2237</v>
      </c>
      <c r="F472" s="99" t="s">
        <v>2502</v>
      </c>
      <c r="G472" s="42">
        <v>3</v>
      </c>
      <c r="H472" s="99" t="str">
        <f t="shared" si="10"/>
        <v>High</v>
      </c>
    </row>
    <row r="473" spans="3:8" x14ac:dyDescent="0.3">
      <c r="C473" s="99" t="s">
        <v>2238</v>
      </c>
      <c r="F473" s="99" t="s">
        <v>2503</v>
      </c>
      <c r="G473" s="42">
        <v>1</v>
      </c>
      <c r="H473" s="99" t="str">
        <f t="shared" si="10"/>
        <v>Low</v>
      </c>
    </row>
    <row r="474" spans="3:8" x14ac:dyDescent="0.3">
      <c r="C474" s="99" t="s">
        <v>2239</v>
      </c>
      <c r="F474" s="99" t="s">
        <v>2504</v>
      </c>
      <c r="G474" s="42">
        <v>1</v>
      </c>
      <c r="H474" s="99" t="str">
        <f t="shared" si="10"/>
        <v>Low</v>
      </c>
    </row>
    <row r="475" spans="3:8" x14ac:dyDescent="0.3">
      <c r="C475" s="99" t="s">
        <v>2239</v>
      </c>
      <c r="F475" s="99" t="s">
        <v>2505</v>
      </c>
      <c r="G475" s="42">
        <v>3</v>
      </c>
      <c r="H475" s="99" t="str">
        <f t="shared" si="10"/>
        <v>High</v>
      </c>
    </row>
    <row r="476" spans="3:8" x14ac:dyDescent="0.3">
      <c r="C476" s="99" t="s">
        <v>2239</v>
      </c>
      <c r="F476" s="99" t="s">
        <v>2506</v>
      </c>
      <c r="G476" s="42">
        <v>1</v>
      </c>
      <c r="H476" s="99" t="str">
        <f t="shared" si="10"/>
        <v>Low</v>
      </c>
    </row>
    <row r="477" spans="3:8" x14ac:dyDescent="0.3">
      <c r="C477" s="99" t="s">
        <v>2239</v>
      </c>
      <c r="F477" s="99" t="s">
        <v>2507</v>
      </c>
      <c r="G477" s="42">
        <v>4</v>
      </c>
      <c r="H477" s="99" t="str">
        <f t="shared" si="10"/>
        <v>High</v>
      </c>
    </row>
    <row r="478" spans="3:8" x14ac:dyDescent="0.3">
      <c r="C478" s="99" t="s">
        <v>2239</v>
      </c>
      <c r="F478" s="99" t="s">
        <v>2508</v>
      </c>
      <c r="G478" s="42">
        <v>1</v>
      </c>
      <c r="H478" s="99" t="str">
        <f t="shared" si="10"/>
        <v>Low</v>
      </c>
    </row>
    <row r="479" spans="3:8" x14ac:dyDescent="0.3">
      <c r="C479" s="99" t="s">
        <v>2239</v>
      </c>
      <c r="F479" s="99" t="s">
        <v>2509</v>
      </c>
      <c r="G479" s="42">
        <v>1</v>
      </c>
      <c r="H479" s="99" t="str">
        <f t="shared" si="10"/>
        <v>Low</v>
      </c>
    </row>
    <row r="480" spans="3:8" x14ac:dyDescent="0.3">
      <c r="C480" s="99" t="s">
        <v>2240</v>
      </c>
      <c r="F480" s="99" t="s">
        <v>2510</v>
      </c>
      <c r="G480" s="42">
        <v>2</v>
      </c>
      <c r="H480" s="99" t="str">
        <f t="shared" si="10"/>
        <v>Low</v>
      </c>
    </row>
    <row r="481" spans="3:8" x14ac:dyDescent="0.3">
      <c r="C481" s="99" t="s">
        <v>2241</v>
      </c>
      <c r="F481" s="99" t="s">
        <v>2511</v>
      </c>
      <c r="G481" s="42">
        <v>2</v>
      </c>
      <c r="H481" s="99" t="str">
        <f t="shared" si="10"/>
        <v>Low</v>
      </c>
    </row>
    <row r="482" spans="3:8" x14ac:dyDescent="0.3">
      <c r="C482" s="99" t="s">
        <v>2242</v>
      </c>
      <c r="F482" s="99" t="s">
        <v>2512</v>
      </c>
      <c r="G482" s="42">
        <v>1</v>
      </c>
      <c r="H482" s="99" t="str">
        <f t="shared" si="10"/>
        <v>Low</v>
      </c>
    </row>
    <row r="483" spans="3:8" x14ac:dyDescent="0.3">
      <c r="C483" s="99" t="s">
        <v>2243</v>
      </c>
      <c r="F483" s="99" t="s">
        <v>2513</v>
      </c>
      <c r="G483" s="42">
        <v>3</v>
      </c>
      <c r="H483" s="99" t="str">
        <f t="shared" si="10"/>
        <v>High</v>
      </c>
    </row>
    <row r="484" spans="3:8" x14ac:dyDescent="0.3">
      <c r="C484" s="99" t="s">
        <v>2243</v>
      </c>
      <c r="F484" s="99" t="s">
        <v>2514</v>
      </c>
      <c r="G484" s="42">
        <v>3</v>
      </c>
      <c r="H484" s="99" t="str">
        <f t="shared" si="10"/>
        <v>High</v>
      </c>
    </row>
    <row r="485" spans="3:8" x14ac:dyDescent="0.3">
      <c r="C485" s="99" t="s">
        <v>2243</v>
      </c>
      <c r="F485" s="99" t="s">
        <v>2515</v>
      </c>
      <c r="G485" s="42">
        <v>3</v>
      </c>
      <c r="H485" s="99" t="str">
        <f t="shared" si="10"/>
        <v>High</v>
      </c>
    </row>
    <row r="486" spans="3:8" x14ac:dyDescent="0.3">
      <c r="C486" s="99" t="s">
        <v>2244</v>
      </c>
      <c r="F486" s="99" t="s">
        <v>2516</v>
      </c>
      <c r="G486" s="42">
        <v>1</v>
      </c>
      <c r="H486" s="99" t="str">
        <f t="shared" si="10"/>
        <v>Low</v>
      </c>
    </row>
    <row r="487" spans="3:8" x14ac:dyDescent="0.3">
      <c r="C487" s="99" t="s">
        <v>2245</v>
      </c>
      <c r="F487" s="99" t="s">
        <v>2517</v>
      </c>
      <c r="G487" s="42">
        <v>1</v>
      </c>
      <c r="H487" s="99" t="str">
        <f t="shared" si="10"/>
        <v>Low</v>
      </c>
    </row>
    <row r="488" spans="3:8" x14ac:dyDescent="0.3">
      <c r="C488" s="99" t="s">
        <v>2245</v>
      </c>
      <c r="F488" s="99" t="s">
        <v>2518</v>
      </c>
      <c r="G488" s="42">
        <v>2</v>
      </c>
      <c r="H488" s="99" t="str">
        <f t="shared" si="10"/>
        <v>Low</v>
      </c>
    </row>
    <row r="489" spans="3:8" x14ac:dyDescent="0.3">
      <c r="C489" s="99" t="s">
        <v>2245</v>
      </c>
      <c r="F489" s="99" t="s">
        <v>2519</v>
      </c>
      <c r="G489" s="42">
        <v>7</v>
      </c>
      <c r="H489" s="99" t="str">
        <f t="shared" si="10"/>
        <v>High</v>
      </c>
    </row>
    <row r="490" spans="3:8" x14ac:dyDescent="0.3">
      <c r="C490" s="99" t="s">
        <v>2245</v>
      </c>
      <c r="F490" s="99" t="s">
        <v>2520</v>
      </c>
      <c r="G490" s="42">
        <v>2</v>
      </c>
      <c r="H490" s="99" t="str">
        <f t="shared" si="10"/>
        <v>Low</v>
      </c>
    </row>
    <row r="491" spans="3:8" x14ac:dyDescent="0.3">
      <c r="C491" s="99" t="s">
        <v>2245</v>
      </c>
      <c r="F491" s="99" t="s">
        <v>2521</v>
      </c>
      <c r="G491" s="42">
        <v>2</v>
      </c>
      <c r="H491" s="99" t="str">
        <f t="shared" si="10"/>
        <v>Low</v>
      </c>
    </row>
    <row r="492" spans="3:8" x14ac:dyDescent="0.3">
      <c r="C492" s="99" t="s">
        <v>2245</v>
      </c>
      <c r="F492" s="99" t="s">
        <v>2522</v>
      </c>
      <c r="G492" s="42">
        <v>2</v>
      </c>
      <c r="H492" s="99" t="str">
        <f t="shared" si="10"/>
        <v>Low</v>
      </c>
    </row>
    <row r="493" spans="3:8" x14ac:dyDescent="0.3">
      <c r="C493" s="99" t="s">
        <v>2246</v>
      </c>
      <c r="F493" s="99" t="s">
        <v>2523</v>
      </c>
      <c r="G493" s="42">
        <v>3</v>
      </c>
      <c r="H493" s="99" t="str">
        <f t="shared" si="10"/>
        <v>High</v>
      </c>
    </row>
    <row r="494" spans="3:8" x14ac:dyDescent="0.3">
      <c r="C494" s="99" t="s">
        <v>2247</v>
      </c>
      <c r="F494" s="99" t="s">
        <v>2524</v>
      </c>
      <c r="G494" s="42">
        <v>2</v>
      </c>
      <c r="H494" s="99" t="str">
        <f t="shared" si="10"/>
        <v>Low</v>
      </c>
    </row>
    <row r="495" spans="3:8" x14ac:dyDescent="0.3">
      <c r="C495" s="99" t="s">
        <v>2247</v>
      </c>
      <c r="F495" s="99" t="s">
        <v>2525</v>
      </c>
      <c r="G495" s="42">
        <v>1</v>
      </c>
      <c r="H495" s="99" t="str">
        <f t="shared" si="10"/>
        <v>Low</v>
      </c>
    </row>
    <row r="496" spans="3:8" x14ac:dyDescent="0.3">
      <c r="C496" s="99" t="s">
        <v>2247</v>
      </c>
      <c r="F496" s="99" t="s">
        <v>2526</v>
      </c>
      <c r="G496" s="42">
        <v>1</v>
      </c>
      <c r="H496" s="99" t="str">
        <f t="shared" si="10"/>
        <v>Low</v>
      </c>
    </row>
    <row r="497" spans="3:8" x14ac:dyDescent="0.3">
      <c r="C497" s="99" t="s">
        <v>2248</v>
      </c>
      <c r="F497" s="99" t="s">
        <v>2527</v>
      </c>
      <c r="G497" s="42">
        <v>2</v>
      </c>
      <c r="H497" s="99" t="str">
        <f t="shared" si="10"/>
        <v>Low</v>
      </c>
    </row>
    <row r="498" spans="3:8" x14ac:dyDescent="0.3">
      <c r="C498" s="99" t="s">
        <v>2248</v>
      </c>
      <c r="F498" s="99" t="s">
        <v>2528</v>
      </c>
      <c r="G498" s="42">
        <v>1</v>
      </c>
      <c r="H498" s="99" t="str">
        <f t="shared" si="10"/>
        <v>Low</v>
      </c>
    </row>
    <row r="499" spans="3:8" x14ac:dyDescent="0.3">
      <c r="C499" s="99" t="s">
        <v>2248</v>
      </c>
      <c r="F499" s="99" t="s">
        <v>2529</v>
      </c>
      <c r="G499" s="42">
        <v>2</v>
      </c>
      <c r="H499" s="99" t="str">
        <f t="shared" si="10"/>
        <v>Low</v>
      </c>
    </row>
    <row r="500" spans="3:8" x14ac:dyDescent="0.3">
      <c r="C500" s="99" t="s">
        <v>2248</v>
      </c>
      <c r="F500" s="99" t="s">
        <v>2530</v>
      </c>
      <c r="G500" s="42">
        <v>4</v>
      </c>
      <c r="H500" s="99" t="str">
        <f t="shared" si="10"/>
        <v>High</v>
      </c>
    </row>
    <row r="501" spans="3:8" x14ac:dyDescent="0.3">
      <c r="C501" s="99" t="s">
        <v>2248</v>
      </c>
      <c r="F501" s="99" t="s">
        <v>2531</v>
      </c>
      <c r="G501" s="42">
        <v>2</v>
      </c>
      <c r="H501" s="99" t="str">
        <f t="shared" si="10"/>
        <v>Low</v>
      </c>
    </row>
    <row r="502" spans="3:8" x14ac:dyDescent="0.3">
      <c r="C502" s="99" t="s">
        <v>2249</v>
      </c>
      <c r="F502" s="99" t="s">
        <v>2532</v>
      </c>
      <c r="G502" s="42">
        <v>3</v>
      </c>
      <c r="H502" s="99" t="str">
        <f t="shared" si="10"/>
        <v>High</v>
      </c>
    </row>
    <row r="503" spans="3:8" x14ac:dyDescent="0.3">
      <c r="C503" s="99" t="s">
        <v>2249</v>
      </c>
      <c r="F503" s="99" t="s">
        <v>2533</v>
      </c>
      <c r="G503" s="42">
        <v>6</v>
      </c>
      <c r="H503" s="99" t="str">
        <f t="shared" si="10"/>
        <v>High</v>
      </c>
    </row>
    <row r="504" spans="3:8" x14ac:dyDescent="0.3">
      <c r="C504" s="99" t="s">
        <v>2250</v>
      </c>
      <c r="F504" s="99" t="s">
        <v>2534</v>
      </c>
      <c r="G504" s="42">
        <v>2</v>
      </c>
      <c r="H504" s="99" t="str">
        <f t="shared" si="10"/>
        <v>Low</v>
      </c>
    </row>
    <row r="505" spans="3:8" x14ac:dyDescent="0.3">
      <c r="C505" s="99" t="s">
        <v>2250</v>
      </c>
      <c r="F505" s="99" t="s">
        <v>2535</v>
      </c>
      <c r="G505" s="42">
        <v>2</v>
      </c>
      <c r="H505" s="99" t="str">
        <f t="shared" si="10"/>
        <v>Low</v>
      </c>
    </row>
    <row r="506" spans="3:8" x14ac:dyDescent="0.3">
      <c r="C506" s="99" t="s">
        <v>2250</v>
      </c>
      <c r="F506" s="99" t="s">
        <v>2536</v>
      </c>
      <c r="G506" s="42">
        <v>6</v>
      </c>
      <c r="H506" s="99" t="str">
        <f t="shared" si="10"/>
        <v>High</v>
      </c>
    </row>
    <row r="507" spans="3:8" x14ac:dyDescent="0.3">
      <c r="C507" s="99" t="s">
        <v>2250</v>
      </c>
      <c r="F507" s="99" t="s">
        <v>2537</v>
      </c>
      <c r="G507" s="42">
        <v>6</v>
      </c>
      <c r="H507" s="99" t="str">
        <f t="shared" si="10"/>
        <v>High</v>
      </c>
    </row>
    <row r="508" spans="3:8" x14ac:dyDescent="0.3">
      <c r="C508" s="99" t="s">
        <v>2250</v>
      </c>
      <c r="F508" s="99" t="s">
        <v>2538</v>
      </c>
      <c r="G508" s="42">
        <v>5</v>
      </c>
      <c r="H508" s="99" t="str">
        <f t="shared" si="10"/>
        <v>High</v>
      </c>
    </row>
    <row r="509" spans="3:8" x14ac:dyDescent="0.3">
      <c r="C509" s="99" t="s">
        <v>2250</v>
      </c>
      <c r="F509" s="99" t="s">
        <v>2539</v>
      </c>
      <c r="G509" s="42">
        <v>1</v>
      </c>
      <c r="H509" s="99" t="str">
        <f t="shared" si="10"/>
        <v>Low</v>
      </c>
    </row>
    <row r="510" spans="3:8" x14ac:dyDescent="0.3">
      <c r="C510" s="99" t="s">
        <v>2250</v>
      </c>
      <c r="F510" s="99" t="s">
        <v>2540</v>
      </c>
      <c r="G510" s="42">
        <v>1</v>
      </c>
      <c r="H510" s="99" t="str">
        <f t="shared" si="10"/>
        <v>Low</v>
      </c>
    </row>
    <row r="511" spans="3:8" x14ac:dyDescent="0.3">
      <c r="C511" s="99" t="s">
        <v>2251</v>
      </c>
      <c r="F511" s="99" t="s">
        <v>2541</v>
      </c>
      <c r="G511" s="42">
        <v>4</v>
      </c>
      <c r="H511" s="99" t="str">
        <f t="shared" si="10"/>
        <v>High</v>
      </c>
    </row>
    <row r="512" spans="3:8" x14ac:dyDescent="0.3">
      <c r="C512" s="99" t="s">
        <v>2251</v>
      </c>
      <c r="F512" s="99" t="s">
        <v>2542</v>
      </c>
      <c r="G512" s="42">
        <v>2</v>
      </c>
      <c r="H512" s="99" t="str">
        <f t="shared" si="10"/>
        <v>Low</v>
      </c>
    </row>
    <row r="513" spans="3:8" x14ac:dyDescent="0.3">
      <c r="C513" s="99" t="s">
        <v>2251</v>
      </c>
      <c r="F513" s="99" t="s">
        <v>2543</v>
      </c>
      <c r="G513" s="42">
        <v>2</v>
      </c>
      <c r="H513" s="99" t="str">
        <f t="shared" si="10"/>
        <v>Low</v>
      </c>
    </row>
    <row r="514" spans="3:8" x14ac:dyDescent="0.3">
      <c r="C514" s="99" t="s">
        <v>2251</v>
      </c>
      <c r="F514" s="99" t="s">
        <v>2544</v>
      </c>
      <c r="G514" s="42">
        <v>2</v>
      </c>
      <c r="H514" s="99" t="str">
        <f t="shared" si="10"/>
        <v>Low</v>
      </c>
    </row>
    <row r="515" spans="3:8" x14ac:dyDescent="0.3">
      <c r="C515" s="99" t="s">
        <v>2252</v>
      </c>
      <c r="F515" s="99" t="s">
        <v>2545</v>
      </c>
      <c r="G515" s="42">
        <v>2</v>
      </c>
      <c r="H515" s="99" t="str">
        <f t="shared" si="10"/>
        <v>Low</v>
      </c>
    </row>
    <row r="516" spans="3:8" x14ac:dyDescent="0.3">
      <c r="C516" s="99" t="s">
        <v>2252</v>
      </c>
      <c r="F516" s="99" t="s">
        <v>2546</v>
      </c>
      <c r="G516" s="42">
        <v>1</v>
      </c>
      <c r="H516" s="99" t="str">
        <f t="shared" si="10"/>
        <v>Low</v>
      </c>
    </row>
    <row r="517" spans="3:8" x14ac:dyDescent="0.3">
      <c r="C517" s="99" t="s">
        <v>2253</v>
      </c>
      <c r="F517" s="99" t="s">
        <v>2547</v>
      </c>
      <c r="G517" s="42">
        <v>1</v>
      </c>
      <c r="H517" s="99" t="str">
        <f t="shared" si="10"/>
        <v>Low</v>
      </c>
    </row>
    <row r="518" spans="3:8" x14ac:dyDescent="0.3">
      <c r="C518" s="99" t="s">
        <v>2253</v>
      </c>
      <c r="F518" s="99" t="s">
        <v>2548</v>
      </c>
      <c r="G518" s="42">
        <v>4</v>
      </c>
      <c r="H518" s="99" t="str">
        <f t="shared" si="10"/>
        <v>High</v>
      </c>
    </row>
    <row r="519" spans="3:8" x14ac:dyDescent="0.3">
      <c r="C519" s="99" t="s">
        <v>2253</v>
      </c>
      <c r="F519" s="99" t="s">
        <v>2549</v>
      </c>
      <c r="G519" s="42">
        <v>1</v>
      </c>
      <c r="H519" s="99" t="str">
        <f t="shared" ref="H519:H582" si="11">IF(G519&gt;=frequency_threshold,"High","Low")</f>
        <v>Low</v>
      </c>
    </row>
    <row r="520" spans="3:8" x14ac:dyDescent="0.3">
      <c r="C520" s="99" t="s">
        <v>2253</v>
      </c>
      <c r="F520" s="99" t="s">
        <v>2550</v>
      </c>
      <c r="G520" s="42">
        <v>2</v>
      </c>
      <c r="H520" s="99" t="str">
        <f t="shared" si="11"/>
        <v>Low</v>
      </c>
    </row>
    <row r="521" spans="3:8" x14ac:dyDescent="0.3">
      <c r="C521" s="99" t="s">
        <v>2254</v>
      </c>
      <c r="F521" s="99" t="s">
        <v>2551</v>
      </c>
      <c r="G521" s="42">
        <v>2</v>
      </c>
      <c r="H521" s="99" t="str">
        <f t="shared" si="11"/>
        <v>Low</v>
      </c>
    </row>
    <row r="522" spans="3:8" x14ac:dyDescent="0.3">
      <c r="C522" s="99" t="s">
        <v>2255</v>
      </c>
      <c r="F522" s="99" t="s">
        <v>2552</v>
      </c>
      <c r="G522" s="42">
        <v>1</v>
      </c>
      <c r="H522" s="99" t="str">
        <f t="shared" si="11"/>
        <v>Low</v>
      </c>
    </row>
    <row r="523" spans="3:8" x14ac:dyDescent="0.3">
      <c r="C523" s="99" t="s">
        <v>2256</v>
      </c>
      <c r="F523" s="99" t="s">
        <v>2553</v>
      </c>
      <c r="G523" s="42">
        <v>3</v>
      </c>
      <c r="H523" s="99" t="str">
        <f t="shared" si="11"/>
        <v>High</v>
      </c>
    </row>
    <row r="524" spans="3:8" x14ac:dyDescent="0.3">
      <c r="C524" s="99" t="s">
        <v>2256</v>
      </c>
      <c r="F524" s="99" t="s">
        <v>2554</v>
      </c>
      <c r="G524" s="42">
        <v>3</v>
      </c>
      <c r="H524" s="99" t="str">
        <f t="shared" si="11"/>
        <v>High</v>
      </c>
    </row>
    <row r="525" spans="3:8" x14ac:dyDescent="0.3">
      <c r="C525" s="99" t="s">
        <v>2257</v>
      </c>
      <c r="F525" s="99" t="s">
        <v>2555</v>
      </c>
      <c r="G525" s="42">
        <v>1</v>
      </c>
      <c r="H525" s="99" t="str">
        <f t="shared" si="11"/>
        <v>Low</v>
      </c>
    </row>
    <row r="526" spans="3:8" x14ac:dyDescent="0.3">
      <c r="C526" s="99" t="s">
        <v>2257</v>
      </c>
      <c r="F526" s="99" t="s">
        <v>2556</v>
      </c>
      <c r="G526" s="42">
        <v>4</v>
      </c>
      <c r="H526" s="99" t="str">
        <f t="shared" si="11"/>
        <v>High</v>
      </c>
    </row>
    <row r="527" spans="3:8" x14ac:dyDescent="0.3">
      <c r="C527" s="99" t="s">
        <v>2257</v>
      </c>
      <c r="F527" s="99" t="s">
        <v>2557</v>
      </c>
      <c r="G527" s="42">
        <v>4</v>
      </c>
      <c r="H527" s="99" t="str">
        <f t="shared" si="11"/>
        <v>High</v>
      </c>
    </row>
    <row r="528" spans="3:8" x14ac:dyDescent="0.3">
      <c r="C528" s="99" t="s">
        <v>2257</v>
      </c>
      <c r="F528" s="99" t="s">
        <v>2558</v>
      </c>
      <c r="G528" s="42">
        <v>2</v>
      </c>
      <c r="H528" s="99" t="str">
        <f t="shared" si="11"/>
        <v>Low</v>
      </c>
    </row>
    <row r="529" spans="3:8" x14ac:dyDescent="0.3">
      <c r="C529" s="99" t="s">
        <v>2258</v>
      </c>
      <c r="F529" s="99" t="s">
        <v>2559</v>
      </c>
      <c r="G529" s="42">
        <v>3</v>
      </c>
      <c r="H529" s="99" t="str">
        <f t="shared" si="11"/>
        <v>High</v>
      </c>
    </row>
    <row r="530" spans="3:8" x14ac:dyDescent="0.3">
      <c r="C530" s="99" t="s">
        <v>2258</v>
      </c>
      <c r="F530" s="99" t="s">
        <v>2560</v>
      </c>
      <c r="G530" s="42">
        <v>3</v>
      </c>
      <c r="H530" s="99" t="str">
        <f t="shared" si="11"/>
        <v>High</v>
      </c>
    </row>
    <row r="531" spans="3:8" x14ac:dyDescent="0.3">
      <c r="C531" s="99" t="s">
        <v>2258</v>
      </c>
      <c r="F531" s="99" t="s">
        <v>2561</v>
      </c>
      <c r="G531" s="42">
        <v>2</v>
      </c>
      <c r="H531" s="99" t="str">
        <f t="shared" si="11"/>
        <v>Low</v>
      </c>
    </row>
    <row r="532" spans="3:8" x14ac:dyDescent="0.3">
      <c r="C532" s="99" t="s">
        <v>2259</v>
      </c>
      <c r="F532" s="99" t="s">
        <v>2562</v>
      </c>
      <c r="G532" s="42">
        <v>2</v>
      </c>
      <c r="H532" s="99" t="str">
        <f t="shared" si="11"/>
        <v>Low</v>
      </c>
    </row>
    <row r="533" spans="3:8" x14ac:dyDescent="0.3">
      <c r="C533" s="99" t="s">
        <v>2259</v>
      </c>
      <c r="F533" s="99" t="s">
        <v>2563</v>
      </c>
      <c r="G533" s="42">
        <v>5</v>
      </c>
      <c r="H533" s="99" t="str">
        <f t="shared" si="11"/>
        <v>High</v>
      </c>
    </row>
    <row r="534" spans="3:8" x14ac:dyDescent="0.3">
      <c r="C534" s="99" t="s">
        <v>2260</v>
      </c>
      <c r="F534" s="99" t="s">
        <v>2564</v>
      </c>
      <c r="G534" s="42">
        <v>1</v>
      </c>
      <c r="H534" s="99" t="str">
        <f t="shared" si="11"/>
        <v>Low</v>
      </c>
    </row>
    <row r="535" spans="3:8" x14ac:dyDescent="0.3">
      <c r="C535" s="99" t="s">
        <v>2260</v>
      </c>
      <c r="F535" s="99" t="s">
        <v>2565</v>
      </c>
      <c r="G535" s="42">
        <v>3</v>
      </c>
      <c r="H535" s="99" t="str">
        <f t="shared" si="11"/>
        <v>High</v>
      </c>
    </row>
    <row r="536" spans="3:8" x14ac:dyDescent="0.3">
      <c r="C536" s="99" t="s">
        <v>2260</v>
      </c>
      <c r="F536" s="99" t="s">
        <v>2566</v>
      </c>
      <c r="G536" s="42">
        <v>1</v>
      </c>
      <c r="H536" s="99" t="str">
        <f t="shared" si="11"/>
        <v>Low</v>
      </c>
    </row>
    <row r="537" spans="3:8" x14ac:dyDescent="0.3">
      <c r="C537" s="99" t="s">
        <v>2260</v>
      </c>
      <c r="F537" s="99" t="s">
        <v>2567</v>
      </c>
      <c r="G537" s="42">
        <v>8</v>
      </c>
      <c r="H537" s="99" t="str">
        <f t="shared" si="11"/>
        <v>High</v>
      </c>
    </row>
    <row r="538" spans="3:8" x14ac:dyDescent="0.3">
      <c r="C538" s="99" t="s">
        <v>2260</v>
      </c>
      <c r="F538" s="99" t="s">
        <v>2568</v>
      </c>
      <c r="G538" s="42">
        <v>1</v>
      </c>
      <c r="H538" s="99" t="str">
        <f t="shared" si="11"/>
        <v>Low</v>
      </c>
    </row>
    <row r="539" spans="3:8" x14ac:dyDescent="0.3">
      <c r="C539" s="99" t="s">
        <v>2260</v>
      </c>
      <c r="F539" s="99" t="s">
        <v>2569</v>
      </c>
      <c r="G539" s="42">
        <v>9</v>
      </c>
      <c r="H539" s="99" t="str">
        <f t="shared" si="11"/>
        <v>High</v>
      </c>
    </row>
    <row r="540" spans="3:8" x14ac:dyDescent="0.3">
      <c r="C540" s="99" t="s">
        <v>2261</v>
      </c>
      <c r="F540" s="99" t="s">
        <v>2570</v>
      </c>
      <c r="G540" s="42">
        <v>10</v>
      </c>
      <c r="H540" s="99" t="str">
        <f t="shared" si="11"/>
        <v>High</v>
      </c>
    </row>
    <row r="541" spans="3:8" x14ac:dyDescent="0.3">
      <c r="C541" s="99" t="s">
        <v>2262</v>
      </c>
      <c r="F541" s="99" t="s">
        <v>2571</v>
      </c>
      <c r="G541" s="42">
        <v>1</v>
      </c>
      <c r="H541" s="99" t="str">
        <f t="shared" si="11"/>
        <v>Low</v>
      </c>
    </row>
    <row r="542" spans="3:8" x14ac:dyDescent="0.3">
      <c r="C542" s="99" t="s">
        <v>2263</v>
      </c>
      <c r="F542" s="99" t="s">
        <v>2572</v>
      </c>
      <c r="G542" s="42">
        <v>2</v>
      </c>
      <c r="H542" s="99" t="str">
        <f t="shared" si="11"/>
        <v>Low</v>
      </c>
    </row>
    <row r="543" spans="3:8" x14ac:dyDescent="0.3">
      <c r="C543" s="99" t="s">
        <v>2263</v>
      </c>
      <c r="F543" s="99" t="s">
        <v>2573</v>
      </c>
      <c r="G543" s="42">
        <v>1</v>
      </c>
      <c r="H543" s="99" t="str">
        <f t="shared" si="11"/>
        <v>Low</v>
      </c>
    </row>
    <row r="544" spans="3:8" x14ac:dyDescent="0.3">
      <c r="C544" s="99" t="s">
        <v>2263</v>
      </c>
      <c r="F544" s="99" t="s">
        <v>2574</v>
      </c>
      <c r="G544" s="42">
        <v>1</v>
      </c>
      <c r="H544" s="99" t="str">
        <f t="shared" si="11"/>
        <v>Low</v>
      </c>
    </row>
    <row r="545" spans="3:8" x14ac:dyDescent="0.3">
      <c r="C545" s="99" t="s">
        <v>2263</v>
      </c>
      <c r="F545" s="99" t="s">
        <v>2575</v>
      </c>
      <c r="G545" s="42">
        <v>2</v>
      </c>
      <c r="H545" s="99" t="str">
        <f t="shared" si="11"/>
        <v>Low</v>
      </c>
    </row>
    <row r="546" spans="3:8" x14ac:dyDescent="0.3">
      <c r="C546" s="99" t="s">
        <v>2263</v>
      </c>
      <c r="F546" s="99" t="s">
        <v>2576</v>
      </c>
      <c r="G546" s="42">
        <v>2</v>
      </c>
      <c r="H546" s="99" t="str">
        <f t="shared" si="11"/>
        <v>Low</v>
      </c>
    </row>
    <row r="547" spans="3:8" x14ac:dyDescent="0.3">
      <c r="C547" s="99" t="s">
        <v>2263</v>
      </c>
      <c r="F547" s="99" t="s">
        <v>2577</v>
      </c>
      <c r="G547" s="42">
        <v>4</v>
      </c>
      <c r="H547" s="99" t="str">
        <f t="shared" si="11"/>
        <v>High</v>
      </c>
    </row>
    <row r="548" spans="3:8" x14ac:dyDescent="0.3">
      <c r="C548" s="99" t="s">
        <v>2263</v>
      </c>
      <c r="F548" s="99" t="s">
        <v>2578</v>
      </c>
      <c r="G548" s="42">
        <v>1</v>
      </c>
      <c r="H548" s="99" t="str">
        <f t="shared" si="11"/>
        <v>Low</v>
      </c>
    </row>
    <row r="549" spans="3:8" x14ac:dyDescent="0.3">
      <c r="C549" s="99" t="s">
        <v>2264</v>
      </c>
      <c r="F549" s="99" t="s">
        <v>2579</v>
      </c>
      <c r="G549" s="42">
        <v>2</v>
      </c>
      <c r="H549" s="99" t="str">
        <f t="shared" si="11"/>
        <v>Low</v>
      </c>
    </row>
    <row r="550" spans="3:8" x14ac:dyDescent="0.3">
      <c r="C550" s="99" t="s">
        <v>2265</v>
      </c>
      <c r="F550" s="99" t="s">
        <v>2580</v>
      </c>
      <c r="G550" s="42">
        <v>4</v>
      </c>
      <c r="H550" s="99" t="str">
        <f t="shared" si="11"/>
        <v>High</v>
      </c>
    </row>
    <row r="551" spans="3:8" x14ac:dyDescent="0.3">
      <c r="C551" s="99" t="s">
        <v>2266</v>
      </c>
      <c r="F551" s="99" t="s">
        <v>2581</v>
      </c>
      <c r="G551" s="42">
        <v>1</v>
      </c>
      <c r="H551" s="99" t="str">
        <f t="shared" si="11"/>
        <v>Low</v>
      </c>
    </row>
    <row r="552" spans="3:8" x14ac:dyDescent="0.3">
      <c r="C552" s="99" t="s">
        <v>2266</v>
      </c>
      <c r="F552" s="99" t="s">
        <v>2582</v>
      </c>
      <c r="G552" s="42">
        <v>3</v>
      </c>
      <c r="H552" s="99" t="str">
        <f t="shared" si="11"/>
        <v>High</v>
      </c>
    </row>
    <row r="553" spans="3:8" x14ac:dyDescent="0.3">
      <c r="C553" s="99" t="s">
        <v>2266</v>
      </c>
      <c r="F553" s="99" t="s">
        <v>2583</v>
      </c>
      <c r="G553" s="42">
        <v>2</v>
      </c>
      <c r="H553" s="99" t="str">
        <f t="shared" si="11"/>
        <v>Low</v>
      </c>
    </row>
    <row r="554" spans="3:8" x14ac:dyDescent="0.3">
      <c r="C554" s="99" t="s">
        <v>2266</v>
      </c>
      <c r="F554" s="99" t="s">
        <v>2584</v>
      </c>
      <c r="G554" s="42">
        <v>2</v>
      </c>
      <c r="H554" s="99" t="str">
        <f t="shared" si="11"/>
        <v>Low</v>
      </c>
    </row>
    <row r="555" spans="3:8" x14ac:dyDescent="0.3">
      <c r="C555" s="99" t="s">
        <v>2266</v>
      </c>
      <c r="F555" s="99" t="s">
        <v>2585</v>
      </c>
      <c r="G555" s="42">
        <v>4</v>
      </c>
      <c r="H555" s="99" t="str">
        <f t="shared" si="11"/>
        <v>High</v>
      </c>
    </row>
    <row r="556" spans="3:8" x14ac:dyDescent="0.3">
      <c r="C556" s="99" t="s">
        <v>2266</v>
      </c>
      <c r="F556" s="99" t="s">
        <v>2586</v>
      </c>
      <c r="G556" s="42">
        <v>2</v>
      </c>
      <c r="H556" s="99" t="str">
        <f t="shared" si="11"/>
        <v>Low</v>
      </c>
    </row>
    <row r="557" spans="3:8" x14ac:dyDescent="0.3">
      <c r="C557" s="99" t="s">
        <v>2266</v>
      </c>
      <c r="F557" s="99" t="s">
        <v>2587</v>
      </c>
      <c r="G557" s="42">
        <v>3</v>
      </c>
      <c r="H557" s="99" t="str">
        <f t="shared" si="11"/>
        <v>High</v>
      </c>
    </row>
    <row r="558" spans="3:8" x14ac:dyDescent="0.3">
      <c r="C558" s="99" t="s">
        <v>2267</v>
      </c>
      <c r="F558" s="99" t="s">
        <v>2588</v>
      </c>
      <c r="G558" s="42">
        <v>4</v>
      </c>
      <c r="H558" s="99" t="str">
        <f t="shared" si="11"/>
        <v>High</v>
      </c>
    </row>
    <row r="559" spans="3:8" x14ac:dyDescent="0.3">
      <c r="C559" s="99" t="s">
        <v>2267</v>
      </c>
      <c r="F559" s="99" t="s">
        <v>2589</v>
      </c>
      <c r="G559" s="42">
        <v>3</v>
      </c>
      <c r="H559" s="99" t="str">
        <f t="shared" si="11"/>
        <v>High</v>
      </c>
    </row>
    <row r="560" spans="3:8" x14ac:dyDescent="0.3">
      <c r="C560" s="99" t="s">
        <v>2267</v>
      </c>
      <c r="F560" s="99" t="s">
        <v>2590</v>
      </c>
      <c r="G560" s="42">
        <v>1</v>
      </c>
      <c r="H560" s="99" t="str">
        <f t="shared" si="11"/>
        <v>Low</v>
      </c>
    </row>
    <row r="561" spans="3:8" x14ac:dyDescent="0.3">
      <c r="C561" s="99" t="s">
        <v>2268</v>
      </c>
      <c r="F561" s="99" t="s">
        <v>2591</v>
      </c>
      <c r="G561" s="42">
        <v>4</v>
      </c>
      <c r="H561" s="99" t="str">
        <f t="shared" si="11"/>
        <v>High</v>
      </c>
    </row>
    <row r="562" spans="3:8" x14ac:dyDescent="0.3">
      <c r="C562" s="99" t="s">
        <v>2269</v>
      </c>
      <c r="F562" s="99" t="s">
        <v>2592</v>
      </c>
      <c r="G562" s="42">
        <v>3</v>
      </c>
      <c r="H562" s="99" t="str">
        <f t="shared" si="11"/>
        <v>High</v>
      </c>
    </row>
    <row r="563" spans="3:8" x14ac:dyDescent="0.3">
      <c r="C563" s="99" t="s">
        <v>2269</v>
      </c>
      <c r="F563" s="99" t="s">
        <v>2593</v>
      </c>
      <c r="G563" s="42">
        <v>1</v>
      </c>
      <c r="H563" s="99" t="str">
        <f t="shared" si="11"/>
        <v>Low</v>
      </c>
    </row>
    <row r="564" spans="3:8" x14ac:dyDescent="0.3">
      <c r="C564" s="99" t="s">
        <v>2270</v>
      </c>
      <c r="F564" s="99" t="s">
        <v>2594</v>
      </c>
      <c r="G564" s="42">
        <v>1</v>
      </c>
      <c r="H564" s="99" t="str">
        <f t="shared" si="11"/>
        <v>Low</v>
      </c>
    </row>
    <row r="565" spans="3:8" x14ac:dyDescent="0.3">
      <c r="C565" s="99" t="s">
        <v>2270</v>
      </c>
      <c r="F565" s="99" t="s">
        <v>2595</v>
      </c>
      <c r="G565" s="42">
        <v>1</v>
      </c>
      <c r="H565" s="99" t="str">
        <f t="shared" si="11"/>
        <v>Low</v>
      </c>
    </row>
    <row r="566" spans="3:8" x14ac:dyDescent="0.3">
      <c r="C566" s="99" t="s">
        <v>2271</v>
      </c>
      <c r="F566" s="99" t="s">
        <v>2596</v>
      </c>
      <c r="G566" s="42">
        <v>1</v>
      </c>
      <c r="H566" s="99" t="str">
        <f t="shared" si="11"/>
        <v>Low</v>
      </c>
    </row>
    <row r="567" spans="3:8" x14ac:dyDescent="0.3">
      <c r="C567" s="99" t="s">
        <v>2271</v>
      </c>
      <c r="F567" s="99" t="s">
        <v>2597</v>
      </c>
      <c r="G567" s="42">
        <v>2</v>
      </c>
      <c r="H567" s="99" t="str">
        <f t="shared" si="11"/>
        <v>Low</v>
      </c>
    </row>
    <row r="568" spans="3:8" x14ac:dyDescent="0.3">
      <c r="C568" s="99" t="s">
        <v>2272</v>
      </c>
      <c r="F568" s="99" t="s">
        <v>2598</v>
      </c>
      <c r="G568" s="42">
        <v>4</v>
      </c>
      <c r="H568" s="99" t="str">
        <f t="shared" si="11"/>
        <v>High</v>
      </c>
    </row>
    <row r="569" spans="3:8" x14ac:dyDescent="0.3">
      <c r="C569" s="99" t="s">
        <v>2272</v>
      </c>
      <c r="F569" s="99" t="s">
        <v>2599</v>
      </c>
      <c r="G569" s="42">
        <v>3</v>
      </c>
      <c r="H569" s="99" t="str">
        <f t="shared" si="11"/>
        <v>High</v>
      </c>
    </row>
    <row r="570" spans="3:8" x14ac:dyDescent="0.3">
      <c r="C570" s="99" t="s">
        <v>2273</v>
      </c>
      <c r="F570" s="99" t="s">
        <v>2600</v>
      </c>
      <c r="G570" s="42">
        <v>1</v>
      </c>
      <c r="H570" s="99" t="str">
        <f t="shared" si="11"/>
        <v>Low</v>
      </c>
    </row>
    <row r="571" spans="3:8" x14ac:dyDescent="0.3">
      <c r="C571" s="99" t="s">
        <v>2273</v>
      </c>
      <c r="F571" s="99" t="s">
        <v>2601</v>
      </c>
      <c r="G571" s="42">
        <v>3</v>
      </c>
      <c r="H571" s="99" t="str">
        <f t="shared" si="11"/>
        <v>High</v>
      </c>
    </row>
    <row r="572" spans="3:8" x14ac:dyDescent="0.3">
      <c r="C572" s="99" t="s">
        <v>2273</v>
      </c>
      <c r="F572" s="99" t="s">
        <v>2602</v>
      </c>
      <c r="G572" s="42">
        <v>2</v>
      </c>
      <c r="H572" s="99" t="str">
        <f t="shared" si="11"/>
        <v>Low</v>
      </c>
    </row>
    <row r="573" spans="3:8" x14ac:dyDescent="0.3">
      <c r="C573" s="99" t="s">
        <v>2273</v>
      </c>
      <c r="F573" s="99" t="s">
        <v>2603</v>
      </c>
      <c r="G573" s="42">
        <v>2</v>
      </c>
      <c r="H573" s="99" t="str">
        <f t="shared" si="11"/>
        <v>Low</v>
      </c>
    </row>
    <row r="574" spans="3:8" x14ac:dyDescent="0.3">
      <c r="C574" s="99" t="s">
        <v>2274</v>
      </c>
      <c r="F574" s="99" t="s">
        <v>2604</v>
      </c>
      <c r="G574" s="42">
        <v>4</v>
      </c>
      <c r="H574" s="99" t="str">
        <f t="shared" si="11"/>
        <v>High</v>
      </c>
    </row>
    <row r="575" spans="3:8" x14ac:dyDescent="0.3">
      <c r="C575" s="99" t="s">
        <v>2274</v>
      </c>
      <c r="F575" s="99" t="s">
        <v>2605</v>
      </c>
      <c r="G575" s="42">
        <v>2</v>
      </c>
      <c r="H575" s="99" t="str">
        <f t="shared" si="11"/>
        <v>Low</v>
      </c>
    </row>
    <row r="576" spans="3:8" x14ac:dyDescent="0.3">
      <c r="C576" s="99" t="s">
        <v>2274</v>
      </c>
      <c r="F576" s="99" t="s">
        <v>2606</v>
      </c>
      <c r="G576" s="42">
        <v>1</v>
      </c>
      <c r="H576" s="99" t="str">
        <f t="shared" si="11"/>
        <v>Low</v>
      </c>
    </row>
    <row r="577" spans="3:8" x14ac:dyDescent="0.3">
      <c r="C577" s="99" t="s">
        <v>2275</v>
      </c>
      <c r="F577" s="99" t="s">
        <v>2607</v>
      </c>
      <c r="G577" s="42">
        <v>2</v>
      </c>
      <c r="H577" s="99" t="str">
        <f t="shared" si="11"/>
        <v>Low</v>
      </c>
    </row>
    <row r="578" spans="3:8" x14ac:dyDescent="0.3">
      <c r="C578" s="99" t="s">
        <v>2276</v>
      </c>
      <c r="F578" s="99" t="s">
        <v>2608</v>
      </c>
      <c r="G578" s="42">
        <v>3</v>
      </c>
      <c r="H578" s="99" t="str">
        <f t="shared" si="11"/>
        <v>High</v>
      </c>
    </row>
    <row r="579" spans="3:8" x14ac:dyDescent="0.3">
      <c r="C579" s="99" t="s">
        <v>2276</v>
      </c>
      <c r="F579" s="99" t="s">
        <v>2609</v>
      </c>
      <c r="G579" s="42">
        <v>2</v>
      </c>
      <c r="H579" s="99" t="str">
        <f t="shared" si="11"/>
        <v>Low</v>
      </c>
    </row>
    <row r="580" spans="3:8" x14ac:dyDescent="0.3">
      <c r="C580" s="99" t="s">
        <v>2276</v>
      </c>
      <c r="F580" s="99" t="s">
        <v>2610</v>
      </c>
      <c r="G580" s="42">
        <v>1</v>
      </c>
      <c r="H580" s="99" t="str">
        <f t="shared" si="11"/>
        <v>Low</v>
      </c>
    </row>
    <row r="581" spans="3:8" x14ac:dyDescent="0.3">
      <c r="C581" s="99" t="s">
        <v>2276</v>
      </c>
      <c r="F581" s="99" t="s">
        <v>2611</v>
      </c>
      <c r="G581" s="42">
        <v>1</v>
      </c>
      <c r="H581" s="99" t="str">
        <f t="shared" si="11"/>
        <v>Low</v>
      </c>
    </row>
    <row r="582" spans="3:8" x14ac:dyDescent="0.3">
      <c r="C582" s="99" t="s">
        <v>2276</v>
      </c>
      <c r="F582" s="99" t="s">
        <v>2612</v>
      </c>
      <c r="G582" s="42">
        <v>3</v>
      </c>
      <c r="H582" s="99" t="str">
        <f t="shared" si="11"/>
        <v>High</v>
      </c>
    </row>
    <row r="583" spans="3:8" x14ac:dyDescent="0.3">
      <c r="C583" s="99" t="s">
        <v>2276</v>
      </c>
      <c r="F583" s="99" t="s">
        <v>2613</v>
      </c>
      <c r="G583" s="42">
        <v>1</v>
      </c>
      <c r="H583" s="99" t="str">
        <f t="shared" ref="H583:H646" si="12">IF(G583&gt;=frequency_threshold,"High","Low")</f>
        <v>Low</v>
      </c>
    </row>
    <row r="584" spans="3:8" x14ac:dyDescent="0.3">
      <c r="C584" s="99" t="s">
        <v>2276</v>
      </c>
      <c r="F584" s="99" t="s">
        <v>2614</v>
      </c>
      <c r="G584" s="42">
        <v>1</v>
      </c>
      <c r="H584" s="99" t="str">
        <f t="shared" si="12"/>
        <v>Low</v>
      </c>
    </row>
    <row r="585" spans="3:8" x14ac:dyDescent="0.3">
      <c r="C585" s="99" t="s">
        <v>2277</v>
      </c>
      <c r="F585" s="99" t="s">
        <v>2615</v>
      </c>
      <c r="G585" s="42">
        <v>1</v>
      </c>
      <c r="H585" s="99" t="str">
        <f t="shared" si="12"/>
        <v>Low</v>
      </c>
    </row>
    <row r="586" spans="3:8" x14ac:dyDescent="0.3">
      <c r="C586" s="99" t="s">
        <v>2277</v>
      </c>
      <c r="F586" s="99" t="s">
        <v>2616</v>
      </c>
      <c r="G586" s="42">
        <v>2</v>
      </c>
      <c r="H586" s="99" t="str">
        <f t="shared" si="12"/>
        <v>Low</v>
      </c>
    </row>
    <row r="587" spans="3:8" x14ac:dyDescent="0.3">
      <c r="C587" s="99" t="s">
        <v>2278</v>
      </c>
      <c r="F587" s="99" t="s">
        <v>2617</v>
      </c>
      <c r="G587" s="42">
        <v>1</v>
      </c>
      <c r="H587" s="99" t="str">
        <f t="shared" si="12"/>
        <v>Low</v>
      </c>
    </row>
    <row r="588" spans="3:8" x14ac:dyDescent="0.3">
      <c r="C588" s="99" t="s">
        <v>2278</v>
      </c>
      <c r="F588" s="99" t="s">
        <v>2618</v>
      </c>
      <c r="G588" s="42">
        <v>8</v>
      </c>
      <c r="H588" s="99" t="str">
        <f t="shared" si="12"/>
        <v>High</v>
      </c>
    </row>
    <row r="589" spans="3:8" x14ac:dyDescent="0.3">
      <c r="C589" s="99" t="s">
        <v>2279</v>
      </c>
      <c r="F589" s="99" t="s">
        <v>2619</v>
      </c>
      <c r="G589" s="42">
        <v>3</v>
      </c>
      <c r="H589" s="99" t="str">
        <f t="shared" si="12"/>
        <v>High</v>
      </c>
    </row>
    <row r="590" spans="3:8" x14ac:dyDescent="0.3">
      <c r="C590" s="99" t="s">
        <v>2280</v>
      </c>
      <c r="F590" s="99" t="s">
        <v>2620</v>
      </c>
      <c r="G590" s="42">
        <v>1</v>
      </c>
      <c r="H590" s="99" t="str">
        <f t="shared" si="12"/>
        <v>Low</v>
      </c>
    </row>
    <row r="591" spans="3:8" x14ac:dyDescent="0.3">
      <c r="C591" s="99" t="s">
        <v>2280</v>
      </c>
      <c r="F591" s="99" t="s">
        <v>2621</v>
      </c>
      <c r="G591" s="42">
        <v>1</v>
      </c>
      <c r="H591" s="99" t="str">
        <f t="shared" si="12"/>
        <v>Low</v>
      </c>
    </row>
    <row r="592" spans="3:8" x14ac:dyDescent="0.3">
      <c r="C592" s="99" t="s">
        <v>2281</v>
      </c>
      <c r="F592" s="99" t="s">
        <v>2622</v>
      </c>
      <c r="G592" s="42">
        <v>2</v>
      </c>
      <c r="H592" s="99" t="str">
        <f t="shared" si="12"/>
        <v>Low</v>
      </c>
    </row>
    <row r="593" spans="3:8" x14ac:dyDescent="0.3">
      <c r="C593" s="99" t="s">
        <v>2282</v>
      </c>
      <c r="F593" s="99" t="s">
        <v>2623</v>
      </c>
      <c r="G593" s="42">
        <v>2</v>
      </c>
      <c r="H593" s="99" t="str">
        <f t="shared" si="12"/>
        <v>Low</v>
      </c>
    </row>
    <row r="594" spans="3:8" x14ac:dyDescent="0.3">
      <c r="C594" s="99" t="s">
        <v>2282</v>
      </c>
      <c r="F594" s="99" t="s">
        <v>2624</v>
      </c>
      <c r="G594" s="42">
        <v>6</v>
      </c>
      <c r="H594" s="99" t="str">
        <f t="shared" si="12"/>
        <v>High</v>
      </c>
    </row>
    <row r="595" spans="3:8" x14ac:dyDescent="0.3">
      <c r="C595" s="99" t="s">
        <v>2282</v>
      </c>
      <c r="F595" s="99" t="s">
        <v>2625</v>
      </c>
      <c r="G595" s="42">
        <v>1</v>
      </c>
      <c r="H595" s="99" t="str">
        <f t="shared" si="12"/>
        <v>Low</v>
      </c>
    </row>
    <row r="596" spans="3:8" x14ac:dyDescent="0.3">
      <c r="C596" s="99" t="s">
        <v>2283</v>
      </c>
      <c r="F596" s="99" t="s">
        <v>2626</v>
      </c>
      <c r="G596" s="42">
        <v>2</v>
      </c>
      <c r="H596" s="99" t="str">
        <f t="shared" si="12"/>
        <v>Low</v>
      </c>
    </row>
    <row r="597" spans="3:8" x14ac:dyDescent="0.3">
      <c r="C597" s="99" t="s">
        <v>2284</v>
      </c>
      <c r="F597" s="99" t="s">
        <v>2627</v>
      </c>
      <c r="G597" s="42">
        <v>2</v>
      </c>
      <c r="H597" s="99" t="str">
        <f t="shared" si="12"/>
        <v>Low</v>
      </c>
    </row>
    <row r="598" spans="3:8" x14ac:dyDescent="0.3">
      <c r="C598" s="99" t="s">
        <v>2285</v>
      </c>
      <c r="F598" s="99" t="s">
        <v>2628</v>
      </c>
      <c r="G598" s="42">
        <v>2</v>
      </c>
      <c r="H598" s="99" t="str">
        <f t="shared" si="12"/>
        <v>Low</v>
      </c>
    </row>
    <row r="599" spans="3:8" x14ac:dyDescent="0.3">
      <c r="C599" s="99" t="s">
        <v>2285</v>
      </c>
      <c r="F599" s="99" t="s">
        <v>2629</v>
      </c>
      <c r="G599" s="42">
        <v>3</v>
      </c>
      <c r="H599" s="99" t="str">
        <f t="shared" si="12"/>
        <v>High</v>
      </c>
    </row>
    <row r="600" spans="3:8" x14ac:dyDescent="0.3">
      <c r="C600" s="99" t="s">
        <v>2286</v>
      </c>
      <c r="F600" s="99" t="s">
        <v>2630</v>
      </c>
      <c r="G600" s="42">
        <v>2</v>
      </c>
      <c r="H600" s="99" t="str">
        <f t="shared" si="12"/>
        <v>Low</v>
      </c>
    </row>
    <row r="601" spans="3:8" x14ac:dyDescent="0.3">
      <c r="C601" s="99" t="s">
        <v>2287</v>
      </c>
      <c r="F601" s="99" t="s">
        <v>2631</v>
      </c>
      <c r="G601" s="42">
        <v>2</v>
      </c>
      <c r="H601" s="99" t="str">
        <f t="shared" si="12"/>
        <v>Low</v>
      </c>
    </row>
    <row r="602" spans="3:8" x14ac:dyDescent="0.3">
      <c r="C602" s="99" t="s">
        <v>2287</v>
      </c>
      <c r="F602" s="99" t="s">
        <v>2632</v>
      </c>
      <c r="G602" s="42">
        <v>4</v>
      </c>
      <c r="H602" s="99" t="str">
        <f t="shared" si="12"/>
        <v>High</v>
      </c>
    </row>
    <row r="603" spans="3:8" x14ac:dyDescent="0.3">
      <c r="C603" s="99" t="s">
        <v>2287</v>
      </c>
      <c r="F603" s="99" t="s">
        <v>2633</v>
      </c>
      <c r="G603" s="42">
        <v>5</v>
      </c>
      <c r="H603" s="99" t="str">
        <f t="shared" si="12"/>
        <v>High</v>
      </c>
    </row>
    <row r="604" spans="3:8" x14ac:dyDescent="0.3">
      <c r="C604" s="99" t="s">
        <v>2288</v>
      </c>
      <c r="F604" s="99" t="s">
        <v>2634</v>
      </c>
      <c r="G604" s="42">
        <v>2</v>
      </c>
      <c r="H604" s="99" t="str">
        <f t="shared" si="12"/>
        <v>Low</v>
      </c>
    </row>
    <row r="605" spans="3:8" x14ac:dyDescent="0.3">
      <c r="C605" s="99" t="s">
        <v>2288</v>
      </c>
      <c r="F605" s="99" t="s">
        <v>2635</v>
      </c>
      <c r="G605" s="42">
        <v>3</v>
      </c>
      <c r="H605" s="99" t="str">
        <f t="shared" si="12"/>
        <v>High</v>
      </c>
    </row>
    <row r="606" spans="3:8" x14ac:dyDescent="0.3">
      <c r="C606" s="99" t="s">
        <v>2289</v>
      </c>
      <c r="F606" s="99" t="s">
        <v>2636</v>
      </c>
      <c r="G606" s="42">
        <v>2</v>
      </c>
      <c r="H606" s="99" t="str">
        <f t="shared" si="12"/>
        <v>Low</v>
      </c>
    </row>
    <row r="607" spans="3:8" x14ac:dyDescent="0.3">
      <c r="C607" s="99" t="s">
        <v>2290</v>
      </c>
      <c r="F607" s="99" t="s">
        <v>2637</v>
      </c>
      <c r="G607" s="42">
        <v>3</v>
      </c>
      <c r="H607" s="99" t="str">
        <f t="shared" si="12"/>
        <v>High</v>
      </c>
    </row>
    <row r="608" spans="3:8" x14ac:dyDescent="0.3">
      <c r="C608" s="99" t="s">
        <v>2291</v>
      </c>
      <c r="F608" s="99" t="s">
        <v>2638</v>
      </c>
      <c r="G608" s="42">
        <v>1</v>
      </c>
      <c r="H608" s="99" t="str">
        <f t="shared" si="12"/>
        <v>Low</v>
      </c>
    </row>
    <row r="609" spans="3:8" x14ac:dyDescent="0.3">
      <c r="C609" s="99" t="s">
        <v>2291</v>
      </c>
      <c r="F609" s="99" t="s">
        <v>2639</v>
      </c>
      <c r="G609" s="42">
        <v>1</v>
      </c>
      <c r="H609" s="99" t="str">
        <f t="shared" si="12"/>
        <v>Low</v>
      </c>
    </row>
    <row r="610" spans="3:8" x14ac:dyDescent="0.3">
      <c r="C610" s="99" t="s">
        <v>2291</v>
      </c>
      <c r="F610" s="99" t="s">
        <v>2640</v>
      </c>
      <c r="G610" s="42">
        <v>1</v>
      </c>
      <c r="H610" s="99" t="str">
        <f t="shared" si="12"/>
        <v>Low</v>
      </c>
    </row>
    <row r="611" spans="3:8" x14ac:dyDescent="0.3">
      <c r="C611" s="99" t="s">
        <v>2291</v>
      </c>
      <c r="F611" s="99" t="s">
        <v>2641</v>
      </c>
      <c r="G611" s="42">
        <v>4</v>
      </c>
      <c r="H611" s="99" t="str">
        <f t="shared" si="12"/>
        <v>High</v>
      </c>
    </row>
    <row r="612" spans="3:8" x14ac:dyDescent="0.3">
      <c r="C612" s="99" t="s">
        <v>2291</v>
      </c>
      <c r="F612" s="99" t="s">
        <v>2642</v>
      </c>
      <c r="G612" s="42">
        <v>1</v>
      </c>
      <c r="H612" s="99" t="str">
        <f t="shared" si="12"/>
        <v>Low</v>
      </c>
    </row>
    <row r="613" spans="3:8" x14ac:dyDescent="0.3">
      <c r="C613" s="99" t="s">
        <v>2292</v>
      </c>
      <c r="F613" s="99" t="s">
        <v>2643</v>
      </c>
      <c r="G613" s="42">
        <v>2</v>
      </c>
      <c r="H613" s="99" t="str">
        <f t="shared" si="12"/>
        <v>Low</v>
      </c>
    </row>
    <row r="614" spans="3:8" x14ac:dyDescent="0.3">
      <c r="C614" s="99" t="s">
        <v>2292</v>
      </c>
      <c r="F614" s="99" t="s">
        <v>2644</v>
      </c>
      <c r="G614" s="42">
        <v>2</v>
      </c>
      <c r="H614" s="99" t="str">
        <f t="shared" si="12"/>
        <v>Low</v>
      </c>
    </row>
    <row r="615" spans="3:8" x14ac:dyDescent="0.3">
      <c r="C615" s="99" t="s">
        <v>2292</v>
      </c>
      <c r="F615" s="99" t="s">
        <v>2645</v>
      </c>
      <c r="G615" s="42">
        <v>7</v>
      </c>
      <c r="H615" s="99" t="str">
        <f t="shared" si="12"/>
        <v>High</v>
      </c>
    </row>
    <row r="616" spans="3:8" x14ac:dyDescent="0.3">
      <c r="C616" s="99" t="s">
        <v>2293</v>
      </c>
      <c r="F616" s="99" t="s">
        <v>2646</v>
      </c>
      <c r="G616" s="42">
        <v>4</v>
      </c>
      <c r="H616" s="99" t="str">
        <f t="shared" si="12"/>
        <v>High</v>
      </c>
    </row>
    <row r="617" spans="3:8" x14ac:dyDescent="0.3">
      <c r="C617" s="99" t="s">
        <v>2293</v>
      </c>
      <c r="F617" s="99" t="s">
        <v>2647</v>
      </c>
      <c r="G617" s="42">
        <v>5</v>
      </c>
      <c r="H617" s="99" t="str">
        <f t="shared" si="12"/>
        <v>High</v>
      </c>
    </row>
    <row r="618" spans="3:8" x14ac:dyDescent="0.3">
      <c r="C618" s="99" t="s">
        <v>2293</v>
      </c>
      <c r="F618" s="99" t="s">
        <v>2648</v>
      </c>
      <c r="G618" s="42">
        <v>1</v>
      </c>
      <c r="H618" s="99" t="str">
        <f t="shared" si="12"/>
        <v>Low</v>
      </c>
    </row>
    <row r="619" spans="3:8" x14ac:dyDescent="0.3">
      <c r="C619" s="99" t="s">
        <v>2294</v>
      </c>
      <c r="F619" s="99" t="s">
        <v>2649</v>
      </c>
      <c r="G619" s="42">
        <v>2</v>
      </c>
      <c r="H619" s="99" t="str">
        <f t="shared" si="12"/>
        <v>Low</v>
      </c>
    </row>
    <row r="620" spans="3:8" x14ac:dyDescent="0.3">
      <c r="C620" s="99" t="s">
        <v>2295</v>
      </c>
      <c r="F620" s="99" t="s">
        <v>2650</v>
      </c>
      <c r="G620" s="42">
        <v>5</v>
      </c>
      <c r="H620" s="99" t="str">
        <f t="shared" si="12"/>
        <v>High</v>
      </c>
    </row>
    <row r="621" spans="3:8" x14ac:dyDescent="0.3">
      <c r="C621" s="99" t="s">
        <v>2295</v>
      </c>
      <c r="F621" s="99" t="s">
        <v>2651</v>
      </c>
      <c r="G621" s="42">
        <v>3</v>
      </c>
      <c r="H621" s="99" t="str">
        <f t="shared" si="12"/>
        <v>High</v>
      </c>
    </row>
    <row r="622" spans="3:8" x14ac:dyDescent="0.3">
      <c r="C622" s="99" t="s">
        <v>2296</v>
      </c>
      <c r="F622" s="99" t="s">
        <v>2652</v>
      </c>
      <c r="G622" s="42">
        <v>2</v>
      </c>
      <c r="H622" s="99" t="str">
        <f t="shared" si="12"/>
        <v>Low</v>
      </c>
    </row>
    <row r="623" spans="3:8" x14ac:dyDescent="0.3">
      <c r="C623" s="99" t="s">
        <v>2296</v>
      </c>
      <c r="F623" s="99" t="s">
        <v>2653</v>
      </c>
      <c r="G623" s="42">
        <v>1</v>
      </c>
      <c r="H623" s="99" t="str">
        <f t="shared" si="12"/>
        <v>Low</v>
      </c>
    </row>
    <row r="624" spans="3:8" x14ac:dyDescent="0.3">
      <c r="C624" s="99" t="s">
        <v>2296</v>
      </c>
      <c r="F624" s="99" t="s">
        <v>2654</v>
      </c>
      <c r="G624" s="42">
        <v>1</v>
      </c>
      <c r="H624" s="99" t="str">
        <f t="shared" si="12"/>
        <v>Low</v>
      </c>
    </row>
    <row r="625" spans="3:8" x14ac:dyDescent="0.3">
      <c r="C625" s="99" t="s">
        <v>2297</v>
      </c>
      <c r="F625" s="99" t="s">
        <v>2655</v>
      </c>
      <c r="G625" s="42">
        <v>4</v>
      </c>
      <c r="H625" s="99" t="str">
        <f t="shared" si="12"/>
        <v>High</v>
      </c>
    </row>
    <row r="626" spans="3:8" x14ac:dyDescent="0.3">
      <c r="C626" s="99" t="s">
        <v>2297</v>
      </c>
      <c r="F626" s="99" t="s">
        <v>2656</v>
      </c>
      <c r="G626" s="42">
        <v>4</v>
      </c>
      <c r="H626" s="99" t="str">
        <f t="shared" si="12"/>
        <v>High</v>
      </c>
    </row>
    <row r="627" spans="3:8" x14ac:dyDescent="0.3">
      <c r="C627" s="99" t="s">
        <v>2297</v>
      </c>
      <c r="F627" s="99" t="s">
        <v>2657</v>
      </c>
      <c r="G627" s="42">
        <v>5</v>
      </c>
      <c r="H627" s="99" t="str">
        <f t="shared" si="12"/>
        <v>High</v>
      </c>
    </row>
    <row r="628" spans="3:8" x14ac:dyDescent="0.3">
      <c r="C628" s="99" t="s">
        <v>2298</v>
      </c>
      <c r="F628" s="99" t="s">
        <v>2658</v>
      </c>
      <c r="G628" s="42">
        <v>1</v>
      </c>
      <c r="H628" s="99" t="str">
        <f t="shared" si="12"/>
        <v>Low</v>
      </c>
    </row>
    <row r="629" spans="3:8" x14ac:dyDescent="0.3">
      <c r="C629" s="99" t="s">
        <v>2298</v>
      </c>
      <c r="F629" s="99" t="s">
        <v>2659</v>
      </c>
      <c r="G629" s="42">
        <v>1</v>
      </c>
      <c r="H629" s="99" t="str">
        <f t="shared" si="12"/>
        <v>Low</v>
      </c>
    </row>
    <row r="630" spans="3:8" x14ac:dyDescent="0.3">
      <c r="C630" s="99" t="s">
        <v>2299</v>
      </c>
      <c r="F630" s="99" t="s">
        <v>2660</v>
      </c>
      <c r="G630" s="42">
        <v>4</v>
      </c>
      <c r="H630" s="99" t="str">
        <f t="shared" si="12"/>
        <v>High</v>
      </c>
    </row>
    <row r="631" spans="3:8" x14ac:dyDescent="0.3">
      <c r="C631" s="99" t="s">
        <v>2299</v>
      </c>
      <c r="F631" s="99" t="s">
        <v>2661</v>
      </c>
      <c r="G631" s="42">
        <v>2</v>
      </c>
      <c r="H631" s="99" t="str">
        <f t="shared" si="12"/>
        <v>Low</v>
      </c>
    </row>
    <row r="632" spans="3:8" x14ac:dyDescent="0.3">
      <c r="C632" s="99" t="s">
        <v>2299</v>
      </c>
      <c r="F632" s="99" t="s">
        <v>2662</v>
      </c>
      <c r="G632" s="42">
        <v>5</v>
      </c>
      <c r="H632" s="99" t="str">
        <f t="shared" si="12"/>
        <v>High</v>
      </c>
    </row>
    <row r="633" spans="3:8" x14ac:dyDescent="0.3">
      <c r="C633" s="99" t="s">
        <v>2299</v>
      </c>
      <c r="F633" s="99" t="s">
        <v>2663</v>
      </c>
      <c r="G633" s="42">
        <v>4</v>
      </c>
      <c r="H633" s="99" t="str">
        <f t="shared" si="12"/>
        <v>High</v>
      </c>
    </row>
    <row r="634" spans="3:8" x14ac:dyDescent="0.3">
      <c r="C634" s="99" t="s">
        <v>2299</v>
      </c>
      <c r="F634" s="99" t="s">
        <v>2664</v>
      </c>
      <c r="G634" s="42">
        <v>1</v>
      </c>
      <c r="H634" s="99" t="str">
        <f t="shared" si="12"/>
        <v>Low</v>
      </c>
    </row>
    <row r="635" spans="3:8" x14ac:dyDescent="0.3">
      <c r="C635" s="99" t="s">
        <v>2299</v>
      </c>
      <c r="F635" s="99" t="s">
        <v>2665</v>
      </c>
      <c r="G635" s="42">
        <v>4</v>
      </c>
      <c r="H635" s="99" t="str">
        <f t="shared" si="12"/>
        <v>High</v>
      </c>
    </row>
    <row r="636" spans="3:8" x14ac:dyDescent="0.3">
      <c r="C636" s="99" t="s">
        <v>2300</v>
      </c>
      <c r="F636" s="99" t="s">
        <v>2666</v>
      </c>
      <c r="G636" s="42">
        <v>1</v>
      </c>
      <c r="H636" s="99" t="str">
        <f t="shared" si="12"/>
        <v>Low</v>
      </c>
    </row>
    <row r="637" spans="3:8" x14ac:dyDescent="0.3">
      <c r="C637" s="99" t="s">
        <v>2300</v>
      </c>
      <c r="F637" s="99" t="s">
        <v>2667</v>
      </c>
      <c r="G637" s="42">
        <v>3</v>
      </c>
      <c r="H637" s="99" t="str">
        <f t="shared" si="12"/>
        <v>High</v>
      </c>
    </row>
    <row r="638" spans="3:8" x14ac:dyDescent="0.3">
      <c r="C638" s="99" t="s">
        <v>2301</v>
      </c>
      <c r="F638" s="99" t="s">
        <v>2668</v>
      </c>
      <c r="G638" s="42">
        <v>6</v>
      </c>
      <c r="H638" s="99" t="str">
        <f t="shared" si="12"/>
        <v>High</v>
      </c>
    </row>
    <row r="639" spans="3:8" x14ac:dyDescent="0.3">
      <c r="C639" s="99" t="s">
        <v>2301</v>
      </c>
      <c r="F639" s="99" t="s">
        <v>2669</v>
      </c>
      <c r="G639" s="42">
        <v>6</v>
      </c>
      <c r="H639" s="99" t="str">
        <f t="shared" si="12"/>
        <v>High</v>
      </c>
    </row>
    <row r="640" spans="3:8" x14ac:dyDescent="0.3">
      <c r="C640" s="99" t="s">
        <v>2301</v>
      </c>
      <c r="F640" s="99" t="s">
        <v>2670</v>
      </c>
      <c r="G640" s="42">
        <v>2</v>
      </c>
      <c r="H640" s="99" t="str">
        <f t="shared" si="12"/>
        <v>Low</v>
      </c>
    </row>
    <row r="641" spans="3:8" x14ac:dyDescent="0.3">
      <c r="C641" s="99" t="s">
        <v>2301</v>
      </c>
      <c r="F641" s="99" t="s">
        <v>2671</v>
      </c>
      <c r="G641" s="42">
        <v>1</v>
      </c>
      <c r="H641" s="99" t="str">
        <f t="shared" si="12"/>
        <v>Low</v>
      </c>
    </row>
    <row r="642" spans="3:8" x14ac:dyDescent="0.3">
      <c r="C642" s="99" t="s">
        <v>2301</v>
      </c>
      <c r="F642" s="99" t="s">
        <v>2672</v>
      </c>
      <c r="G642" s="42">
        <v>1</v>
      </c>
      <c r="H642" s="99" t="str">
        <f t="shared" si="12"/>
        <v>Low</v>
      </c>
    </row>
    <row r="643" spans="3:8" x14ac:dyDescent="0.3">
      <c r="C643" s="99" t="s">
        <v>2301</v>
      </c>
      <c r="F643" s="99" t="s">
        <v>2673</v>
      </c>
      <c r="G643" s="42">
        <v>9</v>
      </c>
      <c r="H643" s="99" t="str">
        <f t="shared" si="12"/>
        <v>High</v>
      </c>
    </row>
    <row r="644" spans="3:8" x14ac:dyDescent="0.3">
      <c r="C644" s="99" t="s">
        <v>2302</v>
      </c>
      <c r="F644" s="99" t="s">
        <v>2674</v>
      </c>
      <c r="G644" s="42">
        <v>1</v>
      </c>
      <c r="H644" s="99" t="str">
        <f t="shared" si="12"/>
        <v>Low</v>
      </c>
    </row>
    <row r="645" spans="3:8" x14ac:dyDescent="0.3">
      <c r="C645" s="99" t="s">
        <v>2302</v>
      </c>
      <c r="F645" s="99" t="s">
        <v>2675</v>
      </c>
      <c r="G645" s="42">
        <v>1</v>
      </c>
      <c r="H645" s="99" t="str">
        <f t="shared" si="12"/>
        <v>Low</v>
      </c>
    </row>
    <row r="646" spans="3:8" x14ac:dyDescent="0.3">
      <c r="C646" s="99" t="s">
        <v>2302</v>
      </c>
      <c r="F646" s="99" t="s">
        <v>2676</v>
      </c>
      <c r="G646" s="42">
        <v>2</v>
      </c>
      <c r="H646" s="99" t="str">
        <f t="shared" si="12"/>
        <v>Low</v>
      </c>
    </row>
    <row r="647" spans="3:8" x14ac:dyDescent="0.3">
      <c r="C647" s="99" t="s">
        <v>2302</v>
      </c>
      <c r="F647" s="99" t="s">
        <v>2677</v>
      </c>
      <c r="G647" s="42">
        <v>1</v>
      </c>
      <c r="H647" s="99" t="str">
        <f t="shared" ref="H647:H710" si="13">IF(G647&gt;=frequency_threshold,"High","Low")</f>
        <v>Low</v>
      </c>
    </row>
    <row r="648" spans="3:8" x14ac:dyDescent="0.3">
      <c r="C648" s="99" t="s">
        <v>2303</v>
      </c>
      <c r="F648" s="99" t="s">
        <v>2678</v>
      </c>
      <c r="G648" s="42">
        <v>1</v>
      </c>
      <c r="H648" s="99" t="str">
        <f t="shared" si="13"/>
        <v>Low</v>
      </c>
    </row>
    <row r="649" spans="3:8" x14ac:dyDescent="0.3">
      <c r="C649" s="99" t="s">
        <v>2303</v>
      </c>
      <c r="F649" s="99" t="s">
        <v>2679</v>
      </c>
      <c r="G649" s="42">
        <v>3</v>
      </c>
      <c r="H649" s="99" t="str">
        <f t="shared" si="13"/>
        <v>High</v>
      </c>
    </row>
    <row r="650" spans="3:8" x14ac:dyDescent="0.3">
      <c r="C650" s="99" t="s">
        <v>2303</v>
      </c>
      <c r="F650" s="99" t="s">
        <v>2680</v>
      </c>
      <c r="G650" s="42">
        <v>1</v>
      </c>
      <c r="H650" s="99" t="str">
        <f t="shared" si="13"/>
        <v>Low</v>
      </c>
    </row>
    <row r="651" spans="3:8" x14ac:dyDescent="0.3">
      <c r="C651" s="99" t="s">
        <v>2304</v>
      </c>
      <c r="F651" s="99" t="s">
        <v>2681</v>
      </c>
      <c r="G651" s="42">
        <v>2</v>
      </c>
      <c r="H651" s="99" t="str">
        <f t="shared" si="13"/>
        <v>Low</v>
      </c>
    </row>
    <row r="652" spans="3:8" x14ac:dyDescent="0.3">
      <c r="C652" s="99" t="s">
        <v>2304</v>
      </c>
      <c r="F652" s="99" t="s">
        <v>2682</v>
      </c>
      <c r="G652" s="42">
        <v>2</v>
      </c>
      <c r="H652" s="99" t="str">
        <f t="shared" si="13"/>
        <v>Low</v>
      </c>
    </row>
    <row r="653" spans="3:8" x14ac:dyDescent="0.3">
      <c r="C653" s="99" t="s">
        <v>2305</v>
      </c>
      <c r="F653" s="99" t="s">
        <v>2683</v>
      </c>
      <c r="G653" s="42">
        <v>1</v>
      </c>
      <c r="H653" s="99" t="str">
        <f t="shared" si="13"/>
        <v>Low</v>
      </c>
    </row>
    <row r="654" spans="3:8" x14ac:dyDescent="0.3">
      <c r="C654" s="99" t="s">
        <v>2305</v>
      </c>
      <c r="F654" s="99" t="s">
        <v>2684</v>
      </c>
      <c r="G654" s="42">
        <v>7</v>
      </c>
      <c r="H654" s="99" t="str">
        <f t="shared" si="13"/>
        <v>High</v>
      </c>
    </row>
    <row r="655" spans="3:8" x14ac:dyDescent="0.3">
      <c r="C655" s="99" t="s">
        <v>2305</v>
      </c>
      <c r="F655" s="99" t="s">
        <v>2685</v>
      </c>
      <c r="G655" s="42">
        <v>7</v>
      </c>
      <c r="H655" s="99" t="str">
        <f t="shared" si="13"/>
        <v>High</v>
      </c>
    </row>
    <row r="656" spans="3:8" x14ac:dyDescent="0.3">
      <c r="C656" s="99" t="s">
        <v>2306</v>
      </c>
      <c r="F656" s="99" t="s">
        <v>2686</v>
      </c>
      <c r="G656" s="42">
        <v>8</v>
      </c>
      <c r="H656" s="99" t="str">
        <f t="shared" si="13"/>
        <v>High</v>
      </c>
    </row>
    <row r="657" spans="3:8" x14ac:dyDescent="0.3">
      <c r="C657" s="99" t="s">
        <v>2307</v>
      </c>
      <c r="F657" s="99" t="s">
        <v>2687</v>
      </c>
      <c r="G657" s="42">
        <v>1</v>
      </c>
      <c r="H657" s="99" t="str">
        <f t="shared" si="13"/>
        <v>Low</v>
      </c>
    </row>
    <row r="658" spans="3:8" x14ac:dyDescent="0.3">
      <c r="C658" s="99" t="s">
        <v>2307</v>
      </c>
      <c r="F658" s="99" t="s">
        <v>2688</v>
      </c>
      <c r="G658" s="42">
        <v>7</v>
      </c>
      <c r="H658" s="99" t="str">
        <f t="shared" si="13"/>
        <v>High</v>
      </c>
    </row>
    <row r="659" spans="3:8" x14ac:dyDescent="0.3">
      <c r="C659" s="99" t="s">
        <v>2308</v>
      </c>
      <c r="F659" s="99" t="s">
        <v>2689</v>
      </c>
      <c r="G659" s="42">
        <v>1</v>
      </c>
      <c r="H659" s="99" t="str">
        <f t="shared" si="13"/>
        <v>Low</v>
      </c>
    </row>
    <row r="660" spans="3:8" x14ac:dyDescent="0.3">
      <c r="C660" s="99" t="s">
        <v>2309</v>
      </c>
      <c r="F660" s="99" t="s">
        <v>2690</v>
      </c>
      <c r="G660" s="42">
        <v>4</v>
      </c>
      <c r="H660" s="99" t="str">
        <f t="shared" si="13"/>
        <v>High</v>
      </c>
    </row>
    <row r="661" spans="3:8" x14ac:dyDescent="0.3">
      <c r="C661" s="99" t="s">
        <v>2309</v>
      </c>
      <c r="F661" s="99" t="s">
        <v>2691</v>
      </c>
      <c r="G661" s="42">
        <v>2</v>
      </c>
      <c r="H661" s="99" t="str">
        <f t="shared" si="13"/>
        <v>Low</v>
      </c>
    </row>
    <row r="662" spans="3:8" x14ac:dyDescent="0.3">
      <c r="C662" s="99" t="s">
        <v>2309</v>
      </c>
      <c r="F662" s="99" t="s">
        <v>2692</v>
      </c>
      <c r="G662" s="42">
        <v>1</v>
      </c>
      <c r="H662" s="99" t="str">
        <f t="shared" si="13"/>
        <v>Low</v>
      </c>
    </row>
    <row r="663" spans="3:8" x14ac:dyDescent="0.3">
      <c r="C663" s="99" t="s">
        <v>2309</v>
      </c>
      <c r="F663" s="99" t="s">
        <v>2693</v>
      </c>
      <c r="G663" s="42">
        <v>4</v>
      </c>
      <c r="H663" s="99" t="str">
        <f t="shared" si="13"/>
        <v>High</v>
      </c>
    </row>
    <row r="664" spans="3:8" x14ac:dyDescent="0.3">
      <c r="C664" s="99" t="s">
        <v>2310</v>
      </c>
      <c r="F664" s="99" t="s">
        <v>2694</v>
      </c>
      <c r="G664" s="42">
        <v>1</v>
      </c>
      <c r="H664" s="99" t="str">
        <f t="shared" si="13"/>
        <v>Low</v>
      </c>
    </row>
    <row r="665" spans="3:8" x14ac:dyDescent="0.3">
      <c r="C665" s="99" t="s">
        <v>2310</v>
      </c>
      <c r="F665" s="99" t="s">
        <v>2695</v>
      </c>
      <c r="G665" s="42">
        <v>7</v>
      </c>
      <c r="H665" s="99" t="str">
        <f t="shared" si="13"/>
        <v>High</v>
      </c>
    </row>
    <row r="666" spans="3:8" x14ac:dyDescent="0.3">
      <c r="C666" s="99" t="s">
        <v>2310</v>
      </c>
      <c r="F666" s="99" t="s">
        <v>2696</v>
      </c>
      <c r="G666" s="42">
        <v>3</v>
      </c>
      <c r="H666" s="99" t="str">
        <f t="shared" si="13"/>
        <v>High</v>
      </c>
    </row>
    <row r="667" spans="3:8" x14ac:dyDescent="0.3">
      <c r="C667" s="99" t="s">
        <v>2311</v>
      </c>
      <c r="F667" s="99" t="s">
        <v>2697</v>
      </c>
      <c r="G667" s="42">
        <v>1</v>
      </c>
      <c r="H667" s="99" t="str">
        <f t="shared" si="13"/>
        <v>Low</v>
      </c>
    </row>
    <row r="668" spans="3:8" x14ac:dyDescent="0.3">
      <c r="C668" s="99" t="s">
        <v>2311</v>
      </c>
      <c r="F668" s="99" t="s">
        <v>2698</v>
      </c>
      <c r="G668" s="42">
        <v>2</v>
      </c>
      <c r="H668" s="99" t="str">
        <f t="shared" si="13"/>
        <v>Low</v>
      </c>
    </row>
    <row r="669" spans="3:8" x14ac:dyDescent="0.3">
      <c r="C669" s="99" t="s">
        <v>2312</v>
      </c>
      <c r="F669" s="99" t="s">
        <v>2699</v>
      </c>
      <c r="G669" s="42">
        <v>2</v>
      </c>
      <c r="H669" s="99" t="str">
        <f t="shared" si="13"/>
        <v>Low</v>
      </c>
    </row>
    <row r="670" spans="3:8" x14ac:dyDescent="0.3">
      <c r="C670" s="99" t="s">
        <v>2312</v>
      </c>
      <c r="F670" s="99" t="s">
        <v>2700</v>
      </c>
      <c r="G670" s="42">
        <v>1</v>
      </c>
      <c r="H670" s="99" t="str">
        <f t="shared" si="13"/>
        <v>Low</v>
      </c>
    </row>
    <row r="671" spans="3:8" x14ac:dyDescent="0.3">
      <c r="C671" s="99" t="s">
        <v>2312</v>
      </c>
      <c r="F671" s="99" t="s">
        <v>2701</v>
      </c>
      <c r="G671" s="42">
        <v>2</v>
      </c>
      <c r="H671" s="99" t="str">
        <f t="shared" si="13"/>
        <v>Low</v>
      </c>
    </row>
    <row r="672" spans="3:8" x14ac:dyDescent="0.3">
      <c r="C672" s="99" t="s">
        <v>2312</v>
      </c>
      <c r="F672" s="99" t="s">
        <v>2702</v>
      </c>
      <c r="G672" s="42">
        <v>1</v>
      </c>
      <c r="H672" s="99" t="str">
        <f t="shared" si="13"/>
        <v>Low</v>
      </c>
    </row>
    <row r="673" spans="3:8" x14ac:dyDescent="0.3">
      <c r="C673" s="99" t="s">
        <v>2312</v>
      </c>
      <c r="F673" s="99" t="s">
        <v>2703</v>
      </c>
      <c r="G673" s="42">
        <v>3</v>
      </c>
      <c r="H673" s="99" t="str">
        <f t="shared" si="13"/>
        <v>High</v>
      </c>
    </row>
    <row r="674" spans="3:8" x14ac:dyDescent="0.3">
      <c r="C674" s="99" t="s">
        <v>2313</v>
      </c>
      <c r="F674" s="99" t="s">
        <v>2704</v>
      </c>
      <c r="G674" s="42">
        <v>2</v>
      </c>
      <c r="H674" s="99" t="str">
        <f t="shared" si="13"/>
        <v>Low</v>
      </c>
    </row>
    <row r="675" spans="3:8" x14ac:dyDescent="0.3">
      <c r="C675" s="99" t="s">
        <v>2314</v>
      </c>
      <c r="F675" s="99" t="s">
        <v>2705</v>
      </c>
      <c r="G675" s="42">
        <v>3</v>
      </c>
      <c r="H675" s="99" t="str">
        <f t="shared" si="13"/>
        <v>High</v>
      </c>
    </row>
    <row r="676" spans="3:8" x14ac:dyDescent="0.3">
      <c r="C676" s="99" t="s">
        <v>2314</v>
      </c>
      <c r="F676" s="99" t="s">
        <v>2706</v>
      </c>
      <c r="G676" s="42">
        <v>6</v>
      </c>
      <c r="H676" s="99" t="str">
        <f t="shared" si="13"/>
        <v>High</v>
      </c>
    </row>
    <row r="677" spans="3:8" x14ac:dyDescent="0.3">
      <c r="C677" s="99" t="s">
        <v>2315</v>
      </c>
      <c r="F677" s="99" t="s">
        <v>2707</v>
      </c>
      <c r="G677" s="42">
        <v>1</v>
      </c>
      <c r="H677" s="99" t="str">
        <f t="shared" si="13"/>
        <v>Low</v>
      </c>
    </row>
    <row r="678" spans="3:8" x14ac:dyDescent="0.3">
      <c r="C678" s="99" t="s">
        <v>2316</v>
      </c>
      <c r="F678" s="99" t="s">
        <v>2708</v>
      </c>
      <c r="G678" s="42">
        <v>2</v>
      </c>
      <c r="H678" s="99" t="str">
        <f t="shared" si="13"/>
        <v>Low</v>
      </c>
    </row>
    <row r="679" spans="3:8" x14ac:dyDescent="0.3">
      <c r="C679" s="99" t="s">
        <v>2316</v>
      </c>
      <c r="F679" s="99" t="s">
        <v>2709</v>
      </c>
      <c r="G679" s="42">
        <v>1</v>
      </c>
      <c r="H679" s="99" t="str">
        <f t="shared" si="13"/>
        <v>Low</v>
      </c>
    </row>
    <row r="680" spans="3:8" x14ac:dyDescent="0.3">
      <c r="C680" s="99" t="s">
        <v>2317</v>
      </c>
      <c r="F680" s="99" t="s">
        <v>2710</v>
      </c>
      <c r="G680" s="42">
        <v>2</v>
      </c>
      <c r="H680" s="99" t="str">
        <f t="shared" si="13"/>
        <v>Low</v>
      </c>
    </row>
    <row r="681" spans="3:8" x14ac:dyDescent="0.3">
      <c r="C681" s="99" t="s">
        <v>2318</v>
      </c>
      <c r="F681" s="99" t="s">
        <v>2711</v>
      </c>
      <c r="G681" s="42">
        <v>2</v>
      </c>
      <c r="H681" s="99" t="str">
        <f t="shared" si="13"/>
        <v>Low</v>
      </c>
    </row>
    <row r="682" spans="3:8" x14ac:dyDescent="0.3">
      <c r="C682" s="99" t="s">
        <v>2318</v>
      </c>
      <c r="F682" s="99" t="s">
        <v>2712</v>
      </c>
      <c r="G682" s="42">
        <v>3</v>
      </c>
      <c r="H682" s="99" t="str">
        <f t="shared" si="13"/>
        <v>High</v>
      </c>
    </row>
    <row r="683" spans="3:8" x14ac:dyDescent="0.3">
      <c r="C683" s="99" t="s">
        <v>2319</v>
      </c>
      <c r="F683" s="99" t="s">
        <v>2713</v>
      </c>
      <c r="G683" s="42">
        <v>1</v>
      </c>
      <c r="H683" s="99" t="str">
        <f t="shared" si="13"/>
        <v>Low</v>
      </c>
    </row>
    <row r="684" spans="3:8" x14ac:dyDescent="0.3">
      <c r="C684" s="99" t="s">
        <v>2319</v>
      </c>
      <c r="F684" s="99" t="s">
        <v>2714</v>
      </c>
      <c r="G684" s="42">
        <v>3</v>
      </c>
      <c r="H684" s="99" t="str">
        <f t="shared" si="13"/>
        <v>High</v>
      </c>
    </row>
    <row r="685" spans="3:8" x14ac:dyDescent="0.3">
      <c r="C685" s="99" t="s">
        <v>2319</v>
      </c>
      <c r="F685" s="99" t="s">
        <v>2715</v>
      </c>
      <c r="G685" s="42">
        <v>2</v>
      </c>
      <c r="H685" s="99" t="str">
        <f t="shared" si="13"/>
        <v>Low</v>
      </c>
    </row>
    <row r="686" spans="3:8" x14ac:dyDescent="0.3">
      <c r="C686" s="99" t="s">
        <v>2320</v>
      </c>
      <c r="F686" s="99" t="s">
        <v>2716</v>
      </c>
      <c r="G686" s="42">
        <v>3</v>
      </c>
      <c r="H686" s="99" t="str">
        <f t="shared" si="13"/>
        <v>High</v>
      </c>
    </row>
    <row r="687" spans="3:8" x14ac:dyDescent="0.3">
      <c r="C687" s="99" t="s">
        <v>2320</v>
      </c>
      <c r="F687" s="99" t="s">
        <v>2717</v>
      </c>
      <c r="G687" s="42">
        <v>3</v>
      </c>
      <c r="H687" s="99" t="str">
        <f t="shared" si="13"/>
        <v>High</v>
      </c>
    </row>
    <row r="688" spans="3:8" x14ac:dyDescent="0.3">
      <c r="C688" s="99" t="s">
        <v>2321</v>
      </c>
      <c r="F688" s="99" t="s">
        <v>2718</v>
      </c>
      <c r="G688" s="42">
        <v>1</v>
      </c>
      <c r="H688" s="99" t="str">
        <f t="shared" si="13"/>
        <v>Low</v>
      </c>
    </row>
    <row r="689" spans="3:8" x14ac:dyDescent="0.3">
      <c r="C689" s="99" t="s">
        <v>2322</v>
      </c>
      <c r="F689" s="99" t="s">
        <v>2719</v>
      </c>
      <c r="G689" s="42">
        <v>4</v>
      </c>
      <c r="H689" s="99" t="str">
        <f t="shared" si="13"/>
        <v>High</v>
      </c>
    </row>
    <row r="690" spans="3:8" x14ac:dyDescent="0.3">
      <c r="C690" s="99" t="s">
        <v>2323</v>
      </c>
      <c r="F690" s="99" t="s">
        <v>2720</v>
      </c>
      <c r="G690" s="42">
        <v>3</v>
      </c>
      <c r="H690" s="99" t="str">
        <f t="shared" si="13"/>
        <v>High</v>
      </c>
    </row>
    <row r="691" spans="3:8" x14ac:dyDescent="0.3">
      <c r="C691" s="99" t="s">
        <v>2323</v>
      </c>
      <c r="F691" s="99" t="s">
        <v>2721</v>
      </c>
      <c r="G691" s="42">
        <v>4</v>
      </c>
      <c r="H691" s="99" t="str">
        <f t="shared" si="13"/>
        <v>High</v>
      </c>
    </row>
    <row r="692" spans="3:8" x14ac:dyDescent="0.3">
      <c r="C692" s="99" t="s">
        <v>2323</v>
      </c>
      <c r="F692" s="99" t="s">
        <v>2722</v>
      </c>
      <c r="G692" s="42">
        <v>3</v>
      </c>
      <c r="H692" s="99" t="str">
        <f t="shared" si="13"/>
        <v>High</v>
      </c>
    </row>
    <row r="693" spans="3:8" x14ac:dyDescent="0.3">
      <c r="C693" s="99" t="s">
        <v>2324</v>
      </c>
      <c r="F693" s="99" t="s">
        <v>2723</v>
      </c>
      <c r="G693" s="42">
        <v>3</v>
      </c>
      <c r="H693" s="99" t="str">
        <f t="shared" si="13"/>
        <v>High</v>
      </c>
    </row>
    <row r="694" spans="3:8" x14ac:dyDescent="0.3">
      <c r="C694" s="99" t="s">
        <v>2325</v>
      </c>
      <c r="F694" s="99" t="s">
        <v>2724</v>
      </c>
      <c r="G694" s="42">
        <v>3</v>
      </c>
      <c r="H694" s="99" t="str">
        <f t="shared" si="13"/>
        <v>High</v>
      </c>
    </row>
    <row r="695" spans="3:8" x14ac:dyDescent="0.3">
      <c r="C695" s="99" t="s">
        <v>2325</v>
      </c>
      <c r="F695" s="99" t="s">
        <v>2725</v>
      </c>
      <c r="G695" s="42">
        <v>1</v>
      </c>
      <c r="H695" s="99" t="str">
        <f t="shared" si="13"/>
        <v>Low</v>
      </c>
    </row>
    <row r="696" spans="3:8" x14ac:dyDescent="0.3">
      <c r="C696" s="99" t="s">
        <v>2325</v>
      </c>
      <c r="F696" s="99" t="s">
        <v>2726</v>
      </c>
      <c r="G696" s="42">
        <v>1</v>
      </c>
      <c r="H696" s="99" t="str">
        <f t="shared" si="13"/>
        <v>Low</v>
      </c>
    </row>
    <row r="697" spans="3:8" x14ac:dyDescent="0.3">
      <c r="C697" s="99" t="s">
        <v>2326</v>
      </c>
      <c r="F697" s="99" t="s">
        <v>2727</v>
      </c>
      <c r="G697" s="42">
        <v>3</v>
      </c>
      <c r="H697" s="99" t="str">
        <f t="shared" si="13"/>
        <v>High</v>
      </c>
    </row>
    <row r="698" spans="3:8" x14ac:dyDescent="0.3">
      <c r="C698" s="99" t="s">
        <v>2326</v>
      </c>
      <c r="F698" s="99" t="s">
        <v>2728</v>
      </c>
      <c r="G698" s="42">
        <v>4</v>
      </c>
      <c r="H698" s="99" t="str">
        <f t="shared" si="13"/>
        <v>High</v>
      </c>
    </row>
    <row r="699" spans="3:8" x14ac:dyDescent="0.3">
      <c r="C699" s="99" t="s">
        <v>2326</v>
      </c>
      <c r="F699" s="99" t="s">
        <v>2729</v>
      </c>
      <c r="G699" s="42">
        <v>2</v>
      </c>
      <c r="H699" s="99" t="str">
        <f t="shared" si="13"/>
        <v>Low</v>
      </c>
    </row>
    <row r="700" spans="3:8" x14ac:dyDescent="0.3">
      <c r="C700" s="99" t="s">
        <v>2327</v>
      </c>
      <c r="F700" s="99" t="s">
        <v>2730</v>
      </c>
      <c r="G700" s="42">
        <v>1</v>
      </c>
      <c r="H700" s="99" t="str">
        <f t="shared" si="13"/>
        <v>Low</v>
      </c>
    </row>
    <row r="701" spans="3:8" x14ac:dyDescent="0.3">
      <c r="C701" s="99" t="s">
        <v>2327</v>
      </c>
      <c r="F701" s="99" t="s">
        <v>2731</v>
      </c>
      <c r="G701" s="42">
        <v>4</v>
      </c>
      <c r="H701" s="99" t="str">
        <f t="shared" si="13"/>
        <v>High</v>
      </c>
    </row>
    <row r="702" spans="3:8" x14ac:dyDescent="0.3">
      <c r="C702" s="99" t="s">
        <v>2327</v>
      </c>
      <c r="F702" s="99" t="s">
        <v>2732</v>
      </c>
      <c r="G702" s="42">
        <v>2</v>
      </c>
      <c r="H702" s="99" t="str">
        <f t="shared" si="13"/>
        <v>Low</v>
      </c>
    </row>
    <row r="703" spans="3:8" x14ac:dyDescent="0.3">
      <c r="C703" s="99" t="s">
        <v>2327</v>
      </c>
      <c r="F703" s="99" t="s">
        <v>2733</v>
      </c>
      <c r="G703" s="42">
        <v>2</v>
      </c>
      <c r="H703" s="99" t="str">
        <f t="shared" si="13"/>
        <v>Low</v>
      </c>
    </row>
    <row r="704" spans="3:8" x14ac:dyDescent="0.3">
      <c r="C704" s="99" t="s">
        <v>2328</v>
      </c>
      <c r="F704" s="99" t="s">
        <v>2734</v>
      </c>
      <c r="G704" s="42">
        <v>1</v>
      </c>
      <c r="H704" s="99" t="str">
        <f t="shared" si="13"/>
        <v>Low</v>
      </c>
    </row>
    <row r="705" spans="3:8" x14ac:dyDescent="0.3">
      <c r="C705" s="99" t="s">
        <v>2328</v>
      </c>
      <c r="F705" s="99" t="s">
        <v>2735</v>
      </c>
      <c r="G705" s="42">
        <v>1</v>
      </c>
      <c r="H705" s="99" t="str">
        <f t="shared" si="13"/>
        <v>Low</v>
      </c>
    </row>
    <row r="706" spans="3:8" x14ac:dyDescent="0.3">
      <c r="C706" s="99" t="s">
        <v>2328</v>
      </c>
      <c r="F706" s="99" t="s">
        <v>2736</v>
      </c>
      <c r="G706" s="42">
        <v>1</v>
      </c>
      <c r="H706" s="99" t="str">
        <f t="shared" si="13"/>
        <v>Low</v>
      </c>
    </row>
    <row r="707" spans="3:8" x14ac:dyDescent="0.3">
      <c r="C707" s="99" t="s">
        <v>2329</v>
      </c>
      <c r="F707" s="99" t="s">
        <v>2737</v>
      </c>
      <c r="G707" s="42">
        <v>2</v>
      </c>
      <c r="H707" s="99" t="str">
        <f t="shared" si="13"/>
        <v>Low</v>
      </c>
    </row>
    <row r="708" spans="3:8" x14ac:dyDescent="0.3">
      <c r="C708" s="99" t="s">
        <v>2329</v>
      </c>
      <c r="F708" s="99" t="s">
        <v>2738</v>
      </c>
      <c r="G708" s="42">
        <v>6</v>
      </c>
      <c r="H708" s="99" t="str">
        <f t="shared" si="13"/>
        <v>High</v>
      </c>
    </row>
    <row r="709" spans="3:8" x14ac:dyDescent="0.3">
      <c r="C709" s="99" t="s">
        <v>2330</v>
      </c>
      <c r="F709" s="99" t="s">
        <v>2739</v>
      </c>
      <c r="G709" s="42">
        <v>4</v>
      </c>
      <c r="H709" s="99" t="str">
        <f t="shared" si="13"/>
        <v>High</v>
      </c>
    </row>
    <row r="710" spans="3:8" x14ac:dyDescent="0.3">
      <c r="C710" s="99" t="s">
        <v>2330</v>
      </c>
      <c r="F710" s="99" t="s">
        <v>2740</v>
      </c>
      <c r="G710" s="42">
        <v>5</v>
      </c>
      <c r="H710" s="99" t="str">
        <f t="shared" si="13"/>
        <v>High</v>
      </c>
    </row>
    <row r="711" spans="3:8" x14ac:dyDescent="0.3">
      <c r="C711" s="99" t="s">
        <v>2330</v>
      </c>
      <c r="F711" s="99" t="s">
        <v>2741</v>
      </c>
      <c r="G711" s="42">
        <v>2</v>
      </c>
      <c r="H711" s="99" t="str">
        <f t="shared" ref="H711:H774" si="14">IF(G711&gt;=frequency_threshold,"High","Low")</f>
        <v>Low</v>
      </c>
    </row>
    <row r="712" spans="3:8" x14ac:dyDescent="0.3">
      <c r="C712" s="99" t="s">
        <v>2331</v>
      </c>
      <c r="F712" s="99" t="s">
        <v>2742</v>
      </c>
      <c r="G712" s="42">
        <v>1</v>
      </c>
      <c r="H712" s="99" t="str">
        <f t="shared" si="14"/>
        <v>Low</v>
      </c>
    </row>
    <row r="713" spans="3:8" x14ac:dyDescent="0.3">
      <c r="C713" s="99" t="s">
        <v>2332</v>
      </c>
      <c r="F713" s="99" t="s">
        <v>2743</v>
      </c>
      <c r="G713" s="42">
        <v>1</v>
      </c>
      <c r="H713" s="99" t="str">
        <f t="shared" si="14"/>
        <v>Low</v>
      </c>
    </row>
    <row r="714" spans="3:8" x14ac:dyDescent="0.3">
      <c r="C714" s="99" t="s">
        <v>2333</v>
      </c>
      <c r="F714" s="99" t="s">
        <v>2744</v>
      </c>
      <c r="G714" s="42">
        <v>3</v>
      </c>
      <c r="H714" s="99" t="str">
        <f t="shared" si="14"/>
        <v>High</v>
      </c>
    </row>
    <row r="715" spans="3:8" x14ac:dyDescent="0.3">
      <c r="C715" s="99" t="s">
        <v>2333</v>
      </c>
      <c r="F715" s="99" t="s">
        <v>2745</v>
      </c>
      <c r="G715" s="42">
        <v>1</v>
      </c>
      <c r="H715" s="99" t="str">
        <f t="shared" si="14"/>
        <v>Low</v>
      </c>
    </row>
    <row r="716" spans="3:8" x14ac:dyDescent="0.3">
      <c r="C716" s="99" t="s">
        <v>2333</v>
      </c>
      <c r="F716" s="99" t="s">
        <v>2746</v>
      </c>
      <c r="G716" s="42">
        <v>4</v>
      </c>
      <c r="H716" s="99" t="str">
        <f t="shared" si="14"/>
        <v>High</v>
      </c>
    </row>
    <row r="717" spans="3:8" x14ac:dyDescent="0.3">
      <c r="C717" s="99" t="s">
        <v>2334</v>
      </c>
      <c r="F717" s="99" t="s">
        <v>2747</v>
      </c>
      <c r="G717" s="42">
        <v>3</v>
      </c>
      <c r="H717" s="99" t="str">
        <f t="shared" si="14"/>
        <v>High</v>
      </c>
    </row>
    <row r="718" spans="3:8" x14ac:dyDescent="0.3">
      <c r="C718" s="99" t="s">
        <v>2334</v>
      </c>
      <c r="F718" s="99" t="s">
        <v>2748</v>
      </c>
      <c r="G718" s="42">
        <v>1</v>
      </c>
      <c r="H718" s="99" t="str">
        <f t="shared" si="14"/>
        <v>Low</v>
      </c>
    </row>
    <row r="719" spans="3:8" x14ac:dyDescent="0.3">
      <c r="C719" s="99" t="s">
        <v>2334</v>
      </c>
      <c r="F719" s="99" t="s">
        <v>2749</v>
      </c>
      <c r="G719" s="42">
        <v>1</v>
      </c>
      <c r="H719" s="99" t="str">
        <f t="shared" si="14"/>
        <v>Low</v>
      </c>
    </row>
    <row r="720" spans="3:8" x14ac:dyDescent="0.3">
      <c r="C720" s="99" t="s">
        <v>2335</v>
      </c>
      <c r="F720" s="99" t="s">
        <v>2750</v>
      </c>
      <c r="G720" s="42">
        <v>4</v>
      </c>
      <c r="H720" s="99" t="str">
        <f t="shared" si="14"/>
        <v>High</v>
      </c>
    </row>
    <row r="721" spans="3:8" x14ac:dyDescent="0.3">
      <c r="C721" s="99" t="s">
        <v>2335</v>
      </c>
      <c r="F721" s="99" t="s">
        <v>2751</v>
      </c>
      <c r="G721" s="42">
        <v>2</v>
      </c>
      <c r="H721" s="99" t="str">
        <f t="shared" si="14"/>
        <v>Low</v>
      </c>
    </row>
    <row r="722" spans="3:8" x14ac:dyDescent="0.3">
      <c r="C722" s="99" t="s">
        <v>2336</v>
      </c>
      <c r="F722" s="99" t="s">
        <v>2752</v>
      </c>
      <c r="G722" s="42">
        <v>2</v>
      </c>
      <c r="H722" s="99" t="str">
        <f t="shared" si="14"/>
        <v>Low</v>
      </c>
    </row>
    <row r="723" spans="3:8" x14ac:dyDescent="0.3">
      <c r="C723" s="99" t="s">
        <v>2337</v>
      </c>
      <c r="F723" s="99" t="s">
        <v>2753</v>
      </c>
      <c r="G723" s="42">
        <v>7</v>
      </c>
      <c r="H723" s="99" t="str">
        <f t="shared" si="14"/>
        <v>High</v>
      </c>
    </row>
    <row r="724" spans="3:8" x14ac:dyDescent="0.3">
      <c r="C724" s="99" t="s">
        <v>2338</v>
      </c>
      <c r="F724" s="99" t="s">
        <v>2754</v>
      </c>
      <c r="G724" s="42">
        <v>5</v>
      </c>
      <c r="H724" s="99" t="str">
        <f t="shared" si="14"/>
        <v>High</v>
      </c>
    </row>
    <row r="725" spans="3:8" x14ac:dyDescent="0.3">
      <c r="C725" s="99" t="s">
        <v>2339</v>
      </c>
      <c r="F725" s="99" t="s">
        <v>2755</v>
      </c>
      <c r="G725" s="42">
        <v>2</v>
      </c>
      <c r="H725" s="99" t="str">
        <f t="shared" si="14"/>
        <v>Low</v>
      </c>
    </row>
    <row r="726" spans="3:8" x14ac:dyDescent="0.3">
      <c r="C726" s="99" t="s">
        <v>2339</v>
      </c>
      <c r="F726" s="99" t="s">
        <v>2756</v>
      </c>
      <c r="G726" s="42">
        <v>3</v>
      </c>
      <c r="H726" s="99" t="str">
        <f t="shared" si="14"/>
        <v>High</v>
      </c>
    </row>
    <row r="727" spans="3:8" x14ac:dyDescent="0.3">
      <c r="C727" s="99" t="s">
        <v>2340</v>
      </c>
      <c r="F727" s="99" t="s">
        <v>2757</v>
      </c>
      <c r="G727" s="42">
        <v>4</v>
      </c>
      <c r="H727" s="99" t="str">
        <f t="shared" si="14"/>
        <v>High</v>
      </c>
    </row>
    <row r="728" spans="3:8" x14ac:dyDescent="0.3">
      <c r="C728" s="99" t="s">
        <v>2341</v>
      </c>
      <c r="F728" s="99" t="s">
        <v>2758</v>
      </c>
      <c r="G728" s="42">
        <v>1</v>
      </c>
      <c r="H728" s="99" t="str">
        <f t="shared" si="14"/>
        <v>Low</v>
      </c>
    </row>
    <row r="729" spans="3:8" x14ac:dyDescent="0.3">
      <c r="C729" s="99" t="s">
        <v>2342</v>
      </c>
      <c r="F729" s="99" t="s">
        <v>2759</v>
      </c>
      <c r="G729" s="42">
        <v>2</v>
      </c>
      <c r="H729" s="99" t="str">
        <f t="shared" si="14"/>
        <v>Low</v>
      </c>
    </row>
    <row r="730" spans="3:8" x14ac:dyDescent="0.3">
      <c r="C730" s="99" t="s">
        <v>2342</v>
      </c>
      <c r="F730" s="99" t="s">
        <v>2760</v>
      </c>
      <c r="G730" s="42">
        <v>3</v>
      </c>
      <c r="H730" s="99" t="str">
        <f t="shared" si="14"/>
        <v>High</v>
      </c>
    </row>
    <row r="731" spans="3:8" x14ac:dyDescent="0.3">
      <c r="C731" s="99" t="s">
        <v>2343</v>
      </c>
      <c r="F731" s="99" t="s">
        <v>2761</v>
      </c>
      <c r="G731" s="42">
        <v>3</v>
      </c>
      <c r="H731" s="99" t="str">
        <f t="shared" si="14"/>
        <v>High</v>
      </c>
    </row>
    <row r="732" spans="3:8" x14ac:dyDescent="0.3">
      <c r="C732" s="99" t="s">
        <v>2343</v>
      </c>
      <c r="F732" s="99" t="s">
        <v>2762</v>
      </c>
      <c r="G732" s="42">
        <v>3</v>
      </c>
      <c r="H732" s="99" t="str">
        <f t="shared" si="14"/>
        <v>High</v>
      </c>
    </row>
    <row r="733" spans="3:8" x14ac:dyDescent="0.3">
      <c r="C733" s="99" t="s">
        <v>2344</v>
      </c>
      <c r="F733" s="99" t="s">
        <v>2763</v>
      </c>
      <c r="G733" s="42">
        <v>5</v>
      </c>
      <c r="H733" s="99" t="str">
        <f t="shared" si="14"/>
        <v>High</v>
      </c>
    </row>
    <row r="734" spans="3:8" x14ac:dyDescent="0.3">
      <c r="C734" s="99" t="s">
        <v>2345</v>
      </c>
      <c r="F734" s="99" t="s">
        <v>2764</v>
      </c>
      <c r="G734" s="42">
        <v>1</v>
      </c>
      <c r="H734" s="99" t="str">
        <f t="shared" si="14"/>
        <v>Low</v>
      </c>
    </row>
    <row r="735" spans="3:8" x14ac:dyDescent="0.3">
      <c r="C735" s="99" t="s">
        <v>2345</v>
      </c>
      <c r="F735" s="99" t="s">
        <v>2765</v>
      </c>
      <c r="G735" s="42">
        <v>2</v>
      </c>
      <c r="H735" s="99" t="str">
        <f t="shared" si="14"/>
        <v>Low</v>
      </c>
    </row>
    <row r="736" spans="3:8" x14ac:dyDescent="0.3">
      <c r="C736" s="99" t="s">
        <v>2345</v>
      </c>
      <c r="F736" s="99" t="s">
        <v>2766</v>
      </c>
      <c r="G736" s="42">
        <v>1</v>
      </c>
      <c r="H736" s="99" t="str">
        <f t="shared" si="14"/>
        <v>Low</v>
      </c>
    </row>
    <row r="737" spans="3:8" x14ac:dyDescent="0.3">
      <c r="C737" s="99" t="s">
        <v>2345</v>
      </c>
      <c r="F737" s="99" t="s">
        <v>2767</v>
      </c>
      <c r="G737" s="42">
        <v>2</v>
      </c>
      <c r="H737" s="99" t="str">
        <f t="shared" si="14"/>
        <v>Low</v>
      </c>
    </row>
    <row r="738" spans="3:8" x14ac:dyDescent="0.3">
      <c r="C738" s="99" t="s">
        <v>2345</v>
      </c>
      <c r="F738" s="99" t="s">
        <v>2768</v>
      </c>
      <c r="G738" s="42">
        <v>2</v>
      </c>
      <c r="H738" s="99" t="str">
        <f t="shared" si="14"/>
        <v>Low</v>
      </c>
    </row>
    <row r="739" spans="3:8" x14ac:dyDescent="0.3">
      <c r="C739" s="99" t="s">
        <v>2345</v>
      </c>
      <c r="F739" s="99" t="s">
        <v>2769</v>
      </c>
      <c r="G739" s="42">
        <v>1</v>
      </c>
      <c r="H739" s="99" t="str">
        <f t="shared" si="14"/>
        <v>Low</v>
      </c>
    </row>
    <row r="740" spans="3:8" x14ac:dyDescent="0.3">
      <c r="C740" s="99" t="s">
        <v>2346</v>
      </c>
      <c r="F740" s="99" t="s">
        <v>2770</v>
      </c>
      <c r="G740" s="42">
        <v>2</v>
      </c>
      <c r="H740" s="99" t="str">
        <f t="shared" si="14"/>
        <v>Low</v>
      </c>
    </row>
    <row r="741" spans="3:8" x14ac:dyDescent="0.3">
      <c r="C741" s="99" t="s">
        <v>2346</v>
      </c>
      <c r="F741" s="99" t="s">
        <v>2771</v>
      </c>
      <c r="G741" s="42">
        <v>1</v>
      </c>
      <c r="H741" s="99" t="str">
        <f t="shared" si="14"/>
        <v>Low</v>
      </c>
    </row>
    <row r="742" spans="3:8" x14ac:dyDescent="0.3">
      <c r="C742" s="99" t="s">
        <v>2346</v>
      </c>
      <c r="F742" s="99" t="s">
        <v>2772</v>
      </c>
      <c r="G742" s="42">
        <v>4</v>
      </c>
      <c r="H742" s="99" t="str">
        <f t="shared" si="14"/>
        <v>High</v>
      </c>
    </row>
    <row r="743" spans="3:8" x14ac:dyDescent="0.3">
      <c r="C743" s="99" t="s">
        <v>2346</v>
      </c>
      <c r="F743" s="99" t="s">
        <v>2773</v>
      </c>
      <c r="G743" s="42">
        <v>4</v>
      </c>
      <c r="H743" s="99" t="str">
        <f t="shared" si="14"/>
        <v>High</v>
      </c>
    </row>
    <row r="744" spans="3:8" x14ac:dyDescent="0.3">
      <c r="C744" s="99" t="s">
        <v>2347</v>
      </c>
      <c r="F744" s="99" t="s">
        <v>2774</v>
      </c>
      <c r="G744" s="42">
        <v>4</v>
      </c>
      <c r="H744" s="99" t="str">
        <f t="shared" si="14"/>
        <v>High</v>
      </c>
    </row>
    <row r="745" spans="3:8" x14ac:dyDescent="0.3">
      <c r="C745" s="99" t="s">
        <v>2347</v>
      </c>
      <c r="F745" s="99" t="s">
        <v>2775</v>
      </c>
      <c r="G745" s="42">
        <v>1</v>
      </c>
      <c r="H745" s="99" t="str">
        <f t="shared" si="14"/>
        <v>Low</v>
      </c>
    </row>
    <row r="746" spans="3:8" x14ac:dyDescent="0.3">
      <c r="C746" s="99" t="s">
        <v>2347</v>
      </c>
      <c r="F746" s="99" t="s">
        <v>2776</v>
      </c>
      <c r="G746" s="42">
        <v>3</v>
      </c>
      <c r="H746" s="99" t="str">
        <f t="shared" si="14"/>
        <v>High</v>
      </c>
    </row>
    <row r="747" spans="3:8" x14ac:dyDescent="0.3">
      <c r="C747" s="99" t="s">
        <v>2348</v>
      </c>
      <c r="F747" s="99" t="s">
        <v>2777</v>
      </c>
      <c r="G747" s="42">
        <v>4</v>
      </c>
      <c r="H747" s="99" t="str">
        <f t="shared" si="14"/>
        <v>High</v>
      </c>
    </row>
    <row r="748" spans="3:8" x14ac:dyDescent="0.3">
      <c r="C748" s="99" t="s">
        <v>2349</v>
      </c>
      <c r="F748" s="99" t="s">
        <v>2778</v>
      </c>
      <c r="G748" s="42">
        <v>1</v>
      </c>
      <c r="H748" s="99" t="str">
        <f t="shared" si="14"/>
        <v>Low</v>
      </c>
    </row>
    <row r="749" spans="3:8" x14ac:dyDescent="0.3">
      <c r="C749" s="99" t="s">
        <v>2349</v>
      </c>
      <c r="F749" s="99" t="s">
        <v>2779</v>
      </c>
      <c r="G749" s="42">
        <v>10</v>
      </c>
      <c r="H749" s="99" t="str">
        <f t="shared" si="14"/>
        <v>High</v>
      </c>
    </row>
    <row r="750" spans="3:8" x14ac:dyDescent="0.3">
      <c r="C750" s="99" t="s">
        <v>2350</v>
      </c>
      <c r="F750" s="99" t="s">
        <v>2780</v>
      </c>
      <c r="G750" s="42">
        <v>8</v>
      </c>
      <c r="H750" s="99" t="str">
        <f t="shared" si="14"/>
        <v>High</v>
      </c>
    </row>
    <row r="751" spans="3:8" x14ac:dyDescent="0.3">
      <c r="C751" s="99" t="s">
        <v>2351</v>
      </c>
      <c r="F751" s="99" t="s">
        <v>2781</v>
      </c>
      <c r="G751" s="42">
        <v>3</v>
      </c>
      <c r="H751" s="99" t="str">
        <f t="shared" si="14"/>
        <v>High</v>
      </c>
    </row>
    <row r="752" spans="3:8" x14ac:dyDescent="0.3">
      <c r="C752" s="99" t="s">
        <v>2351</v>
      </c>
      <c r="F752" s="99" t="s">
        <v>2782</v>
      </c>
      <c r="G752" s="42">
        <v>2</v>
      </c>
      <c r="H752" s="99" t="str">
        <f t="shared" si="14"/>
        <v>Low</v>
      </c>
    </row>
    <row r="753" spans="3:8" x14ac:dyDescent="0.3">
      <c r="C753" s="99" t="s">
        <v>2351</v>
      </c>
      <c r="F753" s="99" t="s">
        <v>2783</v>
      </c>
      <c r="G753" s="42">
        <v>2</v>
      </c>
      <c r="H753" s="99" t="str">
        <f t="shared" si="14"/>
        <v>Low</v>
      </c>
    </row>
    <row r="754" spans="3:8" x14ac:dyDescent="0.3">
      <c r="C754" s="99" t="s">
        <v>2352</v>
      </c>
      <c r="F754" s="99" t="s">
        <v>2784</v>
      </c>
      <c r="G754" s="42">
        <v>1</v>
      </c>
      <c r="H754" s="99" t="str">
        <f t="shared" si="14"/>
        <v>Low</v>
      </c>
    </row>
    <row r="755" spans="3:8" x14ac:dyDescent="0.3">
      <c r="C755" s="99" t="s">
        <v>2353</v>
      </c>
      <c r="F755" s="99" t="s">
        <v>2785</v>
      </c>
      <c r="G755" s="42">
        <v>3</v>
      </c>
      <c r="H755" s="99" t="str">
        <f t="shared" si="14"/>
        <v>High</v>
      </c>
    </row>
    <row r="756" spans="3:8" x14ac:dyDescent="0.3">
      <c r="C756" s="99" t="s">
        <v>2353</v>
      </c>
      <c r="F756" s="99" t="s">
        <v>2786</v>
      </c>
      <c r="G756" s="42">
        <v>3</v>
      </c>
      <c r="H756" s="99" t="str">
        <f t="shared" si="14"/>
        <v>High</v>
      </c>
    </row>
    <row r="757" spans="3:8" x14ac:dyDescent="0.3">
      <c r="C757" s="99" t="s">
        <v>2353</v>
      </c>
      <c r="F757" s="99" t="s">
        <v>2787</v>
      </c>
      <c r="G757" s="42">
        <v>3</v>
      </c>
      <c r="H757" s="99" t="str">
        <f t="shared" si="14"/>
        <v>High</v>
      </c>
    </row>
    <row r="758" spans="3:8" x14ac:dyDescent="0.3">
      <c r="C758" s="99" t="s">
        <v>2354</v>
      </c>
      <c r="F758" s="99" t="s">
        <v>2788</v>
      </c>
      <c r="G758" s="42">
        <v>6</v>
      </c>
      <c r="H758" s="99" t="str">
        <f t="shared" si="14"/>
        <v>High</v>
      </c>
    </row>
    <row r="759" spans="3:8" x14ac:dyDescent="0.3">
      <c r="C759" s="99" t="s">
        <v>2355</v>
      </c>
      <c r="F759" s="99" t="s">
        <v>2789</v>
      </c>
      <c r="G759" s="42">
        <v>5</v>
      </c>
      <c r="H759" s="99" t="str">
        <f t="shared" si="14"/>
        <v>High</v>
      </c>
    </row>
    <row r="760" spans="3:8" x14ac:dyDescent="0.3">
      <c r="C760" s="99" t="s">
        <v>2355</v>
      </c>
      <c r="F760" s="99" t="s">
        <v>2790</v>
      </c>
      <c r="G760" s="42">
        <v>1</v>
      </c>
      <c r="H760" s="99" t="str">
        <f t="shared" si="14"/>
        <v>Low</v>
      </c>
    </row>
    <row r="761" spans="3:8" x14ac:dyDescent="0.3">
      <c r="C761" s="99" t="s">
        <v>2355</v>
      </c>
      <c r="F761" s="99" t="s">
        <v>2791</v>
      </c>
      <c r="G761" s="42">
        <v>1</v>
      </c>
      <c r="H761" s="99" t="str">
        <f t="shared" si="14"/>
        <v>Low</v>
      </c>
    </row>
    <row r="762" spans="3:8" x14ac:dyDescent="0.3">
      <c r="C762" s="99" t="s">
        <v>2356</v>
      </c>
      <c r="F762" s="99" t="s">
        <v>2792</v>
      </c>
      <c r="G762" s="42">
        <v>1</v>
      </c>
      <c r="H762" s="99" t="str">
        <f t="shared" si="14"/>
        <v>Low</v>
      </c>
    </row>
    <row r="763" spans="3:8" x14ac:dyDescent="0.3">
      <c r="C763" s="99" t="s">
        <v>2356</v>
      </c>
      <c r="F763" s="99" t="s">
        <v>2793</v>
      </c>
      <c r="G763" s="42">
        <v>1</v>
      </c>
      <c r="H763" s="99" t="str">
        <f t="shared" si="14"/>
        <v>Low</v>
      </c>
    </row>
    <row r="764" spans="3:8" x14ac:dyDescent="0.3">
      <c r="C764" s="99" t="s">
        <v>2356</v>
      </c>
      <c r="F764" s="99" t="s">
        <v>2794</v>
      </c>
      <c r="G764" s="42">
        <v>1</v>
      </c>
      <c r="H764" s="99" t="str">
        <f t="shared" si="14"/>
        <v>Low</v>
      </c>
    </row>
    <row r="765" spans="3:8" x14ac:dyDescent="0.3">
      <c r="C765" s="99" t="s">
        <v>2356</v>
      </c>
      <c r="F765" s="99" t="s">
        <v>2795</v>
      </c>
      <c r="G765" s="42">
        <v>1</v>
      </c>
      <c r="H765" s="99" t="str">
        <f t="shared" si="14"/>
        <v>Low</v>
      </c>
    </row>
    <row r="766" spans="3:8" x14ac:dyDescent="0.3">
      <c r="C766" s="99" t="s">
        <v>2356</v>
      </c>
      <c r="F766" s="99" t="s">
        <v>2796</v>
      </c>
      <c r="G766" s="42">
        <v>3</v>
      </c>
      <c r="H766" s="99" t="str">
        <f t="shared" si="14"/>
        <v>High</v>
      </c>
    </row>
    <row r="767" spans="3:8" x14ac:dyDescent="0.3">
      <c r="C767" s="99" t="s">
        <v>2357</v>
      </c>
      <c r="F767" s="99" t="s">
        <v>2797</v>
      </c>
      <c r="G767" s="42">
        <v>2</v>
      </c>
      <c r="H767" s="99" t="str">
        <f t="shared" si="14"/>
        <v>Low</v>
      </c>
    </row>
    <row r="768" spans="3:8" x14ac:dyDescent="0.3">
      <c r="C768" s="99" t="s">
        <v>2358</v>
      </c>
      <c r="F768" s="99" t="s">
        <v>2798</v>
      </c>
      <c r="G768" s="42">
        <v>1</v>
      </c>
      <c r="H768" s="99" t="str">
        <f t="shared" si="14"/>
        <v>Low</v>
      </c>
    </row>
    <row r="769" spans="3:8" x14ac:dyDescent="0.3">
      <c r="C769" s="99" t="s">
        <v>2359</v>
      </c>
      <c r="F769" s="99" t="s">
        <v>2799</v>
      </c>
      <c r="G769" s="42">
        <v>1</v>
      </c>
      <c r="H769" s="99" t="str">
        <f t="shared" si="14"/>
        <v>Low</v>
      </c>
    </row>
    <row r="770" spans="3:8" x14ac:dyDescent="0.3">
      <c r="C770" s="99" t="s">
        <v>2359</v>
      </c>
      <c r="F770" s="99" t="s">
        <v>2800</v>
      </c>
      <c r="G770" s="42">
        <v>3</v>
      </c>
      <c r="H770" s="99" t="str">
        <f t="shared" si="14"/>
        <v>High</v>
      </c>
    </row>
    <row r="771" spans="3:8" x14ac:dyDescent="0.3">
      <c r="C771" s="99" t="s">
        <v>2359</v>
      </c>
      <c r="F771" s="99" t="s">
        <v>2801</v>
      </c>
      <c r="G771" s="42">
        <v>3</v>
      </c>
      <c r="H771" s="99" t="str">
        <f t="shared" si="14"/>
        <v>High</v>
      </c>
    </row>
    <row r="772" spans="3:8" x14ac:dyDescent="0.3">
      <c r="C772" s="99" t="s">
        <v>2360</v>
      </c>
      <c r="F772" s="99" t="s">
        <v>2802</v>
      </c>
      <c r="G772" s="42">
        <v>1</v>
      </c>
      <c r="H772" s="99" t="str">
        <f t="shared" si="14"/>
        <v>Low</v>
      </c>
    </row>
    <row r="773" spans="3:8" x14ac:dyDescent="0.3">
      <c r="C773" s="99" t="s">
        <v>2361</v>
      </c>
      <c r="F773" s="99" t="s">
        <v>2803</v>
      </c>
      <c r="G773" s="42">
        <v>1</v>
      </c>
      <c r="H773" s="99" t="str">
        <f t="shared" si="14"/>
        <v>Low</v>
      </c>
    </row>
    <row r="774" spans="3:8" x14ac:dyDescent="0.3">
      <c r="C774" s="99" t="s">
        <v>2362</v>
      </c>
      <c r="F774" s="99" t="s">
        <v>2804</v>
      </c>
      <c r="G774" s="42">
        <v>3</v>
      </c>
      <c r="H774" s="99" t="str">
        <f t="shared" si="14"/>
        <v>High</v>
      </c>
    </row>
    <row r="775" spans="3:8" x14ac:dyDescent="0.3">
      <c r="C775" s="99" t="s">
        <v>2362</v>
      </c>
      <c r="F775" s="99" t="s">
        <v>2805</v>
      </c>
      <c r="G775" s="42">
        <v>1</v>
      </c>
      <c r="H775" s="99" t="str">
        <f t="shared" ref="H775:H818" si="15">IF(G775&gt;=frequency_threshold,"High","Low")</f>
        <v>Low</v>
      </c>
    </row>
    <row r="776" spans="3:8" x14ac:dyDescent="0.3">
      <c r="C776" s="99" t="s">
        <v>2362</v>
      </c>
      <c r="F776" s="99" t="s">
        <v>2806</v>
      </c>
      <c r="G776" s="42">
        <v>4</v>
      </c>
      <c r="H776" s="99" t="str">
        <f t="shared" si="15"/>
        <v>High</v>
      </c>
    </row>
    <row r="777" spans="3:8" x14ac:dyDescent="0.3">
      <c r="C777" s="99" t="s">
        <v>2362</v>
      </c>
      <c r="F777" s="99" t="s">
        <v>2807</v>
      </c>
      <c r="G777" s="42">
        <v>3</v>
      </c>
      <c r="H777" s="99" t="str">
        <f t="shared" si="15"/>
        <v>High</v>
      </c>
    </row>
    <row r="778" spans="3:8" x14ac:dyDescent="0.3">
      <c r="C778" s="99" t="s">
        <v>2362</v>
      </c>
      <c r="F778" s="99" t="s">
        <v>2808</v>
      </c>
      <c r="G778" s="42">
        <v>8</v>
      </c>
      <c r="H778" s="99" t="str">
        <f t="shared" si="15"/>
        <v>High</v>
      </c>
    </row>
    <row r="779" spans="3:8" x14ac:dyDescent="0.3">
      <c r="C779" s="99" t="s">
        <v>2362</v>
      </c>
      <c r="F779" s="99" t="s">
        <v>2809</v>
      </c>
      <c r="G779" s="42">
        <v>4</v>
      </c>
      <c r="H779" s="99" t="str">
        <f t="shared" si="15"/>
        <v>High</v>
      </c>
    </row>
    <row r="780" spans="3:8" x14ac:dyDescent="0.3">
      <c r="C780" s="99" t="s">
        <v>2362</v>
      </c>
      <c r="F780" s="99" t="s">
        <v>2810</v>
      </c>
      <c r="G780" s="42">
        <v>2</v>
      </c>
      <c r="H780" s="99" t="str">
        <f t="shared" si="15"/>
        <v>Low</v>
      </c>
    </row>
    <row r="781" spans="3:8" x14ac:dyDescent="0.3">
      <c r="C781" s="99" t="s">
        <v>2363</v>
      </c>
      <c r="F781" s="99" t="s">
        <v>2811</v>
      </c>
      <c r="G781" s="42">
        <v>2</v>
      </c>
      <c r="H781" s="99" t="str">
        <f t="shared" si="15"/>
        <v>Low</v>
      </c>
    </row>
    <row r="782" spans="3:8" x14ac:dyDescent="0.3">
      <c r="C782" s="99" t="s">
        <v>2363</v>
      </c>
      <c r="F782" s="99" t="s">
        <v>2812</v>
      </c>
      <c r="G782" s="42">
        <v>1</v>
      </c>
      <c r="H782" s="99" t="str">
        <f t="shared" si="15"/>
        <v>Low</v>
      </c>
    </row>
    <row r="783" spans="3:8" x14ac:dyDescent="0.3">
      <c r="C783" s="99" t="s">
        <v>2363</v>
      </c>
      <c r="F783" s="99" t="s">
        <v>2813</v>
      </c>
      <c r="G783" s="42">
        <v>1</v>
      </c>
      <c r="H783" s="99" t="str">
        <f t="shared" si="15"/>
        <v>Low</v>
      </c>
    </row>
    <row r="784" spans="3:8" x14ac:dyDescent="0.3">
      <c r="C784" s="99" t="s">
        <v>2363</v>
      </c>
      <c r="F784" s="99" t="s">
        <v>2814</v>
      </c>
      <c r="G784" s="42">
        <v>2</v>
      </c>
      <c r="H784" s="99" t="str">
        <f t="shared" si="15"/>
        <v>Low</v>
      </c>
    </row>
    <row r="785" spans="3:8" x14ac:dyDescent="0.3">
      <c r="C785" s="99" t="s">
        <v>2364</v>
      </c>
      <c r="F785" s="99" t="s">
        <v>2815</v>
      </c>
      <c r="G785" s="42">
        <v>6</v>
      </c>
      <c r="H785" s="99" t="str">
        <f t="shared" si="15"/>
        <v>High</v>
      </c>
    </row>
    <row r="786" spans="3:8" x14ac:dyDescent="0.3">
      <c r="C786" s="99" t="s">
        <v>2364</v>
      </c>
      <c r="F786" s="99" t="s">
        <v>2816</v>
      </c>
      <c r="G786" s="42">
        <v>2</v>
      </c>
      <c r="H786" s="99" t="str">
        <f t="shared" si="15"/>
        <v>Low</v>
      </c>
    </row>
    <row r="787" spans="3:8" x14ac:dyDescent="0.3">
      <c r="C787" s="99" t="s">
        <v>2364</v>
      </c>
      <c r="F787" s="99" t="s">
        <v>2817</v>
      </c>
      <c r="G787" s="42">
        <v>6</v>
      </c>
      <c r="H787" s="99" t="str">
        <f t="shared" si="15"/>
        <v>High</v>
      </c>
    </row>
    <row r="788" spans="3:8" x14ac:dyDescent="0.3">
      <c r="C788" s="99" t="s">
        <v>2364</v>
      </c>
      <c r="F788" s="99" t="s">
        <v>2818</v>
      </c>
      <c r="G788" s="42">
        <v>5</v>
      </c>
      <c r="H788" s="99" t="str">
        <f t="shared" si="15"/>
        <v>High</v>
      </c>
    </row>
    <row r="789" spans="3:8" x14ac:dyDescent="0.3">
      <c r="C789" s="99" t="s">
        <v>2365</v>
      </c>
      <c r="F789" s="99" t="s">
        <v>2819</v>
      </c>
      <c r="G789" s="42">
        <v>1</v>
      </c>
      <c r="H789" s="99" t="str">
        <f t="shared" si="15"/>
        <v>Low</v>
      </c>
    </row>
    <row r="790" spans="3:8" x14ac:dyDescent="0.3">
      <c r="C790" s="99" t="s">
        <v>2365</v>
      </c>
      <c r="F790" s="99" t="s">
        <v>2820</v>
      </c>
      <c r="G790" s="42">
        <v>6</v>
      </c>
      <c r="H790" s="99" t="str">
        <f t="shared" si="15"/>
        <v>High</v>
      </c>
    </row>
    <row r="791" spans="3:8" x14ac:dyDescent="0.3">
      <c r="C791" s="99" t="s">
        <v>2365</v>
      </c>
      <c r="F791" s="99" t="s">
        <v>2821</v>
      </c>
      <c r="G791" s="42">
        <v>1</v>
      </c>
      <c r="H791" s="99" t="str">
        <f t="shared" si="15"/>
        <v>Low</v>
      </c>
    </row>
    <row r="792" spans="3:8" x14ac:dyDescent="0.3">
      <c r="C792" s="99" t="s">
        <v>2365</v>
      </c>
      <c r="F792" s="99" t="s">
        <v>2822</v>
      </c>
      <c r="G792" s="42">
        <v>1</v>
      </c>
      <c r="H792" s="99" t="str">
        <f t="shared" si="15"/>
        <v>Low</v>
      </c>
    </row>
    <row r="793" spans="3:8" x14ac:dyDescent="0.3">
      <c r="C793" s="99" t="s">
        <v>2366</v>
      </c>
      <c r="F793" s="99" t="s">
        <v>2823</v>
      </c>
      <c r="G793" s="42">
        <v>4</v>
      </c>
      <c r="H793" s="99" t="str">
        <f t="shared" si="15"/>
        <v>High</v>
      </c>
    </row>
    <row r="794" spans="3:8" x14ac:dyDescent="0.3">
      <c r="C794" s="99" t="s">
        <v>2366</v>
      </c>
      <c r="F794" s="99" t="s">
        <v>2824</v>
      </c>
      <c r="G794" s="42">
        <v>7</v>
      </c>
      <c r="H794" s="99" t="str">
        <f t="shared" si="15"/>
        <v>High</v>
      </c>
    </row>
    <row r="795" spans="3:8" x14ac:dyDescent="0.3">
      <c r="C795" s="99" t="s">
        <v>2367</v>
      </c>
      <c r="F795" s="99" t="s">
        <v>2825</v>
      </c>
      <c r="G795" s="42">
        <v>4</v>
      </c>
      <c r="H795" s="99" t="str">
        <f t="shared" si="15"/>
        <v>High</v>
      </c>
    </row>
    <row r="796" spans="3:8" x14ac:dyDescent="0.3">
      <c r="C796" s="99" t="s">
        <v>2367</v>
      </c>
      <c r="F796" s="99" t="s">
        <v>2826</v>
      </c>
      <c r="G796" s="42">
        <v>1</v>
      </c>
      <c r="H796" s="99" t="str">
        <f t="shared" si="15"/>
        <v>Low</v>
      </c>
    </row>
    <row r="797" spans="3:8" x14ac:dyDescent="0.3">
      <c r="C797" s="99" t="s">
        <v>2368</v>
      </c>
      <c r="F797" s="99" t="s">
        <v>2827</v>
      </c>
      <c r="G797" s="42">
        <v>2</v>
      </c>
      <c r="H797" s="99" t="str">
        <f t="shared" si="15"/>
        <v>Low</v>
      </c>
    </row>
    <row r="798" spans="3:8" x14ac:dyDescent="0.3">
      <c r="C798" s="99" t="s">
        <v>2369</v>
      </c>
      <c r="F798" s="99" t="s">
        <v>2828</v>
      </c>
      <c r="G798" s="42">
        <v>3</v>
      </c>
      <c r="H798" s="99" t="str">
        <f t="shared" si="15"/>
        <v>High</v>
      </c>
    </row>
    <row r="799" spans="3:8" x14ac:dyDescent="0.3">
      <c r="C799" s="99" t="s">
        <v>2370</v>
      </c>
      <c r="F799" s="99" t="s">
        <v>2829</v>
      </c>
      <c r="G799" s="42">
        <v>3</v>
      </c>
      <c r="H799" s="99" t="str">
        <f t="shared" si="15"/>
        <v>High</v>
      </c>
    </row>
    <row r="800" spans="3:8" x14ac:dyDescent="0.3">
      <c r="C800" s="99" t="s">
        <v>2370</v>
      </c>
      <c r="F800" s="99" t="s">
        <v>2830</v>
      </c>
      <c r="G800" s="42">
        <v>4</v>
      </c>
      <c r="H800" s="99" t="str">
        <f t="shared" si="15"/>
        <v>High</v>
      </c>
    </row>
    <row r="801" spans="3:8" x14ac:dyDescent="0.3">
      <c r="C801" s="99" t="s">
        <v>2371</v>
      </c>
      <c r="F801" s="99" t="s">
        <v>2831</v>
      </c>
      <c r="G801" s="42">
        <v>4</v>
      </c>
      <c r="H801" s="99" t="str">
        <f t="shared" si="15"/>
        <v>High</v>
      </c>
    </row>
    <row r="802" spans="3:8" x14ac:dyDescent="0.3">
      <c r="C802" s="99" t="s">
        <v>2371</v>
      </c>
      <c r="F802" s="99" t="s">
        <v>2832</v>
      </c>
      <c r="G802" s="42">
        <v>2</v>
      </c>
      <c r="H802" s="99" t="str">
        <f t="shared" si="15"/>
        <v>Low</v>
      </c>
    </row>
    <row r="803" spans="3:8" x14ac:dyDescent="0.3">
      <c r="C803" s="99" t="s">
        <v>2372</v>
      </c>
      <c r="F803" s="99" t="s">
        <v>2833</v>
      </c>
      <c r="G803" s="42">
        <v>4</v>
      </c>
      <c r="H803" s="99" t="str">
        <f t="shared" si="15"/>
        <v>High</v>
      </c>
    </row>
    <row r="804" spans="3:8" x14ac:dyDescent="0.3">
      <c r="C804" s="99" t="s">
        <v>2372</v>
      </c>
      <c r="F804" s="99" t="s">
        <v>2834</v>
      </c>
      <c r="G804" s="42">
        <v>3</v>
      </c>
      <c r="H804" s="99" t="str">
        <f t="shared" si="15"/>
        <v>High</v>
      </c>
    </row>
    <row r="805" spans="3:8" x14ac:dyDescent="0.3">
      <c r="C805" s="99" t="s">
        <v>2373</v>
      </c>
      <c r="F805" s="99" t="s">
        <v>2835</v>
      </c>
      <c r="G805" s="42">
        <v>1</v>
      </c>
      <c r="H805" s="99" t="str">
        <f t="shared" si="15"/>
        <v>Low</v>
      </c>
    </row>
    <row r="806" spans="3:8" x14ac:dyDescent="0.3">
      <c r="C806" s="99" t="s">
        <v>2373</v>
      </c>
      <c r="F806" s="99" t="s">
        <v>2836</v>
      </c>
      <c r="G806" s="42">
        <v>1</v>
      </c>
      <c r="H806" s="99" t="str">
        <f t="shared" si="15"/>
        <v>Low</v>
      </c>
    </row>
    <row r="807" spans="3:8" x14ac:dyDescent="0.3">
      <c r="C807" s="99" t="s">
        <v>2374</v>
      </c>
      <c r="F807" s="99" t="s">
        <v>2837</v>
      </c>
      <c r="G807" s="42">
        <v>5</v>
      </c>
      <c r="H807" s="99" t="str">
        <f t="shared" si="15"/>
        <v>High</v>
      </c>
    </row>
    <row r="808" spans="3:8" x14ac:dyDescent="0.3">
      <c r="C808" s="99" t="s">
        <v>2375</v>
      </c>
      <c r="F808" s="99" t="s">
        <v>2838</v>
      </c>
      <c r="G808" s="42">
        <v>1</v>
      </c>
      <c r="H808" s="99" t="str">
        <f t="shared" si="15"/>
        <v>Low</v>
      </c>
    </row>
    <row r="809" spans="3:8" x14ac:dyDescent="0.3">
      <c r="C809" s="99" t="s">
        <v>2376</v>
      </c>
      <c r="F809" s="99" t="s">
        <v>2839</v>
      </c>
      <c r="G809" s="42">
        <v>2</v>
      </c>
      <c r="H809" s="99" t="str">
        <f t="shared" si="15"/>
        <v>Low</v>
      </c>
    </row>
    <row r="810" spans="3:8" x14ac:dyDescent="0.3">
      <c r="C810" s="99" t="s">
        <v>2376</v>
      </c>
      <c r="F810" s="99" t="s">
        <v>2840</v>
      </c>
      <c r="G810" s="42">
        <v>1</v>
      </c>
      <c r="H810" s="99" t="str">
        <f t="shared" si="15"/>
        <v>Low</v>
      </c>
    </row>
    <row r="811" spans="3:8" x14ac:dyDescent="0.3">
      <c r="C811" s="99" t="s">
        <v>2376</v>
      </c>
      <c r="F811" s="99" t="s">
        <v>2841</v>
      </c>
      <c r="G811" s="42">
        <v>2</v>
      </c>
      <c r="H811" s="99" t="str">
        <f t="shared" si="15"/>
        <v>Low</v>
      </c>
    </row>
    <row r="812" spans="3:8" x14ac:dyDescent="0.3">
      <c r="C812" s="99" t="s">
        <v>2376</v>
      </c>
      <c r="F812" s="99" t="s">
        <v>2842</v>
      </c>
      <c r="G812" s="42">
        <v>3</v>
      </c>
      <c r="H812" s="99" t="str">
        <f>IF(G812&gt;=frequency_threshold,"High","Low")</f>
        <v>High</v>
      </c>
    </row>
    <row r="813" spans="3:8" x14ac:dyDescent="0.3">
      <c r="C813" s="99" t="s">
        <v>2376</v>
      </c>
      <c r="F813" s="99" t="s">
        <v>2843</v>
      </c>
      <c r="G813" s="42">
        <v>3</v>
      </c>
      <c r="H813" s="99" t="str">
        <f t="shared" si="15"/>
        <v>High</v>
      </c>
    </row>
    <row r="814" spans="3:8" x14ac:dyDescent="0.3">
      <c r="C814" s="99" t="s">
        <v>2376</v>
      </c>
      <c r="F814" s="99" t="s">
        <v>2844</v>
      </c>
      <c r="G814" s="42">
        <v>2</v>
      </c>
      <c r="H814" s="99" t="str">
        <f t="shared" si="15"/>
        <v>Low</v>
      </c>
    </row>
    <row r="815" spans="3:8" x14ac:dyDescent="0.3">
      <c r="C815" s="99" t="s">
        <v>2377</v>
      </c>
      <c r="F815" s="99" t="s">
        <v>2845</v>
      </c>
      <c r="G815" s="42">
        <v>3</v>
      </c>
      <c r="H815" s="99" t="str">
        <f t="shared" si="15"/>
        <v>High</v>
      </c>
    </row>
    <row r="816" spans="3:8" x14ac:dyDescent="0.3">
      <c r="C816" s="99" t="s">
        <v>2378</v>
      </c>
      <c r="F816" s="99" t="s">
        <v>2846</v>
      </c>
      <c r="G816" s="42">
        <v>3</v>
      </c>
      <c r="H816" s="99" t="str">
        <f t="shared" si="15"/>
        <v>High</v>
      </c>
    </row>
    <row r="817" spans="3:8" x14ac:dyDescent="0.3">
      <c r="C817" s="99" t="s">
        <v>2379</v>
      </c>
      <c r="F817" s="99" t="s">
        <v>2847</v>
      </c>
      <c r="G817" s="42">
        <v>5</v>
      </c>
      <c r="H817" s="99" t="str">
        <f t="shared" si="15"/>
        <v>High</v>
      </c>
    </row>
    <row r="818" spans="3:8" x14ac:dyDescent="0.3">
      <c r="C818" s="99" t="s">
        <v>2379</v>
      </c>
      <c r="F818" s="99" t="s">
        <v>2848</v>
      </c>
      <c r="G818" s="42">
        <v>2</v>
      </c>
      <c r="H818" s="99" t="str">
        <f t="shared" si="15"/>
        <v>Low</v>
      </c>
    </row>
    <row r="819" spans="3:8" x14ac:dyDescent="0.3">
      <c r="C819" s="99" t="s">
        <v>2380</v>
      </c>
      <c r="H819"/>
    </row>
    <row r="820" spans="3:8" x14ac:dyDescent="0.3">
      <c r="C820" s="99" t="s">
        <v>2380</v>
      </c>
      <c r="H820"/>
    </row>
    <row r="821" spans="3:8" x14ac:dyDescent="0.3">
      <c r="C821" s="99" t="s">
        <v>2381</v>
      </c>
      <c r="H821"/>
    </row>
    <row r="822" spans="3:8" x14ac:dyDescent="0.3">
      <c r="C822" s="99" t="s">
        <v>2381</v>
      </c>
      <c r="H822"/>
    </row>
    <row r="823" spans="3:8" x14ac:dyDescent="0.3">
      <c r="C823" s="99" t="s">
        <v>2382</v>
      </c>
      <c r="H823"/>
    </row>
    <row r="824" spans="3:8" x14ac:dyDescent="0.3">
      <c r="C824" s="99" t="s">
        <v>2383</v>
      </c>
      <c r="H824"/>
    </row>
    <row r="825" spans="3:8" x14ac:dyDescent="0.3">
      <c r="C825" s="99" t="s">
        <v>2384</v>
      </c>
      <c r="H825"/>
    </row>
    <row r="826" spans="3:8" x14ac:dyDescent="0.3">
      <c r="C826" s="99" t="s">
        <v>2385</v>
      </c>
      <c r="H826"/>
    </row>
    <row r="827" spans="3:8" x14ac:dyDescent="0.3">
      <c r="C827" s="99" t="s">
        <v>2385</v>
      </c>
      <c r="H827"/>
    </row>
    <row r="828" spans="3:8" x14ac:dyDescent="0.3">
      <c r="C828" s="99" t="s">
        <v>2385</v>
      </c>
      <c r="H828"/>
    </row>
    <row r="829" spans="3:8" x14ac:dyDescent="0.3">
      <c r="C829" s="99" t="s">
        <v>2386</v>
      </c>
      <c r="H829"/>
    </row>
    <row r="830" spans="3:8" x14ac:dyDescent="0.3">
      <c r="C830" s="99" t="s">
        <v>2386</v>
      </c>
      <c r="H830"/>
    </row>
    <row r="831" spans="3:8" x14ac:dyDescent="0.3">
      <c r="C831" s="99" t="s">
        <v>2387</v>
      </c>
      <c r="H831"/>
    </row>
    <row r="832" spans="3:8" x14ac:dyDescent="0.3">
      <c r="C832" s="99" t="s">
        <v>2387</v>
      </c>
      <c r="H832"/>
    </row>
    <row r="833" spans="3:8" x14ac:dyDescent="0.3">
      <c r="C833" s="99" t="s">
        <v>2387</v>
      </c>
      <c r="H833"/>
    </row>
    <row r="834" spans="3:8" x14ac:dyDescent="0.3">
      <c r="C834" s="99" t="s">
        <v>2388</v>
      </c>
      <c r="H834"/>
    </row>
    <row r="835" spans="3:8" x14ac:dyDescent="0.3">
      <c r="C835" s="99" t="s">
        <v>2389</v>
      </c>
      <c r="H835"/>
    </row>
    <row r="836" spans="3:8" x14ac:dyDescent="0.3">
      <c r="C836" s="99" t="s">
        <v>2390</v>
      </c>
      <c r="H836"/>
    </row>
    <row r="837" spans="3:8" x14ac:dyDescent="0.3">
      <c r="C837" s="99" t="s">
        <v>2391</v>
      </c>
      <c r="H837"/>
    </row>
    <row r="838" spans="3:8" x14ac:dyDescent="0.3">
      <c r="C838" s="99" t="s">
        <v>2391</v>
      </c>
      <c r="H838"/>
    </row>
    <row r="839" spans="3:8" x14ac:dyDescent="0.3">
      <c r="C839" s="99" t="s">
        <v>2391</v>
      </c>
      <c r="H839"/>
    </row>
    <row r="840" spans="3:8" x14ac:dyDescent="0.3">
      <c r="C840" s="99" t="s">
        <v>2391</v>
      </c>
      <c r="H840"/>
    </row>
    <row r="841" spans="3:8" x14ac:dyDescent="0.3">
      <c r="C841" s="99" t="s">
        <v>2392</v>
      </c>
      <c r="H841"/>
    </row>
    <row r="842" spans="3:8" x14ac:dyDescent="0.3">
      <c r="C842" s="99" t="s">
        <v>2392</v>
      </c>
      <c r="H842"/>
    </row>
    <row r="843" spans="3:8" x14ac:dyDescent="0.3">
      <c r="C843" s="99" t="s">
        <v>2392</v>
      </c>
      <c r="H843"/>
    </row>
    <row r="844" spans="3:8" x14ac:dyDescent="0.3">
      <c r="C844" s="99" t="s">
        <v>2392</v>
      </c>
      <c r="H844"/>
    </row>
    <row r="845" spans="3:8" x14ac:dyDescent="0.3">
      <c r="C845" s="99" t="s">
        <v>2392</v>
      </c>
      <c r="H845"/>
    </row>
    <row r="846" spans="3:8" x14ac:dyDescent="0.3">
      <c r="C846" s="99" t="s">
        <v>2392</v>
      </c>
      <c r="H846"/>
    </row>
    <row r="847" spans="3:8" x14ac:dyDescent="0.3">
      <c r="C847" s="99" t="s">
        <v>2393</v>
      </c>
      <c r="H847"/>
    </row>
    <row r="848" spans="3:8" x14ac:dyDescent="0.3">
      <c r="C848" s="99" t="s">
        <v>2394</v>
      </c>
      <c r="H848"/>
    </row>
    <row r="849" spans="3:8" x14ac:dyDescent="0.3">
      <c r="C849" s="99" t="s">
        <v>2394</v>
      </c>
      <c r="H849"/>
    </row>
    <row r="850" spans="3:8" x14ac:dyDescent="0.3">
      <c r="C850" s="99" t="s">
        <v>2394</v>
      </c>
      <c r="H850"/>
    </row>
    <row r="851" spans="3:8" x14ac:dyDescent="0.3">
      <c r="C851" s="99" t="s">
        <v>2395</v>
      </c>
      <c r="H851"/>
    </row>
    <row r="852" spans="3:8" x14ac:dyDescent="0.3">
      <c r="C852" s="99" t="s">
        <v>2395</v>
      </c>
      <c r="H852"/>
    </row>
    <row r="853" spans="3:8" x14ac:dyDescent="0.3">
      <c r="C853" s="99" t="s">
        <v>2395</v>
      </c>
      <c r="H853"/>
    </row>
    <row r="854" spans="3:8" x14ac:dyDescent="0.3">
      <c r="C854" s="99" t="s">
        <v>2396</v>
      </c>
      <c r="H854"/>
    </row>
    <row r="855" spans="3:8" x14ac:dyDescent="0.3">
      <c r="C855" s="99" t="s">
        <v>2396</v>
      </c>
      <c r="H855"/>
    </row>
    <row r="856" spans="3:8" x14ac:dyDescent="0.3">
      <c r="C856" s="99" t="s">
        <v>2397</v>
      </c>
      <c r="H856"/>
    </row>
    <row r="857" spans="3:8" x14ac:dyDescent="0.3">
      <c r="C857" s="99" t="s">
        <v>2397</v>
      </c>
      <c r="H857"/>
    </row>
    <row r="858" spans="3:8" x14ac:dyDescent="0.3">
      <c r="C858" s="99" t="s">
        <v>2397</v>
      </c>
      <c r="H858"/>
    </row>
    <row r="859" spans="3:8" x14ac:dyDescent="0.3">
      <c r="C859" s="99" t="s">
        <v>2398</v>
      </c>
      <c r="H859"/>
    </row>
    <row r="860" spans="3:8" x14ac:dyDescent="0.3">
      <c r="C860" s="99" t="s">
        <v>2399</v>
      </c>
      <c r="H860"/>
    </row>
    <row r="861" spans="3:8" x14ac:dyDescent="0.3">
      <c r="C861" s="99" t="s">
        <v>2400</v>
      </c>
      <c r="H861"/>
    </row>
    <row r="862" spans="3:8" x14ac:dyDescent="0.3">
      <c r="C862" s="99" t="s">
        <v>2400</v>
      </c>
      <c r="H862"/>
    </row>
    <row r="863" spans="3:8" x14ac:dyDescent="0.3">
      <c r="C863" s="99" t="s">
        <v>2401</v>
      </c>
      <c r="H863"/>
    </row>
    <row r="864" spans="3:8" x14ac:dyDescent="0.3">
      <c r="C864" s="99" t="s">
        <v>2402</v>
      </c>
      <c r="H864"/>
    </row>
    <row r="865" spans="3:8" x14ac:dyDescent="0.3">
      <c r="C865" s="99" t="s">
        <v>2402</v>
      </c>
      <c r="H865"/>
    </row>
    <row r="866" spans="3:8" x14ac:dyDescent="0.3">
      <c r="C866" s="99" t="s">
        <v>2402</v>
      </c>
      <c r="H866"/>
    </row>
    <row r="867" spans="3:8" x14ac:dyDescent="0.3">
      <c r="C867" s="99" t="s">
        <v>2403</v>
      </c>
      <c r="H867"/>
    </row>
    <row r="868" spans="3:8" x14ac:dyDescent="0.3">
      <c r="C868" s="99" t="s">
        <v>2403</v>
      </c>
      <c r="H868"/>
    </row>
    <row r="869" spans="3:8" x14ac:dyDescent="0.3">
      <c r="C869" s="99" t="s">
        <v>2403</v>
      </c>
      <c r="H869"/>
    </row>
    <row r="870" spans="3:8" x14ac:dyDescent="0.3">
      <c r="C870" s="99" t="s">
        <v>2404</v>
      </c>
      <c r="H870"/>
    </row>
    <row r="871" spans="3:8" x14ac:dyDescent="0.3">
      <c r="C871" s="99" t="s">
        <v>2404</v>
      </c>
      <c r="H871"/>
    </row>
    <row r="872" spans="3:8" x14ac:dyDescent="0.3">
      <c r="C872" s="99" t="s">
        <v>2404</v>
      </c>
      <c r="H872"/>
    </row>
    <row r="873" spans="3:8" x14ac:dyDescent="0.3">
      <c r="C873" s="99" t="s">
        <v>2404</v>
      </c>
      <c r="H873"/>
    </row>
    <row r="874" spans="3:8" x14ac:dyDescent="0.3">
      <c r="C874" s="99" t="s">
        <v>2405</v>
      </c>
      <c r="H874"/>
    </row>
    <row r="875" spans="3:8" x14ac:dyDescent="0.3">
      <c r="C875" s="99" t="s">
        <v>2406</v>
      </c>
      <c r="H875"/>
    </row>
    <row r="876" spans="3:8" x14ac:dyDescent="0.3">
      <c r="C876" s="99" t="s">
        <v>2407</v>
      </c>
      <c r="H876"/>
    </row>
    <row r="877" spans="3:8" x14ac:dyDescent="0.3">
      <c r="C877" s="99" t="s">
        <v>2408</v>
      </c>
      <c r="H877"/>
    </row>
    <row r="878" spans="3:8" x14ac:dyDescent="0.3">
      <c r="C878" s="99" t="s">
        <v>2409</v>
      </c>
      <c r="H878"/>
    </row>
    <row r="879" spans="3:8" x14ac:dyDescent="0.3">
      <c r="C879" s="99" t="s">
        <v>2409</v>
      </c>
      <c r="H879"/>
    </row>
    <row r="880" spans="3:8" x14ac:dyDescent="0.3">
      <c r="C880" s="99" t="s">
        <v>2409</v>
      </c>
      <c r="H880"/>
    </row>
    <row r="881" spans="3:8" x14ac:dyDescent="0.3">
      <c r="C881" s="99" t="s">
        <v>2410</v>
      </c>
      <c r="H881"/>
    </row>
    <row r="882" spans="3:8" x14ac:dyDescent="0.3">
      <c r="C882" s="99" t="s">
        <v>2410</v>
      </c>
      <c r="H882"/>
    </row>
    <row r="883" spans="3:8" x14ac:dyDescent="0.3">
      <c r="C883" s="99" t="s">
        <v>2410</v>
      </c>
      <c r="H883"/>
    </row>
    <row r="884" spans="3:8" x14ac:dyDescent="0.3">
      <c r="C884" s="99" t="s">
        <v>2411</v>
      </c>
      <c r="H884"/>
    </row>
    <row r="885" spans="3:8" x14ac:dyDescent="0.3">
      <c r="C885" s="99" t="s">
        <v>2411</v>
      </c>
      <c r="H885"/>
    </row>
    <row r="886" spans="3:8" x14ac:dyDescent="0.3">
      <c r="C886" s="99" t="s">
        <v>2411</v>
      </c>
      <c r="H886"/>
    </row>
    <row r="887" spans="3:8" x14ac:dyDescent="0.3">
      <c r="C887" s="99" t="s">
        <v>2412</v>
      </c>
      <c r="H887"/>
    </row>
    <row r="888" spans="3:8" x14ac:dyDescent="0.3">
      <c r="C888" s="99" t="s">
        <v>2413</v>
      </c>
      <c r="H888"/>
    </row>
    <row r="889" spans="3:8" x14ac:dyDescent="0.3">
      <c r="C889" s="99" t="s">
        <v>2413</v>
      </c>
      <c r="H889"/>
    </row>
    <row r="890" spans="3:8" x14ac:dyDescent="0.3">
      <c r="C890" s="99" t="s">
        <v>2413</v>
      </c>
      <c r="H890"/>
    </row>
    <row r="891" spans="3:8" x14ac:dyDescent="0.3">
      <c r="C891" s="99" t="s">
        <v>2413</v>
      </c>
      <c r="H891"/>
    </row>
    <row r="892" spans="3:8" x14ac:dyDescent="0.3">
      <c r="C892" s="99" t="s">
        <v>2414</v>
      </c>
      <c r="H892"/>
    </row>
    <row r="893" spans="3:8" x14ac:dyDescent="0.3">
      <c r="C893" s="99" t="s">
        <v>2414</v>
      </c>
      <c r="H893"/>
    </row>
    <row r="894" spans="3:8" x14ac:dyDescent="0.3">
      <c r="C894" s="99" t="s">
        <v>2415</v>
      </c>
      <c r="H894"/>
    </row>
    <row r="895" spans="3:8" x14ac:dyDescent="0.3">
      <c r="C895" s="99" t="s">
        <v>2415</v>
      </c>
      <c r="H895"/>
    </row>
    <row r="896" spans="3:8" x14ac:dyDescent="0.3">
      <c r="C896" s="99" t="s">
        <v>2415</v>
      </c>
      <c r="H896"/>
    </row>
    <row r="897" spans="3:8" x14ac:dyDescent="0.3">
      <c r="C897" s="99" t="s">
        <v>2416</v>
      </c>
      <c r="H897"/>
    </row>
    <row r="898" spans="3:8" x14ac:dyDescent="0.3">
      <c r="C898" s="99" t="s">
        <v>2416</v>
      </c>
      <c r="H898"/>
    </row>
    <row r="899" spans="3:8" x14ac:dyDescent="0.3">
      <c r="C899" s="99" t="s">
        <v>2417</v>
      </c>
      <c r="H899"/>
    </row>
    <row r="900" spans="3:8" x14ac:dyDescent="0.3">
      <c r="C900" s="99" t="s">
        <v>2418</v>
      </c>
      <c r="H900"/>
    </row>
    <row r="901" spans="3:8" x14ac:dyDescent="0.3">
      <c r="C901" s="99" t="s">
        <v>2419</v>
      </c>
      <c r="H901"/>
    </row>
    <row r="902" spans="3:8" x14ac:dyDescent="0.3">
      <c r="C902" s="99" t="s">
        <v>2420</v>
      </c>
      <c r="H902"/>
    </row>
    <row r="903" spans="3:8" x14ac:dyDescent="0.3">
      <c r="C903" s="99" t="s">
        <v>2420</v>
      </c>
      <c r="H903"/>
    </row>
    <row r="904" spans="3:8" x14ac:dyDescent="0.3">
      <c r="C904" s="99" t="s">
        <v>2420</v>
      </c>
      <c r="H904"/>
    </row>
    <row r="905" spans="3:8" x14ac:dyDescent="0.3">
      <c r="C905" s="99" t="s">
        <v>2420</v>
      </c>
      <c r="H905"/>
    </row>
    <row r="906" spans="3:8" x14ac:dyDescent="0.3">
      <c r="C906" s="99" t="s">
        <v>2420</v>
      </c>
      <c r="H906"/>
    </row>
    <row r="907" spans="3:8" x14ac:dyDescent="0.3">
      <c r="C907" s="99" t="s">
        <v>2420</v>
      </c>
      <c r="H907"/>
    </row>
    <row r="908" spans="3:8" x14ac:dyDescent="0.3">
      <c r="C908" s="99" t="s">
        <v>2420</v>
      </c>
      <c r="H908"/>
    </row>
    <row r="909" spans="3:8" x14ac:dyDescent="0.3">
      <c r="C909" s="99" t="s">
        <v>2421</v>
      </c>
      <c r="H909"/>
    </row>
    <row r="910" spans="3:8" x14ac:dyDescent="0.3">
      <c r="C910" s="99" t="s">
        <v>2421</v>
      </c>
      <c r="H910"/>
    </row>
    <row r="911" spans="3:8" x14ac:dyDescent="0.3">
      <c r="C911" s="99" t="s">
        <v>2422</v>
      </c>
      <c r="H911"/>
    </row>
    <row r="912" spans="3:8" x14ac:dyDescent="0.3">
      <c r="C912" s="99" t="s">
        <v>2422</v>
      </c>
      <c r="H912"/>
    </row>
    <row r="913" spans="3:8" x14ac:dyDescent="0.3">
      <c r="C913" s="99" t="s">
        <v>2423</v>
      </c>
      <c r="H913"/>
    </row>
    <row r="914" spans="3:8" x14ac:dyDescent="0.3">
      <c r="C914" s="99" t="s">
        <v>2424</v>
      </c>
      <c r="H914"/>
    </row>
    <row r="915" spans="3:8" x14ac:dyDescent="0.3">
      <c r="C915" s="99" t="s">
        <v>2425</v>
      </c>
      <c r="H915"/>
    </row>
    <row r="916" spans="3:8" x14ac:dyDescent="0.3">
      <c r="C916" s="99" t="s">
        <v>2425</v>
      </c>
      <c r="H916"/>
    </row>
    <row r="917" spans="3:8" x14ac:dyDescent="0.3">
      <c r="C917" s="99" t="s">
        <v>2426</v>
      </c>
      <c r="H917"/>
    </row>
    <row r="918" spans="3:8" x14ac:dyDescent="0.3">
      <c r="C918" s="99" t="s">
        <v>2426</v>
      </c>
      <c r="H918"/>
    </row>
    <row r="919" spans="3:8" x14ac:dyDescent="0.3">
      <c r="C919" s="99" t="s">
        <v>2427</v>
      </c>
      <c r="H919"/>
    </row>
    <row r="920" spans="3:8" x14ac:dyDescent="0.3">
      <c r="C920" s="99" t="s">
        <v>2427</v>
      </c>
      <c r="H920"/>
    </row>
    <row r="921" spans="3:8" x14ac:dyDescent="0.3">
      <c r="C921" s="99" t="s">
        <v>2428</v>
      </c>
      <c r="H921"/>
    </row>
    <row r="922" spans="3:8" x14ac:dyDescent="0.3">
      <c r="C922" s="99" t="s">
        <v>2429</v>
      </c>
      <c r="H922"/>
    </row>
    <row r="923" spans="3:8" x14ac:dyDescent="0.3">
      <c r="C923" s="99" t="s">
        <v>2429</v>
      </c>
      <c r="H923"/>
    </row>
    <row r="924" spans="3:8" x14ac:dyDescent="0.3">
      <c r="C924" s="99" t="s">
        <v>2429</v>
      </c>
      <c r="H924"/>
    </row>
    <row r="925" spans="3:8" x14ac:dyDescent="0.3">
      <c r="C925" s="99" t="s">
        <v>2429</v>
      </c>
      <c r="H925"/>
    </row>
    <row r="926" spans="3:8" x14ac:dyDescent="0.3">
      <c r="C926" s="99" t="s">
        <v>2429</v>
      </c>
      <c r="H926"/>
    </row>
    <row r="927" spans="3:8" x14ac:dyDescent="0.3">
      <c r="C927" s="99" t="s">
        <v>2429</v>
      </c>
      <c r="H927"/>
    </row>
    <row r="928" spans="3:8" x14ac:dyDescent="0.3">
      <c r="C928" s="99" t="s">
        <v>2430</v>
      </c>
      <c r="H928"/>
    </row>
    <row r="929" spans="3:8" x14ac:dyDescent="0.3">
      <c r="C929" s="99" t="s">
        <v>2431</v>
      </c>
      <c r="H929"/>
    </row>
    <row r="930" spans="3:8" x14ac:dyDescent="0.3">
      <c r="C930" s="99" t="s">
        <v>2431</v>
      </c>
      <c r="H930"/>
    </row>
    <row r="931" spans="3:8" x14ac:dyDescent="0.3">
      <c r="C931" s="99" t="s">
        <v>2432</v>
      </c>
      <c r="H931"/>
    </row>
    <row r="932" spans="3:8" x14ac:dyDescent="0.3">
      <c r="C932" s="99" t="s">
        <v>2432</v>
      </c>
      <c r="H932"/>
    </row>
    <row r="933" spans="3:8" x14ac:dyDescent="0.3">
      <c r="C933" s="99" t="s">
        <v>2432</v>
      </c>
      <c r="H933"/>
    </row>
    <row r="934" spans="3:8" x14ac:dyDescent="0.3">
      <c r="C934" s="99" t="s">
        <v>2432</v>
      </c>
      <c r="H934"/>
    </row>
    <row r="935" spans="3:8" x14ac:dyDescent="0.3">
      <c r="C935" s="99" t="s">
        <v>2432</v>
      </c>
      <c r="H935"/>
    </row>
    <row r="936" spans="3:8" x14ac:dyDescent="0.3">
      <c r="C936" s="99" t="s">
        <v>2432</v>
      </c>
      <c r="H936"/>
    </row>
    <row r="937" spans="3:8" x14ac:dyDescent="0.3">
      <c r="C937" s="99" t="s">
        <v>2432</v>
      </c>
      <c r="H937"/>
    </row>
    <row r="938" spans="3:8" x14ac:dyDescent="0.3">
      <c r="C938" s="99" t="s">
        <v>2432</v>
      </c>
      <c r="H938"/>
    </row>
    <row r="939" spans="3:8" x14ac:dyDescent="0.3">
      <c r="C939" s="99" t="s">
        <v>2432</v>
      </c>
      <c r="H939"/>
    </row>
    <row r="940" spans="3:8" x14ac:dyDescent="0.3">
      <c r="C940" s="99" t="s">
        <v>2433</v>
      </c>
      <c r="H940"/>
    </row>
    <row r="941" spans="3:8" x14ac:dyDescent="0.3">
      <c r="C941" s="99" t="s">
        <v>2434</v>
      </c>
      <c r="H941"/>
    </row>
    <row r="942" spans="3:8" x14ac:dyDescent="0.3">
      <c r="C942" s="99" t="s">
        <v>2434</v>
      </c>
      <c r="H942"/>
    </row>
    <row r="943" spans="3:8" x14ac:dyDescent="0.3">
      <c r="C943" s="99" t="s">
        <v>2435</v>
      </c>
      <c r="H943"/>
    </row>
    <row r="944" spans="3:8" x14ac:dyDescent="0.3">
      <c r="C944" s="99" t="s">
        <v>2435</v>
      </c>
      <c r="H944"/>
    </row>
    <row r="945" spans="3:8" x14ac:dyDescent="0.3">
      <c r="C945" s="99" t="s">
        <v>2435</v>
      </c>
      <c r="H945"/>
    </row>
    <row r="946" spans="3:8" x14ac:dyDescent="0.3">
      <c r="C946" s="99" t="s">
        <v>2436</v>
      </c>
      <c r="H946"/>
    </row>
    <row r="947" spans="3:8" x14ac:dyDescent="0.3">
      <c r="C947" s="99" t="s">
        <v>2437</v>
      </c>
      <c r="H947"/>
    </row>
    <row r="948" spans="3:8" x14ac:dyDescent="0.3">
      <c r="C948" s="99" t="s">
        <v>2437</v>
      </c>
      <c r="H948"/>
    </row>
    <row r="949" spans="3:8" x14ac:dyDescent="0.3">
      <c r="C949" s="99" t="s">
        <v>2437</v>
      </c>
      <c r="H949"/>
    </row>
    <row r="950" spans="3:8" x14ac:dyDescent="0.3">
      <c r="C950" s="99" t="s">
        <v>2437</v>
      </c>
      <c r="H950"/>
    </row>
    <row r="951" spans="3:8" x14ac:dyDescent="0.3">
      <c r="C951" s="99" t="s">
        <v>2438</v>
      </c>
      <c r="H951"/>
    </row>
    <row r="952" spans="3:8" x14ac:dyDescent="0.3">
      <c r="C952" s="99" t="s">
        <v>2439</v>
      </c>
      <c r="H952"/>
    </row>
    <row r="953" spans="3:8" x14ac:dyDescent="0.3">
      <c r="C953" s="99" t="s">
        <v>2440</v>
      </c>
      <c r="H953"/>
    </row>
    <row r="954" spans="3:8" x14ac:dyDescent="0.3">
      <c r="C954" s="99" t="s">
        <v>2440</v>
      </c>
      <c r="H954"/>
    </row>
    <row r="955" spans="3:8" x14ac:dyDescent="0.3">
      <c r="C955" s="99" t="s">
        <v>2440</v>
      </c>
      <c r="H955"/>
    </row>
    <row r="956" spans="3:8" x14ac:dyDescent="0.3">
      <c r="C956" s="99" t="s">
        <v>2441</v>
      </c>
      <c r="H956"/>
    </row>
    <row r="957" spans="3:8" x14ac:dyDescent="0.3">
      <c r="C957" s="99" t="s">
        <v>2441</v>
      </c>
      <c r="H957"/>
    </row>
    <row r="958" spans="3:8" x14ac:dyDescent="0.3">
      <c r="C958" s="99" t="s">
        <v>2442</v>
      </c>
      <c r="H958"/>
    </row>
    <row r="959" spans="3:8" x14ac:dyDescent="0.3">
      <c r="C959" s="99" t="s">
        <v>2442</v>
      </c>
      <c r="H959"/>
    </row>
    <row r="960" spans="3:8" x14ac:dyDescent="0.3">
      <c r="C960" s="99" t="s">
        <v>2443</v>
      </c>
      <c r="H960"/>
    </row>
    <row r="961" spans="3:8" x14ac:dyDescent="0.3">
      <c r="C961" s="99" t="s">
        <v>2443</v>
      </c>
      <c r="H961"/>
    </row>
    <row r="962" spans="3:8" x14ac:dyDescent="0.3">
      <c r="C962" s="99" t="s">
        <v>2444</v>
      </c>
      <c r="H962"/>
    </row>
    <row r="963" spans="3:8" x14ac:dyDescent="0.3">
      <c r="C963" s="99" t="s">
        <v>2445</v>
      </c>
      <c r="H963"/>
    </row>
    <row r="964" spans="3:8" x14ac:dyDescent="0.3">
      <c r="C964" s="99" t="s">
        <v>2446</v>
      </c>
      <c r="H964"/>
    </row>
    <row r="965" spans="3:8" x14ac:dyDescent="0.3">
      <c r="C965" s="99" t="s">
        <v>2447</v>
      </c>
      <c r="H965"/>
    </row>
    <row r="966" spans="3:8" x14ac:dyDescent="0.3">
      <c r="C966" s="99" t="s">
        <v>2447</v>
      </c>
      <c r="H966"/>
    </row>
    <row r="967" spans="3:8" x14ac:dyDescent="0.3">
      <c r="C967" s="99" t="s">
        <v>2447</v>
      </c>
      <c r="H967"/>
    </row>
    <row r="968" spans="3:8" x14ac:dyDescent="0.3">
      <c r="C968" s="99" t="s">
        <v>2447</v>
      </c>
      <c r="H968"/>
    </row>
    <row r="969" spans="3:8" x14ac:dyDescent="0.3">
      <c r="C969" s="99" t="s">
        <v>2447</v>
      </c>
      <c r="H969"/>
    </row>
    <row r="970" spans="3:8" x14ac:dyDescent="0.3">
      <c r="C970" s="99" t="s">
        <v>2448</v>
      </c>
      <c r="H970"/>
    </row>
    <row r="971" spans="3:8" x14ac:dyDescent="0.3">
      <c r="C971" s="99" t="s">
        <v>2448</v>
      </c>
      <c r="H971"/>
    </row>
    <row r="972" spans="3:8" x14ac:dyDescent="0.3">
      <c r="C972" s="99" t="s">
        <v>2448</v>
      </c>
      <c r="H972"/>
    </row>
    <row r="973" spans="3:8" x14ac:dyDescent="0.3">
      <c r="C973" s="99" t="s">
        <v>2448</v>
      </c>
      <c r="H973"/>
    </row>
    <row r="974" spans="3:8" x14ac:dyDescent="0.3">
      <c r="C974" s="99" t="s">
        <v>2449</v>
      </c>
      <c r="H974"/>
    </row>
    <row r="975" spans="3:8" x14ac:dyDescent="0.3">
      <c r="C975" s="99" t="s">
        <v>2450</v>
      </c>
      <c r="H975"/>
    </row>
    <row r="976" spans="3:8" x14ac:dyDescent="0.3">
      <c r="C976" s="99" t="s">
        <v>2450</v>
      </c>
      <c r="H976"/>
    </row>
    <row r="977" spans="3:8" x14ac:dyDescent="0.3">
      <c r="C977" s="99" t="s">
        <v>2450</v>
      </c>
      <c r="H977"/>
    </row>
    <row r="978" spans="3:8" x14ac:dyDescent="0.3">
      <c r="C978" s="99" t="s">
        <v>2451</v>
      </c>
      <c r="H978"/>
    </row>
    <row r="979" spans="3:8" x14ac:dyDescent="0.3">
      <c r="C979" s="99" t="s">
        <v>2452</v>
      </c>
      <c r="H979"/>
    </row>
    <row r="980" spans="3:8" x14ac:dyDescent="0.3">
      <c r="C980" s="99" t="s">
        <v>2453</v>
      </c>
      <c r="H980"/>
    </row>
    <row r="981" spans="3:8" x14ac:dyDescent="0.3">
      <c r="C981" s="99" t="s">
        <v>2453</v>
      </c>
      <c r="H981"/>
    </row>
    <row r="982" spans="3:8" x14ac:dyDescent="0.3">
      <c r="C982" s="99" t="s">
        <v>2453</v>
      </c>
      <c r="H982"/>
    </row>
    <row r="983" spans="3:8" x14ac:dyDescent="0.3">
      <c r="C983" s="99" t="s">
        <v>2453</v>
      </c>
      <c r="H983"/>
    </row>
    <row r="984" spans="3:8" x14ac:dyDescent="0.3">
      <c r="C984" s="99" t="s">
        <v>2454</v>
      </c>
      <c r="H984"/>
    </row>
    <row r="985" spans="3:8" x14ac:dyDescent="0.3">
      <c r="C985" s="99" t="s">
        <v>2455</v>
      </c>
      <c r="H985"/>
    </row>
    <row r="986" spans="3:8" x14ac:dyDescent="0.3">
      <c r="C986" s="99" t="s">
        <v>2456</v>
      </c>
      <c r="H986"/>
    </row>
    <row r="987" spans="3:8" x14ac:dyDescent="0.3">
      <c r="C987" s="99" t="s">
        <v>2456</v>
      </c>
      <c r="H987"/>
    </row>
    <row r="988" spans="3:8" x14ac:dyDescent="0.3">
      <c r="C988" s="99" t="s">
        <v>2457</v>
      </c>
      <c r="H988"/>
    </row>
    <row r="989" spans="3:8" x14ac:dyDescent="0.3">
      <c r="C989" s="99" t="s">
        <v>2458</v>
      </c>
      <c r="H989"/>
    </row>
    <row r="990" spans="3:8" x14ac:dyDescent="0.3">
      <c r="C990" s="99" t="s">
        <v>2459</v>
      </c>
      <c r="H990"/>
    </row>
    <row r="991" spans="3:8" x14ac:dyDescent="0.3">
      <c r="C991" s="99" t="s">
        <v>2459</v>
      </c>
      <c r="H991"/>
    </row>
    <row r="992" spans="3:8" x14ac:dyDescent="0.3">
      <c r="C992" s="99" t="s">
        <v>2459</v>
      </c>
      <c r="H992"/>
    </row>
    <row r="993" spans="3:8" x14ac:dyDescent="0.3">
      <c r="C993" s="99" t="s">
        <v>2460</v>
      </c>
      <c r="H993"/>
    </row>
    <row r="994" spans="3:8" x14ac:dyDescent="0.3">
      <c r="C994" s="99" t="s">
        <v>2461</v>
      </c>
      <c r="H994"/>
    </row>
    <row r="995" spans="3:8" x14ac:dyDescent="0.3">
      <c r="C995" s="99" t="s">
        <v>2462</v>
      </c>
      <c r="H995"/>
    </row>
    <row r="996" spans="3:8" x14ac:dyDescent="0.3">
      <c r="C996" s="99" t="s">
        <v>2462</v>
      </c>
      <c r="H996"/>
    </row>
    <row r="997" spans="3:8" x14ac:dyDescent="0.3">
      <c r="C997" s="99" t="s">
        <v>2463</v>
      </c>
      <c r="H997"/>
    </row>
    <row r="998" spans="3:8" x14ac:dyDescent="0.3">
      <c r="C998" s="99" t="s">
        <v>2463</v>
      </c>
      <c r="H998"/>
    </row>
    <row r="999" spans="3:8" x14ac:dyDescent="0.3">
      <c r="C999" s="99" t="s">
        <v>2463</v>
      </c>
      <c r="H999"/>
    </row>
    <row r="1000" spans="3:8" x14ac:dyDescent="0.3">
      <c r="C1000" s="99" t="s">
        <v>2464</v>
      </c>
      <c r="H1000"/>
    </row>
    <row r="1001" spans="3:8" x14ac:dyDescent="0.3">
      <c r="C1001" s="99" t="s">
        <v>2464</v>
      </c>
      <c r="H1001"/>
    </row>
    <row r="1002" spans="3:8" x14ac:dyDescent="0.3">
      <c r="C1002" s="99" t="s">
        <v>2464</v>
      </c>
      <c r="H1002"/>
    </row>
    <row r="1003" spans="3:8" x14ac:dyDescent="0.3">
      <c r="C1003" s="99" t="s">
        <v>2464</v>
      </c>
      <c r="H1003"/>
    </row>
    <row r="1004" spans="3:8" x14ac:dyDescent="0.3">
      <c r="C1004" s="99" t="s">
        <v>2465</v>
      </c>
      <c r="H1004"/>
    </row>
    <row r="1005" spans="3:8" x14ac:dyDescent="0.3">
      <c r="C1005" s="99" t="s">
        <v>2465</v>
      </c>
      <c r="H1005"/>
    </row>
    <row r="1006" spans="3:8" x14ac:dyDescent="0.3">
      <c r="C1006" s="99" t="s">
        <v>2465</v>
      </c>
      <c r="H1006"/>
    </row>
    <row r="1007" spans="3:8" x14ac:dyDescent="0.3">
      <c r="C1007" s="99" t="s">
        <v>2465</v>
      </c>
      <c r="H1007"/>
    </row>
    <row r="1008" spans="3:8" x14ac:dyDescent="0.3">
      <c r="C1008" s="99" t="s">
        <v>2465</v>
      </c>
      <c r="H1008"/>
    </row>
    <row r="1009" spans="3:8" x14ac:dyDescent="0.3">
      <c r="C1009" s="99" t="s">
        <v>2466</v>
      </c>
      <c r="H1009"/>
    </row>
    <row r="1010" spans="3:8" x14ac:dyDescent="0.3">
      <c r="C1010" s="99" t="s">
        <v>2466</v>
      </c>
      <c r="H1010"/>
    </row>
    <row r="1011" spans="3:8" x14ac:dyDescent="0.3">
      <c r="C1011" s="99" t="s">
        <v>2467</v>
      </c>
      <c r="H1011"/>
    </row>
    <row r="1012" spans="3:8" x14ac:dyDescent="0.3">
      <c r="C1012" s="99" t="s">
        <v>2468</v>
      </c>
      <c r="H1012"/>
    </row>
    <row r="1013" spans="3:8" x14ac:dyDescent="0.3">
      <c r="C1013" s="99" t="s">
        <v>2468</v>
      </c>
      <c r="H1013"/>
    </row>
    <row r="1014" spans="3:8" x14ac:dyDescent="0.3">
      <c r="C1014" s="99" t="s">
        <v>2468</v>
      </c>
      <c r="H1014"/>
    </row>
    <row r="1015" spans="3:8" x14ac:dyDescent="0.3">
      <c r="C1015" s="99" t="s">
        <v>2468</v>
      </c>
      <c r="H1015"/>
    </row>
    <row r="1016" spans="3:8" x14ac:dyDescent="0.3">
      <c r="C1016" s="99" t="s">
        <v>2469</v>
      </c>
      <c r="H1016"/>
    </row>
    <row r="1017" spans="3:8" x14ac:dyDescent="0.3">
      <c r="C1017" s="99" t="s">
        <v>2469</v>
      </c>
      <c r="H1017"/>
    </row>
    <row r="1018" spans="3:8" x14ac:dyDescent="0.3">
      <c r="C1018" s="99" t="s">
        <v>2470</v>
      </c>
      <c r="H1018"/>
    </row>
    <row r="1019" spans="3:8" x14ac:dyDescent="0.3">
      <c r="C1019" s="99" t="s">
        <v>2470</v>
      </c>
      <c r="H1019"/>
    </row>
    <row r="1020" spans="3:8" x14ac:dyDescent="0.3">
      <c r="C1020" s="99" t="s">
        <v>2470</v>
      </c>
      <c r="H1020"/>
    </row>
    <row r="1021" spans="3:8" x14ac:dyDescent="0.3">
      <c r="C1021" s="99" t="s">
        <v>2471</v>
      </c>
      <c r="H1021"/>
    </row>
    <row r="1022" spans="3:8" x14ac:dyDescent="0.3">
      <c r="C1022" s="99" t="s">
        <v>2471</v>
      </c>
      <c r="H1022"/>
    </row>
    <row r="1023" spans="3:8" x14ac:dyDescent="0.3">
      <c r="C1023" s="99" t="s">
        <v>2472</v>
      </c>
      <c r="H1023"/>
    </row>
    <row r="1024" spans="3:8" x14ac:dyDescent="0.3">
      <c r="C1024" s="99" t="s">
        <v>2473</v>
      </c>
      <c r="H1024"/>
    </row>
    <row r="1025" spans="3:8" x14ac:dyDescent="0.3">
      <c r="C1025" s="99" t="s">
        <v>2474</v>
      </c>
      <c r="H1025"/>
    </row>
    <row r="1026" spans="3:8" x14ac:dyDescent="0.3">
      <c r="C1026" s="99" t="s">
        <v>2475</v>
      </c>
      <c r="H1026"/>
    </row>
    <row r="1027" spans="3:8" x14ac:dyDescent="0.3">
      <c r="C1027" s="99" t="s">
        <v>2475</v>
      </c>
      <c r="H1027"/>
    </row>
    <row r="1028" spans="3:8" x14ac:dyDescent="0.3">
      <c r="C1028" s="99" t="s">
        <v>2475</v>
      </c>
      <c r="H1028"/>
    </row>
    <row r="1029" spans="3:8" x14ac:dyDescent="0.3">
      <c r="C1029" s="99" t="s">
        <v>2475</v>
      </c>
      <c r="H1029"/>
    </row>
    <row r="1030" spans="3:8" x14ac:dyDescent="0.3">
      <c r="C1030" s="99" t="s">
        <v>2476</v>
      </c>
      <c r="H1030"/>
    </row>
    <row r="1031" spans="3:8" x14ac:dyDescent="0.3">
      <c r="C1031" s="99" t="s">
        <v>2477</v>
      </c>
      <c r="H1031"/>
    </row>
    <row r="1032" spans="3:8" x14ac:dyDescent="0.3">
      <c r="C1032" s="99" t="s">
        <v>2477</v>
      </c>
      <c r="H1032"/>
    </row>
    <row r="1033" spans="3:8" x14ac:dyDescent="0.3">
      <c r="C1033" s="99" t="s">
        <v>2478</v>
      </c>
      <c r="H1033"/>
    </row>
    <row r="1034" spans="3:8" x14ac:dyDescent="0.3">
      <c r="C1034" s="99" t="s">
        <v>2479</v>
      </c>
      <c r="H1034"/>
    </row>
    <row r="1035" spans="3:8" x14ac:dyDescent="0.3">
      <c r="C1035" s="99" t="s">
        <v>2480</v>
      </c>
      <c r="H1035"/>
    </row>
    <row r="1036" spans="3:8" x14ac:dyDescent="0.3">
      <c r="C1036" s="99" t="s">
        <v>2480</v>
      </c>
      <c r="H1036"/>
    </row>
    <row r="1037" spans="3:8" x14ac:dyDescent="0.3">
      <c r="C1037" s="99" t="s">
        <v>2480</v>
      </c>
      <c r="H1037"/>
    </row>
    <row r="1038" spans="3:8" x14ac:dyDescent="0.3">
      <c r="C1038" s="99" t="s">
        <v>2480</v>
      </c>
      <c r="H1038"/>
    </row>
    <row r="1039" spans="3:8" x14ac:dyDescent="0.3">
      <c r="C1039" s="99" t="s">
        <v>2481</v>
      </c>
      <c r="H1039"/>
    </row>
    <row r="1040" spans="3:8" x14ac:dyDescent="0.3">
      <c r="C1040" s="99" t="s">
        <v>2482</v>
      </c>
      <c r="H1040"/>
    </row>
    <row r="1041" spans="3:8" x14ac:dyDescent="0.3">
      <c r="C1041" s="99" t="s">
        <v>2482</v>
      </c>
      <c r="H1041"/>
    </row>
    <row r="1042" spans="3:8" x14ac:dyDescent="0.3">
      <c r="C1042" s="99" t="s">
        <v>2483</v>
      </c>
      <c r="H1042"/>
    </row>
    <row r="1043" spans="3:8" x14ac:dyDescent="0.3">
      <c r="C1043" s="99" t="s">
        <v>2483</v>
      </c>
      <c r="H1043"/>
    </row>
    <row r="1044" spans="3:8" x14ac:dyDescent="0.3">
      <c r="C1044" s="99" t="s">
        <v>2483</v>
      </c>
      <c r="H1044"/>
    </row>
    <row r="1045" spans="3:8" x14ac:dyDescent="0.3">
      <c r="C1045" s="99" t="s">
        <v>2484</v>
      </c>
      <c r="H1045"/>
    </row>
    <row r="1046" spans="3:8" x14ac:dyDescent="0.3">
      <c r="C1046" s="99" t="s">
        <v>2484</v>
      </c>
      <c r="H1046"/>
    </row>
    <row r="1047" spans="3:8" x14ac:dyDescent="0.3">
      <c r="C1047" s="99" t="s">
        <v>2484</v>
      </c>
      <c r="H1047"/>
    </row>
    <row r="1048" spans="3:8" x14ac:dyDescent="0.3">
      <c r="C1048" s="99" t="s">
        <v>2484</v>
      </c>
      <c r="H1048"/>
    </row>
    <row r="1049" spans="3:8" x14ac:dyDescent="0.3">
      <c r="C1049" s="99" t="s">
        <v>2485</v>
      </c>
      <c r="H1049"/>
    </row>
    <row r="1050" spans="3:8" x14ac:dyDescent="0.3">
      <c r="C1050" s="99" t="s">
        <v>2485</v>
      </c>
      <c r="H1050"/>
    </row>
    <row r="1051" spans="3:8" x14ac:dyDescent="0.3">
      <c r="C1051" s="99" t="s">
        <v>2485</v>
      </c>
      <c r="H1051"/>
    </row>
    <row r="1052" spans="3:8" x14ac:dyDescent="0.3">
      <c r="C1052" s="99" t="s">
        <v>2486</v>
      </c>
      <c r="H1052"/>
    </row>
    <row r="1053" spans="3:8" x14ac:dyDescent="0.3">
      <c r="C1053" s="99" t="s">
        <v>2486</v>
      </c>
      <c r="H1053"/>
    </row>
    <row r="1054" spans="3:8" x14ac:dyDescent="0.3">
      <c r="C1054" s="99" t="s">
        <v>2486</v>
      </c>
      <c r="H1054"/>
    </row>
    <row r="1055" spans="3:8" x14ac:dyDescent="0.3">
      <c r="C1055" s="99" t="s">
        <v>2486</v>
      </c>
      <c r="H1055"/>
    </row>
    <row r="1056" spans="3:8" x14ac:dyDescent="0.3">
      <c r="C1056" s="99" t="s">
        <v>2486</v>
      </c>
      <c r="H1056"/>
    </row>
    <row r="1057" spans="3:8" x14ac:dyDescent="0.3">
      <c r="C1057" s="99" t="s">
        <v>2487</v>
      </c>
      <c r="H1057"/>
    </row>
    <row r="1058" spans="3:8" x14ac:dyDescent="0.3">
      <c r="C1058" s="99" t="s">
        <v>2487</v>
      </c>
      <c r="H1058"/>
    </row>
    <row r="1059" spans="3:8" x14ac:dyDescent="0.3">
      <c r="C1059" s="99" t="s">
        <v>2488</v>
      </c>
      <c r="H1059"/>
    </row>
    <row r="1060" spans="3:8" x14ac:dyDescent="0.3">
      <c r="C1060" s="99" t="s">
        <v>2488</v>
      </c>
      <c r="H1060"/>
    </row>
    <row r="1061" spans="3:8" x14ac:dyDescent="0.3">
      <c r="C1061" s="99" t="s">
        <v>2488</v>
      </c>
      <c r="H1061"/>
    </row>
    <row r="1062" spans="3:8" x14ac:dyDescent="0.3">
      <c r="C1062" s="99" t="s">
        <v>2489</v>
      </c>
      <c r="H1062"/>
    </row>
    <row r="1063" spans="3:8" x14ac:dyDescent="0.3">
      <c r="C1063" s="99" t="s">
        <v>2490</v>
      </c>
      <c r="H1063"/>
    </row>
    <row r="1064" spans="3:8" x14ac:dyDescent="0.3">
      <c r="C1064" s="99" t="s">
        <v>2491</v>
      </c>
      <c r="H1064"/>
    </row>
    <row r="1065" spans="3:8" x14ac:dyDescent="0.3">
      <c r="C1065" s="99" t="s">
        <v>2492</v>
      </c>
      <c r="H1065"/>
    </row>
    <row r="1066" spans="3:8" x14ac:dyDescent="0.3">
      <c r="C1066" s="99" t="s">
        <v>2493</v>
      </c>
      <c r="H1066"/>
    </row>
    <row r="1067" spans="3:8" x14ac:dyDescent="0.3">
      <c r="C1067" s="99" t="s">
        <v>2494</v>
      </c>
      <c r="H1067"/>
    </row>
    <row r="1068" spans="3:8" x14ac:dyDescent="0.3">
      <c r="C1068" s="99" t="s">
        <v>2494</v>
      </c>
      <c r="H1068"/>
    </row>
    <row r="1069" spans="3:8" x14ac:dyDescent="0.3">
      <c r="C1069" s="99" t="s">
        <v>2495</v>
      </c>
      <c r="H1069"/>
    </row>
    <row r="1070" spans="3:8" x14ac:dyDescent="0.3">
      <c r="C1070" s="99" t="s">
        <v>2495</v>
      </c>
      <c r="H1070"/>
    </row>
    <row r="1071" spans="3:8" x14ac:dyDescent="0.3">
      <c r="C1071" s="99" t="s">
        <v>2495</v>
      </c>
      <c r="H1071"/>
    </row>
    <row r="1072" spans="3:8" x14ac:dyDescent="0.3">
      <c r="C1072" s="99" t="s">
        <v>2495</v>
      </c>
      <c r="H1072"/>
    </row>
    <row r="1073" spans="3:8" x14ac:dyDescent="0.3">
      <c r="C1073" s="99" t="s">
        <v>2495</v>
      </c>
      <c r="H1073"/>
    </row>
    <row r="1074" spans="3:8" x14ac:dyDescent="0.3">
      <c r="C1074" s="99" t="s">
        <v>2496</v>
      </c>
      <c r="H1074"/>
    </row>
    <row r="1075" spans="3:8" x14ac:dyDescent="0.3">
      <c r="C1075" s="99" t="s">
        <v>2496</v>
      </c>
      <c r="H1075"/>
    </row>
    <row r="1076" spans="3:8" x14ac:dyDescent="0.3">
      <c r="C1076" s="99" t="s">
        <v>2496</v>
      </c>
      <c r="H1076"/>
    </row>
    <row r="1077" spans="3:8" x14ac:dyDescent="0.3">
      <c r="C1077" s="99" t="s">
        <v>2497</v>
      </c>
      <c r="H1077"/>
    </row>
    <row r="1078" spans="3:8" x14ac:dyDescent="0.3">
      <c r="C1078" s="99" t="s">
        <v>2497</v>
      </c>
      <c r="H1078"/>
    </row>
    <row r="1079" spans="3:8" x14ac:dyDescent="0.3">
      <c r="C1079" s="99" t="s">
        <v>2497</v>
      </c>
      <c r="H1079"/>
    </row>
    <row r="1080" spans="3:8" x14ac:dyDescent="0.3">
      <c r="C1080" s="99" t="s">
        <v>2497</v>
      </c>
      <c r="H1080"/>
    </row>
    <row r="1081" spans="3:8" x14ac:dyDescent="0.3">
      <c r="C1081" s="99" t="s">
        <v>2497</v>
      </c>
      <c r="H1081"/>
    </row>
    <row r="1082" spans="3:8" x14ac:dyDescent="0.3">
      <c r="C1082" s="99" t="s">
        <v>2498</v>
      </c>
      <c r="H1082"/>
    </row>
    <row r="1083" spans="3:8" x14ac:dyDescent="0.3">
      <c r="C1083" s="99" t="s">
        <v>2499</v>
      </c>
      <c r="H1083"/>
    </row>
    <row r="1084" spans="3:8" x14ac:dyDescent="0.3">
      <c r="C1084" s="99" t="s">
        <v>2500</v>
      </c>
      <c r="H1084"/>
    </row>
    <row r="1085" spans="3:8" x14ac:dyDescent="0.3">
      <c r="C1085" s="99" t="s">
        <v>2500</v>
      </c>
      <c r="H1085"/>
    </row>
    <row r="1086" spans="3:8" x14ac:dyDescent="0.3">
      <c r="C1086" s="99" t="s">
        <v>2501</v>
      </c>
      <c r="H1086"/>
    </row>
    <row r="1087" spans="3:8" x14ac:dyDescent="0.3">
      <c r="C1087" s="99" t="s">
        <v>2501</v>
      </c>
      <c r="H1087"/>
    </row>
    <row r="1088" spans="3:8" x14ac:dyDescent="0.3">
      <c r="C1088" s="99" t="s">
        <v>2501</v>
      </c>
      <c r="H1088"/>
    </row>
    <row r="1089" spans="3:8" x14ac:dyDescent="0.3">
      <c r="C1089" s="99" t="s">
        <v>2502</v>
      </c>
      <c r="H1089"/>
    </row>
    <row r="1090" spans="3:8" x14ac:dyDescent="0.3">
      <c r="C1090" s="99" t="s">
        <v>2502</v>
      </c>
      <c r="H1090"/>
    </row>
    <row r="1091" spans="3:8" x14ac:dyDescent="0.3">
      <c r="C1091" s="99" t="s">
        <v>2502</v>
      </c>
      <c r="H1091"/>
    </row>
    <row r="1092" spans="3:8" x14ac:dyDescent="0.3">
      <c r="C1092" s="99" t="s">
        <v>2503</v>
      </c>
      <c r="H1092"/>
    </row>
    <row r="1093" spans="3:8" x14ac:dyDescent="0.3">
      <c r="C1093" s="99" t="s">
        <v>2504</v>
      </c>
      <c r="H1093"/>
    </row>
    <row r="1094" spans="3:8" x14ac:dyDescent="0.3">
      <c r="C1094" s="99" t="s">
        <v>2505</v>
      </c>
      <c r="H1094"/>
    </row>
    <row r="1095" spans="3:8" x14ac:dyDescent="0.3">
      <c r="C1095" s="99" t="s">
        <v>2505</v>
      </c>
      <c r="H1095"/>
    </row>
    <row r="1096" spans="3:8" x14ac:dyDescent="0.3">
      <c r="C1096" s="99" t="s">
        <v>2505</v>
      </c>
      <c r="H1096"/>
    </row>
    <row r="1097" spans="3:8" x14ac:dyDescent="0.3">
      <c r="C1097" s="99" t="s">
        <v>2506</v>
      </c>
      <c r="H1097"/>
    </row>
    <row r="1098" spans="3:8" x14ac:dyDescent="0.3">
      <c r="C1098" s="99" t="s">
        <v>2507</v>
      </c>
      <c r="H1098"/>
    </row>
    <row r="1099" spans="3:8" x14ac:dyDescent="0.3">
      <c r="C1099" s="99" t="s">
        <v>2507</v>
      </c>
      <c r="H1099"/>
    </row>
    <row r="1100" spans="3:8" x14ac:dyDescent="0.3">
      <c r="C1100" s="99" t="s">
        <v>2507</v>
      </c>
      <c r="H1100"/>
    </row>
    <row r="1101" spans="3:8" x14ac:dyDescent="0.3">
      <c r="C1101" s="99" t="s">
        <v>2507</v>
      </c>
      <c r="H1101"/>
    </row>
    <row r="1102" spans="3:8" x14ac:dyDescent="0.3">
      <c r="C1102" s="99" t="s">
        <v>2508</v>
      </c>
      <c r="H1102"/>
    </row>
    <row r="1103" spans="3:8" x14ac:dyDescent="0.3">
      <c r="C1103" s="99" t="s">
        <v>2509</v>
      </c>
      <c r="H1103"/>
    </row>
    <row r="1104" spans="3:8" x14ac:dyDescent="0.3">
      <c r="C1104" s="99" t="s">
        <v>2510</v>
      </c>
      <c r="H1104"/>
    </row>
    <row r="1105" spans="3:8" x14ac:dyDescent="0.3">
      <c r="C1105" s="99" t="s">
        <v>2510</v>
      </c>
      <c r="H1105"/>
    </row>
    <row r="1106" spans="3:8" x14ac:dyDescent="0.3">
      <c r="C1106" s="99" t="s">
        <v>2511</v>
      </c>
      <c r="H1106"/>
    </row>
    <row r="1107" spans="3:8" x14ac:dyDescent="0.3">
      <c r="C1107" s="99" t="s">
        <v>2511</v>
      </c>
      <c r="H1107"/>
    </row>
    <row r="1108" spans="3:8" x14ac:dyDescent="0.3">
      <c r="C1108" s="99" t="s">
        <v>2512</v>
      </c>
      <c r="H1108"/>
    </row>
    <row r="1109" spans="3:8" x14ac:dyDescent="0.3">
      <c r="C1109" s="99" t="s">
        <v>2513</v>
      </c>
      <c r="H1109"/>
    </row>
    <row r="1110" spans="3:8" x14ac:dyDescent="0.3">
      <c r="C1110" s="99" t="s">
        <v>2513</v>
      </c>
      <c r="H1110"/>
    </row>
    <row r="1111" spans="3:8" x14ac:dyDescent="0.3">
      <c r="C1111" s="99" t="s">
        <v>2513</v>
      </c>
      <c r="H1111"/>
    </row>
    <row r="1112" spans="3:8" x14ac:dyDescent="0.3">
      <c r="C1112" s="99" t="s">
        <v>2514</v>
      </c>
      <c r="H1112"/>
    </row>
    <row r="1113" spans="3:8" x14ac:dyDescent="0.3">
      <c r="C1113" s="99" t="s">
        <v>2514</v>
      </c>
      <c r="H1113"/>
    </row>
    <row r="1114" spans="3:8" x14ac:dyDescent="0.3">
      <c r="C1114" s="99" t="s">
        <v>2514</v>
      </c>
      <c r="H1114"/>
    </row>
    <row r="1115" spans="3:8" x14ac:dyDescent="0.3">
      <c r="C1115" s="99" t="s">
        <v>2515</v>
      </c>
      <c r="H1115"/>
    </row>
    <row r="1116" spans="3:8" x14ac:dyDescent="0.3">
      <c r="C1116" s="99" t="s">
        <v>2515</v>
      </c>
      <c r="H1116"/>
    </row>
    <row r="1117" spans="3:8" x14ac:dyDescent="0.3">
      <c r="C1117" s="99" t="s">
        <v>2515</v>
      </c>
      <c r="H1117"/>
    </row>
    <row r="1118" spans="3:8" x14ac:dyDescent="0.3">
      <c r="C1118" s="99" t="s">
        <v>2516</v>
      </c>
      <c r="H1118"/>
    </row>
    <row r="1119" spans="3:8" x14ac:dyDescent="0.3">
      <c r="C1119" s="99" t="s">
        <v>2517</v>
      </c>
      <c r="H1119"/>
    </row>
    <row r="1120" spans="3:8" x14ac:dyDescent="0.3">
      <c r="C1120" s="99" t="s">
        <v>2518</v>
      </c>
      <c r="H1120"/>
    </row>
    <row r="1121" spans="3:8" x14ac:dyDescent="0.3">
      <c r="C1121" s="99" t="s">
        <v>2518</v>
      </c>
      <c r="H1121"/>
    </row>
    <row r="1122" spans="3:8" x14ac:dyDescent="0.3">
      <c r="C1122" s="99" t="s">
        <v>2519</v>
      </c>
      <c r="H1122"/>
    </row>
    <row r="1123" spans="3:8" x14ac:dyDescent="0.3">
      <c r="C1123" s="99" t="s">
        <v>2519</v>
      </c>
      <c r="H1123"/>
    </row>
    <row r="1124" spans="3:8" x14ac:dyDescent="0.3">
      <c r="C1124" s="99" t="s">
        <v>2519</v>
      </c>
      <c r="H1124"/>
    </row>
    <row r="1125" spans="3:8" x14ac:dyDescent="0.3">
      <c r="C1125" s="99" t="s">
        <v>2519</v>
      </c>
      <c r="H1125"/>
    </row>
    <row r="1126" spans="3:8" x14ac:dyDescent="0.3">
      <c r="C1126" s="99" t="s">
        <v>2519</v>
      </c>
      <c r="H1126"/>
    </row>
    <row r="1127" spans="3:8" x14ac:dyDescent="0.3">
      <c r="C1127" s="99" t="s">
        <v>2519</v>
      </c>
      <c r="H1127"/>
    </row>
    <row r="1128" spans="3:8" x14ac:dyDescent="0.3">
      <c r="C1128" s="99" t="s">
        <v>2519</v>
      </c>
      <c r="H1128"/>
    </row>
    <row r="1129" spans="3:8" x14ac:dyDescent="0.3">
      <c r="C1129" s="99" t="s">
        <v>2520</v>
      </c>
      <c r="H1129"/>
    </row>
    <row r="1130" spans="3:8" x14ac:dyDescent="0.3">
      <c r="C1130" s="99" t="s">
        <v>2520</v>
      </c>
      <c r="H1130"/>
    </row>
    <row r="1131" spans="3:8" x14ac:dyDescent="0.3">
      <c r="C1131" s="99" t="s">
        <v>2521</v>
      </c>
      <c r="H1131"/>
    </row>
    <row r="1132" spans="3:8" x14ac:dyDescent="0.3">
      <c r="C1132" s="99" t="s">
        <v>2521</v>
      </c>
      <c r="H1132"/>
    </row>
    <row r="1133" spans="3:8" x14ac:dyDescent="0.3">
      <c r="C1133" s="99" t="s">
        <v>2522</v>
      </c>
      <c r="H1133"/>
    </row>
    <row r="1134" spans="3:8" x14ac:dyDescent="0.3">
      <c r="C1134" s="99" t="s">
        <v>2522</v>
      </c>
      <c r="H1134"/>
    </row>
    <row r="1135" spans="3:8" x14ac:dyDescent="0.3">
      <c r="C1135" s="99" t="s">
        <v>2523</v>
      </c>
      <c r="H1135"/>
    </row>
    <row r="1136" spans="3:8" x14ac:dyDescent="0.3">
      <c r="C1136" s="99" t="s">
        <v>2523</v>
      </c>
      <c r="H1136"/>
    </row>
    <row r="1137" spans="3:8" x14ac:dyDescent="0.3">
      <c r="C1137" s="99" t="s">
        <v>2523</v>
      </c>
      <c r="H1137"/>
    </row>
    <row r="1138" spans="3:8" x14ac:dyDescent="0.3">
      <c r="C1138" s="99" t="s">
        <v>2524</v>
      </c>
      <c r="H1138"/>
    </row>
    <row r="1139" spans="3:8" x14ac:dyDescent="0.3">
      <c r="C1139" s="99" t="s">
        <v>2524</v>
      </c>
      <c r="H1139"/>
    </row>
    <row r="1140" spans="3:8" x14ac:dyDescent="0.3">
      <c r="C1140" s="99" t="s">
        <v>2525</v>
      </c>
      <c r="H1140"/>
    </row>
    <row r="1141" spans="3:8" x14ac:dyDescent="0.3">
      <c r="C1141" s="99" t="s">
        <v>2526</v>
      </c>
      <c r="H1141"/>
    </row>
    <row r="1142" spans="3:8" x14ac:dyDescent="0.3">
      <c r="C1142" s="99" t="s">
        <v>2527</v>
      </c>
      <c r="H1142"/>
    </row>
    <row r="1143" spans="3:8" x14ac:dyDescent="0.3">
      <c r="C1143" s="99" t="s">
        <v>2527</v>
      </c>
      <c r="H1143"/>
    </row>
    <row r="1144" spans="3:8" x14ac:dyDescent="0.3">
      <c r="C1144" s="99" t="s">
        <v>2528</v>
      </c>
      <c r="H1144"/>
    </row>
    <row r="1145" spans="3:8" x14ac:dyDescent="0.3">
      <c r="C1145" s="99" t="s">
        <v>2529</v>
      </c>
      <c r="H1145"/>
    </row>
    <row r="1146" spans="3:8" x14ac:dyDescent="0.3">
      <c r="C1146" s="99" t="s">
        <v>2529</v>
      </c>
      <c r="H1146"/>
    </row>
    <row r="1147" spans="3:8" x14ac:dyDescent="0.3">
      <c r="C1147" s="99" t="s">
        <v>2530</v>
      </c>
      <c r="H1147"/>
    </row>
    <row r="1148" spans="3:8" x14ac:dyDescent="0.3">
      <c r="C1148" s="99" t="s">
        <v>2530</v>
      </c>
      <c r="H1148"/>
    </row>
    <row r="1149" spans="3:8" x14ac:dyDescent="0.3">
      <c r="C1149" s="99" t="s">
        <v>2530</v>
      </c>
      <c r="H1149"/>
    </row>
    <row r="1150" spans="3:8" x14ac:dyDescent="0.3">
      <c r="C1150" s="99" t="s">
        <v>2530</v>
      </c>
      <c r="H1150"/>
    </row>
    <row r="1151" spans="3:8" x14ac:dyDescent="0.3">
      <c r="C1151" s="99" t="s">
        <v>2531</v>
      </c>
      <c r="H1151"/>
    </row>
    <row r="1152" spans="3:8" x14ac:dyDescent="0.3">
      <c r="C1152" s="99" t="s">
        <v>2531</v>
      </c>
      <c r="H1152"/>
    </row>
    <row r="1153" spans="3:8" x14ac:dyDescent="0.3">
      <c r="C1153" s="99" t="s">
        <v>2532</v>
      </c>
      <c r="H1153"/>
    </row>
    <row r="1154" spans="3:8" x14ac:dyDescent="0.3">
      <c r="C1154" s="99" t="s">
        <v>2532</v>
      </c>
      <c r="H1154"/>
    </row>
    <row r="1155" spans="3:8" x14ac:dyDescent="0.3">
      <c r="C1155" s="99" t="s">
        <v>2532</v>
      </c>
      <c r="H1155"/>
    </row>
    <row r="1156" spans="3:8" x14ac:dyDescent="0.3">
      <c r="C1156" s="99" t="s">
        <v>2533</v>
      </c>
      <c r="H1156"/>
    </row>
    <row r="1157" spans="3:8" x14ac:dyDescent="0.3">
      <c r="C1157" s="99" t="s">
        <v>2533</v>
      </c>
      <c r="H1157"/>
    </row>
    <row r="1158" spans="3:8" x14ac:dyDescent="0.3">
      <c r="C1158" s="99" t="s">
        <v>2533</v>
      </c>
      <c r="H1158"/>
    </row>
    <row r="1159" spans="3:8" x14ac:dyDescent="0.3">
      <c r="C1159" s="99" t="s">
        <v>2533</v>
      </c>
      <c r="H1159"/>
    </row>
    <row r="1160" spans="3:8" x14ac:dyDescent="0.3">
      <c r="C1160" s="99" t="s">
        <v>2533</v>
      </c>
      <c r="H1160"/>
    </row>
    <row r="1161" spans="3:8" x14ac:dyDescent="0.3">
      <c r="C1161" s="99" t="s">
        <v>2533</v>
      </c>
      <c r="H1161"/>
    </row>
    <row r="1162" spans="3:8" x14ac:dyDescent="0.3">
      <c r="C1162" s="99" t="s">
        <v>2534</v>
      </c>
      <c r="H1162"/>
    </row>
    <row r="1163" spans="3:8" x14ac:dyDescent="0.3">
      <c r="C1163" s="99" t="s">
        <v>2534</v>
      </c>
      <c r="H1163"/>
    </row>
    <row r="1164" spans="3:8" x14ac:dyDescent="0.3">
      <c r="C1164" s="99" t="s">
        <v>2535</v>
      </c>
      <c r="H1164"/>
    </row>
    <row r="1165" spans="3:8" x14ac:dyDescent="0.3">
      <c r="C1165" s="99" t="s">
        <v>2535</v>
      </c>
      <c r="H1165"/>
    </row>
    <row r="1166" spans="3:8" x14ac:dyDescent="0.3">
      <c r="C1166" s="99" t="s">
        <v>2536</v>
      </c>
      <c r="H1166"/>
    </row>
    <row r="1167" spans="3:8" x14ac:dyDescent="0.3">
      <c r="C1167" s="99" t="s">
        <v>2536</v>
      </c>
      <c r="H1167"/>
    </row>
    <row r="1168" spans="3:8" x14ac:dyDescent="0.3">
      <c r="C1168" s="99" t="s">
        <v>2536</v>
      </c>
      <c r="H1168"/>
    </row>
    <row r="1169" spans="3:8" x14ac:dyDescent="0.3">
      <c r="C1169" s="99" t="s">
        <v>2536</v>
      </c>
      <c r="H1169"/>
    </row>
    <row r="1170" spans="3:8" x14ac:dyDescent="0.3">
      <c r="C1170" s="99" t="s">
        <v>2536</v>
      </c>
      <c r="H1170"/>
    </row>
    <row r="1171" spans="3:8" x14ac:dyDescent="0.3">
      <c r="C1171" s="99" t="s">
        <v>2536</v>
      </c>
      <c r="H1171"/>
    </row>
    <row r="1172" spans="3:8" x14ac:dyDescent="0.3">
      <c r="C1172" s="99" t="s">
        <v>2537</v>
      </c>
      <c r="H1172"/>
    </row>
    <row r="1173" spans="3:8" x14ac:dyDescent="0.3">
      <c r="C1173" s="99" t="s">
        <v>2537</v>
      </c>
      <c r="H1173"/>
    </row>
    <row r="1174" spans="3:8" x14ac:dyDescent="0.3">
      <c r="C1174" s="99" t="s">
        <v>2537</v>
      </c>
      <c r="H1174"/>
    </row>
    <row r="1175" spans="3:8" x14ac:dyDescent="0.3">
      <c r="C1175" s="99" t="s">
        <v>2537</v>
      </c>
      <c r="H1175"/>
    </row>
    <row r="1176" spans="3:8" x14ac:dyDescent="0.3">
      <c r="C1176" s="99" t="s">
        <v>2537</v>
      </c>
      <c r="H1176"/>
    </row>
    <row r="1177" spans="3:8" x14ac:dyDescent="0.3">
      <c r="C1177" s="99" t="s">
        <v>2537</v>
      </c>
      <c r="H1177"/>
    </row>
    <row r="1178" spans="3:8" x14ac:dyDescent="0.3">
      <c r="C1178" s="99" t="s">
        <v>2538</v>
      </c>
      <c r="H1178"/>
    </row>
    <row r="1179" spans="3:8" x14ac:dyDescent="0.3">
      <c r="C1179" s="99" t="s">
        <v>2538</v>
      </c>
      <c r="H1179"/>
    </row>
    <row r="1180" spans="3:8" x14ac:dyDescent="0.3">
      <c r="C1180" s="99" t="s">
        <v>2538</v>
      </c>
      <c r="H1180"/>
    </row>
    <row r="1181" spans="3:8" x14ac:dyDescent="0.3">
      <c r="C1181" s="99" t="s">
        <v>2538</v>
      </c>
      <c r="H1181"/>
    </row>
    <row r="1182" spans="3:8" x14ac:dyDescent="0.3">
      <c r="C1182" s="99" t="s">
        <v>2538</v>
      </c>
      <c r="H1182"/>
    </row>
    <row r="1183" spans="3:8" x14ac:dyDescent="0.3">
      <c r="C1183" s="99" t="s">
        <v>2539</v>
      </c>
      <c r="H1183"/>
    </row>
    <row r="1184" spans="3:8" x14ac:dyDescent="0.3">
      <c r="C1184" s="99" t="s">
        <v>2540</v>
      </c>
      <c r="H1184"/>
    </row>
    <row r="1185" spans="3:8" x14ac:dyDescent="0.3">
      <c r="C1185" s="99" t="s">
        <v>2541</v>
      </c>
      <c r="H1185"/>
    </row>
    <row r="1186" spans="3:8" x14ac:dyDescent="0.3">
      <c r="C1186" s="99" t="s">
        <v>2541</v>
      </c>
      <c r="H1186"/>
    </row>
    <row r="1187" spans="3:8" x14ac:dyDescent="0.3">
      <c r="C1187" s="99" t="s">
        <v>2541</v>
      </c>
      <c r="H1187"/>
    </row>
    <row r="1188" spans="3:8" x14ac:dyDescent="0.3">
      <c r="C1188" s="99" t="s">
        <v>2541</v>
      </c>
      <c r="H1188"/>
    </row>
    <row r="1189" spans="3:8" x14ac:dyDescent="0.3">
      <c r="C1189" s="99" t="s">
        <v>2542</v>
      </c>
      <c r="H1189"/>
    </row>
    <row r="1190" spans="3:8" x14ac:dyDescent="0.3">
      <c r="C1190" s="99" t="s">
        <v>2542</v>
      </c>
      <c r="H1190"/>
    </row>
    <row r="1191" spans="3:8" x14ac:dyDescent="0.3">
      <c r="C1191" s="99" t="s">
        <v>2543</v>
      </c>
      <c r="H1191"/>
    </row>
    <row r="1192" spans="3:8" x14ac:dyDescent="0.3">
      <c r="C1192" s="99" t="s">
        <v>2543</v>
      </c>
      <c r="H1192"/>
    </row>
    <row r="1193" spans="3:8" x14ac:dyDescent="0.3">
      <c r="C1193" s="99" t="s">
        <v>2544</v>
      </c>
      <c r="H1193"/>
    </row>
    <row r="1194" spans="3:8" x14ac:dyDescent="0.3">
      <c r="C1194" s="99" t="s">
        <v>2544</v>
      </c>
      <c r="H1194"/>
    </row>
    <row r="1195" spans="3:8" x14ac:dyDescent="0.3">
      <c r="C1195" s="99" t="s">
        <v>2545</v>
      </c>
      <c r="H1195"/>
    </row>
    <row r="1196" spans="3:8" x14ac:dyDescent="0.3">
      <c r="C1196" s="99" t="s">
        <v>2545</v>
      </c>
      <c r="H1196"/>
    </row>
    <row r="1197" spans="3:8" x14ac:dyDescent="0.3">
      <c r="C1197" s="99" t="s">
        <v>2546</v>
      </c>
      <c r="H1197"/>
    </row>
    <row r="1198" spans="3:8" x14ac:dyDescent="0.3">
      <c r="C1198" s="99" t="s">
        <v>2547</v>
      </c>
      <c r="H1198"/>
    </row>
    <row r="1199" spans="3:8" x14ac:dyDescent="0.3">
      <c r="C1199" s="99" t="s">
        <v>2548</v>
      </c>
      <c r="H1199"/>
    </row>
    <row r="1200" spans="3:8" x14ac:dyDescent="0.3">
      <c r="C1200" s="99" t="s">
        <v>2548</v>
      </c>
      <c r="H1200"/>
    </row>
    <row r="1201" spans="3:8" x14ac:dyDescent="0.3">
      <c r="C1201" s="99" t="s">
        <v>2548</v>
      </c>
      <c r="H1201"/>
    </row>
    <row r="1202" spans="3:8" x14ac:dyDescent="0.3">
      <c r="C1202" s="99" t="s">
        <v>2548</v>
      </c>
      <c r="H1202"/>
    </row>
    <row r="1203" spans="3:8" x14ac:dyDescent="0.3">
      <c r="C1203" s="99" t="s">
        <v>2549</v>
      </c>
      <c r="H1203"/>
    </row>
    <row r="1204" spans="3:8" x14ac:dyDescent="0.3">
      <c r="C1204" s="99" t="s">
        <v>2550</v>
      </c>
      <c r="H1204"/>
    </row>
    <row r="1205" spans="3:8" x14ac:dyDescent="0.3">
      <c r="C1205" s="99" t="s">
        <v>2550</v>
      </c>
      <c r="H1205"/>
    </row>
    <row r="1206" spans="3:8" x14ac:dyDescent="0.3">
      <c r="C1206" s="99" t="s">
        <v>2551</v>
      </c>
      <c r="H1206"/>
    </row>
    <row r="1207" spans="3:8" x14ac:dyDescent="0.3">
      <c r="C1207" s="99" t="s">
        <v>2551</v>
      </c>
      <c r="H1207"/>
    </row>
    <row r="1208" spans="3:8" x14ac:dyDescent="0.3">
      <c r="C1208" s="99" t="s">
        <v>2552</v>
      </c>
      <c r="H1208"/>
    </row>
    <row r="1209" spans="3:8" x14ac:dyDescent="0.3">
      <c r="C1209" s="99" t="s">
        <v>2553</v>
      </c>
      <c r="H1209"/>
    </row>
    <row r="1210" spans="3:8" x14ac:dyDescent="0.3">
      <c r="C1210" s="99" t="s">
        <v>2553</v>
      </c>
      <c r="H1210"/>
    </row>
    <row r="1211" spans="3:8" x14ac:dyDescent="0.3">
      <c r="C1211" s="99" t="s">
        <v>2553</v>
      </c>
      <c r="H1211"/>
    </row>
    <row r="1212" spans="3:8" x14ac:dyDescent="0.3">
      <c r="C1212" s="99" t="s">
        <v>2554</v>
      </c>
      <c r="H1212"/>
    </row>
    <row r="1213" spans="3:8" x14ac:dyDescent="0.3">
      <c r="C1213" s="99" t="s">
        <v>2554</v>
      </c>
      <c r="H1213"/>
    </row>
    <row r="1214" spans="3:8" x14ac:dyDescent="0.3">
      <c r="C1214" s="99" t="s">
        <v>2554</v>
      </c>
      <c r="H1214"/>
    </row>
    <row r="1215" spans="3:8" x14ac:dyDescent="0.3">
      <c r="C1215" s="99" t="s">
        <v>2555</v>
      </c>
      <c r="H1215"/>
    </row>
    <row r="1216" spans="3:8" x14ac:dyDescent="0.3">
      <c r="C1216" s="99" t="s">
        <v>2556</v>
      </c>
      <c r="H1216"/>
    </row>
    <row r="1217" spans="3:8" x14ac:dyDescent="0.3">
      <c r="C1217" s="99" t="s">
        <v>2556</v>
      </c>
      <c r="H1217"/>
    </row>
    <row r="1218" spans="3:8" x14ac:dyDescent="0.3">
      <c r="C1218" s="99" t="s">
        <v>2556</v>
      </c>
      <c r="H1218"/>
    </row>
    <row r="1219" spans="3:8" x14ac:dyDescent="0.3">
      <c r="C1219" s="99" t="s">
        <v>2556</v>
      </c>
      <c r="H1219"/>
    </row>
    <row r="1220" spans="3:8" x14ac:dyDescent="0.3">
      <c r="C1220" s="99" t="s">
        <v>2557</v>
      </c>
      <c r="H1220"/>
    </row>
    <row r="1221" spans="3:8" x14ac:dyDescent="0.3">
      <c r="C1221" s="99" t="s">
        <v>2557</v>
      </c>
      <c r="H1221"/>
    </row>
    <row r="1222" spans="3:8" x14ac:dyDescent="0.3">
      <c r="C1222" s="99" t="s">
        <v>2557</v>
      </c>
      <c r="H1222"/>
    </row>
    <row r="1223" spans="3:8" x14ac:dyDescent="0.3">
      <c r="C1223" s="99" t="s">
        <v>2557</v>
      </c>
      <c r="H1223"/>
    </row>
    <row r="1224" spans="3:8" x14ac:dyDescent="0.3">
      <c r="C1224" s="99" t="s">
        <v>2558</v>
      </c>
      <c r="H1224"/>
    </row>
    <row r="1225" spans="3:8" x14ac:dyDescent="0.3">
      <c r="C1225" s="99" t="s">
        <v>2558</v>
      </c>
      <c r="H1225"/>
    </row>
    <row r="1226" spans="3:8" x14ac:dyDescent="0.3">
      <c r="C1226" s="99" t="s">
        <v>2559</v>
      </c>
      <c r="H1226"/>
    </row>
    <row r="1227" spans="3:8" x14ac:dyDescent="0.3">
      <c r="C1227" s="99" t="s">
        <v>2559</v>
      </c>
      <c r="H1227"/>
    </row>
    <row r="1228" spans="3:8" x14ac:dyDescent="0.3">
      <c r="C1228" s="99" t="s">
        <v>2559</v>
      </c>
      <c r="H1228"/>
    </row>
    <row r="1229" spans="3:8" x14ac:dyDescent="0.3">
      <c r="C1229" s="99" t="s">
        <v>2560</v>
      </c>
      <c r="H1229"/>
    </row>
    <row r="1230" spans="3:8" x14ac:dyDescent="0.3">
      <c r="C1230" s="99" t="s">
        <v>2560</v>
      </c>
      <c r="H1230"/>
    </row>
    <row r="1231" spans="3:8" x14ac:dyDescent="0.3">
      <c r="C1231" s="99" t="s">
        <v>2560</v>
      </c>
      <c r="H1231"/>
    </row>
    <row r="1232" spans="3:8" x14ac:dyDescent="0.3">
      <c r="C1232" s="99" t="s">
        <v>2561</v>
      </c>
      <c r="H1232"/>
    </row>
    <row r="1233" spans="3:8" x14ac:dyDescent="0.3">
      <c r="C1233" s="99" t="s">
        <v>2561</v>
      </c>
      <c r="H1233"/>
    </row>
    <row r="1234" spans="3:8" x14ac:dyDescent="0.3">
      <c r="C1234" s="99" t="s">
        <v>2562</v>
      </c>
      <c r="H1234"/>
    </row>
    <row r="1235" spans="3:8" x14ac:dyDescent="0.3">
      <c r="C1235" s="99" t="s">
        <v>2562</v>
      </c>
      <c r="H1235"/>
    </row>
    <row r="1236" spans="3:8" x14ac:dyDescent="0.3">
      <c r="C1236" s="99" t="s">
        <v>2563</v>
      </c>
      <c r="H1236"/>
    </row>
    <row r="1237" spans="3:8" x14ac:dyDescent="0.3">
      <c r="C1237" s="99" t="s">
        <v>2563</v>
      </c>
      <c r="H1237"/>
    </row>
    <row r="1238" spans="3:8" x14ac:dyDescent="0.3">
      <c r="C1238" s="99" t="s">
        <v>2563</v>
      </c>
      <c r="H1238"/>
    </row>
    <row r="1239" spans="3:8" x14ac:dyDescent="0.3">
      <c r="C1239" s="99" t="s">
        <v>2563</v>
      </c>
      <c r="H1239"/>
    </row>
    <row r="1240" spans="3:8" x14ac:dyDescent="0.3">
      <c r="C1240" s="99" t="s">
        <v>2563</v>
      </c>
      <c r="H1240"/>
    </row>
    <row r="1241" spans="3:8" x14ac:dyDescent="0.3">
      <c r="C1241" s="99" t="s">
        <v>2564</v>
      </c>
      <c r="H1241"/>
    </row>
    <row r="1242" spans="3:8" x14ac:dyDescent="0.3">
      <c r="C1242" s="99" t="s">
        <v>2565</v>
      </c>
      <c r="H1242"/>
    </row>
    <row r="1243" spans="3:8" x14ac:dyDescent="0.3">
      <c r="C1243" s="99" t="s">
        <v>2565</v>
      </c>
      <c r="H1243"/>
    </row>
    <row r="1244" spans="3:8" x14ac:dyDescent="0.3">
      <c r="C1244" s="99" t="s">
        <v>2565</v>
      </c>
      <c r="H1244"/>
    </row>
    <row r="1245" spans="3:8" x14ac:dyDescent="0.3">
      <c r="C1245" s="99" t="s">
        <v>2566</v>
      </c>
      <c r="H1245"/>
    </row>
    <row r="1246" spans="3:8" x14ac:dyDescent="0.3">
      <c r="C1246" s="99" t="s">
        <v>2567</v>
      </c>
      <c r="H1246"/>
    </row>
    <row r="1247" spans="3:8" x14ac:dyDescent="0.3">
      <c r="C1247" s="99" t="s">
        <v>2567</v>
      </c>
      <c r="H1247"/>
    </row>
    <row r="1248" spans="3:8" x14ac:dyDescent="0.3">
      <c r="C1248" s="99" t="s">
        <v>2567</v>
      </c>
      <c r="H1248"/>
    </row>
    <row r="1249" spans="3:8" x14ac:dyDescent="0.3">
      <c r="C1249" s="99" t="s">
        <v>2567</v>
      </c>
      <c r="H1249"/>
    </row>
    <row r="1250" spans="3:8" x14ac:dyDescent="0.3">
      <c r="C1250" s="99" t="s">
        <v>2567</v>
      </c>
      <c r="H1250"/>
    </row>
    <row r="1251" spans="3:8" x14ac:dyDescent="0.3">
      <c r="C1251" s="99" t="s">
        <v>2567</v>
      </c>
      <c r="H1251"/>
    </row>
    <row r="1252" spans="3:8" x14ac:dyDescent="0.3">
      <c r="C1252" s="99" t="s">
        <v>2567</v>
      </c>
      <c r="H1252"/>
    </row>
    <row r="1253" spans="3:8" x14ac:dyDescent="0.3">
      <c r="C1253" s="99" t="s">
        <v>2567</v>
      </c>
      <c r="H1253"/>
    </row>
    <row r="1254" spans="3:8" x14ac:dyDescent="0.3">
      <c r="C1254" s="99" t="s">
        <v>2568</v>
      </c>
      <c r="H1254"/>
    </row>
    <row r="1255" spans="3:8" x14ac:dyDescent="0.3">
      <c r="C1255" s="99" t="s">
        <v>2569</v>
      </c>
      <c r="H1255"/>
    </row>
    <row r="1256" spans="3:8" x14ac:dyDescent="0.3">
      <c r="C1256" s="99" t="s">
        <v>2569</v>
      </c>
      <c r="H1256"/>
    </row>
    <row r="1257" spans="3:8" x14ac:dyDescent="0.3">
      <c r="C1257" s="99" t="s">
        <v>2569</v>
      </c>
      <c r="H1257"/>
    </row>
    <row r="1258" spans="3:8" x14ac:dyDescent="0.3">
      <c r="C1258" s="99" t="s">
        <v>2569</v>
      </c>
      <c r="H1258"/>
    </row>
    <row r="1259" spans="3:8" x14ac:dyDescent="0.3">
      <c r="C1259" s="99" t="s">
        <v>2569</v>
      </c>
      <c r="H1259"/>
    </row>
    <row r="1260" spans="3:8" x14ac:dyDescent="0.3">
      <c r="C1260" s="99" t="s">
        <v>2569</v>
      </c>
      <c r="H1260"/>
    </row>
    <row r="1261" spans="3:8" x14ac:dyDescent="0.3">
      <c r="C1261" s="99" t="s">
        <v>2569</v>
      </c>
      <c r="H1261"/>
    </row>
    <row r="1262" spans="3:8" x14ac:dyDescent="0.3">
      <c r="C1262" s="99" t="s">
        <v>2569</v>
      </c>
      <c r="H1262"/>
    </row>
    <row r="1263" spans="3:8" x14ac:dyDescent="0.3">
      <c r="C1263" s="99" t="s">
        <v>2569</v>
      </c>
      <c r="H1263"/>
    </row>
    <row r="1264" spans="3:8" x14ac:dyDescent="0.3">
      <c r="C1264" s="99" t="s">
        <v>2570</v>
      </c>
      <c r="H1264"/>
    </row>
    <row r="1265" spans="3:8" x14ac:dyDescent="0.3">
      <c r="C1265" s="99" t="s">
        <v>2570</v>
      </c>
      <c r="H1265"/>
    </row>
    <row r="1266" spans="3:8" x14ac:dyDescent="0.3">
      <c r="C1266" s="99" t="s">
        <v>2570</v>
      </c>
      <c r="H1266"/>
    </row>
    <row r="1267" spans="3:8" x14ac:dyDescent="0.3">
      <c r="C1267" s="99" t="s">
        <v>2570</v>
      </c>
      <c r="H1267"/>
    </row>
    <row r="1268" spans="3:8" x14ac:dyDescent="0.3">
      <c r="C1268" s="99" t="s">
        <v>2570</v>
      </c>
      <c r="H1268"/>
    </row>
    <row r="1269" spans="3:8" x14ac:dyDescent="0.3">
      <c r="C1269" s="99" t="s">
        <v>2570</v>
      </c>
      <c r="H1269"/>
    </row>
    <row r="1270" spans="3:8" x14ac:dyDescent="0.3">
      <c r="C1270" s="99" t="s">
        <v>2570</v>
      </c>
      <c r="H1270"/>
    </row>
    <row r="1271" spans="3:8" x14ac:dyDescent="0.3">
      <c r="C1271" s="99" t="s">
        <v>2570</v>
      </c>
      <c r="H1271"/>
    </row>
    <row r="1272" spans="3:8" x14ac:dyDescent="0.3">
      <c r="C1272" s="99" t="s">
        <v>2570</v>
      </c>
      <c r="H1272"/>
    </row>
    <row r="1273" spans="3:8" x14ac:dyDescent="0.3">
      <c r="C1273" s="99" t="s">
        <v>2570</v>
      </c>
      <c r="H1273"/>
    </row>
    <row r="1274" spans="3:8" x14ac:dyDescent="0.3">
      <c r="C1274" s="99" t="s">
        <v>2571</v>
      </c>
      <c r="H1274"/>
    </row>
    <row r="1275" spans="3:8" x14ac:dyDescent="0.3">
      <c r="C1275" s="99" t="s">
        <v>2572</v>
      </c>
      <c r="H1275"/>
    </row>
    <row r="1276" spans="3:8" x14ac:dyDescent="0.3">
      <c r="C1276" s="99" t="s">
        <v>2572</v>
      </c>
      <c r="H1276"/>
    </row>
    <row r="1277" spans="3:8" x14ac:dyDescent="0.3">
      <c r="C1277" s="99" t="s">
        <v>2573</v>
      </c>
      <c r="H1277"/>
    </row>
    <row r="1278" spans="3:8" x14ac:dyDescent="0.3">
      <c r="C1278" s="99" t="s">
        <v>2574</v>
      </c>
      <c r="H1278"/>
    </row>
    <row r="1279" spans="3:8" x14ac:dyDescent="0.3">
      <c r="C1279" s="99" t="s">
        <v>2575</v>
      </c>
      <c r="H1279"/>
    </row>
    <row r="1280" spans="3:8" x14ac:dyDescent="0.3">
      <c r="C1280" s="99" t="s">
        <v>2575</v>
      </c>
      <c r="H1280"/>
    </row>
    <row r="1281" spans="3:8" x14ac:dyDescent="0.3">
      <c r="C1281" s="99" t="s">
        <v>2576</v>
      </c>
      <c r="H1281"/>
    </row>
    <row r="1282" spans="3:8" x14ac:dyDescent="0.3">
      <c r="C1282" s="99" t="s">
        <v>2576</v>
      </c>
      <c r="H1282"/>
    </row>
    <row r="1283" spans="3:8" x14ac:dyDescent="0.3">
      <c r="C1283" s="99" t="s">
        <v>2577</v>
      </c>
      <c r="H1283"/>
    </row>
    <row r="1284" spans="3:8" x14ac:dyDescent="0.3">
      <c r="C1284" s="99" t="s">
        <v>2577</v>
      </c>
      <c r="H1284"/>
    </row>
    <row r="1285" spans="3:8" x14ac:dyDescent="0.3">
      <c r="C1285" s="99" t="s">
        <v>2577</v>
      </c>
      <c r="H1285"/>
    </row>
    <row r="1286" spans="3:8" x14ac:dyDescent="0.3">
      <c r="C1286" s="99" t="s">
        <v>2577</v>
      </c>
      <c r="H1286"/>
    </row>
    <row r="1287" spans="3:8" x14ac:dyDescent="0.3">
      <c r="C1287" s="99" t="s">
        <v>2578</v>
      </c>
      <c r="H1287"/>
    </row>
    <row r="1288" spans="3:8" x14ac:dyDescent="0.3">
      <c r="C1288" s="99" t="s">
        <v>2579</v>
      </c>
      <c r="H1288"/>
    </row>
    <row r="1289" spans="3:8" x14ac:dyDescent="0.3">
      <c r="C1289" s="99" t="s">
        <v>2579</v>
      </c>
      <c r="H1289"/>
    </row>
    <row r="1290" spans="3:8" x14ac:dyDescent="0.3">
      <c r="C1290" s="99" t="s">
        <v>2580</v>
      </c>
      <c r="H1290"/>
    </row>
    <row r="1291" spans="3:8" x14ac:dyDescent="0.3">
      <c r="C1291" s="99" t="s">
        <v>2580</v>
      </c>
      <c r="H1291"/>
    </row>
    <row r="1292" spans="3:8" x14ac:dyDescent="0.3">
      <c r="C1292" s="99" t="s">
        <v>2580</v>
      </c>
      <c r="H1292"/>
    </row>
    <row r="1293" spans="3:8" x14ac:dyDescent="0.3">
      <c r="C1293" s="99" t="s">
        <v>2580</v>
      </c>
      <c r="H1293"/>
    </row>
    <row r="1294" spans="3:8" x14ac:dyDescent="0.3">
      <c r="C1294" s="99" t="s">
        <v>2581</v>
      </c>
      <c r="H1294"/>
    </row>
    <row r="1295" spans="3:8" x14ac:dyDescent="0.3">
      <c r="C1295" s="99" t="s">
        <v>2582</v>
      </c>
      <c r="H1295"/>
    </row>
    <row r="1296" spans="3:8" x14ac:dyDescent="0.3">
      <c r="C1296" s="99" t="s">
        <v>2582</v>
      </c>
      <c r="H1296"/>
    </row>
    <row r="1297" spans="3:8" x14ac:dyDescent="0.3">
      <c r="C1297" s="99" t="s">
        <v>2582</v>
      </c>
      <c r="H1297"/>
    </row>
    <row r="1298" spans="3:8" x14ac:dyDescent="0.3">
      <c r="C1298" s="99" t="s">
        <v>2583</v>
      </c>
      <c r="H1298"/>
    </row>
    <row r="1299" spans="3:8" x14ac:dyDescent="0.3">
      <c r="C1299" s="99" t="s">
        <v>2583</v>
      </c>
      <c r="H1299"/>
    </row>
    <row r="1300" spans="3:8" x14ac:dyDescent="0.3">
      <c r="C1300" s="99" t="s">
        <v>2584</v>
      </c>
      <c r="H1300"/>
    </row>
    <row r="1301" spans="3:8" x14ac:dyDescent="0.3">
      <c r="C1301" s="99" t="s">
        <v>2584</v>
      </c>
      <c r="H1301"/>
    </row>
    <row r="1302" spans="3:8" x14ac:dyDescent="0.3">
      <c r="C1302" s="99" t="s">
        <v>2585</v>
      </c>
      <c r="H1302"/>
    </row>
    <row r="1303" spans="3:8" x14ac:dyDescent="0.3">
      <c r="C1303" s="99" t="s">
        <v>2585</v>
      </c>
      <c r="H1303"/>
    </row>
    <row r="1304" spans="3:8" x14ac:dyDescent="0.3">
      <c r="C1304" s="99" t="s">
        <v>2585</v>
      </c>
      <c r="H1304"/>
    </row>
    <row r="1305" spans="3:8" x14ac:dyDescent="0.3">
      <c r="C1305" s="99" t="s">
        <v>2585</v>
      </c>
      <c r="H1305"/>
    </row>
    <row r="1306" spans="3:8" x14ac:dyDescent="0.3">
      <c r="C1306" s="99" t="s">
        <v>2586</v>
      </c>
      <c r="H1306"/>
    </row>
    <row r="1307" spans="3:8" x14ac:dyDescent="0.3">
      <c r="C1307" s="99" t="s">
        <v>2586</v>
      </c>
      <c r="H1307"/>
    </row>
    <row r="1308" spans="3:8" x14ac:dyDescent="0.3">
      <c r="C1308" s="99" t="s">
        <v>2587</v>
      </c>
      <c r="H1308"/>
    </row>
    <row r="1309" spans="3:8" x14ac:dyDescent="0.3">
      <c r="C1309" s="99" t="s">
        <v>2587</v>
      </c>
      <c r="H1309"/>
    </row>
    <row r="1310" spans="3:8" x14ac:dyDescent="0.3">
      <c r="C1310" s="99" t="s">
        <v>2587</v>
      </c>
      <c r="H1310"/>
    </row>
    <row r="1311" spans="3:8" x14ac:dyDescent="0.3">
      <c r="C1311" s="99" t="s">
        <v>2588</v>
      </c>
      <c r="H1311"/>
    </row>
    <row r="1312" spans="3:8" x14ac:dyDescent="0.3">
      <c r="C1312" s="99" t="s">
        <v>2588</v>
      </c>
      <c r="H1312"/>
    </row>
    <row r="1313" spans="3:8" x14ac:dyDescent="0.3">
      <c r="C1313" s="99" t="s">
        <v>2588</v>
      </c>
      <c r="H1313"/>
    </row>
    <row r="1314" spans="3:8" x14ac:dyDescent="0.3">
      <c r="C1314" s="99" t="s">
        <v>2588</v>
      </c>
      <c r="H1314"/>
    </row>
    <row r="1315" spans="3:8" x14ac:dyDescent="0.3">
      <c r="C1315" s="99" t="s">
        <v>2589</v>
      </c>
      <c r="H1315"/>
    </row>
    <row r="1316" spans="3:8" x14ac:dyDescent="0.3">
      <c r="C1316" s="99" t="s">
        <v>2589</v>
      </c>
      <c r="H1316"/>
    </row>
    <row r="1317" spans="3:8" x14ac:dyDescent="0.3">
      <c r="C1317" s="99" t="s">
        <v>2589</v>
      </c>
      <c r="H1317"/>
    </row>
    <row r="1318" spans="3:8" x14ac:dyDescent="0.3">
      <c r="C1318" s="99" t="s">
        <v>2590</v>
      </c>
      <c r="H1318"/>
    </row>
    <row r="1319" spans="3:8" x14ac:dyDescent="0.3">
      <c r="C1319" s="99" t="s">
        <v>2591</v>
      </c>
      <c r="H1319"/>
    </row>
    <row r="1320" spans="3:8" x14ac:dyDescent="0.3">
      <c r="C1320" s="99" t="s">
        <v>2591</v>
      </c>
      <c r="H1320"/>
    </row>
    <row r="1321" spans="3:8" x14ac:dyDescent="0.3">
      <c r="C1321" s="99" t="s">
        <v>2591</v>
      </c>
      <c r="H1321"/>
    </row>
    <row r="1322" spans="3:8" x14ac:dyDescent="0.3">
      <c r="C1322" s="99" t="s">
        <v>2591</v>
      </c>
      <c r="H1322"/>
    </row>
    <row r="1323" spans="3:8" x14ac:dyDescent="0.3">
      <c r="C1323" s="99" t="s">
        <v>2592</v>
      </c>
      <c r="H1323"/>
    </row>
    <row r="1324" spans="3:8" x14ac:dyDescent="0.3">
      <c r="C1324" s="99" t="s">
        <v>2592</v>
      </c>
      <c r="H1324"/>
    </row>
    <row r="1325" spans="3:8" x14ac:dyDescent="0.3">
      <c r="C1325" s="99" t="s">
        <v>2592</v>
      </c>
      <c r="H1325"/>
    </row>
    <row r="1326" spans="3:8" x14ac:dyDescent="0.3">
      <c r="C1326" s="99" t="s">
        <v>2593</v>
      </c>
      <c r="H1326"/>
    </row>
    <row r="1327" spans="3:8" x14ac:dyDescent="0.3">
      <c r="C1327" s="99" t="s">
        <v>2594</v>
      </c>
      <c r="H1327"/>
    </row>
    <row r="1328" spans="3:8" x14ac:dyDescent="0.3">
      <c r="C1328" s="99" t="s">
        <v>2595</v>
      </c>
      <c r="H1328"/>
    </row>
    <row r="1329" spans="3:8" x14ac:dyDescent="0.3">
      <c r="C1329" s="99" t="s">
        <v>2596</v>
      </c>
      <c r="H1329"/>
    </row>
    <row r="1330" spans="3:8" x14ac:dyDescent="0.3">
      <c r="C1330" s="99" t="s">
        <v>2597</v>
      </c>
      <c r="H1330"/>
    </row>
    <row r="1331" spans="3:8" x14ac:dyDescent="0.3">
      <c r="C1331" s="99" t="s">
        <v>2597</v>
      </c>
      <c r="H1331"/>
    </row>
    <row r="1332" spans="3:8" x14ac:dyDescent="0.3">
      <c r="C1332" s="99" t="s">
        <v>2598</v>
      </c>
      <c r="H1332"/>
    </row>
    <row r="1333" spans="3:8" x14ac:dyDescent="0.3">
      <c r="C1333" s="99" t="s">
        <v>2598</v>
      </c>
      <c r="H1333"/>
    </row>
    <row r="1334" spans="3:8" x14ac:dyDescent="0.3">
      <c r="C1334" s="99" t="s">
        <v>2598</v>
      </c>
      <c r="H1334"/>
    </row>
    <row r="1335" spans="3:8" x14ac:dyDescent="0.3">
      <c r="C1335" s="99" t="s">
        <v>2598</v>
      </c>
      <c r="H1335"/>
    </row>
    <row r="1336" spans="3:8" x14ac:dyDescent="0.3">
      <c r="C1336" s="99" t="s">
        <v>2599</v>
      </c>
      <c r="H1336"/>
    </row>
    <row r="1337" spans="3:8" x14ac:dyDescent="0.3">
      <c r="C1337" s="99" t="s">
        <v>2599</v>
      </c>
      <c r="H1337"/>
    </row>
    <row r="1338" spans="3:8" x14ac:dyDescent="0.3">
      <c r="C1338" s="99" t="s">
        <v>2599</v>
      </c>
      <c r="H1338"/>
    </row>
    <row r="1339" spans="3:8" x14ac:dyDescent="0.3">
      <c r="C1339" s="99" t="s">
        <v>2600</v>
      </c>
      <c r="H1339"/>
    </row>
    <row r="1340" spans="3:8" x14ac:dyDescent="0.3">
      <c r="C1340" s="99" t="s">
        <v>2601</v>
      </c>
      <c r="H1340"/>
    </row>
    <row r="1341" spans="3:8" x14ac:dyDescent="0.3">
      <c r="C1341" s="99" t="s">
        <v>2601</v>
      </c>
      <c r="H1341"/>
    </row>
    <row r="1342" spans="3:8" x14ac:dyDescent="0.3">
      <c r="C1342" s="99" t="s">
        <v>2601</v>
      </c>
      <c r="H1342"/>
    </row>
    <row r="1343" spans="3:8" x14ac:dyDescent="0.3">
      <c r="C1343" s="99" t="s">
        <v>2602</v>
      </c>
      <c r="H1343"/>
    </row>
    <row r="1344" spans="3:8" x14ac:dyDescent="0.3">
      <c r="C1344" s="99" t="s">
        <v>2602</v>
      </c>
      <c r="H1344"/>
    </row>
    <row r="1345" spans="3:8" x14ac:dyDescent="0.3">
      <c r="C1345" s="99" t="s">
        <v>2603</v>
      </c>
      <c r="H1345"/>
    </row>
    <row r="1346" spans="3:8" x14ac:dyDescent="0.3">
      <c r="C1346" s="99" t="s">
        <v>2603</v>
      </c>
      <c r="H1346"/>
    </row>
    <row r="1347" spans="3:8" x14ac:dyDescent="0.3">
      <c r="C1347" s="99" t="s">
        <v>2604</v>
      </c>
      <c r="H1347"/>
    </row>
    <row r="1348" spans="3:8" x14ac:dyDescent="0.3">
      <c r="C1348" s="99" t="s">
        <v>2604</v>
      </c>
      <c r="H1348"/>
    </row>
    <row r="1349" spans="3:8" x14ac:dyDescent="0.3">
      <c r="C1349" s="99" t="s">
        <v>2604</v>
      </c>
      <c r="H1349"/>
    </row>
    <row r="1350" spans="3:8" x14ac:dyDescent="0.3">
      <c r="C1350" s="99" t="s">
        <v>2604</v>
      </c>
      <c r="H1350"/>
    </row>
    <row r="1351" spans="3:8" x14ac:dyDescent="0.3">
      <c r="C1351" s="99" t="s">
        <v>2605</v>
      </c>
      <c r="H1351"/>
    </row>
    <row r="1352" spans="3:8" x14ac:dyDescent="0.3">
      <c r="C1352" s="99" t="s">
        <v>2605</v>
      </c>
      <c r="H1352"/>
    </row>
    <row r="1353" spans="3:8" x14ac:dyDescent="0.3">
      <c r="C1353" s="99" t="s">
        <v>2606</v>
      </c>
      <c r="H1353"/>
    </row>
    <row r="1354" spans="3:8" x14ac:dyDescent="0.3">
      <c r="C1354" s="99" t="s">
        <v>2607</v>
      </c>
      <c r="H1354"/>
    </row>
    <row r="1355" spans="3:8" x14ac:dyDescent="0.3">
      <c r="C1355" s="99" t="s">
        <v>2607</v>
      </c>
      <c r="H1355"/>
    </row>
    <row r="1356" spans="3:8" x14ac:dyDescent="0.3">
      <c r="C1356" s="99" t="s">
        <v>2608</v>
      </c>
      <c r="H1356"/>
    </row>
    <row r="1357" spans="3:8" x14ac:dyDescent="0.3">
      <c r="C1357" s="99" t="s">
        <v>2608</v>
      </c>
      <c r="H1357"/>
    </row>
    <row r="1358" spans="3:8" x14ac:dyDescent="0.3">
      <c r="C1358" s="99" t="s">
        <v>2608</v>
      </c>
      <c r="H1358"/>
    </row>
    <row r="1359" spans="3:8" x14ac:dyDescent="0.3">
      <c r="C1359" s="99" t="s">
        <v>2609</v>
      </c>
      <c r="H1359"/>
    </row>
    <row r="1360" spans="3:8" x14ac:dyDescent="0.3">
      <c r="C1360" s="99" t="s">
        <v>2609</v>
      </c>
      <c r="H1360"/>
    </row>
    <row r="1361" spans="3:8" x14ac:dyDescent="0.3">
      <c r="C1361" s="99" t="s">
        <v>2610</v>
      </c>
      <c r="H1361"/>
    </row>
    <row r="1362" spans="3:8" x14ac:dyDescent="0.3">
      <c r="C1362" s="99" t="s">
        <v>2611</v>
      </c>
      <c r="H1362"/>
    </row>
    <row r="1363" spans="3:8" x14ac:dyDescent="0.3">
      <c r="C1363" s="99" t="s">
        <v>2612</v>
      </c>
      <c r="H1363"/>
    </row>
    <row r="1364" spans="3:8" x14ac:dyDescent="0.3">
      <c r="C1364" s="99" t="s">
        <v>2612</v>
      </c>
      <c r="H1364"/>
    </row>
    <row r="1365" spans="3:8" x14ac:dyDescent="0.3">
      <c r="C1365" s="99" t="s">
        <v>2612</v>
      </c>
      <c r="H1365"/>
    </row>
    <row r="1366" spans="3:8" x14ac:dyDescent="0.3">
      <c r="C1366" s="99" t="s">
        <v>2613</v>
      </c>
      <c r="H1366"/>
    </row>
    <row r="1367" spans="3:8" x14ac:dyDescent="0.3">
      <c r="C1367" s="99" t="s">
        <v>2614</v>
      </c>
      <c r="H1367"/>
    </row>
    <row r="1368" spans="3:8" x14ac:dyDescent="0.3">
      <c r="C1368" s="99" t="s">
        <v>2615</v>
      </c>
      <c r="H1368"/>
    </row>
    <row r="1369" spans="3:8" x14ac:dyDescent="0.3">
      <c r="C1369" s="99" t="s">
        <v>2616</v>
      </c>
      <c r="H1369"/>
    </row>
    <row r="1370" spans="3:8" x14ac:dyDescent="0.3">
      <c r="C1370" s="99" t="s">
        <v>2616</v>
      </c>
      <c r="H1370"/>
    </row>
    <row r="1371" spans="3:8" x14ac:dyDescent="0.3">
      <c r="C1371" s="99" t="s">
        <v>2617</v>
      </c>
      <c r="H1371"/>
    </row>
    <row r="1372" spans="3:8" x14ac:dyDescent="0.3">
      <c r="C1372" s="99" t="s">
        <v>2618</v>
      </c>
      <c r="H1372"/>
    </row>
    <row r="1373" spans="3:8" x14ac:dyDescent="0.3">
      <c r="C1373" s="99" t="s">
        <v>2618</v>
      </c>
      <c r="H1373"/>
    </row>
    <row r="1374" spans="3:8" x14ac:dyDescent="0.3">
      <c r="C1374" s="99" t="s">
        <v>2618</v>
      </c>
      <c r="H1374"/>
    </row>
    <row r="1375" spans="3:8" x14ac:dyDescent="0.3">
      <c r="C1375" s="99" t="s">
        <v>2618</v>
      </c>
      <c r="H1375"/>
    </row>
    <row r="1376" spans="3:8" x14ac:dyDescent="0.3">
      <c r="C1376" s="99" t="s">
        <v>2618</v>
      </c>
      <c r="H1376"/>
    </row>
    <row r="1377" spans="3:8" x14ac:dyDescent="0.3">
      <c r="C1377" s="99" t="s">
        <v>2618</v>
      </c>
      <c r="H1377"/>
    </row>
    <row r="1378" spans="3:8" x14ac:dyDescent="0.3">
      <c r="C1378" s="99" t="s">
        <v>2618</v>
      </c>
      <c r="H1378"/>
    </row>
    <row r="1379" spans="3:8" x14ac:dyDescent="0.3">
      <c r="C1379" s="99" t="s">
        <v>2618</v>
      </c>
      <c r="H1379"/>
    </row>
    <row r="1380" spans="3:8" x14ac:dyDescent="0.3">
      <c r="C1380" s="99" t="s">
        <v>2619</v>
      </c>
      <c r="H1380"/>
    </row>
    <row r="1381" spans="3:8" x14ac:dyDescent="0.3">
      <c r="C1381" s="99" t="s">
        <v>2619</v>
      </c>
      <c r="H1381"/>
    </row>
    <row r="1382" spans="3:8" x14ac:dyDescent="0.3">
      <c r="C1382" s="99" t="s">
        <v>2619</v>
      </c>
      <c r="H1382"/>
    </row>
    <row r="1383" spans="3:8" x14ac:dyDescent="0.3">
      <c r="C1383" s="99" t="s">
        <v>2620</v>
      </c>
      <c r="H1383"/>
    </row>
    <row r="1384" spans="3:8" x14ac:dyDescent="0.3">
      <c r="C1384" s="99" t="s">
        <v>2621</v>
      </c>
      <c r="H1384"/>
    </row>
    <row r="1385" spans="3:8" x14ac:dyDescent="0.3">
      <c r="C1385" s="99" t="s">
        <v>2622</v>
      </c>
      <c r="H1385"/>
    </row>
    <row r="1386" spans="3:8" x14ac:dyDescent="0.3">
      <c r="C1386" s="99" t="s">
        <v>2622</v>
      </c>
      <c r="H1386"/>
    </row>
    <row r="1387" spans="3:8" x14ac:dyDescent="0.3">
      <c r="C1387" s="99" t="s">
        <v>2623</v>
      </c>
      <c r="H1387"/>
    </row>
    <row r="1388" spans="3:8" x14ac:dyDescent="0.3">
      <c r="C1388" s="99" t="s">
        <v>2623</v>
      </c>
      <c r="H1388"/>
    </row>
    <row r="1389" spans="3:8" x14ac:dyDescent="0.3">
      <c r="C1389" s="99" t="s">
        <v>2624</v>
      </c>
      <c r="H1389"/>
    </row>
    <row r="1390" spans="3:8" x14ac:dyDescent="0.3">
      <c r="C1390" s="99" t="s">
        <v>2624</v>
      </c>
      <c r="H1390"/>
    </row>
    <row r="1391" spans="3:8" x14ac:dyDescent="0.3">
      <c r="C1391" s="99" t="s">
        <v>2624</v>
      </c>
      <c r="H1391"/>
    </row>
    <row r="1392" spans="3:8" x14ac:dyDescent="0.3">
      <c r="C1392" s="99" t="s">
        <v>2624</v>
      </c>
      <c r="H1392"/>
    </row>
    <row r="1393" spans="3:8" x14ac:dyDescent="0.3">
      <c r="C1393" s="99" t="s">
        <v>2624</v>
      </c>
      <c r="H1393"/>
    </row>
    <row r="1394" spans="3:8" x14ac:dyDescent="0.3">
      <c r="C1394" s="99" t="s">
        <v>2624</v>
      </c>
      <c r="H1394"/>
    </row>
    <row r="1395" spans="3:8" x14ac:dyDescent="0.3">
      <c r="C1395" s="99" t="s">
        <v>2625</v>
      </c>
      <c r="H1395"/>
    </row>
    <row r="1396" spans="3:8" x14ac:dyDescent="0.3">
      <c r="C1396" s="99" t="s">
        <v>2626</v>
      </c>
      <c r="H1396"/>
    </row>
    <row r="1397" spans="3:8" x14ac:dyDescent="0.3">
      <c r="C1397" s="99" t="s">
        <v>2626</v>
      </c>
      <c r="H1397"/>
    </row>
    <row r="1398" spans="3:8" x14ac:dyDescent="0.3">
      <c r="C1398" s="99" t="s">
        <v>2627</v>
      </c>
      <c r="H1398"/>
    </row>
    <row r="1399" spans="3:8" x14ac:dyDescent="0.3">
      <c r="C1399" s="99" t="s">
        <v>2627</v>
      </c>
      <c r="H1399"/>
    </row>
    <row r="1400" spans="3:8" x14ac:dyDescent="0.3">
      <c r="C1400" s="99" t="s">
        <v>2628</v>
      </c>
      <c r="H1400"/>
    </row>
    <row r="1401" spans="3:8" x14ac:dyDescent="0.3">
      <c r="C1401" s="99" t="s">
        <v>2628</v>
      </c>
      <c r="H1401"/>
    </row>
    <row r="1402" spans="3:8" x14ac:dyDescent="0.3">
      <c r="C1402" s="99" t="s">
        <v>2629</v>
      </c>
      <c r="H1402"/>
    </row>
    <row r="1403" spans="3:8" x14ac:dyDescent="0.3">
      <c r="C1403" s="99" t="s">
        <v>2629</v>
      </c>
      <c r="H1403"/>
    </row>
    <row r="1404" spans="3:8" x14ac:dyDescent="0.3">
      <c r="C1404" s="99" t="s">
        <v>2629</v>
      </c>
      <c r="H1404"/>
    </row>
    <row r="1405" spans="3:8" x14ac:dyDescent="0.3">
      <c r="C1405" s="99" t="s">
        <v>2630</v>
      </c>
      <c r="H1405"/>
    </row>
    <row r="1406" spans="3:8" x14ac:dyDescent="0.3">
      <c r="C1406" s="99" t="s">
        <v>2630</v>
      </c>
      <c r="H1406"/>
    </row>
    <row r="1407" spans="3:8" x14ac:dyDescent="0.3">
      <c r="C1407" s="99" t="s">
        <v>2631</v>
      </c>
      <c r="H1407"/>
    </row>
    <row r="1408" spans="3:8" x14ac:dyDescent="0.3">
      <c r="C1408" s="99" t="s">
        <v>2631</v>
      </c>
      <c r="H1408"/>
    </row>
    <row r="1409" spans="3:8" x14ac:dyDescent="0.3">
      <c r="C1409" s="99" t="s">
        <v>2632</v>
      </c>
      <c r="H1409"/>
    </row>
    <row r="1410" spans="3:8" x14ac:dyDescent="0.3">
      <c r="C1410" s="99" t="s">
        <v>2632</v>
      </c>
      <c r="H1410"/>
    </row>
    <row r="1411" spans="3:8" x14ac:dyDescent="0.3">
      <c r="C1411" s="99" t="s">
        <v>2632</v>
      </c>
      <c r="H1411"/>
    </row>
    <row r="1412" spans="3:8" x14ac:dyDescent="0.3">
      <c r="C1412" s="99" t="s">
        <v>2632</v>
      </c>
      <c r="H1412"/>
    </row>
    <row r="1413" spans="3:8" x14ac:dyDescent="0.3">
      <c r="C1413" s="99" t="s">
        <v>2633</v>
      </c>
      <c r="H1413"/>
    </row>
    <row r="1414" spans="3:8" x14ac:dyDescent="0.3">
      <c r="C1414" s="99" t="s">
        <v>2633</v>
      </c>
      <c r="H1414"/>
    </row>
    <row r="1415" spans="3:8" x14ac:dyDescent="0.3">
      <c r="C1415" s="99" t="s">
        <v>2633</v>
      </c>
      <c r="H1415"/>
    </row>
    <row r="1416" spans="3:8" x14ac:dyDescent="0.3">
      <c r="C1416" s="99" t="s">
        <v>2633</v>
      </c>
      <c r="H1416"/>
    </row>
    <row r="1417" spans="3:8" x14ac:dyDescent="0.3">
      <c r="C1417" s="99" t="s">
        <v>2633</v>
      </c>
      <c r="H1417"/>
    </row>
    <row r="1418" spans="3:8" x14ac:dyDescent="0.3">
      <c r="C1418" s="99" t="s">
        <v>2634</v>
      </c>
      <c r="H1418"/>
    </row>
    <row r="1419" spans="3:8" x14ac:dyDescent="0.3">
      <c r="C1419" s="99" t="s">
        <v>2634</v>
      </c>
      <c r="H1419"/>
    </row>
    <row r="1420" spans="3:8" x14ac:dyDescent="0.3">
      <c r="C1420" s="99" t="s">
        <v>2635</v>
      </c>
      <c r="H1420"/>
    </row>
    <row r="1421" spans="3:8" x14ac:dyDescent="0.3">
      <c r="C1421" s="99" t="s">
        <v>2635</v>
      </c>
      <c r="H1421"/>
    </row>
    <row r="1422" spans="3:8" x14ac:dyDescent="0.3">
      <c r="C1422" s="99" t="s">
        <v>2635</v>
      </c>
      <c r="H1422"/>
    </row>
    <row r="1423" spans="3:8" x14ac:dyDescent="0.3">
      <c r="C1423" s="99" t="s">
        <v>2636</v>
      </c>
      <c r="H1423"/>
    </row>
    <row r="1424" spans="3:8" x14ac:dyDescent="0.3">
      <c r="C1424" s="99" t="s">
        <v>2636</v>
      </c>
      <c r="H1424"/>
    </row>
    <row r="1425" spans="3:8" x14ac:dyDescent="0.3">
      <c r="C1425" s="99" t="s">
        <v>2637</v>
      </c>
      <c r="H1425"/>
    </row>
    <row r="1426" spans="3:8" x14ac:dyDescent="0.3">
      <c r="C1426" s="99" t="s">
        <v>2637</v>
      </c>
      <c r="H1426"/>
    </row>
    <row r="1427" spans="3:8" x14ac:dyDescent="0.3">
      <c r="C1427" s="99" t="s">
        <v>2637</v>
      </c>
      <c r="H1427"/>
    </row>
    <row r="1428" spans="3:8" x14ac:dyDescent="0.3">
      <c r="C1428" s="99" t="s">
        <v>2638</v>
      </c>
      <c r="H1428"/>
    </row>
    <row r="1429" spans="3:8" x14ac:dyDescent="0.3">
      <c r="C1429" s="99" t="s">
        <v>2639</v>
      </c>
      <c r="H1429"/>
    </row>
    <row r="1430" spans="3:8" x14ac:dyDescent="0.3">
      <c r="C1430" s="99" t="s">
        <v>2640</v>
      </c>
      <c r="H1430"/>
    </row>
    <row r="1431" spans="3:8" x14ac:dyDescent="0.3">
      <c r="C1431" s="99" t="s">
        <v>2641</v>
      </c>
      <c r="H1431"/>
    </row>
    <row r="1432" spans="3:8" x14ac:dyDescent="0.3">
      <c r="C1432" s="99" t="s">
        <v>2641</v>
      </c>
      <c r="H1432"/>
    </row>
    <row r="1433" spans="3:8" x14ac:dyDescent="0.3">
      <c r="C1433" s="99" t="s">
        <v>2641</v>
      </c>
      <c r="H1433"/>
    </row>
    <row r="1434" spans="3:8" x14ac:dyDescent="0.3">
      <c r="C1434" s="99" t="s">
        <v>2641</v>
      </c>
      <c r="H1434"/>
    </row>
    <row r="1435" spans="3:8" x14ac:dyDescent="0.3">
      <c r="C1435" s="99" t="s">
        <v>2642</v>
      </c>
      <c r="H1435"/>
    </row>
    <row r="1436" spans="3:8" x14ac:dyDescent="0.3">
      <c r="C1436" s="99" t="s">
        <v>2643</v>
      </c>
      <c r="H1436"/>
    </row>
    <row r="1437" spans="3:8" x14ac:dyDescent="0.3">
      <c r="C1437" s="99" t="s">
        <v>2643</v>
      </c>
      <c r="H1437"/>
    </row>
    <row r="1438" spans="3:8" x14ac:dyDescent="0.3">
      <c r="C1438" s="99" t="s">
        <v>2644</v>
      </c>
      <c r="H1438"/>
    </row>
    <row r="1439" spans="3:8" x14ac:dyDescent="0.3">
      <c r="C1439" s="99" t="s">
        <v>2644</v>
      </c>
      <c r="H1439"/>
    </row>
    <row r="1440" spans="3:8" x14ac:dyDescent="0.3">
      <c r="C1440" s="99" t="s">
        <v>2645</v>
      </c>
      <c r="H1440"/>
    </row>
    <row r="1441" spans="3:8" x14ac:dyDescent="0.3">
      <c r="C1441" s="99" t="s">
        <v>2645</v>
      </c>
      <c r="H1441"/>
    </row>
    <row r="1442" spans="3:8" x14ac:dyDescent="0.3">
      <c r="C1442" s="99" t="s">
        <v>2645</v>
      </c>
      <c r="H1442"/>
    </row>
    <row r="1443" spans="3:8" x14ac:dyDescent="0.3">
      <c r="C1443" s="99" t="s">
        <v>2645</v>
      </c>
      <c r="H1443"/>
    </row>
    <row r="1444" spans="3:8" x14ac:dyDescent="0.3">
      <c r="C1444" s="99" t="s">
        <v>2645</v>
      </c>
      <c r="H1444"/>
    </row>
    <row r="1445" spans="3:8" x14ac:dyDescent="0.3">
      <c r="C1445" s="99" t="s">
        <v>2645</v>
      </c>
      <c r="H1445"/>
    </row>
    <row r="1446" spans="3:8" x14ac:dyDescent="0.3">
      <c r="C1446" s="99" t="s">
        <v>2645</v>
      </c>
      <c r="H1446"/>
    </row>
    <row r="1447" spans="3:8" x14ac:dyDescent="0.3">
      <c r="C1447" s="99" t="s">
        <v>2646</v>
      </c>
      <c r="H1447"/>
    </row>
    <row r="1448" spans="3:8" x14ac:dyDescent="0.3">
      <c r="C1448" s="99" t="s">
        <v>2646</v>
      </c>
      <c r="H1448"/>
    </row>
    <row r="1449" spans="3:8" x14ac:dyDescent="0.3">
      <c r="C1449" s="99" t="s">
        <v>2646</v>
      </c>
      <c r="H1449"/>
    </row>
    <row r="1450" spans="3:8" x14ac:dyDescent="0.3">
      <c r="C1450" s="99" t="s">
        <v>2646</v>
      </c>
      <c r="H1450"/>
    </row>
    <row r="1451" spans="3:8" x14ac:dyDescent="0.3">
      <c r="C1451" s="99" t="s">
        <v>2647</v>
      </c>
      <c r="H1451"/>
    </row>
    <row r="1452" spans="3:8" x14ac:dyDescent="0.3">
      <c r="C1452" s="99" t="s">
        <v>2647</v>
      </c>
      <c r="H1452"/>
    </row>
    <row r="1453" spans="3:8" x14ac:dyDescent="0.3">
      <c r="C1453" s="99" t="s">
        <v>2647</v>
      </c>
      <c r="H1453"/>
    </row>
    <row r="1454" spans="3:8" x14ac:dyDescent="0.3">
      <c r="C1454" s="99" t="s">
        <v>2647</v>
      </c>
      <c r="H1454"/>
    </row>
    <row r="1455" spans="3:8" x14ac:dyDescent="0.3">
      <c r="C1455" s="99" t="s">
        <v>2647</v>
      </c>
      <c r="H1455"/>
    </row>
    <row r="1456" spans="3:8" x14ac:dyDescent="0.3">
      <c r="C1456" s="99" t="s">
        <v>2648</v>
      </c>
      <c r="H1456"/>
    </row>
    <row r="1457" spans="3:8" x14ac:dyDescent="0.3">
      <c r="C1457" s="99" t="s">
        <v>2649</v>
      </c>
      <c r="H1457"/>
    </row>
    <row r="1458" spans="3:8" x14ac:dyDescent="0.3">
      <c r="C1458" s="99" t="s">
        <v>2649</v>
      </c>
      <c r="H1458"/>
    </row>
    <row r="1459" spans="3:8" x14ac:dyDescent="0.3">
      <c r="C1459" s="99" t="s">
        <v>2650</v>
      </c>
      <c r="H1459"/>
    </row>
    <row r="1460" spans="3:8" x14ac:dyDescent="0.3">
      <c r="C1460" s="99" t="s">
        <v>2650</v>
      </c>
      <c r="H1460"/>
    </row>
    <row r="1461" spans="3:8" x14ac:dyDescent="0.3">
      <c r="C1461" s="99" t="s">
        <v>2650</v>
      </c>
      <c r="H1461"/>
    </row>
    <row r="1462" spans="3:8" x14ac:dyDescent="0.3">
      <c r="C1462" s="99" t="s">
        <v>2650</v>
      </c>
      <c r="H1462"/>
    </row>
    <row r="1463" spans="3:8" x14ac:dyDescent="0.3">
      <c r="C1463" s="99" t="s">
        <v>2650</v>
      </c>
      <c r="H1463"/>
    </row>
    <row r="1464" spans="3:8" x14ac:dyDescent="0.3">
      <c r="C1464" s="99" t="s">
        <v>2651</v>
      </c>
      <c r="H1464"/>
    </row>
    <row r="1465" spans="3:8" x14ac:dyDescent="0.3">
      <c r="C1465" s="99" t="s">
        <v>2651</v>
      </c>
      <c r="H1465"/>
    </row>
    <row r="1466" spans="3:8" x14ac:dyDescent="0.3">
      <c r="C1466" s="99" t="s">
        <v>2651</v>
      </c>
      <c r="H1466"/>
    </row>
    <row r="1467" spans="3:8" x14ac:dyDescent="0.3">
      <c r="C1467" s="99" t="s">
        <v>2652</v>
      </c>
      <c r="H1467"/>
    </row>
    <row r="1468" spans="3:8" x14ac:dyDescent="0.3">
      <c r="C1468" s="99" t="s">
        <v>2652</v>
      </c>
      <c r="H1468"/>
    </row>
    <row r="1469" spans="3:8" x14ac:dyDescent="0.3">
      <c r="C1469" s="99" t="s">
        <v>2653</v>
      </c>
      <c r="H1469"/>
    </row>
    <row r="1470" spans="3:8" x14ac:dyDescent="0.3">
      <c r="C1470" s="99" t="s">
        <v>2654</v>
      </c>
      <c r="H1470"/>
    </row>
    <row r="1471" spans="3:8" x14ac:dyDescent="0.3">
      <c r="C1471" s="99" t="s">
        <v>2655</v>
      </c>
      <c r="H1471"/>
    </row>
    <row r="1472" spans="3:8" x14ac:dyDescent="0.3">
      <c r="C1472" s="99" t="s">
        <v>2655</v>
      </c>
      <c r="H1472"/>
    </row>
    <row r="1473" spans="3:8" x14ac:dyDescent="0.3">
      <c r="C1473" s="99" t="s">
        <v>2655</v>
      </c>
      <c r="H1473"/>
    </row>
    <row r="1474" spans="3:8" x14ac:dyDescent="0.3">
      <c r="C1474" s="99" t="s">
        <v>2655</v>
      </c>
      <c r="H1474"/>
    </row>
    <row r="1475" spans="3:8" x14ac:dyDescent="0.3">
      <c r="C1475" s="99" t="s">
        <v>2656</v>
      </c>
      <c r="H1475"/>
    </row>
    <row r="1476" spans="3:8" x14ac:dyDescent="0.3">
      <c r="C1476" s="99" t="s">
        <v>2656</v>
      </c>
      <c r="H1476"/>
    </row>
    <row r="1477" spans="3:8" x14ac:dyDescent="0.3">
      <c r="C1477" s="99" t="s">
        <v>2656</v>
      </c>
      <c r="H1477"/>
    </row>
    <row r="1478" spans="3:8" x14ac:dyDescent="0.3">
      <c r="C1478" s="99" t="s">
        <v>2656</v>
      </c>
      <c r="H1478"/>
    </row>
    <row r="1479" spans="3:8" x14ac:dyDescent="0.3">
      <c r="C1479" s="99" t="s">
        <v>2657</v>
      </c>
      <c r="H1479"/>
    </row>
    <row r="1480" spans="3:8" x14ac:dyDescent="0.3">
      <c r="C1480" s="99" t="s">
        <v>2657</v>
      </c>
      <c r="H1480"/>
    </row>
    <row r="1481" spans="3:8" x14ac:dyDescent="0.3">
      <c r="C1481" s="99" t="s">
        <v>2657</v>
      </c>
      <c r="H1481"/>
    </row>
    <row r="1482" spans="3:8" x14ac:dyDescent="0.3">
      <c r="C1482" s="99" t="s">
        <v>2657</v>
      </c>
      <c r="H1482"/>
    </row>
    <row r="1483" spans="3:8" x14ac:dyDescent="0.3">
      <c r="C1483" s="99" t="s">
        <v>2657</v>
      </c>
      <c r="H1483"/>
    </row>
    <row r="1484" spans="3:8" x14ac:dyDescent="0.3">
      <c r="C1484" s="99" t="s">
        <v>2658</v>
      </c>
      <c r="H1484"/>
    </row>
    <row r="1485" spans="3:8" x14ac:dyDescent="0.3">
      <c r="C1485" s="99" t="s">
        <v>2659</v>
      </c>
      <c r="H1485"/>
    </row>
    <row r="1486" spans="3:8" x14ac:dyDescent="0.3">
      <c r="C1486" s="99" t="s">
        <v>2660</v>
      </c>
      <c r="H1486"/>
    </row>
    <row r="1487" spans="3:8" x14ac:dyDescent="0.3">
      <c r="C1487" s="99" t="s">
        <v>2660</v>
      </c>
      <c r="H1487"/>
    </row>
    <row r="1488" spans="3:8" x14ac:dyDescent="0.3">
      <c r="C1488" s="99" t="s">
        <v>2660</v>
      </c>
      <c r="H1488"/>
    </row>
    <row r="1489" spans="3:8" x14ac:dyDescent="0.3">
      <c r="C1489" s="99" t="s">
        <v>2660</v>
      </c>
      <c r="H1489"/>
    </row>
    <row r="1490" spans="3:8" x14ac:dyDescent="0.3">
      <c r="C1490" s="99" t="s">
        <v>2661</v>
      </c>
      <c r="H1490"/>
    </row>
    <row r="1491" spans="3:8" x14ac:dyDescent="0.3">
      <c r="C1491" s="99" t="s">
        <v>2661</v>
      </c>
      <c r="H1491"/>
    </row>
    <row r="1492" spans="3:8" x14ac:dyDescent="0.3">
      <c r="C1492" s="99" t="s">
        <v>2662</v>
      </c>
      <c r="H1492"/>
    </row>
    <row r="1493" spans="3:8" x14ac:dyDescent="0.3">
      <c r="C1493" s="99" t="s">
        <v>2662</v>
      </c>
      <c r="H1493"/>
    </row>
    <row r="1494" spans="3:8" x14ac:dyDescent="0.3">
      <c r="C1494" s="99" t="s">
        <v>2662</v>
      </c>
      <c r="H1494"/>
    </row>
    <row r="1495" spans="3:8" x14ac:dyDescent="0.3">
      <c r="C1495" s="99" t="s">
        <v>2662</v>
      </c>
      <c r="H1495"/>
    </row>
    <row r="1496" spans="3:8" x14ac:dyDescent="0.3">
      <c r="C1496" s="99" t="s">
        <v>2662</v>
      </c>
      <c r="H1496"/>
    </row>
    <row r="1497" spans="3:8" x14ac:dyDescent="0.3">
      <c r="C1497" s="99" t="s">
        <v>2663</v>
      </c>
      <c r="H1497"/>
    </row>
    <row r="1498" spans="3:8" x14ac:dyDescent="0.3">
      <c r="C1498" s="99" t="s">
        <v>2663</v>
      </c>
      <c r="H1498"/>
    </row>
    <row r="1499" spans="3:8" x14ac:dyDescent="0.3">
      <c r="C1499" s="99" t="s">
        <v>2663</v>
      </c>
      <c r="H1499"/>
    </row>
    <row r="1500" spans="3:8" x14ac:dyDescent="0.3">
      <c r="C1500" s="99" t="s">
        <v>2663</v>
      </c>
      <c r="H1500"/>
    </row>
    <row r="1501" spans="3:8" x14ac:dyDescent="0.3">
      <c r="C1501" s="99" t="s">
        <v>2664</v>
      </c>
      <c r="H1501"/>
    </row>
    <row r="1502" spans="3:8" x14ac:dyDescent="0.3">
      <c r="C1502" s="99" t="s">
        <v>2665</v>
      </c>
      <c r="H1502"/>
    </row>
    <row r="1503" spans="3:8" x14ac:dyDescent="0.3">
      <c r="C1503" s="99" t="s">
        <v>2665</v>
      </c>
      <c r="H1503"/>
    </row>
    <row r="1504" spans="3:8" x14ac:dyDescent="0.3">
      <c r="C1504" s="99" t="s">
        <v>2665</v>
      </c>
      <c r="H1504"/>
    </row>
    <row r="1505" spans="3:8" x14ac:dyDescent="0.3">
      <c r="C1505" s="99" t="s">
        <v>2665</v>
      </c>
      <c r="H1505"/>
    </row>
    <row r="1506" spans="3:8" x14ac:dyDescent="0.3">
      <c r="C1506" s="99" t="s">
        <v>2666</v>
      </c>
      <c r="H1506"/>
    </row>
    <row r="1507" spans="3:8" x14ac:dyDescent="0.3">
      <c r="C1507" s="99" t="s">
        <v>2667</v>
      </c>
      <c r="H1507"/>
    </row>
    <row r="1508" spans="3:8" x14ac:dyDescent="0.3">
      <c r="C1508" s="99" t="s">
        <v>2667</v>
      </c>
      <c r="H1508"/>
    </row>
    <row r="1509" spans="3:8" x14ac:dyDescent="0.3">
      <c r="C1509" s="99" t="s">
        <v>2667</v>
      </c>
      <c r="H1509"/>
    </row>
    <row r="1510" spans="3:8" x14ac:dyDescent="0.3">
      <c r="C1510" s="99" t="s">
        <v>2668</v>
      </c>
      <c r="H1510"/>
    </row>
    <row r="1511" spans="3:8" x14ac:dyDescent="0.3">
      <c r="C1511" s="99" t="s">
        <v>2668</v>
      </c>
      <c r="H1511"/>
    </row>
    <row r="1512" spans="3:8" x14ac:dyDescent="0.3">
      <c r="C1512" s="99" t="s">
        <v>2668</v>
      </c>
      <c r="H1512"/>
    </row>
    <row r="1513" spans="3:8" x14ac:dyDescent="0.3">
      <c r="C1513" s="99" t="s">
        <v>2668</v>
      </c>
      <c r="H1513"/>
    </row>
    <row r="1514" spans="3:8" x14ac:dyDescent="0.3">
      <c r="C1514" s="99" t="s">
        <v>2668</v>
      </c>
      <c r="H1514"/>
    </row>
    <row r="1515" spans="3:8" x14ac:dyDescent="0.3">
      <c r="C1515" s="99" t="s">
        <v>2668</v>
      </c>
      <c r="H1515"/>
    </row>
    <row r="1516" spans="3:8" x14ac:dyDescent="0.3">
      <c r="C1516" s="99" t="s">
        <v>2669</v>
      </c>
      <c r="H1516"/>
    </row>
    <row r="1517" spans="3:8" x14ac:dyDescent="0.3">
      <c r="C1517" s="99" t="s">
        <v>2669</v>
      </c>
      <c r="H1517"/>
    </row>
    <row r="1518" spans="3:8" x14ac:dyDescent="0.3">
      <c r="C1518" s="99" t="s">
        <v>2669</v>
      </c>
      <c r="H1518"/>
    </row>
    <row r="1519" spans="3:8" x14ac:dyDescent="0.3">
      <c r="C1519" s="99" t="s">
        <v>2669</v>
      </c>
      <c r="H1519"/>
    </row>
    <row r="1520" spans="3:8" x14ac:dyDescent="0.3">
      <c r="C1520" s="99" t="s">
        <v>2669</v>
      </c>
      <c r="H1520"/>
    </row>
    <row r="1521" spans="3:8" x14ac:dyDescent="0.3">
      <c r="C1521" s="99" t="s">
        <v>2669</v>
      </c>
      <c r="H1521"/>
    </row>
    <row r="1522" spans="3:8" x14ac:dyDescent="0.3">
      <c r="C1522" s="99" t="s">
        <v>2670</v>
      </c>
      <c r="H1522"/>
    </row>
    <row r="1523" spans="3:8" x14ac:dyDescent="0.3">
      <c r="C1523" s="99" t="s">
        <v>2670</v>
      </c>
      <c r="H1523"/>
    </row>
    <row r="1524" spans="3:8" x14ac:dyDescent="0.3">
      <c r="C1524" s="99" t="s">
        <v>2671</v>
      </c>
      <c r="H1524"/>
    </row>
    <row r="1525" spans="3:8" x14ac:dyDescent="0.3">
      <c r="C1525" s="99" t="s">
        <v>2672</v>
      </c>
      <c r="H1525"/>
    </row>
    <row r="1526" spans="3:8" x14ac:dyDescent="0.3">
      <c r="C1526" s="99" t="s">
        <v>2673</v>
      </c>
      <c r="H1526"/>
    </row>
    <row r="1527" spans="3:8" x14ac:dyDescent="0.3">
      <c r="C1527" s="99" t="s">
        <v>2673</v>
      </c>
      <c r="H1527"/>
    </row>
    <row r="1528" spans="3:8" x14ac:dyDescent="0.3">
      <c r="C1528" s="99" t="s">
        <v>2673</v>
      </c>
      <c r="H1528"/>
    </row>
    <row r="1529" spans="3:8" x14ac:dyDescent="0.3">
      <c r="C1529" s="99" t="s">
        <v>2673</v>
      </c>
      <c r="H1529"/>
    </row>
    <row r="1530" spans="3:8" x14ac:dyDescent="0.3">
      <c r="C1530" s="99" t="s">
        <v>2673</v>
      </c>
      <c r="H1530"/>
    </row>
    <row r="1531" spans="3:8" x14ac:dyDescent="0.3">
      <c r="C1531" s="99" t="s">
        <v>2673</v>
      </c>
      <c r="H1531"/>
    </row>
    <row r="1532" spans="3:8" x14ac:dyDescent="0.3">
      <c r="C1532" s="99" t="s">
        <v>2673</v>
      </c>
      <c r="H1532"/>
    </row>
    <row r="1533" spans="3:8" x14ac:dyDescent="0.3">
      <c r="C1533" s="99" t="s">
        <v>2673</v>
      </c>
      <c r="H1533"/>
    </row>
    <row r="1534" spans="3:8" x14ac:dyDescent="0.3">
      <c r="C1534" s="99" t="s">
        <v>2673</v>
      </c>
      <c r="H1534"/>
    </row>
    <row r="1535" spans="3:8" x14ac:dyDescent="0.3">
      <c r="C1535" s="99" t="s">
        <v>2674</v>
      </c>
      <c r="H1535"/>
    </row>
    <row r="1536" spans="3:8" x14ac:dyDescent="0.3">
      <c r="C1536" s="99" t="s">
        <v>2675</v>
      </c>
      <c r="H1536"/>
    </row>
    <row r="1537" spans="3:8" x14ac:dyDescent="0.3">
      <c r="C1537" s="99" t="s">
        <v>2676</v>
      </c>
      <c r="H1537"/>
    </row>
    <row r="1538" spans="3:8" x14ac:dyDescent="0.3">
      <c r="C1538" s="99" t="s">
        <v>2676</v>
      </c>
      <c r="H1538"/>
    </row>
    <row r="1539" spans="3:8" x14ac:dyDescent="0.3">
      <c r="C1539" s="99" t="s">
        <v>2677</v>
      </c>
      <c r="H1539"/>
    </row>
    <row r="1540" spans="3:8" x14ac:dyDescent="0.3">
      <c r="C1540" s="99" t="s">
        <v>2678</v>
      </c>
      <c r="H1540"/>
    </row>
    <row r="1541" spans="3:8" x14ac:dyDescent="0.3">
      <c r="C1541" s="99" t="s">
        <v>2679</v>
      </c>
      <c r="H1541"/>
    </row>
    <row r="1542" spans="3:8" x14ac:dyDescent="0.3">
      <c r="C1542" s="99" t="s">
        <v>2679</v>
      </c>
      <c r="H1542"/>
    </row>
    <row r="1543" spans="3:8" x14ac:dyDescent="0.3">
      <c r="C1543" s="99" t="s">
        <v>2679</v>
      </c>
      <c r="H1543"/>
    </row>
    <row r="1544" spans="3:8" x14ac:dyDescent="0.3">
      <c r="C1544" s="99" t="s">
        <v>2680</v>
      </c>
      <c r="H1544"/>
    </row>
    <row r="1545" spans="3:8" x14ac:dyDescent="0.3">
      <c r="C1545" s="99" t="s">
        <v>2681</v>
      </c>
      <c r="H1545"/>
    </row>
    <row r="1546" spans="3:8" x14ac:dyDescent="0.3">
      <c r="C1546" s="99" t="s">
        <v>2681</v>
      </c>
      <c r="H1546"/>
    </row>
    <row r="1547" spans="3:8" x14ac:dyDescent="0.3">
      <c r="C1547" s="99" t="s">
        <v>2682</v>
      </c>
      <c r="H1547"/>
    </row>
    <row r="1548" spans="3:8" x14ac:dyDescent="0.3">
      <c r="C1548" s="99" t="s">
        <v>2682</v>
      </c>
      <c r="H1548"/>
    </row>
    <row r="1549" spans="3:8" x14ac:dyDescent="0.3">
      <c r="C1549" s="99" t="s">
        <v>2683</v>
      </c>
      <c r="H1549"/>
    </row>
    <row r="1550" spans="3:8" x14ac:dyDescent="0.3">
      <c r="C1550" s="99" t="s">
        <v>2684</v>
      </c>
      <c r="H1550"/>
    </row>
    <row r="1551" spans="3:8" x14ac:dyDescent="0.3">
      <c r="C1551" s="99" t="s">
        <v>2684</v>
      </c>
      <c r="H1551"/>
    </row>
    <row r="1552" spans="3:8" x14ac:dyDescent="0.3">
      <c r="C1552" s="99" t="s">
        <v>2684</v>
      </c>
      <c r="H1552"/>
    </row>
    <row r="1553" spans="3:8" x14ac:dyDescent="0.3">
      <c r="C1553" s="99" t="s">
        <v>2684</v>
      </c>
      <c r="H1553"/>
    </row>
    <row r="1554" spans="3:8" x14ac:dyDescent="0.3">
      <c r="C1554" s="99" t="s">
        <v>2684</v>
      </c>
      <c r="H1554"/>
    </row>
    <row r="1555" spans="3:8" x14ac:dyDescent="0.3">
      <c r="C1555" s="99" t="s">
        <v>2684</v>
      </c>
      <c r="H1555"/>
    </row>
    <row r="1556" spans="3:8" x14ac:dyDescent="0.3">
      <c r="C1556" s="99" t="s">
        <v>2684</v>
      </c>
      <c r="H1556"/>
    </row>
    <row r="1557" spans="3:8" x14ac:dyDescent="0.3">
      <c r="C1557" s="99" t="s">
        <v>2685</v>
      </c>
      <c r="H1557"/>
    </row>
    <row r="1558" spans="3:8" x14ac:dyDescent="0.3">
      <c r="C1558" s="99" t="s">
        <v>2685</v>
      </c>
      <c r="H1558"/>
    </row>
    <row r="1559" spans="3:8" x14ac:dyDescent="0.3">
      <c r="C1559" s="99" t="s">
        <v>2685</v>
      </c>
      <c r="H1559"/>
    </row>
    <row r="1560" spans="3:8" x14ac:dyDescent="0.3">
      <c r="C1560" s="99" t="s">
        <v>2685</v>
      </c>
      <c r="H1560"/>
    </row>
    <row r="1561" spans="3:8" x14ac:dyDescent="0.3">
      <c r="C1561" s="99" t="s">
        <v>2685</v>
      </c>
      <c r="H1561"/>
    </row>
    <row r="1562" spans="3:8" x14ac:dyDescent="0.3">
      <c r="C1562" s="99" t="s">
        <v>2685</v>
      </c>
      <c r="H1562"/>
    </row>
    <row r="1563" spans="3:8" x14ac:dyDescent="0.3">
      <c r="C1563" s="99" t="s">
        <v>2685</v>
      </c>
      <c r="H1563"/>
    </row>
    <row r="1564" spans="3:8" x14ac:dyDescent="0.3">
      <c r="C1564" s="99" t="s">
        <v>2686</v>
      </c>
      <c r="H1564"/>
    </row>
    <row r="1565" spans="3:8" x14ac:dyDescent="0.3">
      <c r="C1565" s="99" t="s">
        <v>2686</v>
      </c>
      <c r="H1565"/>
    </row>
    <row r="1566" spans="3:8" x14ac:dyDescent="0.3">
      <c r="C1566" s="99" t="s">
        <v>2686</v>
      </c>
      <c r="H1566"/>
    </row>
    <row r="1567" spans="3:8" x14ac:dyDescent="0.3">
      <c r="C1567" s="99" t="s">
        <v>2686</v>
      </c>
      <c r="H1567"/>
    </row>
    <row r="1568" spans="3:8" x14ac:dyDescent="0.3">
      <c r="C1568" s="99" t="s">
        <v>2686</v>
      </c>
      <c r="H1568"/>
    </row>
    <row r="1569" spans="3:8" x14ac:dyDescent="0.3">
      <c r="C1569" s="99" t="s">
        <v>2686</v>
      </c>
      <c r="H1569"/>
    </row>
    <row r="1570" spans="3:8" x14ac:dyDescent="0.3">
      <c r="C1570" s="99" t="s">
        <v>2686</v>
      </c>
      <c r="H1570"/>
    </row>
    <row r="1571" spans="3:8" x14ac:dyDescent="0.3">
      <c r="C1571" s="99" t="s">
        <v>2686</v>
      </c>
      <c r="H1571"/>
    </row>
    <row r="1572" spans="3:8" x14ac:dyDescent="0.3">
      <c r="C1572" s="99" t="s">
        <v>2687</v>
      </c>
      <c r="H1572"/>
    </row>
    <row r="1573" spans="3:8" x14ac:dyDescent="0.3">
      <c r="C1573" s="99" t="s">
        <v>2688</v>
      </c>
      <c r="H1573"/>
    </row>
    <row r="1574" spans="3:8" x14ac:dyDescent="0.3">
      <c r="C1574" s="99" t="s">
        <v>2688</v>
      </c>
      <c r="H1574"/>
    </row>
    <row r="1575" spans="3:8" x14ac:dyDescent="0.3">
      <c r="C1575" s="99" t="s">
        <v>2688</v>
      </c>
      <c r="H1575"/>
    </row>
    <row r="1576" spans="3:8" x14ac:dyDescent="0.3">
      <c r="C1576" s="99" t="s">
        <v>2688</v>
      </c>
      <c r="H1576"/>
    </row>
    <row r="1577" spans="3:8" x14ac:dyDescent="0.3">
      <c r="C1577" s="99" t="s">
        <v>2688</v>
      </c>
      <c r="H1577"/>
    </row>
    <row r="1578" spans="3:8" x14ac:dyDescent="0.3">
      <c r="C1578" s="99" t="s">
        <v>2688</v>
      </c>
      <c r="H1578"/>
    </row>
    <row r="1579" spans="3:8" x14ac:dyDescent="0.3">
      <c r="C1579" s="99" t="s">
        <v>2688</v>
      </c>
      <c r="H1579"/>
    </row>
    <row r="1580" spans="3:8" x14ac:dyDescent="0.3">
      <c r="C1580" s="99" t="s">
        <v>2689</v>
      </c>
      <c r="H1580"/>
    </row>
    <row r="1581" spans="3:8" x14ac:dyDescent="0.3">
      <c r="C1581" s="99" t="s">
        <v>2690</v>
      </c>
      <c r="H1581"/>
    </row>
    <row r="1582" spans="3:8" x14ac:dyDescent="0.3">
      <c r="C1582" s="99" t="s">
        <v>2690</v>
      </c>
      <c r="H1582"/>
    </row>
    <row r="1583" spans="3:8" x14ac:dyDescent="0.3">
      <c r="C1583" s="99" t="s">
        <v>2690</v>
      </c>
      <c r="H1583"/>
    </row>
    <row r="1584" spans="3:8" x14ac:dyDescent="0.3">
      <c r="C1584" s="99" t="s">
        <v>2690</v>
      </c>
      <c r="H1584"/>
    </row>
    <row r="1585" spans="3:8" x14ac:dyDescent="0.3">
      <c r="C1585" s="99" t="s">
        <v>2691</v>
      </c>
      <c r="H1585"/>
    </row>
    <row r="1586" spans="3:8" x14ac:dyDescent="0.3">
      <c r="C1586" s="99" t="s">
        <v>2691</v>
      </c>
      <c r="H1586"/>
    </row>
    <row r="1587" spans="3:8" x14ac:dyDescent="0.3">
      <c r="C1587" s="99" t="s">
        <v>2692</v>
      </c>
      <c r="H1587"/>
    </row>
    <row r="1588" spans="3:8" x14ac:dyDescent="0.3">
      <c r="C1588" s="99" t="s">
        <v>2693</v>
      </c>
      <c r="H1588"/>
    </row>
    <row r="1589" spans="3:8" x14ac:dyDescent="0.3">
      <c r="C1589" s="99" t="s">
        <v>2693</v>
      </c>
      <c r="H1589"/>
    </row>
    <row r="1590" spans="3:8" x14ac:dyDescent="0.3">
      <c r="C1590" s="99" t="s">
        <v>2693</v>
      </c>
      <c r="H1590"/>
    </row>
    <row r="1591" spans="3:8" x14ac:dyDescent="0.3">
      <c r="C1591" s="99" t="s">
        <v>2693</v>
      </c>
      <c r="H1591"/>
    </row>
    <row r="1592" spans="3:8" x14ac:dyDescent="0.3">
      <c r="C1592" s="99" t="s">
        <v>2694</v>
      </c>
      <c r="H1592"/>
    </row>
    <row r="1593" spans="3:8" x14ac:dyDescent="0.3">
      <c r="C1593" s="99" t="s">
        <v>2695</v>
      </c>
      <c r="H1593"/>
    </row>
    <row r="1594" spans="3:8" x14ac:dyDescent="0.3">
      <c r="C1594" s="99" t="s">
        <v>2695</v>
      </c>
      <c r="H1594"/>
    </row>
    <row r="1595" spans="3:8" x14ac:dyDescent="0.3">
      <c r="C1595" s="99" t="s">
        <v>2695</v>
      </c>
      <c r="H1595"/>
    </row>
    <row r="1596" spans="3:8" x14ac:dyDescent="0.3">
      <c r="C1596" s="99" t="s">
        <v>2695</v>
      </c>
      <c r="H1596"/>
    </row>
    <row r="1597" spans="3:8" x14ac:dyDescent="0.3">
      <c r="C1597" s="99" t="s">
        <v>2695</v>
      </c>
      <c r="H1597"/>
    </row>
    <row r="1598" spans="3:8" x14ac:dyDescent="0.3">
      <c r="C1598" s="99" t="s">
        <v>2695</v>
      </c>
      <c r="H1598"/>
    </row>
    <row r="1599" spans="3:8" x14ac:dyDescent="0.3">
      <c r="C1599" s="99" t="s">
        <v>2695</v>
      </c>
      <c r="H1599"/>
    </row>
    <row r="1600" spans="3:8" x14ac:dyDescent="0.3">
      <c r="C1600" s="99" t="s">
        <v>2696</v>
      </c>
      <c r="H1600"/>
    </row>
    <row r="1601" spans="3:8" x14ac:dyDescent="0.3">
      <c r="C1601" s="99" t="s">
        <v>2696</v>
      </c>
      <c r="H1601"/>
    </row>
    <row r="1602" spans="3:8" x14ac:dyDescent="0.3">
      <c r="C1602" s="99" t="s">
        <v>2696</v>
      </c>
      <c r="H1602"/>
    </row>
    <row r="1603" spans="3:8" x14ac:dyDescent="0.3">
      <c r="C1603" s="99" t="s">
        <v>2697</v>
      </c>
      <c r="H1603"/>
    </row>
    <row r="1604" spans="3:8" x14ac:dyDescent="0.3">
      <c r="C1604" s="99" t="s">
        <v>2698</v>
      </c>
      <c r="H1604"/>
    </row>
    <row r="1605" spans="3:8" x14ac:dyDescent="0.3">
      <c r="C1605" s="99" t="s">
        <v>2698</v>
      </c>
      <c r="H1605"/>
    </row>
    <row r="1606" spans="3:8" x14ac:dyDescent="0.3">
      <c r="C1606" s="99" t="s">
        <v>2699</v>
      </c>
      <c r="H1606"/>
    </row>
    <row r="1607" spans="3:8" x14ac:dyDescent="0.3">
      <c r="C1607" s="99" t="s">
        <v>2699</v>
      </c>
      <c r="H1607"/>
    </row>
    <row r="1608" spans="3:8" x14ac:dyDescent="0.3">
      <c r="C1608" s="99" t="s">
        <v>2700</v>
      </c>
      <c r="H1608"/>
    </row>
    <row r="1609" spans="3:8" x14ac:dyDescent="0.3">
      <c r="C1609" s="99" t="s">
        <v>2701</v>
      </c>
      <c r="H1609"/>
    </row>
    <row r="1610" spans="3:8" x14ac:dyDescent="0.3">
      <c r="C1610" s="99" t="s">
        <v>2701</v>
      </c>
      <c r="H1610"/>
    </row>
    <row r="1611" spans="3:8" x14ac:dyDescent="0.3">
      <c r="C1611" s="99" t="s">
        <v>2702</v>
      </c>
      <c r="H1611"/>
    </row>
    <row r="1612" spans="3:8" x14ac:dyDescent="0.3">
      <c r="C1612" s="99" t="s">
        <v>2703</v>
      </c>
      <c r="H1612"/>
    </row>
    <row r="1613" spans="3:8" x14ac:dyDescent="0.3">
      <c r="C1613" s="99" t="s">
        <v>2703</v>
      </c>
      <c r="H1613"/>
    </row>
    <row r="1614" spans="3:8" x14ac:dyDescent="0.3">
      <c r="C1614" s="99" t="s">
        <v>2703</v>
      </c>
      <c r="H1614"/>
    </row>
    <row r="1615" spans="3:8" x14ac:dyDescent="0.3">
      <c r="C1615" s="99" t="s">
        <v>2704</v>
      </c>
      <c r="H1615"/>
    </row>
    <row r="1616" spans="3:8" x14ac:dyDescent="0.3">
      <c r="C1616" s="99" t="s">
        <v>2704</v>
      </c>
      <c r="H1616"/>
    </row>
    <row r="1617" spans="3:8" x14ac:dyDescent="0.3">
      <c r="C1617" s="99" t="s">
        <v>2705</v>
      </c>
      <c r="H1617"/>
    </row>
    <row r="1618" spans="3:8" x14ac:dyDescent="0.3">
      <c r="C1618" s="99" t="s">
        <v>2705</v>
      </c>
      <c r="H1618"/>
    </row>
    <row r="1619" spans="3:8" x14ac:dyDescent="0.3">
      <c r="C1619" s="99" t="s">
        <v>2705</v>
      </c>
      <c r="H1619"/>
    </row>
    <row r="1620" spans="3:8" x14ac:dyDescent="0.3">
      <c r="C1620" s="99" t="s">
        <v>2706</v>
      </c>
      <c r="H1620"/>
    </row>
    <row r="1621" spans="3:8" x14ac:dyDescent="0.3">
      <c r="C1621" s="99" t="s">
        <v>2706</v>
      </c>
      <c r="H1621"/>
    </row>
    <row r="1622" spans="3:8" x14ac:dyDescent="0.3">
      <c r="C1622" s="99" t="s">
        <v>2706</v>
      </c>
      <c r="H1622"/>
    </row>
    <row r="1623" spans="3:8" x14ac:dyDescent="0.3">
      <c r="C1623" s="99" t="s">
        <v>2706</v>
      </c>
      <c r="H1623"/>
    </row>
    <row r="1624" spans="3:8" x14ac:dyDescent="0.3">
      <c r="C1624" s="99" t="s">
        <v>2706</v>
      </c>
      <c r="H1624"/>
    </row>
    <row r="1625" spans="3:8" x14ac:dyDescent="0.3">
      <c r="C1625" s="99" t="s">
        <v>2706</v>
      </c>
      <c r="H1625"/>
    </row>
    <row r="1626" spans="3:8" x14ac:dyDescent="0.3">
      <c r="C1626" s="99" t="s">
        <v>2707</v>
      </c>
      <c r="H1626"/>
    </row>
    <row r="1627" spans="3:8" x14ac:dyDescent="0.3">
      <c r="C1627" s="99" t="s">
        <v>2708</v>
      </c>
      <c r="H1627"/>
    </row>
    <row r="1628" spans="3:8" x14ac:dyDescent="0.3">
      <c r="C1628" s="99" t="s">
        <v>2708</v>
      </c>
      <c r="H1628"/>
    </row>
    <row r="1629" spans="3:8" x14ac:dyDescent="0.3">
      <c r="C1629" s="99" t="s">
        <v>2709</v>
      </c>
      <c r="H1629"/>
    </row>
    <row r="1630" spans="3:8" x14ac:dyDescent="0.3">
      <c r="C1630" s="99" t="s">
        <v>2710</v>
      </c>
      <c r="H1630"/>
    </row>
    <row r="1631" spans="3:8" x14ac:dyDescent="0.3">
      <c r="C1631" s="99" t="s">
        <v>2710</v>
      </c>
      <c r="H1631"/>
    </row>
    <row r="1632" spans="3:8" x14ac:dyDescent="0.3">
      <c r="C1632" s="99" t="s">
        <v>2711</v>
      </c>
      <c r="H1632"/>
    </row>
    <row r="1633" spans="3:8" x14ac:dyDescent="0.3">
      <c r="C1633" s="99" t="s">
        <v>2711</v>
      </c>
      <c r="H1633"/>
    </row>
    <row r="1634" spans="3:8" x14ac:dyDescent="0.3">
      <c r="C1634" s="99" t="s">
        <v>2712</v>
      </c>
      <c r="H1634"/>
    </row>
    <row r="1635" spans="3:8" x14ac:dyDescent="0.3">
      <c r="C1635" s="99" t="s">
        <v>2712</v>
      </c>
      <c r="H1635"/>
    </row>
    <row r="1636" spans="3:8" x14ac:dyDescent="0.3">
      <c r="C1636" s="99" t="s">
        <v>2712</v>
      </c>
      <c r="H1636"/>
    </row>
    <row r="1637" spans="3:8" x14ac:dyDescent="0.3">
      <c r="C1637" s="99" t="s">
        <v>2713</v>
      </c>
      <c r="H1637"/>
    </row>
    <row r="1638" spans="3:8" x14ac:dyDescent="0.3">
      <c r="C1638" s="99" t="s">
        <v>2714</v>
      </c>
      <c r="H1638"/>
    </row>
    <row r="1639" spans="3:8" x14ac:dyDescent="0.3">
      <c r="C1639" s="99" t="s">
        <v>2714</v>
      </c>
      <c r="H1639"/>
    </row>
    <row r="1640" spans="3:8" x14ac:dyDescent="0.3">
      <c r="C1640" s="99" t="s">
        <v>2714</v>
      </c>
      <c r="H1640"/>
    </row>
    <row r="1641" spans="3:8" x14ac:dyDescent="0.3">
      <c r="C1641" s="99" t="s">
        <v>2715</v>
      </c>
      <c r="H1641"/>
    </row>
    <row r="1642" spans="3:8" x14ac:dyDescent="0.3">
      <c r="C1642" s="99" t="s">
        <v>2715</v>
      </c>
      <c r="H1642"/>
    </row>
    <row r="1643" spans="3:8" x14ac:dyDescent="0.3">
      <c r="C1643" s="99" t="s">
        <v>2716</v>
      </c>
      <c r="H1643"/>
    </row>
    <row r="1644" spans="3:8" x14ac:dyDescent="0.3">
      <c r="C1644" s="99" t="s">
        <v>2716</v>
      </c>
      <c r="H1644"/>
    </row>
    <row r="1645" spans="3:8" x14ac:dyDescent="0.3">
      <c r="C1645" s="99" t="s">
        <v>2716</v>
      </c>
      <c r="H1645"/>
    </row>
    <row r="1646" spans="3:8" x14ac:dyDescent="0.3">
      <c r="C1646" s="99" t="s">
        <v>2717</v>
      </c>
      <c r="H1646"/>
    </row>
    <row r="1647" spans="3:8" x14ac:dyDescent="0.3">
      <c r="C1647" s="99" t="s">
        <v>2717</v>
      </c>
      <c r="H1647"/>
    </row>
    <row r="1648" spans="3:8" x14ac:dyDescent="0.3">
      <c r="C1648" s="99" t="s">
        <v>2717</v>
      </c>
      <c r="H1648"/>
    </row>
    <row r="1649" spans="3:8" x14ac:dyDescent="0.3">
      <c r="C1649" s="99" t="s">
        <v>2718</v>
      </c>
      <c r="H1649"/>
    </row>
    <row r="1650" spans="3:8" x14ac:dyDescent="0.3">
      <c r="C1650" s="99" t="s">
        <v>2719</v>
      </c>
      <c r="H1650"/>
    </row>
    <row r="1651" spans="3:8" x14ac:dyDescent="0.3">
      <c r="C1651" s="99" t="s">
        <v>2719</v>
      </c>
      <c r="H1651"/>
    </row>
    <row r="1652" spans="3:8" x14ac:dyDescent="0.3">
      <c r="C1652" s="99" t="s">
        <v>2719</v>
      </c>
      <c r="H1652"/>
    </row>
    <row r="1653" spans="3:8" x14ac:dyDescent="0.3">
      <c r="C1653" s="99" t="s">
        <v>2719</v>
      </c>
      <c r="H1653"/>
    </row>
    <row r="1654" spans="3:8" x14ac:dyDescent="0.3">
      <c r="C1654" s="99" t="s">
        <v>2720</v>
      </c>
      <c r="H1654"/>
    </row>
    <row r="1655" spans="3:8" x14ac:dyDescent="0.3">
      <c r="C1655" s="99" t="s">
        <v>2720</v>
      </c>
      <c r="H1655"/>
    </row>
    <row r="1656" spans="3:8" x14ac:dyDescent="0.3">
      <c r="C1656" s="99" t="s">
        <v>2720</v>
      </c>
      <c r="H1656"/>
    </row>
    <row r="1657" spans="3:8" x14ac:dyDescent="0.3">
      <c r="C1657" s="99" t="s">
        <v>2721</v>
      </c>
      <c r="H1657"/>
    </row>
    <row r="1658" spans="3:8" x14ac:dyDescent="0.3">
      <c r="C1658" s="99" t="s">
        <v>2721</v>
      </c>
      <c r="H1658"/>
    </row>
    <row r="1659" spans="3:8" x14ac:dyDescent="0.3">
      <c r="C1659" s="99" t="s">
        <v>2721</v>
      </c>
      <c r="H1659"/>
    </row>
    <row r="1660" spans="3:8" x14ac:dyDescent="0.3">
      <c r="C1660" s="99" t="s">
        <v>2721</v>
      </c>
      <c r="H1660"/>
    </row>
    <row r="1661" spans="3:8" x14ac:dyDescent="0.3">
      <c r="C1661" s="99" t="s">
        <v>2722</v>
      </c>
      <c r="H1661"/>
    </row>
    <row r="1662" spans="3:8" x14ac:dyDescent="0.3">
      <c r="C1662" s="99" t="s">
        <v>2722</v>
      </c>
      <c r="H1662"/>
    </row>
    <row r="1663" spans="3:8" x14ac:dyDescent="0.3">
      <c r="C1663" s="99" t="s">
        <v>2722</v>
      </c>
      <c r="H1663"/>
    </row>
    <row r="1664" spans="3:8" x14ac:dyDescent="0.3">
      <c r="C1664" s="99" t="s">
        <v>2723</v>
      </c>
      <c r="H1664"/>
    </row>
    <row r="1665" spans="3:8" x14ac:dyDescent="0.3">
      <c r="C1665" s="99" t="s">
        <v>2723</v>
      </c>
      <c r="H1665"/>
    </row>
    <row r="1666" spans="3:8" x14ac:dyDescent="0.3">
      <c r="C1666" s="99" t="s">
        <v>2723</v>
      </c>
      <c r="H1666"/>
    </row>
    <row r="1667" spans="3:8" x14ac:dyDescent="0.3">
      <c r="C1667" s="99" t="s">
        <v>2724</v>
      </c>
      <c r="H1667"/>
    </row>
    <row r="1668" spans="3:8" x14ac:dyDescent="0.3">
      <c r="C1668" s="99" t="s">
        <v>2724</v>
      </c>
      <c r="H1668"/>
    </row>
    <row r="1669" spans="3:8" x14ac:dyDescent="0.3">
      <c r="C1669" s="99" t="s">
        <v>2724</v>
      </c>
      <c r="H1669"/>
    </row>
    <row r="1670" spans="3:8" x14ac:dyDescent="0.3">
      <c r="C1670" s="99" t="s">
        <v>2725</v>
      </c>
      <c r="H1670"/>
    </row>
    <row r="1671" spans="3:8" x14ac:dyDescent="0.3">
      <c r="C1671" s="99" t="s">
        <v>2726</v>
      </c>
      <c r="H1671"/>
    </row>
    <row r="1672" spans="3:8" x14ac:dyDescent="0.3">
      <c r="C1672" s="99" t="s">
        <v>2727</v>
      </c>
      <c r="H1672"/>
    </row>
    <row r="1673" spans="3:8" x14ac:dyDescent="0.3">
      <c r="C1673" s="99" t="s">
        <v>2727</v>
      </c>
      <c r="H1673"/>
    </row>
    <row r="1674" spans="3:8" x14ac:dyDescent="0.3">
      <c r="C1674" s="99" t="s">
        <v>2727</v>
      </c>
      <c r="H1674"/>
    </row>
    <row r="1675" spans="3:8" x14ac:dyDescent="0.3">
      <c r="C1675" s="99" t="s">
        <v>2728</v>
      </c>
      <c r="H1675"/>
    </row>
    <row r="1676" spans="3:8" x14ac:dyDescent="0.3">
      <c r="C1676" s="99" t="s">
        <v>2728</v>
      </c>
      <c r="H1676"/>
    </row>
    <row r="1677" spans="3:8" x14ac:dyDescent="0.3">
      <c r="C1677" s="99" t="s">
        <v>2728</v>
      </c>
      <c r="H1677"/>
    </row>
    <row r="1678" spans="3:8" x14ac:dyDescent="0.3">
      <c r="C1678" s="99" t="s">
        <v>2728</v>
      </c>
      <c r="H1678"/>
    </row>
    <row r="1679" spans="3:8" x14ac:dyDescent="0.3">
      <c r="C1679" s="99" t="s">
        <v>2729</v>
      </c>
      <c r="H1679"/>
    </row>
    <row r="1680" spans="3:8" x14ac:dyDescent="0.3">
      <c r="C1680" s="99" t="s">
        <v>2729</v>
      </c>
      <c r="H1680"/>
    </row>
    <row r="1681" spans="3:8" x14ac:dyDescent="0.3">
      <c r="C1681" s="99" t="s">
        <v>2730</v>
      </c>
      <c r="H1681"/>
    </row>
    <row r="1682" spans="3:8" x14ac:dyDescent="0.3">
      <c r="C1682" s="99" t="s">
        <v>2731</v>
      </c>
      <c r="H1682"/>
    </row>
    <row r="1683" spans="3:8" x14ac:dyDescent="0.3">
      <c r="C1683" s="99" t="s">
        <v>2731</v>
      </c>
      <c r="H1683"/>
    </row>
    <row r="1684" spans="3:8" x14ac:dyDescent="0.3">
      <c r="C1684" s="99" t="s">
        <v>2731</v>
      </c>
      <c r="H1684"/>
    </row>
    <row r="1685" spans="3:8" x14ac:dyDescent="0.3">
      <c r="C1685" s="99" t="s">
        <v>2731</v>
      </c>
      <c r="H1685"/>
    </row>
    <row r="1686" spans="3:8" x14ac:dyDescent="0.3">
      <c r="C1686" s="99" t="s">
        <v>2732</v>
      </c>
      <c r="H1686"/>
    </row>
    <row r="1687" spans="3:8" x14ac:dyDescent="0.3">
      <c r="C1687" s="99" t="s">
        <v>2732</v>
      </c>
      <c r="H1687"/>
    </row>
    <row r="1688" spans="3:8" x14ac:dyDescent="0.3">
      <c r="C1688" s="99" t="s">
        <v>2733</v>
      </c>
      <c r="H1688"/>
    </row>
    <row r="1689" spans="3:8" x14ac:dyDescent="0.3">
      <c r="C1689" s="99" t="s">
        <v>2733</v>
      </c>
      <c r="H1689"/>
    </row>
    <row r="1690" spans="3:8" x14ac:dyDescent="0.3">
      <c r="C1690" s="99" t="s">
        <v>2734</v>
      </c>
      <c r="H1690"/>
    </row>
    <row r="1691" spans="3:8" x14ac:dyDescent="0.3">
      <c r="C1691" s="99" t="s">
        <v>2735</v>
      </c>
      <c r="H1691"/>
    </row>
    <row r="1692" spans="3:8" x14ac:dyDescent="0.3">
      <c r="C1692" s="99" t="s">
        <v>2736</v>
      </c>
      <c r="H1692"/>
    </row>
    <row r="1693" spans="3:8" x14ac:dyDescent="0.3">
      <c r="C1693" s="99" t="s">
        <v>2737</v>
      </c>
      <c r="H1693"/>
    </row>
    <row r="1694" spans="3:8" x14ac:dyDescent="0.3">
      <c r="C1694" s="99" t="s">
        <v>2737</v>
      </c>
      <c r="H1694"/>
    </row>
    <row r="1695" spans="3:8" x14ac:dyDescent="0.3">
      <c r="C1695" s="99" t="s">
        <v>2738</v>
      </c>
      <c r="H1695"/>
    </row>
    <row r="1696" spans="3:8" x14ac:dyDescent="0.3">
      <c r="C1696" s="99" t="s">
        <v>2738</v>
      </c>
      <c r="H1696"/>
    </row>
    <row r="1697" spans="3:8" x14ac:dyDescent="0.3">
      <c r="C1697" s="99" t="s">
        <v>2738</v>
      </c>
      <c r="H1697"/>
    </row>
    <row r="1698" spans="3:8" x14ac:dyDescent="0.3">
      <c r="C1698" s="99" t="s">
        <v>2738</v>
      </c>
      <c r="H1698"/>
    </row>
    <row r="1699" spans="3:8" x14ac:dyDescent="0.3">
      <c r="C1699" s="99" t="s">
        <v>2738</v>
      </c>
      <c r="H1699"/>
    </row>
    <row r="1700" spans="3:8" x14ac:dyDescent="0.3">
      <c r="C1700" s="99" t="s">
        <v>2738</v>
      </c>
      <c r="H1700"/>
    </row>
    <row r="1701" spans="3:8" x14ac:dyDescent="0.3">
      <c r="C1701" s="99" t="s">
        <v>2739</v>
      </c>
      <c r="H1701"/>
    </row>
    <row r="1702" spans="3:8" x14ac:dyDescent="0.3">
      <c r="C1702" s="99" t="s">
        <v>2739</v>
      </c>
      <c r="H1702"/>
    </row>
    <row r="1703" spans="3:8" x14ac:dyDescent="0.3">
      <c r="C1703" s="99" t="s">
        <v>2739</v>
      </c>
      <c r="H1703"/>
    </row>
    <row r="1704" spans="3:8" x14ac:dyDescent="0.3">
      <c r="C1704" s="99" t="s">
        <v>2739</v>
      </c>
      <c r="H1704"/>
    </row>
    <row r="1705" spans="3:8" x14ac:dyDescent="0.3">
      <c r="C1705" s="99" t="s">
        <v>2740</v>
      </c>
      <c r="H1705"/>
    </row>
    <row r="1706" spans="3:8" x14ac:dyDescent="0.3">
      <c r="C1706" s="99" t="s">
        <v>2740</v>
      </c>
      <c r="H1706"/>
    </row>
    <row r="1707" spans="3:8" x14ac:dyDescent="0.3">
      <c r="C1707" s="99" t="s">
        <v>2740</v>
      </c>
      <c r="H1707"/>
    </row>
    <row r="1708" spans="3:8" x14ac:dyDescent="0.3">
      <c r="C1708" s="99" t="s">
        <v>2740</v>
      </c>
      <c r="H1708"/>
    </row>
    <row r="1709" spans="3:8" x14ac:dyDescent="0.3">
      <c r="C1709" s="99" t="s">
        <v>2740</v>
      </c>
      <c r="H1709"/>
    </row>
    <row r="1710" spans="3:8" x14ac:dyDescent="0.3">
      <c r="C1710" s="99" t="s">
        <v>2741</v>
      </c>
      <c r="H1710"/>
    </row>
    <row r="1711" spans="3:8" x14ac:dyDescent="0.3">
      <c r="C1711" s="99" t="s">
        <v>2741</v>
      </c>
      <c r="H1711"/>
    </row>
    <row r="1712" spans="3:8" x14ac:dyDescent="0.3">
      <c r="C1712" s="99" t="s">
        <v>2742</v>
      </c>
      <c r="H1712"/>
    </row>
    <row r="1713" spans="3:8" x14ac:dyDescent="0.3">
      <c r="C1713" s="99" t="s">
        <v>2743</v>
      </c>
      <c r="H1713"/>
    </row>
    <row r="1714" spans="3:8" x14ac:dyDescent="0.3">
      <c r="C1714" s="99" t="s">
        <v>2744</v>
      </c>
      <c r="H1714"/>
    </row>
    <row r="1715" spans="3:8" x14ac:dyDescent="0.3">
      <c r="C1715" s="99" t="s">
        <v>2744</v>
      </c>
      <c r="H1715"/>
    </row>
    <row r="1716" spans="3:8" x14ac:dyDescent="0.3">
      <c r="C1716" s="99" t="s">
        <v>2744</v>
      </c>
      <c r="H1716"/>
    </row>
    <row r="1717" spans="3:8" x14ac:dyDescent="0.3">
      <c r="C1717" s="99" t="s">
        <v>2745</v>
      </c>
      <c r="H1717"/>
    </row>
    <row r="1718" spans="3:8" x14ac:dyDescent="0.3">
      <c r="C1718" s="99" t="s">
        <v>2746</v>
      </c>
      <c r="H1718"/>
    </row>
    <row r="1719" spans="3:8" x14ac:dyDescent="0.3">
      <c r="C1719" s="99" t="s">
        <v>2746</v>
      </c>
      <c r="H1719"/>
    </row>
    <row r="1720" spans="3:8" x14ac:dyDescent="0.3">
      <c r="C1720" s="99" t="s">
        <v>2746</v>
      </c>
      <c r="H1720"/>
    </row>
    <row r="1721" spans="3:8" x14ac:dyDescent="0.3">
      <c r="C1721" s="99" t="s">
        <v>2746</v>
      </c>
      <c r="H1721"/>
    </row>
    <row r="1722" spans="3:8" x14ac:dyDescent="0.3">
      <c r="C1722" s="99" t="s">
        <v>2747</v>
      </c>
      <c r="H1722"/>
    </row>
    <row r="1723" spans="3:8" x14ac:dyDescent="0.3">
      <c r="C1723" s="99" t="s">
        <v>2747</v>
      </c>
      <c r="H1723"/>
    </row>
    <row r="1724" spans="3:8" x14ac:dyDescent="0.3">
      <c r="C1724" s="99" t="s">
        <v>2747</v>
      </c>
      <c r="H1724"/>
    </row>
    <row r="1725" spans="3:8" x14ac:dyDescent="0.3">
      <c r="C1725" s="99" t="s">
        <v>2748</v>
      </c>
      <c r="H1725"/>
    </row>
    <row r="1726" spans="3:8" x14ac:dyDescent="0.3">
      <c r="C1726" s="99" t="s">
        <v>2749</v>
      </c>
      <c r="H1726"/>
    </row>
    <row r="1727" spans="3:8" x14ac:dyDescent="0.3">
      <c r="C1727" s="99" t="s">
        <v>2750</v>
      </c>
      <c r="H1727"/>
    </row>
    <row r="1728" spans="3:8" x14ac:dyDescent="0.3">
      <c r="C1728" s="99" t="s">
        <v>2750</v>
      </c>
      <c r="H1728"/>
    </row>
    <row r="1729" spans="3:8" x14ac:dyDescent="0.3">
      <c r="C1729" s="99" t="s">
        <v>2750</v>
      </c>
      <c r="H1729"/>
    </row>
    <row r="1730" spans="3:8" x14ac:dyDescent="0.3">
      <c r="C1730" s="99" t="s">
        <v>2750</v>
      </c>
      <c r="H1730"/>
    </row>
    <row r="1731" spans="3:8" x14ac:dyDescent="0.3">
      <c r="C1731" s="99" t="s">
        <v>2751</v>
      </c>
      <c r="H1731"/>
    </row>
    <row r="1732" spans="3:8" x14ac:dyDescent="0.3">
      <c r="C1732" s="99" t="s">
        <v>2751</v>
      </c>
      <c r="H1732"/>
    </row>
    <row r="1733" spans="3:8" x14ac:dyDescent="0.3">
      <c r="C1733" s="99" t="s">
        <v>2752</v>
      </c>
      <c r="H1733"/>
    </row>
    <row r="1734" spans="3:8" x14ac:dyDescent="0.3">
      <c r="C1734" s="99" t="s">
        <v>2752</v>
      </c>
      <c r="H1734"/>
    </row>
    <row r="1735" spans="3:8" x14ac:dyDescent="0.3">
      <c r="C1735" s="99" t="s">
        <v>2753</v>
      </c>
      <c r="H1735"/>
    </row>
    <row r="1736" spans="3:8" x14ac:dyDescent="0.3">
      <c r="C1736" s="99" t="s">
        <v>2753</v>
      </c>
      <c r="H1736"/>
    </row>
    <row r="1737" spans="3:8" x14ac:dyDescent="0.3">
      <c r="C1737" s="99" t="s">
        <v>2753</v>
      </c>
      <c r="H1737"/>
    </row>
    <row r="1738" spans="3:8" x14ac:dyDescent="0.3">
      <c r="C1738" s="99" t="s">
        <v>2753</v>
      </c>
      <c r="H1738"/>
    </row>
    <row r="1739" spans="3:8" x14ac:dyDescent="0.3">
      <c r="C1739" s="99" t="s">
        <v>2753</v>
      </c>
      <c r="H1739"/>
    </row>
    <row r="1740" spans="3:8" x14ac:dyDescent="0.3">
      <c r="C1740" s="99" t="s">
        <v>2753</v>
      </c>
      <c r="H1740"/>
    </row>
    <row r="1741" spans="3:8" x14ac:dyDescent="0.3">
      <c r="C1741" s="99" t="s">
        <v>2753</v>
      </c>
      <c r="H1741"/>
    </row>
    <row r="1742" spans="3:8" x14ac:dyDescent="0.3">
      <c r="C1742" s="99" t="s">
        <v>2754</v>
      </c>
      <c r="H1742"/>
    </row>
    <row r="1743" spans="3:8" x14ac:dyDescent="0.3">
      <c r="C1743" s="99" t="s">
        <v>2754</v>
      </c>
      <c r="H1743"/>
    </row>
    <row r="1744" spans="3:8" x14ac:dyDescent="0.3">
      <c r="C1744" s="99" t="s">
        <v>2754</v>
      </c>
      <c r="H1744"/>
    </row>
    <row r="1745" spans="3:8" x14ac:dyDescent="0.3">
      <c r="C1745" s="99" t="s">
        <v>2754</v>
      </c>
      <c r="H1745"/>
    </row>
    <row r="1746" spans="3:8" x14ac:dyDescent="0.3">
      <c r="C1746" s="99" t="s">
        <v>2754</v>
      </c>
      <c r="H1746"/>
    </row>
    <row r="1747" spans="3:8" x14ac:dyDescent="0.3">
      <c r="C1747" s="99" t="s">
        <v>2755</v>
      </c>
      <c r="H1747"/>
    </row>
    <row r="1748" spans="3:8" x14ac:dyDescent="0.3">
      <c r="C1748" s="99" t="s">
        <v>2755</v>
      </c>
      <c r="H1748"/>
    </row>
    <row r="1749" spans="3:8" x14ac:dyDescent="0.3">
      <c r="C1749" s="99" t="s">
        <v>2756</v>
      </c>
      <c r="H1749"/>
    </row>
    <row r="1750" spans="3:8" x14ac:dyDescent="0.3">
      <c r="C1750" s="99" t="s">
        <v>2756</v>
      </c>
      <c r="H1750"/>
    </row>
    <row r="1751" spans="3:8" x14ac:dyDescent="0.3">
      <c r="C1751" s="99" t="s">
        <v>2756</v>
      </c>
      <c r="H1751"/>
    </row>
    <row r="1752" spans="3:8" x14ac:dyDescent="0.3">
      <c r="C1752" s="99" t="s">
        <v>2757</v>
      </c>
      <c r="H1752"/>
    </row>
    <row r="1753" spans="3:8" x14ac:dyDescent="0.3">
      <c r="C1753" s="99" t="s">
        <v>2757</v>
      </c>
      <c r="H1753"/>
    </row>
    <row r="1754" spans="3:8" x14ac:dyDescent="0.3">
      <c r="C1754" s="99" t="s">
        <v>2757</v>
      </c>
      <c r="H1754"/>
    </row>
    <row r="1755" spans="3:8" x14ac:dyDescent="0.3">
      <c r="C1755" s="99" t="s">
        <v>2757</v>
      </c>
      <c r="H1755"/>
    </row>
    <row r="1756" spans="3:8" x14ac:dyDescent="0.3">
      <c r="C1756" s="99" t="s">
        <v>2758</v>
      </c>
      <c r="H1756"/>
    </row>
    <row r="1757" spans="3:8" x14ac:dyDescent="0.3">
      <c r="C1757" s="99" t="s">
        <v>2759</v>
      </c>
      <c r="H1757"/>
    </row>
    <row r="1758" spans="3:8" x14ac:dyDescent="0.3">
      <c r="C1758" s="99" t="s">
        <v>2759</v>
      </c>
      <c r="H1758"/>
    </row>
    <row r="1759" spans="3:8" x14ac:dyDescent="0.3">
      <c r="C1759" s="99" t="s">
        <v>2760</v>
      </c>
      <c r="H1759"/>
    </row>
    <row r="1760" spans="3:8" x14ac:dyDescent="0.3">
      <c r="C1760" s="99" t="s">
        <v>2760</v>
      </c>
      <c r="H1760"/>
    </row>
    <row r="1761" spans="3:8" x14ac:dyDescent="0.3">
      <c r="C1761" s="99" t="s">
        <v>2760</v>
      </c>
      <c r="H1761"/>
    </row>
    <row r="1762" spans="3:8" x14ac:dyDescent="0.3">
      <c r="C1762" s="99" t="s">
        <v>2761</v>
      </c>
      <c r="H1762"/>
    </row>
    <row r="1763" spans="3:8" x14ac:dyDescent="0.3">
      <c r="C1763" s="99" t="s">
        <v>2761</v>
      </c>
      <c r="H1763"/>
    </row>
    <row r="1764" spans="3:8" x14ac:dyDescent="0.3">
      <c r="C1764" s="99" t="s">
        <v>2761</v>
      </c>
      <c r="H1764"/>
    </row>
    <row r="1765" spans="3:8" x14ac:dyDescent="0.3">
      <c r="C1765" s="99" t="s">
        <v>2762</v>
      </c>
      <c r="H1765"/>
    </row>
    <row r="1766" spans="3:8" x14ac:dyDescent="0.3">
      <c r="C1766" s="99" t="s">
        <v>2762</v>
      </c>
      <c r="H1766"/>
    </row>
    <row r="1767" spans="3:8" x14ac:dyDescent="0.3">
      <c r="C1767" s="99" t="s">
        <v>2762</v>
      </c>
      <c r="H1767"/>
    </row>
    <row r="1768" spans="3:8" x14ac:dyDescent="0.3">
      <c r="C1768" s="99" t="s">
        <v>2763</v>
      </c>
      <c r="H1768"/>
    </row>
    <row r="1769" spans="3:8" x14ac:dyDescent="0.3">
      <c r="C1769" s="99" t="s">
        <v>2763</v>
      </c>
      <c r="H1769"/>
    </row>
    <row r="1770" spans="3:8" x14ac:dyDescent="0.3">
      <c r="C1770" s="99" t="s">
        <v>2763</v>
      </c>
      <c r="H1770"/>
    </row>
    <row r="1771" spans="3:8" x14ac:dyDescent="0.3">
      <c r="C1771" s="99" t="s">
        <v>2763</v>
      </c>
      <c r="H1771"/>
    </row>
    <row r="1772" spans="3:8" x14ac:dyDescent="0.3">
      <c r="C1772" s="99" t="s">
        <v>2763</v>
      </c>
      <c r="H1772"/>
    </row>
    <row r="1773" spans="3:8" x14ac:dyDescent="0.3">
      <c r="C1773" s="99" t="s">
        <v>2764</v>
      </c>
      <c r="H1773"/>
    </row>
    <row r="1774" spans="3:8" x14ac:dyDescent="0.3">
      <c r="C1774" s="99" t="s">
        <v>2765</v>
      </c>
      <c r="H1774"/>
    </row>
    <row r="1775" spans="3:8" x14ac:dyDescent="0.3">
      <c r="C1775" s="99" t="s">
        <v>2765</v>
      </c>
      <c r="H1775"/>
    </row>
    <row r="1776" spans="3:8" x14ac:dyDescent="0.3">
      <c r="C1776" s="99" t="s">
        <v>2766</v>
      </c>
      <c r="H1776"/>
    </row>
    <row r="1777" spans="3:8" x14ac:dyDescent="0.3">
      <c r="C1777" s="99" t="s">
        <v>2767</v>
      </c>
      <c r="H1777"/>
    </row>
    <row r="1778" spans="3:8" x14ac:dyDescent="0.3">
      <c r="C1778" s="99" t="s">
        <v>2767</v>
      </c>
      <c r="H1778"/>
    </row>
    <row r="1779" spans="3:8" x14ac:dyDescent="0.3">
      <c r="C1779" s="99" t="s">
        <v>2768</v>
      </c>
      <c r="H1779"/>
    </row>
    <row r="1780" spans="3:8" x14ac:dyDescent="0.3">
      <c r="C1780" s="99" t="s">
        <v>2768</v>
      </c>
      <c r="H1780"/>
    </row>
    <row r="1781" spans="3:8" x14ac:dyDescent="0.3">
      <c r="C1781" s="99" t="s">
        <v>2769</v>
      </c>
      <c r="H1781"/>
    </row>
    <row r="1782" spans="3:8" x14ac:dyDescent="0.3">
      <c r="C1782" s="99" t="s">
        <v>2770</v>
      </c>
      <c r="H1782"/>
    </row>
    <row r="1783" spans="3:8" x14ac:dyDescent="0.3">
      <c r="C1783" s="99" t="s">
        <v>2770</v>
      </c>
      <c r="H1783"/>
    </row>
    <row r="1784" spans="3:8" x14ac:dyDescent="0.3">
      <c r="C1784" s="99" t="s">
        <v>2771</v>
      </c>
      <c r="H1784"/>
    </row>
    <row r="1785" spans="3:8" x14ac:dyDescent="0.3">
      <c r="C1785" s="99" t="s">
        <v>2772</v>
      </c>
      <c r="H1785"/>
    </row>
    <row r="1786" spans="3:8" x14ac:dyDescent="0.3">
      <c r="C1786" s="99" t="s">
        <v>2772</v>
      </c>
      <c r="H1786"/>
    </row>
    <row r="1787" spans="3:8" x14ac:dyDescent="0.3">
      <c r="C1787" s="99" t="s">
        <v>2772</v>
      </c>
      <c r="H1787"/>
    </row>
    <row r="1788" spans="3:8" x14ac:dyDescent="0.3">
      <c r="C1788" s="99" t="s">
        <v>2772</v>
      </c>
      <c r="H1788"/>
    </row>
    <row r="1789" spans="3:8" x14ac:dyDescent="0.3">
      <c r="C1789" s="99" t="s">
        <v>2773</v>
      </c>
      <c r="H1789"/>
    </row>
    <row r="1790" spans="3:8" x14ac:dyDescent="0.3">
      <c r="C1790" s="99" t="s">
        <v>2773</v>
      </c>
      <c r="H1790"/>
    </row>
    <row r="1791" spans="3:8" x14ac:dyDescent="0.3">
      <c r="C1791" s="99" t="s">
        <v>2773</v>
      </c>
      <c r="H1791"/>
    </row>
    <row r="1792" spans="3:8" x14ac:dyDescent="0.3">
      <c r="C1792" s="99" t="s">
        <v>2773</v>
      </c>
      <c r="H1792"/>
    </row>
    <row r="1793" spans="3:8" x14ac:dyDescent="0.3">
      <c r="C1793" s="99" t="s">
        <v>2774</v>
      </c>
      <c r="H1793"/>
    </row>
    <row r="1794" spans="3:8" x14ac:dyDescent="0.3">
      <c r="C1794" s="99" t="s">
        <v>2774</v>
      </c>
      <c r="H1794"/>
    </row>
    <row r="1795" spans="3:8" x14ac:dyDescent="0.3">
      <c r="C1795" s="99" t="s">
        <v>2774</v>
      </c>
      <c r="H1795"/>
    </row>
    <row r="1796" spans="3:8" x14ac:dyDescent="0.3">
      <c r="C1796" s="99" t="s">
        <v>2774</v>
      </c>
      <c r="H1796"/>
    </row>
    <row r="1797" spans="3:8" x14ac:dyDescent="0.3">
      <c r="C1797" s="99" t="s">
        <v>2775</v>
      </c>
      <c r="H1797"/>
    </row>
    <row r="1798" spans="3:8" x14ac:dyDescent="0.3">
      <c r="C1798" s="99" t="s">
        <v>2776</v>
      </c>
      <c r="H1798"/>
    </row>
    <row r="1799" spans="3:8" x14ac:dyDescent="0.3">
      <c r="C1799" s="99" t="s">
        <v>2776</v>
      </c>
      <c r="H1799"/>
    </row>
    <row r="1800" spans="3:8" x14ac:dyDescent="0.3">
      <c r="C1800" s="99" t="s">
        <v>2776</v>
      </c>
      <c r="H1800"/>
    </row>
    <row r="1801" spans="3:8" x14ac:dyDescent="0.3">
      <c r="C1801" s="99" t="s">
        <v>2777</v>
      </c>
      <c r="H1801"/>
    </row>
    <row r="1802" spans="3:8" x14ac:dyDescent="0.3">
      <c r="C1802" s="99" t="s">
        <v>2777</v>
      </c>
      <c r="H1802"/>
    </row>
    <row r="1803" spans="3:8" x14ac:dyDescent="0.3">
      <c r="C1803" s="99" t="s">
        <v>2777</v>
      </c>
      <c r="H1803"/>
    </row>
    <row r="1804" spans="3:8" x14ac:dyDescent="0.3">
      <c r="C1804" s="99" t="s">
        <v>2777</v>
      </c>
      <c r="H1804"/>
    </row>
    <row r="1805" spans="3:8" x14ac:dyDescent="0.3">
      <c r="C1805" s="99" t="s">
        <v>2778</v>
      </c>
      <c r="H1805"/>
    </row>
    <row r="1806" spans="3:8" x14ac:dyDescent="0.3">
      <c r="C1806" s="99" t="s">
        <v>2779</v>
      </c>
      <c r="H1806"/>
    </row>
    <row r="1807" spans="3:8" x14ac:dyDescent="0.3">
      <c r="C1807" s="99" t="s">
        <v>2779</v>
      </c>
      <c r="H1807"/>
    </row>
    <row r="1808" spans="3:8" x14ac:dyDescent="0.3">
      <c r="C1808" s="99" t="s">
        <v>2779</v>
      </c>
      <c r="H1808"/>
    </row>
    <row r="1809" spans="3:8" x14ac:dyDescent="0.3">
      <c r="C1809" s="99" t="s">
        <v>2779</v>
      </c>
      <c r="H1809"/>
    </row>
    <row r="1810" spans="3:8" x14ac:dyDescent="0.3">
      <c r="C1810" s="99" t="s">
        <v>2779</v>
      </c>
      <c r="H1810"/>
    </row>
    <row r="1811" spans="3:8" x14ac:dyDescent="0.3">
      <c r="C1811" s="99" t="s">
        <v>2779</v>
      </c>
      <c r="H1811"/>
    </row>
    <row r="1812" spans="3:8" x14ac:dyDescent="0.3">
      <c r="C1812" s="99" t="s">
        <v>2779</v>
      </c>
      <c r="H1812"/>
    </row>
    <row r="1813" spans="3:8" x14ac:dyDescent="0.3">
      <c r="C1813" s="99" t="s">
        <v>2779</v>
      </c>
      <c r="H1813"/>
    </row>
    <row r="1814" spans="3:8" x14ac:dyDescent="0.3">
      <c r="C1814" s="99" t="s">
        <v>2779</v>
      </c>
      <c r="H1814"/>
    </row>
    <row r="1815" spans="3:8" x14ac:dyDescent="0.3">
      <c r="C1815" s="99" t="s">
        <v>2779</v>
      </c>
      <c r="H1815"/>
    </row>
    <row r="1816" spans="3:8" x14ac:dyDescent="0.3">
      <c r="C1816" s="99" t="s">
        <v>2780</v>
      </c>
      <c r="H1816"/>
    </row>
    <row r="1817" spans="3:8" x14ac:dyDescent="0.3">
      <c r="C1817" s="99" t="s">
        <v>2780</v>
      </c>
      <c r="H1817"/>
    </row>
    <row r="1818" spans="3:8" x14ac:dyDescent="0.3">
      <c r="C1818" s="99" t="s">
        <v>2780</v>
      </c>
      <c r="H1818"/>
    </row>
    <row r="1819" spans="3:8" x14ac:dyDescent="0.3">
      <c r="C1819" s="99" t="s">
        <v>2780</v>
      </c>
      <c r="H1819"/>
    </row>
    <row r="1820" spans="3:8" x14ac:dyDescent="0.3">
      <c r="C1820" s="99" t="s">
        <v>2780</v>
      </c>
      <c r="H1820"/>
    </row>
    <row r="1821" spans="3:8" x14ac:dyDescent="0.3">
      <c r="C1821" s="99" t="s">
        <v>2780</v>
      </c>
      <c r="H1821"/>
    </row>
    <row r="1822" spans="3:8" x14ac:dyDescent="0.3">
      <c r="C1822" s="99" t="s">
        <v>2780</v>
      </c>
      <c r="H1822"/>
    </row>
    <row r="1823" spans="3:8" x14ac:dyDescent="0.3">
      <c r="C1823" s="99" t="s">
        <v>2780</v>
      </c>
      <c r="H1823"/>
    </row>
    <row r="1824" spans="3:8" x14ac:dyDescent="0.3">
      <c r="C1824" s="99" t="s">
        <v>2781</v>
      </c>
      <c r="H1824"/>
    </row>
    <row r="1825" spans="3:8" x14ac:dyDescent="0.3">
      <c r="C1825" s="99" t="s">
        <v>2781</v>
      </c>
      <c r="H1825"/>
    </row>
    <row r="1826" spans="3:8" x14ac:dyDescent="0.3">
      <c r="C1826" s="99" t="s">
        <v>2781</v>
      </c>
      <c r="H1826"/>
    </row>
    <row r="1827" spans="3:8" x14ac:dyDescent="0.3">
      <c r="C1827" s="99" t="s">
        <v>2782</v>
      </c>
      <c r="H1827"/>
    </row>
    <row r="1828" spans="3:8" x14ac:dyDescent="0.3">
      <c r="C1828" s="99" t="s">
        <v>2782</v>
      </c>
      <c r="H1828"/>
    </row>
    <row r="1829" spans="3:8" x14ac:dyDescent="0.3">
      <c r="C1829" s="99" t="s">
        <v>2783</v>
      </c>
      <c r="H1829"/>
    </row>
    <row r="1830" spans="3:8" x14ac:dyDescent="0.3">
      <c r="C1830" s="99" t="s">
        <v>2783</v>
      </c>
      <c r="H1830"/>
    </row>
    <row r="1831" spans="3:8" x14ac:dyDescent="0.3">
      <c r="C1831" s="99" t="s">
        <v>2784</v>
      </c>
      <c r="H1831"/>
    </row>
    <row r="1832" spans="3:8" x14ac:dyDescent="0.3">
      <c r="C1832" s="99" t="s">
        <v>2785</v>
      </c>
      <c r="H1832"/>
    </row>
    <row r="1833" spans="3:8" x14ac:dyDescent="0.3">
      <c r="C1833" s="99" t="s">
        <v>2785</v>
      </c>
      <c r="H1833"/>
    </row>
    <row r="1834" spans="3:8" x14ac:dyDescent="0.3">
      <c r="C1834" s="99" t="s">
        <v>2785</v>
      </c>
      <c r="H1834"/>
    </row>
    <row r="1835" spans="3:8" x14ac:dyDescent="0.3">
      <c r="C1835" s="99" t="s">
        <v>2786</v>
      </c>
      <c r="H1835"/>
    </row>
    <row r="1836" spans="3:8" x14ac:dyDescent="0.3">
      <c r="C1836" s="99" t="s">
        <v>2786</v>
      </c>
      <c r="H1836"/>
    </row>
    <row r="1837" spans="3:8" x14ac:dyDescent="0.3">
      <c r="C1837" s="99" t="s">
        <v>2786</v>
      </c>
      <c r="H1837"/>
    </row>
    <row r="1838" spans="3:8" x14ac:dyDescent="0.3">
      <c r="C1838" s="99" t="s">
        <v>2787</v>
      </c>
      <c r="H1838"/>
    </row>
    <row r="1839" spans="3:8" x14ac:dyDescent="0.3">
      <c r="C1839" s="99" t="s">
        <v>2787</v>
      </c>
      <c r="H1839"/>
    </row>
    <row r="1840" spans="3:8" x14ac:dyDescent="0.3">
      <c r="C1840" s="99" t="s">
        <v>2787</v>
      </c>
      <c r="H1840"/>
    </row>
    <row r="1841" spans="3:8" x14ac:dyDescent="0.3">
      <c r="C1841" s="99" t="s">
        <v>2788</v>
      </c>
      <c r="H1841"/>
    </row>
    <row r="1842" spans="3:8" x14ac:dyDescent="0.3">
      <c r="C1842" s="99" t="s">
        <v>2788</v>
      </c>
      <c r="H1842"/>
    </row>
    <row r="1843" spans="3:8" x14ac:dyDescent="0.3">
      <c r="C1843" s="99" t="s">
        <v>2788</v>
      </c>
      <c r="H1843"/>
    </row>
    <row r="1844" spans="3:8" x14ac:dyDescent="0.3">
      <c r="C1844" s="99" t="s">
        <v>2788</v>
      </c>
      <c r="H1844"/>
    </row>
    <row r="1845" spans="3:8" x14ac:dyDescent="0.3">
      <c r="C1845" s="99" t="s">
        <v>2788</v>
      </c>
      <c r="H1845"/>
    </row>
    <row r="1846" spans="3:8" x14ac:dyDescent="0.3">
      <c r="C1846" s="99" t="s">
        <v>2788</v>
      </c>
      <c r="H1846"/>
    </row>
    <row r="1847" spans="3:8" x14ac:dyDescent="0.3">
      <c r="C1847" s="99" t="s">
        <v>2789</v>
      </c>
      <c r="H1847"/>
    </row>
    <row r="1848" spans="3:8" x14ac:dyDescent="0.3">
      <c r="C1848" s="99" t="s">
        <v>2789</v>
      </c>
      <c r="H1848"/>
    </row>
    <row r="1849" spans="3:8" x14ac:dyDescent="0.3">
      <c r="C1849" s="99" t="s">
        <v>2789</v>
      </c>
      <c r="H1849"/>
    </row>
    <row r="1850" spans="3:8" x14ac:dyDescent="0.3">
      <c r="C1850" s="99" t="s">
        <v>2789</v>
      </c>
      <c r="H1850"/>
    </row>
    <row r="1851" spans="3:8" x14ac:dyDescent="0.3">
      <c r="C1851" s="99" t="s">
        <v>2789</v>
      </c>
      <c r="H1851"/>
    </row>
    <row r="1852" spans="3:8" x14ac:dyDescent="0.3">
      <c r="C1852" s="99" t="s">
        <v>2790</v>
      </c>
      <c r="H1852"/>
    </row>
    <row r="1853" spans="3:8" x14ac:dyDescent="0.3">
      <c r="C1853" s="99" t="s">
        <v>2791</v>
      </c>
      <c r="H1853"/>
    </row>
    <row r="1854" spans="3:8" x14ac:dyDescent="0.3">
      <c r="C1854" s="99" t="s">
        <v>2792</v>
      </c>
      <c r="H1854"/>
    </row>
    <row r="1855" spans="3:8" x14ac:dyDescent="0.3">
      <c r="C1855" s="99" t="s">
        <v>2793</v>
      </c>
      <c r="H1855"/>
    </row>
    <row r="1856" spans="3:8" x14ac:dyDescent="0.3">
      <c r="C1856" s="99" t="s">
        <v>2794</v>
      </c>
      <c r="H1856"/>
    </row>
    <row r="1857" spans="3:8" x14ac:dyDescent="0.3">
      <c r="C1857" s="99" t="s">
        <v>2795</v>
      </c>
      <c r="H1857"/>
    </row>
    <row r="1858" spans="3:8" x14ac:dyDescent="0.3">
      <c r="C1858" s="99" t="s">
        <v>2796</v>
      </c>
      <c r="H1858"/>
    </row>
    <row r="1859" spans="3:8" x14ac:dyDescent="0.3">
      <c r="C1859" s="99" t="s">
        <v>2796</v>
      </c>
      <c r="H1859"/>
    </row>
    <row r="1860" spans="3:8" x14ac:dyDescent="0.3">
      <c r="C1860" s="99" t="s">
        <v>2796</v>
      </c>
      <c r="H1860"/>
    </row>
    <row r="1861" spans="3:8" x14ac:dyDescent="0.3">
      <c r="C1861" s="99" t="s">
        <v>2797</v>
      </c>
      <c r="H1861"/>
    </row>
    <row r="1862" spans="3:8" x14ac:dyDescent="0.3">
      <c r="C1862" s="99" t="s">
        <v>2797</v>
      </c>
      <c r="H1862"/>
    </row>
    <row r="1863" spans="3:8" x14ac:dyDescent="0.3">
      <c r="C1863" s="99" t="s">
        <v>2798</v>
      </c>
      <c r="H1863"/>
    </row>
    <row r="1864" spans="3:8" x14ac:dyDescent="0.3">
      <c r="C1864" s="99" t="s">
        <v>2799</v>
      </c>
      <c r="H1864"/>
    </row>
    <row r="1865" spans="3:8" x14ac:dyDescent="0.3">
      <c r="C1865" s="99" t="s">
        <v>2800</v>
      </c>
      <c r="H1865"/>
    </row>
    <row r="1866" spans="3:8" x14ac:dyDescent="0.3">
      <c r="C1866" s="99" t="s">
        <v>2800</v>
      </c>
      <c r="H1866"/>
    </row>
    <row r="1867" spans="3:8" x14ac:dyDescent="0.3">
      <c r="C1867" s="99" t="s">
        <v>2800</v>
      </c>
      <c r="H1867"/>
    </row>
    <row r="1868" spans="3:8" x14ac:dyDescent="0.3">
      <c r="C1868" s="99" t="s">
        <v>2801</v>
      </c>
      <c r="H1868"/>
    </row>
    <row r="1869" spans="3:8" x14ac:dyDescent="0.3">
      <c r="C1869" s="99" t="s">
        <v>2801</v>
      </c>
      <c r="H1869"/>
    </row>
    <row r="1870" spans="3:8" x14ac:dyDescent="0.3">
      <c r="C1870" s="99" t="s">
        <v>2801</v>
      </c>
      <c r="H1870"/>
    </row>
    <row r="1871" spans="3:8" x14ac:dyDescent="0.3">
      <c r="C1871" s="99" t="s">
        <v>2802</v>
      </c>
      <c r="H1871"/>
    </row>
    <row r="1872" spans="3:8" x14ac:dyDescent="0.3">
      <c r="C1872" s="99" t="s">
        <v>2803</v>
      </c>
      <c r="H1872"/>
    </row>
    <row r="1873" spans="3:8" x14ac:dyDescent="0.3">
      <c r="C1873" s="99" t="s">
        <v>2804</v>
      </c>
      <c r="H1873"/>
    </row>
    <row r="1874" spans="3:8" x14ac:dyDescent="0.3">
      <c r="C1874" s="99" t="s">
        <v>2804</v>
      </c>
      <c r="H1874"/>
    </row>
    <row r="1875" spans="3:8" x14ac:dyDescent="0.3">
      <c r="C1875" s="99" t="s">
        <v>2804</v>
      </c>
      <c r="H1875"/>
    </row>
    <row r="1876" spans="3:8" x14ac:dyDescent="0.3">
      <c r="C1876" s="99" t="s">
        <v>2805</v>
      </c>
      <c r="H1876"/>
    </row>
    <row r="1877" spans="3:8" x14ac:dyDescent="0.3">
      <c r="C1877" s="99" t="s">
        <v>2806</v>
      </c>
      <c r="H1877"/>
    </row>
    <row r="1878" spans="3:8" x14ac:dyDescent="0.3">
      <c r="C1878" s="99" t="s">
        <v>2806</v>
      </c>
      <c r="H1878"/>
    </row>
    <row r="1879" spans="3:8" x14ac:dyDescent="0.3">
      <c r="C1879" s="99" t="s">
        <v>2806</v>
      </c>
      <c r="H1879"/>
    </row>
    <row r="1880" spans="3:8" x14ac:dyDescent="0.3">
      <c r="C1880" s="99" t="s">
        <v>2806</v>
      </c>
      <c r="H1880"/>
    </row>
    <row r="1881" spans="3:8" x14ac:dyDescent="0.3">
      <c r="C1881" s="99" t="s">
        <v>2807</v>
      </c>
      <c r="H1881"/>
    </row>
    <row r="1882" spans="3:8" x14ac:dyDescent="0.3">
      <c r="C1882" s="99" t="s">
        <v>2807</v>
      </c>
      <c r="H1882"/>
    </row>
    <row r="1883" spans="3:8" x14ac:dyDescent="0.3">
      <c r="C1883" s="99" t="s">
        <v>2807</v>
      </c>
      <c r="H1883"/>
    </row>
    <row r="1884" spans="3:8" x14ac:dyDescent="0.3">
      <c r="C1884" s="99" t="s">
        <v>2808</v>
      </c>
      <c r="H1884"/>
    </row>
    <row r="1885" spans="3:8" x14ac:dyDescent="0.3">
      <c r="C1885" s="99" t="s">
        <v>2808</v>
      </c>
      <c r="H1885"/>
    </row>
    <row r="1886" spans="3:8" x14ac:dyDescent="0.3">
      <c r="C1886" s="99" t="s">
        <v>2808</v>
      </c>
      <c r="H1886"/>
    </row>
    <row r="1887" spans="3:8" x14ac:dyDescent="0.3">
      <c r="C1887" s="99" t="s">
        <v>2808</v>
      </c>
      <c r="H1887"/>
    </row>
    <row r="1888" spans="3:8" x14ac:dyDescent="0.3">
      <c r="C1888" s="99" t="s">
        <v>2808</v>
      </c>
      <c r="H1888"/>
    </row>
    <row r="1889" spans="3:8" x14ac:dyDescent="0.3">
      <c r="C1889" s="99" t="s">
        <v>2808</v>
      </c>
      <c r="H1889"/>
    </row>
    <row r="1890" spans="3:8" x14ac:dyDescent="0.3">
      <c r="C1890" s="99" t="s">
        <v>2808</v>
      </c>
      <c r="H1890"/>
    </row>
    <row r="1891" spans="3:8" x14ac:dyDescent="0.3">
      <c r="C1891" s="99" t="s">
        <v>2808</v>
      </c>
      <c r="H1891"/>
    </row>
    <row r="1892" spans="3:8" x14ac:dyDescent="0.3">
      <c r="C1892" s="99" t="s">
        <v>2809</v>
      </c>
      <c r="H1892"/>
    </row>
    <row r="1893" spans="3:8" x14ac:dyDescent="0.3">
      <c r="C1893" s="99" t="s">
        <v>2809</v>
      </c>
      <c r="H1893"/>
    </row>
    <row r="1894" spans="3:8" x14ac:dyDescent="0.3">
      <c r="C1894" s="99" t="s">
        <v>2809</v>
      </c>
      <c r="H1894"/>
    </row>
    <row r="1895" spans="3:8" x14ac:dyDescent="0.3">
      <c r="C1895" s="99" t="s">
        <v>2809</v>
      </c>
      <c r="H1895"/>
    </row>
    <row r="1896" spans="3:8" x14ac:dyDescent="0.3">
      <c r="C1896" s="99" t="s">
        <v>2810</v>
      </c>
      <c r="H1896"/>
    </row>
    <row r="1897" spans="3:8" x14ac:dyDescent="0.3">
      <c r="C1897" s="99" t="s">
        <v>2810</v>
      </c>
      <c r="H1897"/>
    </row>
    <row r="1898" spans="3:8" x14ac:dyDescent="0.3">
      <c r="C1898" s="99" t="s">
        <v>2811</v>
      </c>
      <c r="H1898"/>
    </row>
    <row r="1899" spans="3:8" x14ac:dyDescent="0.3">
      <c r="C1899" s="99" t="s">
        <v>2811</v>
      </c>
      <c r="H1899"/>
    </row>
    <row r="1900" spans="3:8" x14ac:dyDescent="0.3">
      <c r="C1900" s="99" t="s">
        <v>2812</v>
      </c>
      <c r="H1900"/>
    </row>
    <row r="1901" spans="3:8" x14ac:dyDescent="0.3">
      <c r="C1901" s="99" t="s">
        <v>2813</v>
      </c>
      <c r="H1901"/>
    </row>
    <row r="1902" spans="3:8" x14ac:dyDescent="0.3">
      <c r="C1902" s="99" t="s">
        <v>2814</v>
      </c>
      <c r="H1902"/>
    </row>
    <row r="1903" spans="3:8" x14ac:dyDescent="0.3">
      <c r="C1903" s="99" t="s">
        <v>2814</v>
      </c>
      <c r="H1903"/>
    </row>
    <row r="1904" spans="3:8" x14ac:dyDescent="0.3">
      <c r="C1904" s="99" t="s">
        <v>2815</v>
      </c>
      <c r="H1904"/>
    </row>
    <row r="1905" spans="3:8" x14ac:dyDescent="0.3">
      <c r="C1905" s="99" t="s">
        <v>2815</v>
      </c>
      <c r="H1905"/>
    </row>
    <row r="1906" spans="3:8" x14ac:dyDescent="0.3">
      <c r="C1906" s="99" t="s">
        <v>2815</v>
      </c>
      <c r="H1906"/>
    </row>
    <row r="1907" spans="3:8" x14ac:dyDescent="0.3">
      <c r="C1907" s="99" t="s">
        <v>2815</v>
      </c>
      <c r="H1907"/>
    </row>
    <row r="1908" spans="3:8" x14ac:dyDescent="0.3">
      <c r="C1908" s="99" t="s">
        <v>2815</v>
      </c>
      <c r="H1908"/>
    </row>
    <row r="1909" spans="3:8" x14ac:dyDescent="0.3">
      <c r="C1909" s="99" t="s">
        <v>2815</v>
      </c>
      <c r="H1909"/>
    </row>
    <row r="1910" spans="3:8" x14ac:dyDescent="0.3">
      <c r="C1910" s="99" t="s">
        <v>2816</v>
      </c>
      <c r="H1910"/>
    </row>
    <row r="1911" spans="3:8" x14ac:dyDescent="0.3">
      <c r="C1911" s="99" t="s">
        <v>2816</v>
      </c>
      <c r="H1911"/>
    </row>
    <row r="1912" spans="3:8" x14ac:dyDescent="0.3">
      <c r="C1912" s="99" t="s">
        <v>2817</v>
      </c>
      <c r="H1912"/>
    </row>
    <row r="1913" spans="3:8" x14ac:dyDescent="0.3">
      <c r="C1913" s="99" t="s">
        <v>2817</v>
      </c>
      <c r="H1913"/>
    </row>
    <row r="1914" spans="3:8" x14ac:dyDescent="0.3">
      <c r="C1914" s="99" t="s">
        <v>2817</v>
      </c>
      <c r="H1914"/>
    </row>
    <row r="1915" spans="3:8" x14ac:dyDescent="0.3">
      <c r="C1915" s="99" t="s">
        <v>2817</v>
      </c>
      <c r="H1915"/>
    </row>
    <row r="1916" spans="3:8" x14ac:dyDescent="0.3">
      <c r="C1916" s="99" t="s">
        <v>2817</v>
      </c>
      <c r="H1916"/>
    </row>
    <row r="1917" spans="3:8" x14ac:dyDescent="0.3">
      <c r="C1917" s="99" t="s">
        <v>2817</v>
      </c>
      <c r="H1917"/>
    </row>
    <row r="1918" spans="3:8" x14ac:dyDescent="0.3">
      <c r="C1918" s="99" t="s">
        <v>2818</v>
      </c>
      <c r="H1918"/>
    </row>
    <row r="1919" spans="3:8" x14ac:dyDescent="0.3">
      <c r="C1919" s="99" t="s">
        <v>2818</v>
      </c>
      <c r="H1919"/>
    </row>
    <row r="1920" spans="3:8" x14ac:dyDescent="0.3">
      <c r="C1920" s="99" t="s">
        <v>2818</v>
      </c>
      <c r="H1920"/>
    </row>
    <row r="1921" spans="3:8" x14ac:dyDescent="0.3">
      <c r="C1921" s="99" t="s">
        <v>2818</v>
      </c>
      <c r="H1921"/>
    </row>
    <row r="1922" spans="3:8" x14ac:dyDescent="0.3">
      <c r="C1922" s="99" t="s">
        <v>2818</v>
      </c>
      <c r="H1922"/>
    </row>
    <row r="1923" spans="3:8" x14ac:dyDescent="0.3">
      <c r="C1923" s="99" t="s">
        <v>2819</v>
      </c>
      <c r="H1923"/>
    </row>
    <row r="1924" spans="3:8" x14ac:dyDescent="0.3">
      <c r="C1924" s="99" t="s">
        <v>2820</v>
      </c>
      <c r="H1924"/>
    </row>
    <row r="1925" spans="3:8" x14ac:dyDescent="0.3">
      <c r="C1925" s="99" t="s">
        <v>2820</v>
      </c>
      <c r="H1925"/>
    </row>
    <row r="1926" spans="3:8" x14ac:dyDescent="0.3">
      <c r="C1926" s="99" t="s">
        <v>2820</v>
      </c>
      <c r="H1926"/>
    </row>
    <row r="1927" spans="3:8" x14ac:dyDescent="0.3">
      <c r="C1927" s="99" t="s">
        <v>2820</v>
      </c>
      <c r="H1927"/>
    </row>
    <row r="1928" spans="3:8" x14ac:dyDescent="0.3">
      <c r="C1928" s="99" t="s">
        <v>2820</v>
      </c>
      <c r="H1928"/>
    </row>
    <row r="1929" spans="3:8" x14ac:dyDescent="0.3">
      <c r="C1929" s="99" t="s">
        <v>2820</v>
      </c>
      <c r="H1929"/>
    </row>
    <row r="1930" spans="3:8" x14ac:dyDescent="0.3">
      <c r="C1930" s="99" t="s">
        <v>2821</v>
      </c>
      <c r="H1930"/>
    </row>
    <row r="1931" spans="3:8" x14ac:dyDescent="0.3">
      <c r="C1931" s="99" t="s">
        <v>2822</v>
      </c>
      <c r="H1931"/>
    </row>
    <row r="1932" spans="3:8" x14ac:dyDescent="0.3">
      <c r="C1932" s="99" t="s">
        <v>2823</v>
      </c>
      <c r="H1932"/>
    </row>
    <row r="1933" spans="3:8" x14ac:dyDescent="0.3">
      <c r="C1933" s="99" t="s">
        <v>2823</v>
      </c>
      <c r="H1933"/>
    </row>
    <row r="1934" spans="3:8" x14ac:dyDescent="0.3">
      <c r="C1934" s="99" t="s">
        <v>2823</v>
      </c>
      <c r="H1934"/>
    </row>
    <row r="1935" spans="3:8" x14ac:dyDescent="0.3">
      <c r="C1935" s="99" t="s">
        <v>2823</v>
      </c>
      <c r="H1935"/>
    </row>
    <row r="1936" spans="3:8" x14ac:dyDescent="0.3">
      <c r="C1936" s="99" t="s">
        <v>2824</v>
      </c>
      <c r="H1936"/>
    </row>
    <row r="1937" spans="3:8" x14ac:dyDescent="0.3">
      <c r="C1937" s="99" t="s">
        <v>2824</v>
      </c>
      <c r="H1937"/>
    </row>
    <row r="1938" spans="3:8" x14ac:dyDescent="0.3">
      <c r="C1938" s="99" t="s">
        <v>2824</v>
      </c>
      <c r="H1938"/>
    </row>
    <row r="1939" spans="3:8" x14ac:dyDescent="0.3">
      <c r="C1939" s="99" t="s">
        <v>2824</v>
      </c>
      <c r="H1939"/>
    </row>
    <row r="1940" spans="3:8" x14ac:dyDescent="0.3">
      <c r="C1940" s="99" t="s">
        <v>2824</v>
      </c>
      <c r="H1940"/>
    </row>
    <row r="1941" spans="3:8" x14ac:dyDescent="0.3">
      <c r="C1941" s="99" t="s">
        <v>2824</v>
      </c>
      <c r="H1941"/>
    </row>
    <row r="1942" spans="3:8" x14ac:dyDescent="0.3">
      <c r="C1942" s="99" t="s">
        <v>2824</v>
      </c>
      <c r="H1942"/>
    </row>
    <row r="1943" spans="3:8" x14ac:dyDescent="0.3">
      <c r="C1943" s="99" t="s">
        <v>2825</v>
      </c>
      <c r="H1943"/>
    </row>
    <row r="1944" spans="3:8" x14ac:dyDescent="0.3">
      <c r="C1944" s="99" t="s">
        <v>2825</v>
      </c>
      <c r="H1944"/>
    </row>
    <row r="1945" spans="3:8" x14ac:dyDescent="0.3">
      <c r="C1945" s="99" t="s">
        <v>2825</v>
      </c>
      <c r="H1945"/>
    </row>
    <row r="1946" spans="3:8" x14ac:dyDescent="0.3">
      <c r="C1946" s="99" t="s">
        <v>2825</v>
      </c>
      <c r="H1946"/>
    </row>
    <row r="1947" spans="3:8" x14ac:dyDescent="0.3">
      <c r="C1947" s="99" t="s">
        <v>2826</v>
      </c>
      <c r="H1947"/>
    </row>
    <row r="1948" spans="3:8" x14ac:dyDescent="0.3">
      <c r="C1948" s="99" t="s">
        <v>2827</v>
      </c>
      <c r="H1948"/>
    </row>
    <row r="1949" spans="3:8" x14ac:dyDescent="0.3">
      <c r="C1949" s="99" t="s">
        <v>2827</v>
      </c>
      <c r="H1949"/>
    </row>
    <row r="1950" spans="3:8" x14ac:dyDescent="0.3">
      <c r="C1950" s="99" t="s">
        <v>2828</v>
      </c>
      <c r="H1950"/>
    </row>
    <row r="1951" spans="3:8" x14ac:dyDescent="0.3">
      <c r="C1951" s="99" t="s">
        <v>2828</v>
      </c>
      <c r="H1951"/>
    </row>
    <row r="1952" spans="3:8" x14ac:dyDescent="0.3">
      <c r="C1952" s="99" t="s">
        <v>2828</v>
      </c>
      <c r="H1952"/>
    </row>
    <row r="1953" spans="3:8" x14ac:dyDescent="0.3">
      <c r="C1953" s="99" t="s">
        <v>2829</v>
      </c>
      <c r="H1953"/>
    </row>
    <row r="1954" spans="3:8" x14ac:dyDescent="0.3">
      <c r="C1954" s="99" t="s">
        <v>2829</v>
      </c>
      <c r="H1954"/>
    </row>
    <row r="1955" spans="3:8" x14ac:dyDescent="0.3">
      <c r="C1955" s="99" t="s">
        <v>2829</v>
      </c>
      <c r="H1955"/>
    </row>
    <row r="1956" spans="3:8" x14ac:dyDescent="0.3">
      <c r="C1956" s="99" t="s">
        <v>2830</v>
      </c>
      <c r="H1956"/>
    </row>
    <row r="1957" spans="3:8" x14ac:dyDescent="0.3">
      <c r="C1957" s="99" t="s">
        <v>2830</v>
      </c>
      <c r="H1957"/>
    </row>
    <row r="1958" spans="3:8" x14ac:dyDescent="0.3">
      <c r="C1958" s="99" t="s">
        <v>2830</v>
      </c>
      <c r="H1958"/>
    </row>
    <row r="1959" spans="3:8" x14ac:dyDescent="0.3">
      <c r="C1959" s="99" t="s">
        <v>2830</v>
      </c>
      <c r="H1959"/>
    </row>
    <row r="1960" spans="3:8" x14ac:dyDescent="0.3">
      <c r="C1960" s="99" t="s">
        <v>2831</v>
      </c>
      <c r="H1960"/>
    </row>
    <row r="1961" spans="3:8" x14ac:dyDescent="0.3">
      <c r="C1961" s="99" t="s">
        <v>2831</v>
      </c>
      <c r="H1961"/>
    </row>
    <row r="1962" spans="3:8" x14ac:dyDescent="0.3">
      <c r="C1962" s="99" t="s">
        <v>2831</v>
      </c>
      <c r="H1962"/>
    </row>
    <row r="1963" spans="3:8" x14ac:dyDescent="0.3">
      <c r="C1963" s="99" t="s">
        <v>2831</v>
      </c>
      <c r="H1963"/>
    </row>
    <row r="1964" spans="3:8" x14ac:dyDescent="0.3">
      <c r="C1964" s="99" t="s">
        <v>2832</v>
      </c>
      <c r="H1964"/>
    </row>
    <row r="1965" spans="3:8" x14ac:dyDescent="0.3">
      <c r="C1965" s="99" t="s">
        <v>2832</v>
      </c>
      <c r="H1965"/>
    </row>
    <row r="1966" spans="3:8" x14ac:dyDescent="0.3">
      <c r="C1966" s="99" t="s">
        <v>2833</v>
      </c>
      <c r="H1966"/>
    </row>
    <row r="1967" spans="3:8" x14ac:dyDescent="0.3">
      <c r="C1967" s="99" t="s">
        <v>2833</v>
      </c>
      <c r="H1967"/>
    </row>
    <row r="1968" spans="3:8" x14ac:dyDescent="0.3">
      <c r="C1968" s="99" t="s">
        <v>2833</v>
      </c>
      <c r="H1968"/>
    </row>
    <row r="1969" spans="3:8" x14ac:dyDescent="0.3">
      <c r="C1969" s="99" t="s">
        <v>2833</v>
      </c>
      <c r="H1969"/>
    </row>
    <row r="1970" spans="3:8" x14ac:dyDescent="0.3">
      <c r="C1970" s="99" t="s">
        <v>2834</v>
      </c>
      <c r="H1970"/>
    </row>
    <row r="1971" spans="3:8" x14ac:dyDescent="0.3">
      <c r="C1971" s="99" t="s">
        <v>2834</v>
      </c>
      <c r="H1971"/>
    </row>
    <row r="1972" spans="3:8" x14ac:dyDescent="0.3">
      <c r="C1972" s="99" t="s">
        <v>2834</v>
      </c>
      <c r="H1972"/>
    </row>
    <row r="1973" spans="3:8" x14ac:dyDescent="0.3">
      <c r="C1973" s="99" t="s">
        <v>2835</v>
      </c>
      <c r="H1973"/>
    </row>
    <row r="1974" spans="3:8" x14ac:dyDescent="0.3">
      <c r="C1974" s="99" t="s">
        <v>2836</v>
      </c>
      <c r="H1974"/>
    </row>
    <row r="1975" spans="3:8" x14ac:dyDescent="0.3">
      <c r="C1975" s="99" t="s">
        <v>2837</v>
      </c>
      <c r="H1975"/>
    </row>
    <row r="1976" spans="3:8" x14ac:dyDescent="0.3">
      <c r="C1976" s="99" t="s">
        <v>2837</v>
      </c>
      <c r="H1976"/>
    </row>
    <row r="1977" spans="3:8" x14ac:dyDescent="0.3">
      <c r="C1977" s="99" t="s">
        <v>2837</v>
      </c>
      <c r="H1977"/>
    </row>
    <row r="1978" spans="3:8" x14ac:dyDescent="0.3">
      <c r="C1978" s="99" t="s">
        <v>2837</v>
      </c>
      <c r="H1978"/>
    </row>
    <row r="1979" spans="3:8" x14ac:dyDescent="0.3">
      <c r="C1979" s="99" t="s">
        <v>2837</v>
      </c>
      <c r="H1979"/>
    </row>
    <row r="1980" spans="3:8" x14ac:dyDescent="0.3">
      <c r="C1980" s="99" t="s">
        <v>2838</v>
      </c>
      <c r="H1980"/>
    </row>
    <row r="1981" spans="3:8" x14ac:dyDescent="0.3">
      <c r="C1981" s="99" t="s">
        <v>2839</v>
      </c>
      <c r="H1981"/>
    </row>
    <row r="1982" spans="3:8" x14ac:dyDescent="0.3">
      <c r="C1982" s="99" t="s">
        <v>2839</v>
      </c>
      <c r="H1982"/>
    </row>
    <row r="1983" spans="3:8" x14ac:dyDescent="0.3">
      <c r="C1983" s="99" t="s">
        <v>2840</v>
      </c>
      <c r="H1983"/>
    </row>
    <row r="1984" spans="3:8" x14ac:dyDescent="0.3">
      <c r="C1984" s="99" t="s">
        <v>2841</v>
      </c>
      <c r="H1984"/>
    </row>
    <row r="1985" spans="3:8" x14ac:dyDescent="0.3">
      <c r="C1985" s="99" t="s">
        <v>2841</v>
      </c>
      <c r="H1985"/>
    </row>
    <row r="1986" spans="3:8" x14ac:dyDescent="0.3">
      <c r="C1986" s="99" t="s">
        <v>2842</v>
      </c>
      <c r="H1986"/>
    </row>
    <row r="1987" spans="3:8" x14ac:dyDescent="0.3">
      <c r="C1987" s="99" t="s">
        <v>2842</v>
      </c>
      <c r="H1987"/>
    </row>
    <row r="1988" spans="3:8" x14ac:dyDescent="0.3">
      <c r="C1988" s="99" t="s">
        <v>2842</v>
      </c>
      <c r="H1988"/>
    </row>
    <row r="1989" spans="3:8" x14ac:dyDescent="0.3">
      <c r="C1989" s="99" t="s">
        <v>2843</v>
      </c>
      <c r="H1989"/>
    </row>
    <row r="1990" spans="3:8" x14ac:dyDescent="0.3">
      <c r="C1990" s="99" t="s">
        <v>2843</v>
      </c>
      <c r="H1990"/>
    </row>
    <row r="1991" spans="3:8" x14ac:dyDescent="0.3">
      <c r="C1991" s="99" t="s">
        <v>2843</v>
      </c>
      <c r="H1991"/>
    </row>
    <row r="1992" spans="3:8" x14ac:dyDescent="0.3">
      <c r="C1992" s="99" t="s">
        <v>2844</v>
      </c>
      <c r="H1992"/>
    </row>
    <row r="1993" spans="3:8" x14ac:dyDescent="0.3">
      <c r="C1993" s="99" t="s">
        <v>2844</v>
      </c>
      <c r="H1993"/>
    </row>
    <row r="1994" spans="3:8" x14ac:dyDescent="0.3">
      <c r="C1994" s="99" t="s">
        <v>2845</v>
      </c>
      <c r="H1994"/>
    </row>
    <row r="1995" spans="3:8" x14ac:dyDescent="0.3">
      <c r="C1995" s="99" t="s">
        <v>2845</v>
      </c>
      <c r="H1995"/>
    </row>
    <row r="1996" spans="3:8" x14ac:dyDescent="0.3">
      <c r="C1996" s="99" t="s">
        <v>2845</v>
      </c>
      <c r="H1996"/>
    </row>
    <row r="1997" spans="3:8" x14ac:dyDescent="0.3">
      <c r="C1997" s="99" t="s">
        <v>2846</v>
      </c>
      <c r="H1997"/>
    </row>
    <row r="1998" spans="3:8" x14ac:dyDescent="0.3">
      <c r="C1998" s="99" t="s">
        <v>2846</v>
      </c>
      <c r="H1998"/>
    </row>
    <row r="1999" spans="3:8" x14ac:dyDescent="0.3">
      <c r="C1999" s="99" t="s">
        <v>2846</v>
      </c>
      <c r="H1999"/>
    </row>
    <row r="2000" spans="3:8" x14ac:dyDescent="0.3">
      <c r="C2000" s="99" t="s">
        <v>2847</v>
      </c>
      <c r="H2000"/>
    </row>
    <row r="2001" spans="3:8" x14ac:dyDescent="0.3">
      <c r="C2001" s="99" t="s">
        <v>2847</v>
      </c>
      <c r="H2001"/>
    </row>
    <row r="2002" spans="3:8" x14ac:dyDescent="0.3">
      <c r="C2002" s="99" t="s">
        <v>2847</v>
      </c>
      <c r="H2002"/>
    </row>
    <row r="2003" spans="3:8" x14ac:dyDescent="0.3">
      <c r="C2003" s="99" t="s">
        <v>2847</v>
      </c>
      <c r="H2003"/>
    </row>
    <row r="2004" spans="3:8" x14ac:dyDescent="0.3">
      <c r="C2004" s="99" t="s">
        <v>2847</v>
      </c>
      <c r="H2004"/>
    </row>
    <row r="2005" spans="3:8" x14ac:dyDescent="0.3">
      <c r="C2005" s="99" t="s">
        <v>2848</v>
      </c>
      <c r="H2005"/>
    </row>
    <row r="2006" spans="3:8" x14ac:dyDescent="0.3">
      <c r="C2006" s="99" t="s">
        <v>2848</v>
      </c>
      <c r="H2006"/>
    </row>
  </sheetData>
  <sortState xmlns:xlrd2="http://schemas.microsoft.com/office/spreadsheetml/2017/richdata2" ref="K7:M16">
    <sortCondition ref="K10:K16"/>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883A-8711-4EB7-82D3-0CF3A2F20BAE}">
  <sheetPr>
    <tabColor theme="1" tint="4.9989318521683403E-2"/>
  </sheetPr>
  <dimension ref="A1:Q2005"/>
  <sheetViews>
    <sheetView showGridLines="0" tabSelected="1" topLeftCell="F1" workbookViewId="0">
      <selection activeCell="L8" sqref="L7:N8"/>
    </sheetView>
  </sheetViews>
  <sheetFormatPr defaultColWidth="8.77734375" defaultRowHeight="15.6" x14ac:dyDescent="0.3"/>
  <cols>
    <col min="1" max="1" width="1.6640625" style="92" customWidth="1"/>
    <col min="2" max="2" width="15" style="92" bestFit="1" customWidth="1"/>
    <col min="3" max="3" width="15.21875" style="92" bestFit="1" customWidth="1"/>
    <col min="4" max="4" width="12.5546875" style="92" bestFit="1" customWidth="1"/>
    <col min="5" max="5" width="15.44140625" style="92" bestFit="1" customWidth="1"/>
    <col min="6" max="6" width="15.6640625" style="92" bestFit="1" customWidth="1"/>
    <col min="7" max="8" width="8.77734375" style="92"/>
    <col min="9" max="9" width="7.5546875" style="92" bestFit="1" customWidth="1"/>
    <col min="10" max="10" width="9.5546875" style="92" bestFit="1" customWidth="1"/>
    <col min="11" max="11" width="8.77734375" style="92"/>
    <col min="12" max="12" width="11.5546875" style="92" bestFit="1" customWidth="1"/>
    <col min="13" max="13" width="8.44140625" style="92" bestFit="1" customWidth="1"/>
    <col min="14" max="14" width="7.109375" style="92" bestFit="1" customWidth="1"/>
    <col min="15" max="15" width="10.88671875" style="92" bestFit="1" customWidth="1"/>
    <col min="16" max="16" width="24.5546875" style="92" bestFit="1" customWidth="1"/>
    <col min="17" max="17" width="19.109375" style="92" bestFit="1" customWidth="1"/>
    <col min="18" max="16384" width="8.77734375" style="92"/>
  </cols>
  <sheetData>
    <row r="1" spans="1:17" s="87" customFormat="1" x14ac:dyDescent="0.3">
      <c r="A1" s="108" t="s">
        <v>2920</v>
      </c>
    </row>
    <row r="2" spans="1:17" s="89" customFormat="1" x14ac:dyDescent="0.3">
      <c r="A2" s="89" t="s">
        <v>2921</v>
      </c>
    </row>
    <row r="3" spans="1:17" s="89" customFormat="1" x14ac:dyDescent="0.3">
      <c r="A3" s="87" t="s">
        <v>3103</v>
      </c>
    </row>
    <row r="5" spans="1:17" x14ac:dyDescent="0.3">
      <c r="B5" s="95" t="s">
        <v>2116</v>
      </c>
      <c r="C5" s="95" t="s">
        <v>7</v>
      </c>
      <c r="D5" s="95" t="s">
        <v>2850</v>
      </c>
      <c r="E5" s="95" t="s">
        <v>2851</v>
      </c>
      <c r="F5" s="120" t="s">
        <v>2852</v>
      </c>
      <c r="L5"/>
      <c r="M5" s="126" t="s">
        <v>3124</v>
      </c>
      <c r="N5"/>
      <c r="O5"/>
      <c r="P5"/>
      <c r="Q5"/>
    </row>
    <row r="6" spans="1:17" x14ac:dyDescent="0.3">
      <c r="B6" s="99" t="s">
        <v>2624</v>
      </c>
      <c r="C6" s="101">
        <v>1516250000</v>
      </c>
      <c r="D6" s="133">
        <f>C6/SUM($C$6:$C$817)</f>
        <v>2.5333491502315727E-2</v>
      </c>
      <c r="E6" s="122">
        <f>D6</f>
        <v>2.5333491502315727E-2</v>
      </c>
      <c r="F6" s="99" t="s">
        <v>2903</v>
      </c>
      <c r="I6" s="91">
        <v>80</v>
      </c>
      <c r="J6" s="91">
        <v>20</v>
      </c>
      <c r="L6" s="126" t="s">
        <v>3121</v>
      </c>
      <c r="M6" t="s">
        <v>2903</v>
      </c>
      <c r="N6" t="s">
        <v>2889</v>
      </c>
      <c r="O6"/>
      <c r="P6"/>
      <c r="Q6"/>
    </row>
    <row r="7" spans="1:17" x14ac:dyDescent="0.3">
      <c r="B7" s="99" t="s">
        <v>2533</v>
      </c>
      <c r="C7" s="101">
        <v>1357000000</v>
      </c>
      <c r="D7" s="133">
        <f>C7/SUM($C$6:$C$817)</f>
        <v>2.2672743919962039E-2</v>
      </c>
      <c r="E7" s="122">
        <f>E6+D7</f>
        <v>4.8006235422277763E-2</v>
      </c>
      <c r="F7" s="99" t="s">
        <v>2903</v>
      </c>
      <c r="I7" s="91" t="s">
        <v>3108</v>
      </c>
      <c r="J7" s="91" t="s">
        <v>3109</v>
      </c>
      <c r="L7" t="s">
        <v>3122</v>
      </c>
      <c r="M7" s="128">
        <v>0.16379310344827586</v>
      </c>
      <c r="N7" s="128">
        <v>0.83620689655172409</v>
      </c>
      <c r="O7"/>
      <c r="P7"/>
      <c r="Q7"/>
    </row>
    <row r="8" spans="1:17" x14ac:dyDescent="0.3">
      <c r="B8" s="99" t="s">
        <v>2197</v>
      </c>
      <c r="C8" s="101">
        <v>1332050000</v>
      </c>
      <c r="D8" s="133">
        <f t="shared" ref="D8:D69" si="0">C8/SUM($C$6:$C$817)</f>
        <v>2.225587954206738E-2</v>
      </c>
      <c r="E8" s="122">
        <f t="shared" ref="E8:E70" si="1">E7+D8</f>
        <v>7.0262114964345146E-2</v>
      </c>
      <c r="F8" s="99" t="s">
        <v>2903</v>
      </c>
      <c r="H8" s="123"/>
      <c r="I8" s="91"/>
      <c r="J8" s="91"/>
      <c r="L8" t="s">
        <v>3123</v>
      </c>
      <c r="M8" s="128">
        <v>0.7994762880190337</v>
      </c>
      <c r="N8" s="128">
        <v>0.20052371198096625</v>
      </c>
      <c r="O8"/>
      <c r="P8"/>
      <c r="Q8"/>
    </row>
    <row r="9" spans="1:17" x14ac:dyDescent="0.3">
      <c r="B9" s="99" t="s">
        <v>2432</v>
      </c>
      <c r="C9" s="101">
        <v>1265250000</v>
      </c>
      <c r="D9" s="133">
        <f t="shared" si="0"/>
        <v>2.113978573672216E-2</v>
      </c>
      <c r="E9" s="122">
        <f t="shared" si="1"/>
        <v>9.140190070106731E-2</v>
      </c>
      <c r="F9" s="99" t="s">
        <v>2903</v>
      </c>
      <c r="I9" s="91"/>
      <c r="J9" s="91"/>
      <c r="L9"/>
      <c r="M9"/>
      <c r="N9"/>
      <c r="O9"/>
    </row>
    <row r="10" spans="1:17" x14ac:dyDescent="0.3">
      <c r="B10" s="99" t="s">
        <v>2239</v>
      </c>
      <c r="C10" s="101">
        <v>1214250000</v>
      </c>
      <c r="D10" s="133">
        <f t="shared" si="0"/>
        <v>2.0287678190725061E-2</v>
      </c>
      <c r="E10" s="122">
        <f t="shared" si="1"/>
        <v>0.11168957889179237</v>
      </c>
      <c r="F10" s="99" t="s">
        <v>2903</v>
      </c>
      <c r="I10" s="91">
        <v>80</v>
      </c>
      <c r="J10" s="91">
        <v>20</v>
      </c>
      <c r="L10"/>
      <c r="M10"/>
      <c r="N10"/>
      <c r="O10"/>
    </row>
    <row r="11" spans="1:17" x14ac:dyDescent="0.3">
      <c r="B11" s="99" t="s">
        <v>2266</v>
      </c>
      <c r="C11" s="101">
        <v>1186900000</v>
      </c>
      <c r="D11" s="133">
        <f t="shared" si="0"/>
        <v>1.9830714634195244E-2</v>
      </c>
      <c r="E11" s="122">
        <f t="shared" si="1"/>
        <v>0.13152029352598762</v>
      </c>
      <c r="F11" s="99" t="s">
        <v>2903</v>
      </c>
      <c r="I11" s="92" t="s">
        <v>3110</v>
      </c>
      <c r="J11" s="92" t="s">
        <v>3111</v>
      </c>
      <c r="L11"/>
      <c r="M11"/>
      <c r="N11"/>
      <c r="O11"/>
    </row>
    <row r="12" spans="1:17" x14ac:dyDescent="0.3">
      <c r="B12" s="99" t="s">
        <v>728</v>
      </c>
      <c r="C12" s="101">
        <v>1165500000</v>
      </c>
      <c r="D12" s="133">
        <f t="shared" si="0"/>
        <v>1.947316362469842E-2</v>
      </c>
      <c r="E12" s="122">
        <f t="shared" si="1"/>
        <v>0.15099345715068604</v>
      </c>
      <c r="F12" s="99" t="s">
        <v>2903</v>
      </c>
      <c r="L12"/>
      <c r="M12"/>
      <c r="N12"/>
      <c r="O12"/>
    </row>
    <row r="13" spans="1:17" x14ac:dyDescent="0.3">
      <c r="B13" s="99" t="s">
        <v>2830</v>
      </c>
      <c r="C13" s="101">
        <v>1161100000</v>
      </c>
      <c r="D13" s="133">
        <f t="shared" si="0"/>
        <v>1.9399648463867297E-2</v>
      </c>
      <c r="E13" s="122">
        <f>E12+D13</f>
        <v>0.17039310561455334</v>
      </c>
      <c r="F13" s="99" t="s">
        <v>2903</v>
      </c>
      <c r="L13"/>
      <c r="M13"/>
      <c r="N13"/>
      <c r="O13"/>
    </row>
    <row r="14" spans="1:17" x14ac:dyDescent="0.3">
      <c r="B14" s="99" t="s">
        <v>2233</v>
      </c>
      <c r="C14" s="101">
        <v>1151500000</v>
      </c>
      <c r="D14" s="133">
        <f t="shared" si="0"/>
        <v>1.9239251749326669E-2</v>
      </c>
      <c r="E14" s="122">
        <f t="shared" si="1"/>
        <v>0.18963235736388001</v>
      </c>
      <c r="F14" s="99" t="s">
        <v>2903</v>
      </c>
      <c r="L14"/>
      <c r="M14"/>
      <c r="N14"/>
      <c r="O14"/>
    </row>
    <row r="15" spans="1:17" x14ac:dyDescent="0.3">
      <c r="B15" s="99" t="s">
        <v>2362</v>
      </c>
      <c r="C15" s="101">
        <v>1138500000</v>
      </c>
      <c r="D15" s="133">
        <f t="shared" si="0"/>
        <v>1.9022047865052898E-2</v>
      </c>
      <c r="E15" s="122">
        <f t="shared" si="1"/>
        <v>0.20865440522893292</v>
      </c>
      <c r="F15" s="99" t="s">
        <v>2903</v>
      </c>
      <c r="L15"/>
      <c r="M15"/>
      <c r="N15"/>
      <c r="O15"/>
    </row>
    <row r="16" spans="1:17" x14ac:dyDescent="0.3">
      <c r="B16" s="99" t="s">
        <v>2429</v>
      </c>
      <c r="C16" s="101">
        <v>1137600000</v>
      </c>
      <c r="D16" s="133">
        <f t="shared" si="0"/>
        <v>1.9007010673064713E-2</v>
      </c>
      <c r="E16" s="122">
        <f t="shared" si="1"/>
        <v>0.22766141590199762</v>
      </c>
      <c r="F16" s="99" t="s">
        <v>2903</v>
      </c>
      <c r="L16"/>
      <c r="M16"/>
      <c r="N16"/>
      <c r="O16"/>
    </row>
    <row r="17" spans="2:15" x14ac:dyDescent="0.3">
      <c r="B17" s="99" t="s">
        <v>2236</v>
      </c>
      <c r="C17" s="101">
        <v>1135000000</v>
      </c>
      <c r="D17" s="133">
        <f t="shared" si="0"/>
        <v>1.896356989620996E-2</v>
      </c>
      <c r="E17" s="122">
        <f t="shared" si="1"/>
        <v>0.24662498579820757</v>
      </c>
      <c r="F17" s="99" t="s">
        <v>2903</v>
      </c>
      <c r="L17"/>
      <c r="M17"/>
      <c r="N17"/>
      <c r="O17"/>
    </row>
    <row r="18" spans="2:15" x14ac:dyDescent="0.3">
      <c r="B18" s="99" t="s">
        <v>2837</v>
      </c>
      <c r="C18" s="101">
        <v>1105000000</v>
      </c>
      <c r="D18" s="133">
        <f t="shared" si="0"/>
        <v>1.846233016327049E-2</v>
      </c>
      <c r="E18" s="122">
        <f t="shared" si="1"/>
        <v>0.26508731596147805</v>
      </c>
      <c r="F18" s="99" t="s">
        <v>2903</v>
      </c>
      <c r="L18"/>
      <c r="M18"/>
      <c r="N18"/>
      <c r="O18"/>
    </row>
    <row r="19" spans="2:15" x14ac:dyDescent="0.3">
      <c r="B19" s="99" t="s">
        <v>2695</v>
      </c>
      <c r="C19" s="101">
        <v>1093500000</v>
      </c>
      <c r="D19" s="133">
        <f t="shared" si="0"/>
        <v>1.8270188265643691E-2</v>
      </c>
      <c r="E19" s="122">
        <f t="shared" si="1"/>
        <v>0.28335750422712175</v>
      </c>
      <c r="F19" s="99" t="s">
        <v>2903</v>
      </c>
      <c r="L19"/>
      <c r="M19"/>
      <c r="N19"/>
      <c r="O19"/>
    </row>
    <row r="20" spans="2:15" x14ac:dyDescent="0.3">
      <c r="B20" s="99" t="s">
        <v>2184</v>
      </c>
      <c r="C20" s="101">
        <v>1079600000</v>
      </c>
      <c r="D20" s="133">
        <f t="shared" si="0"/>
        <v>1.8037947189381738E-2</v>
      </c>
      <c r="E20" s="122">
        <f t="shared" si="1"/>
        <v>0.30139545141650348</v>
      </c>
      <c r="F20" s="99" t="s">
        <v>2903</v>
      </c>
      <c r="L20"/>
      <c r="M20"/>
      <c r="N20"/>
      <c r="O20"/>
    </row>
    <row r="21" spans="2:15" x14ac:dyDescent="0.3">
      <c r="B21" s="99" t="s">
        <v>2688</v>
      </c>
      <c r="C21" s="101">
        <v>1045300000</v>
      </c>
      <c r="D21" s="133">
        <f t="shared" si="0"/>
        <v>1.7464863094720944E-2</v>
      </c>
      <c r="E21" s="122">
        <f t="shared" si="1"/>
        <v>0.31886031451122443</v>
      </c>
      <c r="F21" s="99" t="s">
        <v>2903</v>
      </c>
      <c r="L21"/>
      <c r="M21"/>
      <c r="N21"/>
      <c r="O21"/>
    </row>
    <row r="22" spans="2:15" x14ac:dyDescent="0.3">
      <c r="B22" s="99" t="s">
        <v>2740</v>
      </c>
      <c r="C22" s="101">
        <v>1033750000</v>
      </c>
      <c r="D22" s="133">
        <f t="shared" si="0"/>
        <v>1.7271885797539247E-2</v>
      </c>
      <c r="E22" s="122">
        <f t="shared" si="1"/>
        <v>0.33613220030876367</v>
      </c>
      <c r="F22" s="99" t="s">
        <v>2903</v>
      </c>
      <c r="L22"/>
      <c r="M22"/>
      <c r="N22"/>
      <c r="O22"/>
    </row>
    <row r="23" spans="2:15" x14ac:dyDescent="0.3">
      <c r="B23" s="99" t="s">
        <v>1640</v>
      </c>
      <c r="C23" s="101">
        <v>1027500000</v>
      </c>
      <c r="D23" s="133">
        <f t="shared" si="0"/>
        <v>1.7167460853176858E-2</v>
      </c>
      <c r="E23" s="122">
        <f t="shared" si="1"/>
        <v>0.35329966116194056</v>
      </c>
      <c r="F23" s="99" t="s">
        <v>2903</v>
      </c>
      <c r="L23"/>
      <c r="M23"/>
      <c r="N23"/>
      <c r="O23"/>
    </row>
    <row r="24" spans="2:15" x14ac:dyDescent="0.3">
      <c r="B24" s="99" t="s">
        <v>2567</v>
      </c>
      <c r="C24" s="101">
        <v>1017000000</v>
      </c>
      <c r="D24" s="133">
        <f t="shared" si="0"/>
        <v>1.6992026946648042E-2</v>
      </c>
      <c r="E24" s="122">
        <f t="shared" si="1"/>
        <v>0.37029168810858859</v>
      </c>
      <c r="F24" s="99" t="s">
        <v>2903</v>
      </c>
      <c r="L24"/>
      <c r="M24"/>
      <c r="N24"/>
      <c r="O24"/>
    </row>
    <row r="25" spans="2:15" x14ac:dyDescent="0.3">
      <c r="B25" s="99" t="s">
        <v>2686</v>
      </c>
      <c r="C25" s="101">
        <v>1001000000</v>
      </c>
      <c r="D25" s="133">
        <f t="shared" si="0"/>
        <v>1.6724699089080326E-2</v>
      </c>
      <c r="E25" s="122">
        <f t="shared" si="1"/>
        <v>0.3870163871976689</v>
      </c>
      <c r="F25" s="99" t="s">
        <v>2903</v>
      </c>
      <c r="L25"/>
      <c r="M25"/>
      <c r="N25"/>
      <c r="O25"/>
    </row>
    <row r="26" spans="2:15" x14ac:dyDescent="0.3">
      <c r="B26" s="99" t="s">
        <v>1789</v>
      </c>
      <c r="C26" s="101">
        <v>993000000</v>
      </c>
      <c r="D26" s="133">
        <f t="shared" si="0"/>
        <v>1.6591035160296468E-2</v>
      </c>
      <c r="E26" s="122">
        <f t="shared" si="1"/>
        <v>0.40360742235796537</v>
      </c>
      <c r="F26" s="99" t="s">
        <v>2903</v>
      </c>
      <c r="L26"/>
      <c r="M26"/>
      <c r="N26"/>
      <c r="O26"/>
    </row>
    <row r="27" spans="2:15" x14ac:dyDescent="0.3">
      <c r="B27" s="99" t="s">
        <v>2739</v>
      </c>
      <c r="C27" s="101">
        <v>977000000</v>
      </c>
      <c r="D27" s="133">
        <f t="shared" si="0"/>
        <v>1.6323707302728748E-2</v>
      </c>
      <c r="E27" s="122">
        <f t="shared" si="1"/>
        <v>0.41993112966069412</v>
      </c>
      <c r="F27" s="99" t="s">
        <v>2903</v>
      </c>
      <c r="L27"/>
      <c r="M27"/>
      <c r="N27"/>
      <c r="O27"/>
    </row>
    <row r="28" spans="2:15" x14ac:dyDescent="0.3">
      <c r="B28" s="99" t="s">
        <v>2162</v>
      </c>
      <c r="C28" s="101">
        <v>971100000</v>
      </c>
      <c r="D28" s="133">
        <f t="shared" si="0"/>
        <v>1.6225130155250653E-2</v>
      </c>
      <c r="E28" s="122">
        <f t="shared" si="1"/>
        <v>0.4361562598159448</v>
      </c>
      <c r="F28" s="99" t="s">
        <v>2903</v>
      </c>
      <c r="L28"/>
      <c r="M28"/>
      <c r="N28"/>
      <c r="O28"/>
    </row>
    <row r="29" spans="2:15" x14ac:dyDescent="0.3">
      <c r="B29" s="99" t="s">
        <v>853</v>
      </c>
      <c r="C29" s="101">
        <v>949500000</v>
      </c>
      <c r="D29" s="133">
        <f t="shared" si="0"/>
        <v>1.5864237547534233E-2</v>
      </c>
      <c r="E29" s="122">
        <f t="shared" si="1"/>
        <v>0.45202049736347905</v>
      </c>
      <c r="F29" s="99" t="s">
        <v>2903</v>
      </c>
      <c r="L29"/>
      <c r="M29"/>
      <c r="N29"/>
      <c r="O29"/>
    </row>
    <row r="30" spans="2:15" x14ac:dyDescent="0.3">
      <c r="B30" s="99" t="s">
        <v>2169</v>
      </c>
      <c r="C30" s="101">
        <v>947500000</v>
      </c>
      <c r="D30" s="133">
        <f t="shared" si="0"/>
        <v>1.5830821565338271E-2</v>
      </c>
      <c r="E30" s="122">
        <f t="shared" si="1"/>
        <v>0.46785131892881732</v>
      </c>
      <c r="F30" s="99" t="s">
        <v>2903</v>
      </c>
      <c r="L30"/>
      <c r="M30"/>
      <c r="N30"/>
      <c r="O30"/>
    </row>
    <row r="31" spans="2:15" x14ac:dyDescent="0.3">
      <c r="B31" s="99" t="s">
        <v>2245</v>
      </c>
      <c r="C31" s="101">
        <v>944000000</v>
      </c>
      <c r="D31" s="133">
        <f t="shared" si="0"/>
        <v>1.5772343596495333E-2</v>
      </c>
      <c r="E31" s="122">
        <f t="shared" si="1"/>
        <v>0.48362366252531264</v>
      </c>
      <c r="F31" s="99" t="s">
        <v>2903</v>
      </c>
      <c r="L31"/>
      <c r="M31"/>
      <c r="N31"/>
      <c r="O31"/>
    </row>
    <row r="32" spans="2:15" x14ac:dyDescent="0.3">
      <c r="B32" s="99" t="s">
        <v>2684</v>
      </c>
      <c r="C32" s="101">
        <v>943400000</v>
      </c>
      <c r="D32" s="133">
        <f t="shared" si="0"/>
        <v>1.5762318801836542E-2</v>
      </c>
      <c r="E32" s="122">
        <f t="shared" si="1"/>
        <v>0.49938598132714918</v>
      </c>
      <c r="F32" s="99" t="s">
        <v>2903</v>
      </c>
      <c r="L32"/>
      <c r="M32"/>
      <c r="N32"/>
      <c r="O32"/>
    </row>
    <row r="33" spans="2:15" x14ac:dyDescent="0.3">
      <c r="B33" s="99" t="s">
        <v>2753</v>
      </c>
      <c r="C33" s="101">
        <v>938250000</v>
      </c>
      <c r="D33" s="133">
        <f t="shared" si="0"/>
        <v>1.5676272647681934E-2</v>
      </c>
      <c r="E33" s="122">
        <f t="shared" si="1"/>
        <v>0.51506225397483107</v>
      </c>
      <c r="F33" s="99" t="s">
        <v>2903</v>
      </c>
      <c r="L33"/>
      <c r="M33"/>
      <c r="N33"/>
      <c r="O33"/>
    </row>
    <row r="34" spans="2:15" x14ac:dyDescent="0.3">
      <c r="B34" s="99" t="s">
        <v>2496</v>
      </c>
      <c r="C34" s="101">
        <v>934000000</v>
      </c>
      <c r="D34" s="133">
        <f t="shared" si="0"/>
        <v>1.5605263685515508E-2</v>
      </c>
      <c r="E34" s="122">
        <f t="shared" si="1"/>
        <v>0.53066751766034659</v>
      </c>
      <c r="F34" s="99" t="s">
        <v>2903</v>
      </c>
      <c r="L34"/>
      <c r="M34"/>
      <c r="N34"/>
      <c r="O34"/>
    </row>
    <row r="35" spans="2:15" x14ac:dyDescent="0.3">
      <c r="B35" s="99" t="s">
        <v>2149</v>
      </c>
      <c r="C35" s="101">
        <v>914250000</v>
      </c>
      <c r="D35" s="133">
        <f t="shared" si="0"/>
        <v>1.5275280861330356E-2</v>
      </c>
      <c r="E35" s="122">
        <f t="shared" si="1"/>
        <v>0.54594279852167693</v>
      </c>
      <c r="F35" s="99" t="s">
        <v>2903</v>
      </c>
      <c r="L35"/>
      <c r="M35"/>
      <c r="N35"/>
      <c r="O35"/>
    </row>
    <row r="36" spans="2:15" x14ac:dyDescent="0.3">
      <c r="B36" s="99" t="s">
        <v>2291</v>
      </c>
      <c r="C36" s="101">
        <v>910250000</v>
      </c>
      <c r="D36" s="133">
        <f t="shared" si="0"/>
        <v>1.5208448896938427E-2</v>
      </c>
      <c r="E36" s="122">
        <f t="shared" si="1"/>
        <v>0.56115124741861533</v>
      </c>
      <c r="F36" s="99" t="s">
        <v>2903</v>
      </c>
      <c r="L36"/>
      <c r="M36"/>
      <c r="N36"/>
      <c r="O36"/>
    </row>
    <row r="37" spans="2:15" x14ac:dyDescent="0.3">
      <c r="B37" s="99" t="s">
        <v>2488</v>
      </c>
      <c r="C37" s="101">
        <v>900500000</v>
      </c>
      <c r="D37" s="133">
        <f t="shared" si="0"/>
        <v>1.5045545983733101E-2</v>
      </c>
      <c r="E37" s="122">
        <f t="shared" si="1"/>
        <v>0.57619679340234842</v>
      </c>
      <c r="F37" s="99" t="s">
        <v>2903</v>
      </c>
      <c r="L37"/>
      <c r="M37"/>
      <c r="N37"/>
      <c r="O37"/>
    </row>
    <row r="38" spans="2:15" x14ac:dyDescent="0.3">
      <c r="B38" s="99" t="s">
        <v>2618</v>
      </c>
      <c r="C38" s="101">
        <v>889200000</v>
      </c>
      <c r="D38" s="133">
        <f t="shared" si="0"/>
        <v>1.4856745684325899E-2</v>
      </c>
      <c r="E38" s="122">
        <f t="shared" si="1"/>
        <v>0.59105353908667435</v>
      </c>
      <c r="F38" s="99" t="s">
        <v>2903</v>
      </c>
      <c r="L38"/>
      <c r="M38"/>
      <c r="N38"/>
      <c r="O38"/>
    </row>
    <row r="39" spans="2:15" x14ac:dyDescent="0.3">
      <c r="B39" s="99" t="s">
        <v>2604</v>
      </c>
      <c r="C39" s="101">
        <v>872000000</v>
      </c>
      <c r="D39" s="133">
        <f t="shared" si="0"/>
        <v>1.4569368237440603E-2</v>
      </c>
      <c r="E39" s="122">
        <f t="shared" si="1"/>
        <v>0.60562290732411495</v>
      </c>
      <c r="F39" s="99" t="s">
        <v>2903</v>
      </c>
      <c r="L39"/>
      <c r="M39"/>
      <c r="N39"/>
      <c r="O39"/>
    </row>
    <row r="40" spans="2:15" x14ac:dyDescent="0.3">
      <c r="B40" s="99" t="s">
        <v>2847</v>
      </c>
      <c r="C40" s="101">
        <v>852750000</v>
      </c>
      <c r="D40" s="133">
        <f t="shared" si="0"/>
        <v>1.4247739408804442E-2</v>
      </c>
      <c r="E40" s="122">
        <f t="shared" si="1"/>
        <v>0.61987064673291936</v>
      </c>
      <c r="F40" s="99" t="s">
        <v>2903</v>
      </c>
      <c r="L40"/>
      <c r="M40"/>
      <c r="N40"/>
      <c r="O40"/>
    </row>
    <row r="41" spans="2:15" x14ac:dyDescent="0.3">
      <c r="B41" s="99" t="s">
        <v>2235</v>
      </c>
      <c r="C41" s="101">
        <v>846250000</v>
      </c>
      <c r="D41" s="133">
        <f t="shared" si="0"/>
        <v>1.4139137466667558E-2</v>
      </c>
      <c r="E41" s="122">
        <f t="shared" si="1"/>
        <v>0.63400978419958687</v>
      </c>
      <c r="F41" s="99" t="s">
        <v>2903</v>
      </c>
      <c r="L41"/>
      <c r="M41"/>
      <c r="N41"/>
      <c r="O41"/>
    </row>
    <row r="42" spans="2:15" x14ac:dyDescent="0.3">
      <c r="B42" s="99" t="s">
        <v>2160</v>
      </c>
      <c r="C42" s="101">
        <v>846150000</v>
      </c>
      <c r="D42" s="133">
        <f t="shared" si="0"/>
        <v>1.413746666755776E-2</v>
      </c>
      <c r="E42" s="122">
        <f t="shared" si="1"/>
        <v>0.64814725086714464</v>
      </c>
      <c r="F42" s="99" t="s">
        <v>2903</v>
      </c>
      <c r="L42"/>
      <c r="M42"/>
      <c r="N42"/>
      <c r="O42"/>
    </row>
    <row r="43" spans="2:15" x14ac:dyDescent="0.3">
      <c r="B43" s="99" t="s">
        <v>2668</v>
      </c>
      <c r="C43" s="101">
        <v>833400000</v>
      </c>
      <c r="D43" s="133">
        <f t="shared" si="0"/>
        <v>1.3924439781058486E-2</v>
      </c>
      <c r="E43" s="122">
        <f t="shared" si="1"/>
        <v>0.66207169064820315</v>
      </c>
      <c r="F43" s="99" t="s">
        <v>2903</v>
      </c>
      <c r="L43"/>
      <c r="M43"/>
      <c r="N43"/>
      <c r="O43"/>
    </row>
    <row r="44" spans="2:15" x14ac:dyDescent="0.3">
      <c r="B44" s="99" t="s">
        <v>2299</v>
      </c>
      <c r="C44" s="101">
        <v>817500000</v>
      </c>
      <c r="D44" s="133">
        <f t="shared" si="0"/>
        <v>1.3658782722600566E-2</v>
      </c>
      <c r="E44" s="122">
        <f t="shared" si="1"/>
        <v>0.67573047337080372</v>
      </c>
      <c r="F44" s="99" t="s">
        <v>2903</v>
      </c>
      <c r="L44"/>
      <c r="M44"/>
      <c r="N44"/>
      <c r="O44"/>
    </row>
    <row r="45" spans="2:15" x14ac:dyDescent="0.3">
      <c r="B45" s="99" t="s">
        <v>2779</v>
      </c>
      <c r="C45" s="101">
        <v>412500000</v>
      </c>
      <c r="D45" s="133">
        <f t="shared" si="0"/>
        <v>6.8920463279177162E-3</v>
      </c>
      <c r="E45" s="122">
        <f t="shared" si="1"/>
        <v>0.68262251969872145</v>
      </c>
      <c r="F45" s="99" t="s">
        <v>2903</v>
      </c>
      <c r="L45"/>
      <c r="M45"/>
      <c r="N45"/>
      <c r="O45"/>
    </row>
    <row r="46" spans="2:15" x14ac:dyDescent="0.3">
      <c r="B46" s="99" t="s">
        <v>2824</v>
      </c>
      <c r="C46" s="101">
        <v>412000000</v>
      </c>
      <c r="D46" s="133">
        <f t="shared" si="0"/>
        <v>6.8836923323687257E-3</v>
      </c>
      <c r="E46" s="122">
        <f t="shared" si="1"/>
        <v>0.68950621203109019</v>
      </c>
      <c r="F46" s="99" t="s">
        <v>2903</v>
      </c>
      <c r="L46"/>
      <c r="M46"/>
      <c r="N46"/>
      <c r="O46"/>
    </row>
    <row r="47" spans="2:15" x14ac:dyDescent="0.3">
      <c r="B47" s="99" t="s">
        <v>2577</v>
      </c>
      <c r="C47" s="101">
        <v>404900000</v>
      </c>
      <c r="D47" s="133">
        <f t="shared" si="0"/>
        <v>6.7650655955730507E-3</v>
      </c>
      <c r="E47" s="122">
        <f t="shared" si="1"/>
        <v>0.6962712776266633</v>
      </c>
      <c r="F47" s="99" t="s">
        <v>2903</v>
      </c>
      <c r="L47"/>
      <c r="M47"/>
      <c r="N47"/>
      <c r="O47"/>
    </row>
    <row r="48" spans="2:15" x14ac:dyDescent="0.3">
      <c r="B48" s="99" t="s">
        <v>2563</v>
      </c>
      <c r="C48" s="101">
        <v>400750000</v>
      </c>
      <c r="D48" s="133">
        <f t="shared" si="0"/>
        <v>6.695727432516424E-3</v>
      </c>
      <c r="E48" s="122">
        <f t="shared" si="1"/>
        <v>0.70296700505917975</v>
      </c>
      <c r="F48" s="99" t="s">
        <v>2903</v>
      </c>
      <c r="L48"/>
      <c r="M48"/>
      <c r="N48"/>
      <c r="O48"/>
    </row>
    <row r="49" spans="2:15" x14ac:dyDescent="0.3">
      <c r="B49" s="99" t="s">
        <v>2776</v>
      </c>
      <c r="C49" s="101">
        <v>396500000</v>
      </c>
      <c r="D49" s="133">
        <f t="shared" si="0"/>
        <v>6.6247184703499993E-3</v>
      </c>
      <c r="E49" s="122">
        <f t="shared" si="1"/>
        <v>0.70959172352952971</v>
      </c>
      <c r="F49" s="99" t="s">
        <v>2903</v>
      </c>
      <c r="L49"/>
      <c r="M49"/>
      <c r="N49"/>
      <c r="O49"/>
    </row>
    <row r="50" spans="2:15" x14ac:dyDescent="0.3">
      <c r="B50" s="99" t="s">
        <v>2136</v>
      </c>
      <c r="C50" s="101">
        <v>79200000</v>
      </c>
      <c r="D50" s="133">
        <f t="shared" si="0"/>
        <v>1.3232728949602016E-3</v>
      </c>
      <c r="E50" s="122">
        <f t="shared" si="1"/>
        <v>0.71091499642448985</v>
      </c>
      <c r="F50" s="99" t="s">
        <v>2903</v>
      </c>
      <c r="L50"/>
      <c r="M50"/>
      <c r="N50"/>
      <c r="O50"/>
    </row>
    <row r="51" spans="2:15" x14ac:dyDescent="0.3">
      <c r="B51" s="99" t="s">
        <v>2706</v>
      </c>
      <c r="C51" s="101">
        <v>79200000</v>
      </c>
      <c r="D51" s="133">
        <f t="shared" si="0"/>
        <v>1.3232728949602016E-3</v>
      </c>
      <c r="E51" s="122">
        <f t="shared" si="1"/>
        <v>0.71223826931945</v>
      </c>
      <c r="F51" s="99" t="s">
        <v>2903</v>
      </c>
      <c r="L51"/>
      <c r="M51"/>
      <c r="N51"/>
      <c r="O51"/>
    </row>
    <row r="52" spans="2:15" x14ac:dyDescent="0.3">
      <c r="B52" s="99" t="s">
        <v>2530</v>
      </c>
      <c r="C52" s="101">
        <v>77330000</v>
      </c>
      <c r="D52" s="133">
        <f t="shared" si="0"/>
        <v>1.2920289516069746E-3</v>
      </c>
      <c r="E52" s="122">
        <f t="shared" si="1"/>
        <v>0.71353029827105696</v>
      </c>
      <c r="F52" s="99" t="s">
        <v>2903</v>
      </c>
      <c r="L52"/>
      <c r="M52"/>
      <c r="N52"/>
      <c r="O52"/>
    </row>
    <row r="53" spans="2:15" x14ac:dyDescent="0.3">
      <c r="B53" s="99" t="s">
        <v>2229</v>
      </c>
      <c r="C53" s="101">
        <v>77200000</v>
      </c>
      <c r="D53" s="133">
        <f t="shared" si="0"/>
        <v>1.2898569127642368E-3</v>
      </c>
      <c r="E53" s="122">
        <f t="shared" si="1"/>
        <v>0.71482015518382125</v>
      </c>
      <c r="F53" s="99" t="s">
        <v>2903</v>
      </c>
      <c r="L53"/>
      <c r="M53"/>
      <c r="N53"/>
      <c r="O53"/>
    </row>
    <row r="54" spans="2:15" x14ac:dyDescent="0.3">
      <c r="B54" s="99" t="s">
        <v>2780</v>
      </c>
      <c r="C54" s="101">
        <v>76200000</v>
      </c>
      <c r="D54" s="133">
        <f t="shared" si="0"/>
        <v>1.2731489216662546E-3</v>
      </c>
      <c r="E54" s="122">
        <f t="shared" si="1"/>
        <v>0.71609330410548755</v>
      </c>
      <c r="F54" s="99" t="s">
        <v>2903</v>
      </c>
      <c r="L54"/>
      <c r="M54"/>
      <c r="N54"/>
      <c r="O54"/>
    </row>
    <row r="55" spans="2:15" x14ac:dyDescent="0.3">
      <c r="B55" s="99" t="s">
        <v>2234</v>
      </c>
      <c r="C55" s="101">
        <v>76150000</v>
      </c>
      <c r="D55" s="133">
        <f t="shared" si="0"/>
        <v>1.2723135221113554E-3</v>
      </c>
      <c r="E55" s="122">
        <f t="shared" si="1"/>
        <v>0.71736561762759887</v>
      </c>
      <c r="F55" s="99" t="s">
        <v>2903</v>
      </c>
      <c r="L55"/>
      <c r="M55"/>
      <c r="N55"/>
      <c r="O55"/>
    </row>
    <row r="56" spans="2:15" x14ac:dyDescent="0.3">
      <c r="B56" s="99" t="s">
        <v>2705</v>
      </c>
      <c r="C56" s="101">
        <v>75150000</v>
      </c>
      <c r="D56" s="133">
        <f t="shared" si="0"/>
        <v>1.2556055310133732E-3</v>
      </c>
      <c r="E56" s="122">
        <f t="shared" si="1"/>
        <v>0.71862122315861221</v>
      </c>
      <c r="F56" s="99" t="s">
        <v>2903</v>
      </c>
      <c r="L56"/>
      <c r="M56"/>
      <c r="N56"/>
      <c r="O56"/>
    </row>
    <row r="57" spans="2:15" x14ac:dyDescent="0.3">
      <c r="B57" s="99" t="s">
        <v>2523</v>
      </c>
      <c r="C57" s="101">
        <v>74250000</v>
      </c>
      <c r="D57" s="133">
        <f t="shared" si="0"/>
        <v>1.2405683390251891E-3</v>
      </c>
      <c r="E57" s="122">
        <f t="shared" si="1"/>
        <v>0.7198617914976374</v>
      </c>
      <c r="F57" s="99" t="s">
        <v>2903</v>
      </c>
      <c r="L57"/>
      <c r="M57"/>
      <c r="N57"/>
      <c r="O57"/>
    </row>
    <row r="58" spans="2:15" x14ac:dyDescent="0.3">
      <c r="B58" s="99" t="s">
        <v>573</v>
      </c>
      <c r="C58" s="101">
        <v>73950000</v>
      </c>
      <c r="D58" s="133">
        <f t="shared" si="0"/>
        <v>1.2355559416957942E-3</v>
      </c>
      <c r="E58" s="122">
        <f t="shared" si="1"/>
        <v>0.72109734743933318</v>
      </c>
      <c r="F58" s="99" t="s">
        <v>2903</v>
      </c>
      <c r="L58"/>
      <c r="M58"/>
      <c r="N58"/>
      <c r="O58"/>
    </row>
    <row r="59" spans="2:15" x14ac:dyDescent="0.3">
      <c r="B59" s="99" t="s">
        <v>2808</v>
      </c>
      <c r="C59" s="101">
        <v>73675000</v>
      </c>
      <c r="D59" s="133">
        <f t="shared" si="0"/>
        <v>1.2309612441438491E-3</v>
      </c>
      <c r="E59" s="122">
        <f t="shared" si="1"/>
        <v>0.72232830868347708</v>
      </c>
      <c r="F59" s="99" t="s">
        <v>2903</v>
      </c>
      <c r="L59"/>
      <c r="M59"/>
      <c r="N59"/>
      <c r="O59"/>
    </row>
    <row r="60" spans="2:15" x14ac:dyDescent="0.3">
      <c r="B60" s="99" t="s">
        <v>2152</v>
      </c>
      <c r="C60" s="101">
        <v>72850000</v>
      </c>
      <c r="D60" s="133">
        <f t="shared" si="0"/>
        <v>1.2171771514880136E-3</v>
      </c>
      <c r="E60" s="122">
        <f t="shared" si="1"/>
        <v>0.72354548583496514</v>
      </c>
      <c r="F60" s="99" t="s">
        <v>2903</v>
      </c>
      <c r="L60"/>
      <c r="M60"/>
      <c r="N60"/>
      <c r="O60"/>
    </row>
    <row r="61" spans="2:15" x14ac:dyDescent="0.3">
      <c r="B61" s="99" t="s">
        <v>2641</v>
      </c>
      <c r="C61" s="101">
        <v>72570000</v>
      </c>
      <c r="D61" s="133">
        <f t="shared" si="0"/>
        <v>1.2124989139805787E-3</v>
      </c>
      <c r="E61" s="122">
        <f t="shared" si="1"/>
        <v>0.72475798474894571</v>
      </c>
      <c r="F61" s="99" t="s">
        <v>2903</v>
      </c>
      <c r="L61"/>
      <c r="M61"/>
      <c r="N61"/>
      <c r="O61"/>
    </row>
    <row r="62" spans="2:15" x14ac:dyDescent="0.3">
      <c r="B62" s="99" t="s">
        <v>2587</v>
      </c>
      <c r="C62" s="101">
        <v>72100000</v>
      </c>
      <c r="D62" s="133">
        <f t="shared" si="0"/>
        <v>1.204646158164527E-3</v>
      </c>
      <c r="E62" s="122">
        <f t="shared" si="1"/>
        <v>0.72596263090711022</v>
      </c>
      <c r="F62" s="99" t="s">
        <v>2903</v>
      </c>
      <c r="L62"/>
      <c r="M62"/>
      <c r="N62"/>
      <c r="O62"/>
    </row>
    <row r="63" spans="2:15" x14ac:dyDescent="0.3">
      <c r="B63" s="99" t="s">
        <v>2217</v>
      </c>
      <c r="C63" s="101">
        <v>71525000</v>
      </c>
      <c r="D63" s="133">
        <f t="shared" si="0"/>
        <v>1.195039063283187E-3</v>
      </c>
      <c r="E63" s="122">
        <f t="shared" si="1"/>
        <v>0.72715766997039344</v>
      </c>
      <c r="F63" s="99" t="s">
        <v>2903</v>
      </c>
      <c r="L63"/>
      <c r="M63"/>
      <c r="N63"/>
      <c r="O63"/>
    </row>
    <row r="64" spans="2:15" x14ac:dyDescent="0.3">
      <c r="B64" s="99" t="s">
        <v>2660</v>
      </c>
      <c r="C64" s="101">
        <v>69800000</v>
      </c>
      <c r="D64" s="133">
        <f t="shared" si="0"/>
        <v>1.1662177786391675E-3</v>
      </c>
      <c r="E64" s="122">
        <f t="shared" si="1"/>
        <v>0.72832388774903256</v>
      </c>
      <c r="F64" s="99" t="s">
        <v>2903</v>
      </c>
      <c r="L64"/>
      <c r="M64"/>
      <c r="N64"/>
      <c r="O64"/>
    </row>
    <row r="65" spans="2:15" x14ac:dyDescent="0.3">
      <c r="B65" s="99" t="s">
        <v>68</v>
      </c>
      <c r="C65" s="101">
        <v>69590000</v>
      </c>
      <c r="D65" s="133">
        <f t="shared" si="0"/>
        <v>1.1627091005085913E-3</v>
      </c>
      <c r="E65" s="122">
        <f t="shared" si="1"/>
        <v>0.7294865968495412</v>
      </c>
      <c r="F65" s="99" t="s">
        <v>2903</v>
      </c>
      <c r="L65"/>
      <c r="M65"/>
      <c r="N65"/>
      <c r="O65"/>
    </row>
    <row r="66" spans="2:15" x14ac:dyDescent="0.3">
      <c r="B66" s="99" t="s">
        <v>2263</v>
      </c>
      <c r="C66" s="101">
        <v>67990000</v>
      </c>
      <c r="D66" s="133">
        <f t="shared" si="0"/>
        <v>1.1359763147518196E-3</v>
      </c>
      <c r="E66" s="122">
        <f t="shared" si="1"/>
        <v>0.73062257316429302</v>
      </c>
      <c r="F66" s="99" t="s">
        <v>2903</v>
      </c>
      <c r="L66"/>
      <c r="M66"/>
      <c r="N66"/>
      <c r="O66"/>
    </row>
    <row r="67" spans="2:15" x14ac:dyDescent="0.3">
      <c r="B67" s="99" t="s">
        <v>2485</v>
      </c>
      <c r="C67" s="101">
        <v>67000000</v>
      </c>
      <c r="D67" s="133">
        <f t="shared" si="0"/>
        <v>1.119435403564817E-3</v>
      </c>
      <c r="E67" s="122">
        <f t="shared" si="1"/>
        <v>0.73174200856785787</v>
      </c>
      <c r="F67" s="99" t="s">
        <v>2903</v>
      </c>
      <c r="L67"/>
      <c r="M67"/>
      <c r="N67"/>
      <c r="O67"/>
    </row>
    <row r="68" spans="2:15" x14ac:dyDescent="0.3">
      <c r="B68" s="99" t="s">
        <v>2497</v>
      </c>
      <c r="C68" s="101">
        <v>66500000</v>
      </c>
      <c r="D68" s="133">
        <f t="shared" si="0"/>
        <v>1.1110814080158259E-3</v>
      </c>
      <c r="E68" s="122">
        <f t="shared" si="1"/>
        <v>0.73285308997587373</v>
      </c>
      <c r="F68" s="99" t="s">
        <v>2903</v>
      </c>
      <c r="L68"/>
      <c r="M68"/>
      <c r="N68"/>
      <c r="O68"/>
    </row>
    <row r="69" spans="2:15" x14ac:dyDescent="0.3">
      <c r="B69" s="99" t="s">
        <v>2347</v>
      </c>
      <c r="C69" s="101">
        <v>66170000</v>
      </c>
      <c r="D69" s="133">
        <f t="shared" si="0"/>
        <v>1.1055677709534916E-3</v>
      </c>
      <c r="E69" s="122">
        <f t="shared" si="1"/>
        <v>0.73395865774682723</v>
      </c>
      <c r="F69" s="99" t="s">
        <v>2903</v>
      </c>
      <c r="L69"/>
      <c r="M69"/>
      <c r="N69"/>
      <c r="O69"/>
    </row>
    <row r="70" spans="2:15" x14ac:dyDescent="0.3">
      <c r="B70" s="99" t="s">
        <v>2260</v>
      </c>
      <c r="C70" s="101">
        <v>65860000</v>
      </c>
      <c r="D70" s="133">
        <f t="shared" ref="D70:D133" si="2">C70/SUM($C$6:$C$817)</f>
        <v>1.1003882937131171E-3</v>
      </c>
      <c r="E70" s="122">
        <f t="shared" si="1"/>
        <v>0.7350590460405404</v>
      </c>
      <c r="F70" s="99" t="s">
        <v>2903</v>
      </c>
      <c r="L70"/>
      <c r="M70"/>
      <c r="N70"/>
      <c r="O70"/>
    </row>
    <row r="71" spans="2:15" x14ac:dyDescent="0.3">
      <c r="B71" s="99" t="s">
        <v>2144</v>
      </c>
      <c r="C71" s="101">
        <v>65470000</v>
      </c>
      <c r="D71" s="133">
        <f t="shared" si="2"/>
        <v>1.093872177184904E-3</v>
      </c>
      <c r="E71" s="122">
        <f t="shared" ref="E71:E134" si="3">E70+D71</f>
        <v>0.73615291821772533</v>
      </c>
      <c r="F71" s="99" t="s">
        <v>2903</v>
      </c>
      <c r="L71"/>
      <c r="M71"/>
      <c r="N71"/>
      <c r="O71"/>
    </row>
    <row r="72" spans="2:15" x14ac:dyDescent="0.3">
      <c r="B72" s="99" t="s">
        <v>2392</v>
      </c>
      <c r="C72" s="101">
        <v>64800000</v>
      </c>
      <c r="D72" s="133">
        <f t="shared" si="2"/>
        <v>1.0826778231492558E-3</v>
      </c>
      <c r="E72" s="122">
        <f t="shared" si="3"/>
        <v>0.73723559604087463</v>
      </c>
      <c r="F72" s="99" t="s">
        <v>2903</v>
      </c>
      <c r="L72"/>
      <c r="M72"/>
      <c r="N72"/>
      <c r="O72"/>
    </row>
    <row r="73" spans="2:15" x14ac:dyDescent="0.3">
      <c r="B73" s="99" t="s">
        <v>2759</v>
      </c>
      <c r="C73" s="101">
        <v>64080000</v>
      </c>
      <c r="D73" s="133">
        <f t="shared" si="2"/>
        <v>1.0706480695587086E-3</v>
      </c>
      <c r="E73" s="122">
        <f t="shared" si="3"/>
        <v>0.73830624411043333</v>
      </c>
      <c r="F73" s="99" t="s">
        <v>2903</v>
      </c>
      <c r="L73"/>
      <c r="M73"/>
      <c r="N73"/>
      <c r="O73"/>
    </row>
    <row r="74" spans="2:15" x14ac:dyDescent="0.3">
      <c r="B74" s="99" t="s">
        <v>2716</v>
      </c>
      <c r="C74" s="101">
        <v>63820000</v>
      </c>
      <c r="D74" s="133">
        <f t="shared" si="2"/>
        <v>1.0663039918732331E-3</v>
      </c>
      <c r="E74" s="122">
        <f t="shared" si="3"/>
        <v>0.73937254810230657</v>
      </c>
      <c r="F74" s="99" t="s">
        <v>2903</v>
      </c>
      <c r="L74"/>
      <c r="M74"/>
      <c r="N74"/>
      <c r="O74"/>
    </row>
    <row r="75" spans="2:15" x14ac:dyDescent="0.3">
      <c r="B75" s="99" t="s">
        <v>2704</v>
      </c>
      <c r="C75" s="101">
        <v>63450000</v>
      </c>
      <c r="D75" s="133">
        <f t="shared" si="2"/>
        <v>1.0601220351669797E-3</v>
      </c>
      <c r="E75" s="122">
        <f t="shared" si="3"/>
        <v>0.7404326701374736</v>
      </c>
      <c r="F75" s="99" t="s">
        <v>2903</v>
      </c>
      <c r="L75"/>
      <c r="M75"/>
      <c r="N75"/>
      <c r="O75"/>
    </row>
    <row r="76" spans="2:15" x14ac:dyDescent="0.3">
      <c r="B76" s="99" t="s">
        <v>2292</v>
      </c>
      <c r="C76" s="101">
        <v>62950000</v>
      </c>
      <c r="D76" s="133">
        <f t="shared" si="2"/>
        <v>1.0517680396179886E-3</v>
      </c>
      <c r="E76" s="122">
        <f t="shared" si="3"/>
        <v>0.74148443817709164</v>
      </c>
      <c r="F76" s="99" t="s">
        <v>2903</v>
      </c>
      <c r="L76"/>
      <c r="M76"/>
      <c r="N76"/>
      <c r="O76"/>
    </row>
    <row r="77" spans="2:15" x14ac:dyDescent="0.3">
      <c r="B77" s="99" t="s">
        <v>2662</v>
      </c>
      <c r="C77" s="101">
        <v>62575000</v>
      </c>
      <c r="D77" s="133">
        <f t="shared" si="2"/>
        <v>1.0455025429562451E-3</v>
      </c>
      <c r="E77" s="122">
        <f t="shared" si="3"/>
        <v>0.74252994072004785</v>
      </c>
      <c r="F77" s="99" t="s">
        <v>2903</v>
      </c>
      <c r="L77"/>
      <c r="M77"/>
      <c r="N77"/>
      <c r="O77"/>
    </row>
    <row r="78" spans="2:15" x14ac:dyDescent="0.3">
      <c r="B78" s="99" t="s">
        <v>2788</v>
      </c>
      <c r="C78" s="101">
        <v>62550000</v>
      </c>
      <c r="D78" s="133">
        <f t="shared" si="2"/>
        <v>1.0450848431787956E-3</v>
      </c>
      <c r="E78" s="122">
        <f t="shared" si="3"/>
        <v>0.74357502556322663</v>
      </c>
      <c r="F78" s="99" t="s">
        <v>2903</v>
      </c>
      <c r="L78"/>
      <c r="M78"/>
      <c r="N78"/>
      <c r="O78"/>
    </row>
    <row r="79" spans="2:15" x14ac:dyDescent="0.3">
      <c r="B79" s="99" t="s">
        <v>2569</v>
      </c>
      <c r="C79" s="101">
        <v>62530000</v>
      </c>
      <c r="D79" s="133">
        <f t="shared" si="2"/>
        <v>1.0447506833568359E-3</v>
      </c>
      <c r="E79" s="122">
        <f t="shared" si="3"/>
        <v>0.74461977624658349</v>
      </c>
      <c r="F79" s="99" t="s">
        <v>2903</v>
      </c>
      <c r="L79"/>
      <c r="M79"/>
      <c r="N79"/>
      <c r="O79"/>
    </row>
    <row r="80" spans="2:15" x14ac:dyDescent="0.3">
      <c r="B80" s="99" t="s">
        <v>2176</v>
      </c>
      <c r="C80" s="101">
        <v>62040000</v>
      </c>
      <c r="D80" s="133">
        <f t="shared" si="2"/>
        <v>1.0365637677188246E-3</v>
      </c>
      <c r="E80" s="122">
        <f t="shared" si="3"/>
        <v>0.74565634001430237</v>
      </c>
      <c r="F80" s="99" t="s">
        <v>2903</v>
      </c>
      <c r="L80"/>
      <c r="M80"/>
      <c r="N80"/>
      <c r="O80"/>
    </row>
    <row r="81" spans="2:15" x14ac:dyDescent="0.3">
      <c r="B81" s="99" t="s">
        <v>2772</v>
      </c>
      <c r="C81" s="101">
        <v>62000000</v>
      </c>
      <c r="D81" s="133">
        <f t="shared" si="2"/>
        <v>1.0358954480749053E-3</v>
      </c>
      <c r="E81" s="122">
        <f t="shared" si="3"/>
        <v>0.74669223546237729</v>
      </c>
      <c r="F81" s="99" t="s">
        <v>2903</v>
      </c>
      <c r="L81"/>
      <c r="M81"/>
      <c r="N81"/>
      <c r="O81"/>
    </row>
    <row r="82" spans="2:15" x14ac:dyDescent="0.3">
      <c r="B82" s="99" t="s">
        <v>2356</v>
      </c>
      <c r="C82" s="101">
        <v>61350000</v>
      </c>
      <c r="D82" s="133">
        <f t="shared" si="2"/>
        <v>1.0250352538612166E-3</v>
      </c>
      <c r="E82" s="122">
        <f t="shared" si="3"/>
        <v>0.7477172707162385</v>
      </c>
      <c r="F82" s="99" t="s">
        <v>2903</v>
      </c>
      <c r="L82"/>
      <c r="M82"/>
      <c r="N82"/>
      <c r="O82"/>
    </row>
    <row r="83" spans="2:15" x14ac:dyDescent="0.3">
      <c r="B83" s="99" t="s">
        <v>164</v>
      </c>
      <c r="C83" s="101">
        <v>60960000</v>
      </c>
      <c r="D83" s="133">
        <f t="shared" si="2"/>
        <v>1.0185191373330035E-3</v>
      </c>
      <c r="E83" s="122">
        <f t="shared" si="3"/>
        <v>0.74873578985357148</v>
      </c>
      <c r="F83" s="99" t="s">
        <v>2903</v>
      </c>
      <c r="L83"/>
      <c r="M83"/>
      <c r="N83"/>
      <c r="O83"/>
    </row>
    <row r="84" spans="2:15" x14ac:dyDescent="0.3">
      <c r="B84" s="99" t="s">
        <v>2619</v>
      </c>
      <c r="C84" s="101">
        <v>60540000</v>
      </c>
      <c r="D84" s="133">
        <f t="shared" si="2"/>
        <v>1.011501781071851E-3</v>
      </c>
      <c r="E84" s="122">
        <f t="shared" si="3"/>
        <v>0.74974729163464338</v>
      </c>
      <c r="F84" s="99" t="s">
        <v>2903</v>
      </c>
      <c r="L84"/>
      <c r="M84"/>
      <c r="N84"/>
      <c r="O84"/>
    </row>
    <row r="85" spans="2:15" x14ac:dyDescent="0.3">
      <c r="B85" s="99" t="s">
        <v>2464</v>
      </c>
      <c r="C85" s="101">
        <v>60160000</v>
      </c>
      <c r="D85" s="133">
        <f t="shared" si="2"/>
        <v>1.0051527444546178E-3</v>
      </c>
      <c r="E85" s="122">
        <f t="shared" si="3"/>
        <v>0.75075244437909794</v>
      </c>
      <c r="F85" s="99" t="s">
        <v>2903</v>
      </c>
      <c r="L85"/>
      <c r="M85"/>
      <c r="N85"/>
      <c r="O85"/>
    </row>
    <row r="86" spans="2:15" x14ac:dyDescent="0.3">
      <c r="B86" s="99" t="s">
        <v>2828</v>
      </c>
      <c r="C86" s="101">
        <v>60150000</v>
      </c>
      <c r="D86" s="133">
        <f t="shared" si="2"/>
        <v>1.0049856645436379E-3</v>
      </c>
      <c r="E86" s="122">
        <f t="shared" si="3"/>
        <v>0.75175743004364159</v>
      </c>
      <c r="F86" s="99" t="s">
        <v>2903</v>
      </c>
      <c r="L86"/>
      <c r="M86"/>
      <c r="N86"/>
      <c r="O86"/>
    </row>
    <row r="87" spans="2:15" x14ac:dyDescent="0.3">
      <c r="B87" s="99" t="s">
        <v>2226</v>
      </c>
      <c r="C87" s="101">
        <v>60000000</v>
      </c>
      <c r="D87" s="133">
        <f t="shared" si="2"/>
        <v>1.0024794658789406E-3</v>
      </c>
      <c r="E87" s="122">
        <f t="shared" si="3"/>
        <v>0.75275990950952054</v>
      </c>
      <c r="F87" s="99" t="s">
        <v>2903</v>
      </c>
      <c r="L87"/>
      <c r="M87"/>
      <c r="N87"/>
      <c r="O87"/>
    </row>
    <row r="88" spans="2:15" x14ac:dyDescent="0.3">
      <c r="B88" s="99" t="s">
        <v>2248</v>
      </c>
      <c r="C88" s="101">
        <v>59520000</v>
      </c>
      <c r="D88" s="133">
        <f t="shared" si="2"/>
        <v>9.9445963015190901E-4</v>
      </c>
      <c r="E88" s="122">
        <f t="shared" si="3"/>
        <v>0.75375436913967242</v>
      </c>
      <c r="F88" s="99" t="s">
        <v>2903</v>
      </c>
      <c r="L88"/>
      <c r="M88"/>
      <c r="N88"/>
      <c r="O88"/>
    </row>
    <row r="89" spans="2:15" x14ac:dyDescent="0.3">
      <c r="B89" s="99" t="s">
        <v>2548</v>
      </c>
      <c r="C89" s="101">
        <v>59500000</v>
      </c>
      <c r="D89" s="133">
        <f t="shared" si="2"/>
        <v>9.9412547032994947E-4</v>
      </c>
      <c r="E89" s="122">
        <f t="shared" si="3"/>
        <v>0.75474849461000237</v>
      </c>
      <c r="F89" s="99" t="s">
        <v>2903</v>
      </c>
      <c r="L89"/>
      <c r="M89"/>
      <c r="N89"/>
      <c r="O89"/>
    </row>
    <row r="90" spans="2:15" x14ac:dyDescent="0.3">
      <c r="B90" s="99" t="s">
        <v>1320</v>
      </c>
      <c r="C90" s="101">
        <v>59460000</v>
      </c>
      <c r="D90" s="133">
        <f t="shared" si="2"/>
        <v>9.9345715068603017E-4</v>
      </c>
      <c r="E90" s="122">
        <f t="shared" si="3"/>
        <v>0.75574195176068837</v>
      </c>
      <c r="F90" s="99" t="s">
        <v>2903</v>
      </c>
      <c r="L90"/>
      <c r="M90"/>
      <c r="N90"/>
      <c r="O90"/>
    </row>
    <row r="91" spans="2:15" x14ac:dyDescent="0.3">
      <c r="B91" s="99" t="s">
        <v>642</v>
      </c>
      <c r="C91" s="101">
        <v>59350000</v>
      </c>
      <c r="D91" s="133">
        <f t="shared" si="2"/>
        <v>9.9161927166525215E-4</v>
      </c>
      <c r="E91" s="122">
        <f t="shared" si="3"/>
        <v>0.75673357103235361</v>
      </c>
      <c r="F91" s="99" t="s">
        <v>2903</v>
      </c>
      <c r="L91"/>
      <c r="M91"/>
      <c r="N91"/>
      <c r="O91"/>
    </row>
    <row r="92" spans="2:15" x14ac:dyDescent="0.3">
      <c r="B92" s="99" t="s">
        <v>2570</v>
      </c>
      <c r="C92" s="101">
        <v>59100000</v>
      </c>
      <c r="D92" s="133">
        <f t="shared" si="2"/>
        <v>9.8744227389075648E-4</v>
      </c>
      <c r="E92" s="122">
        <f t="shared" si="3"/>
        <v>0.75772101330624442</v>
      </c>
      <c r="F92" s="99" t="s">
        <v>2903</v>
      </c>
      <c r="L92"/>
      <c r="M92"/>
      <c r="N92"/>
      <c r="O92"/>
    </row>
    <row r="93" spans="2:15" x14ac:dyDescent="0.3">
      <c r="B93" s="99" t="s">
        <v>2376</v>
      </c>
      <c r="C93" s="101">
        <v>58820000</v>
      </c>
      <c r="D93" s="133">
        <f t="shared" si="2"/>
        <v>9.8276403638332139E-4</v>
      </c>
      <c r="E93" s="122">
        <f t="shared" si="3"/>
        <v>0.75870377734262773</v>
      </c>
      <c r="F93" s="99" t="s">
        <v>2903</v>
      </c>
      <c r="L93"/>
      <c r="M93"/>
      <c r="N93"/>
      <c r="O93"/>
    </row>
    <row r="94" spans="2:15" x14ac:dyDescent="0.3">
      <c r="B94" s="99" t="s">
        <v>2731</v>
      </c>
      <c r="C94" s="101">
        <v>58520000</v>
      </c>
      <c r="D94" s="133">
        <f t="shared" si="2"/>
        <v>9.7775163905392676E-4</v>
      </c>
      <c r="E94" s="122">
        <f t="shared" si="3"/>
        <v>0.75968152898168162</v>
      </c>
      <c r="F94" s="99" t="s">
        <v>2903</v>
      </c>
      <c r="L94"/>
      <c r="M94"/>
      <c r="N94"/>
      <c r="O94"/>
    </row>
    <row r="95" spans="2:15" x14ac:dyDescent="0.3">
      <c r="B95" s="99" t="s">
        <v>2846</v>
      </c>
      <c r="C95" s="101">
        <v>58470000</v>
      </c>
      <c r="D95" s="133">
        <f t="shared" si="2"/>
        <v>9.7691623949902758E-4</v>
      </c>
      <c r="E95" s="122">
        <f t="shared" si="3"/>
        <v>0.76065844522118065</v>
      </c>
      <c r="F95" s="99" t="s">
        <v>2903</v>
      </c>
      <c r="L95"/>
      <c r="M95"/>
      <c r="N95"/>
      <c r="O95"/>
    </row>
    <row r="96" spans="2:15" x14ac:dyDescent="0.3">
      <c r="B96" s="99" t="s">
        <v>2179</v>
      </c>
      <c r="C96" s="101">
        <v>58275000</v>
      </c>
      <c r="D96" s="133">
        <f t="shared" si="2"/>
        <v>9.7365818123492103E-4</v>
      </c>
      <c r="E96" s="122">
        <f t="shared" si="3"/>
        <v>0.76163210340241561</v>
      </c>
      <c r="F96" s="99" t="s">
        <v>2903</v>
      </c>
      <c r="L96"/>
      <c r="M96"/>
      <c r="N96"/>
      <c r="O96"/>
    </row>
    <row r="97" spans="2:15" x14ac:dyDescent="0.3">
      <c r="B97" s="99" t="s">
        <v>2786</v>
      </c>
      <c r="C97" s="101">
        <v>58200000</v>
      </c>
      <c r="D97" s="133">
        <f t="shared" si="2"/>
        <v>9.7240508190257237E-4</v>
      </c>
      <c r="E97" s="122">
        <f t="shared" si="3"/>
        <v>0.76260450848431816</v>
      </c>
      <c r="F97" s="99" t="s">
        <v>2903</v>
      </c>
      <c r="L97"/>
      <c r="M97"/>
      <c r="N97"/>
      <c r="O97"/>
    </row>
    <row r="98" spans="2:15" x14ac:dyDescent="0.3">
      <c r="B98" s="99" t="s">
        <v>2382</v>
      </c>
      <c r="C98" s="101">
        <v>57600000</v>
      </c>
      <c r="D98" s="133">
        <f t="shared" si="2"/>
        <v>9.62380287243783E-4</v>
      </c>
      <c r="E98" s="122">
        <f t="shared" si="3"/>
        <v>0.76356688877156198</v>
      </c>
      <c r="F98" s="99" t="s">
        <v>2903</v>
      </c>
      <c r="L98"/>
      <c r="M98"/>
      <c r="N98"/>
      <c r="O98"/>
    </row>
    <row r="99" spans="2:15" x14ac:dyDescent="0.3">
      <c r="B99" s="99" t="s">
        <v>287</v>
      </c>
      <c r="C99" s="101">
        <v>57550000</v>
      </c>
      <c r="D99" s="133">
        <f t="shared" si="2"/>
        <v>9.6154488768888382E-4</v>
      </c>
      <c r="E99" s="122">
        <f t="shared" si="3"/>
        <v>0.76452843365925083</v>
      </c>
      <c r="F99" s="99" t="s">
        <v>2903</v>
      </c>
      <c r="L99"/>
      <c r="M99"/>
      <c r="N99"/>
      <c r="O99"/>
    </row>
    <row r="100" spans="2:15" x14ac:dyDescent="0.3">
      <c r="B100" s="99" t="s">
        <v>2774</v>
      </c>
      <c r="C100" s="101">
        <v>57550000</v>
      </c>
      <c r="D100" s="133">
        <f t="shared" si="2"/>
        <v>9.6154488768888382E-4</v>
      </c>
      <c r="E100" s="122">
        <f t="shared" si="3"/>
        <v>0.76548997854693968</v>
      </c>
      <c r="F100" s="99" t="s">
        <v>2903</v>
      </c>
      <c r="L100"/>
      <c r="M100"/>
      <c r="N100"/>
      <c r="O100"/>
    </row>
    <row r="101" spans="2:15" x14ac:dyDescent="0.3">
      <c r="B101" s="99" t="s">
        <v>2750</v>
      </c>
      <c r="C101" s="101">
        <v>57450000</v>
      </c>
      <c r="D101" s="133">
        <f t="shared" si="2"/>
        <v>9.5987408857908557E-4</v>
      </c>
      <c r="E101" s="122">
        <f t="shared" si="3"/>
        <v>0.76644985263551879</v>
      </c>
      <c r="F101" s="99" t="s">
        <v>2903</v>
      </c>
      <c r="L101"/>
      <c r="M101"/>
      <c r="N101"/>
      <c r="O101"/>
    </row>
    <row r="102" spans="2:15" x14ac:dyDescent="0.3">
      <c r="B102" s="99" t="s">
        <v>2251</v>
      </c>
      <c r="C102" s="101">
        <v>57080000</v>
      </c>
      <c r="D102" s="133">
        <f t="shared" si="2"/>
        <v>9.5369213187283211E-4</v>
      </c>
      <c r="E102" s="122">
        <f t="shared" si="3"/>
        <v>0.76740354476739159</v>
      </c>
      <c r="F102" s="99" t="s">
        <v>2903</v>
      </c>
      <c r="L102"/>
      <c r="M102"/>
      <c r="N102"/>
      <c r="O102"/>
    </row>
    <row r="103" spans="2:15" x14ac:dyDescent="0.3">
      <c r="B103" s="99" t="s">
        <v>2519</v>
      </c>
      <c r="C103" s="101">
        <v>56820000</v>
      </c>
      <c r="D103" s="133">
        <f t="shared" si="2"/>
        <v>9.4934805418735678E-4</v>
      </c>
      <c r="E103" s="122">
        <f t="shared" si="3"/>
        <v>0.76835289282157893</v>
      </c>
      <c r="F103" s="99" t="s">
        <v>2903</v>
      </c>
      <c r="L103"/>
      <c r="M103"/>
      <c r="N103"/>
      <c r="O103"/>
    </row>
    <row r="104" spans="2:15" x14ac:dyDescent="0.3">
      <c r="B104" s="99" t="s">
        <v>2131</v>
      </c>
      <c r="C104" s="101">
        <v>56600000</v>
      </c>
      <c r="D104" s="133">
        <f t="shared" si="2"/>
        <v>9.4567229614580064E-4</v>
      </c>
      <c r="E104" s="122">
        <f t="shared" si="3"/>
        <v>0.76929856511772476</v>
      </c>
      <c r="F104" s="99" t="s">
        <v>2903</v>
      </c>
      <c r="L104"/>
      <c r="M104"/>
      <c r="N104"/>
      <c r="O104"/>
    </row>
    <row r="105" spans="2:15" x14ac:dyDescent="0.3">
      <c r="B105" s="99" t="s">
        <v>2417</v>
      </c>
      <c r="C105" s="101">
        <v>56400000</v>
      </c>
      <c r="D105" s="133">
        <f t="shared" si="2"/>
        <v>9.4233069792620415E-4</v>
      </c>
      <c r="E105" s="122">
        <f t="shared" si="3"/>
        <v>0.77024089581565092</v>
      </c>
      <c r="F105" s="99" t="s">
        <v>2903</v>
      </c>
      <c r="L105"/>
      <c r="M105"/>
      <c r="N105"/>
      <c r="O105"/>
    </row>
    <row r="106" spans="2:15" x14ac:dyDescent="0.3">
      <c r="B106" s="99" t="s">
        <v>2834</v>
      </c>
      <c r="C106" s="101">
        <v>56300000</v>
      </c>
      <c r="D106" s="133">
        <f t="shared" si="2"/>
        <v>9.406598988164059E-4</v>
      </c>
      <c r="E106" s="122">
        <f t="shared" si="3"/>
        <v>0.77118155571446734</v>
      </c>
      <c r="F106" s="99" t="s">
        <v>2903</v>
      </c>
      <c r="L106"/>
      <c r="M106"/>
      <c r="N106"/>
      <c r="O106"/>
    </row>
    <row r="107" spans="2:15" x14ac:dyDescent="0.3">
      <c r="B107" s="99" t="s">
        <v>2681</v>
      </c>
      <c r="C107" s="101">
        <v>56100000</v>
      </c>
      <c r="D107" s="133">
        <f t="shared" si="2"/>
        <v>9.3731830059680941E-4</v>
      </c>
      <c r="E107" s="122">
        <f t="shared" si="3"/>
        <v>0.77211887401506418</v>
      </c>
      <c r="F107" s="99" t="s">
        <v>2903</v>
      </c>
      <c r="L107"/>
      <c r="M107"/>
      <c r="N107"/>
      <c r="O107"/>
    </row>
    <row r="108" spans="2:15" x14ac:dyDescent="0.3">
      <c r="B108" s="99" t="s">
        <v>2191</v>
      </c>
      <c r="C108" s="101">
        <v>56060000</v>
      </c>
      <c r="D108" s="133">
        <f t="shared" si="2"/>
        <v>9.3664998095289011E-4</v>
      </c>
      <c r="E108" s="122">
        <f t="shared" si="3"/>
        <v>0.77305552399601707</v>
      </c>
      <c r="F108" s="99" t="s">
        <v>2903</v>
      </c>
      <c r="L108"/>
      <c r="M108"/>
      <c r="N108"/>
      <c r="O108"/>
    </row>
    <row r="109" spans="2:15" x14ac:dyDescent="0.3">
      <c r="B109" s="99" t="s">
        <v>2754</v>
      </c>
      <c r="C109" s="101">
        <v>55800000</v>
      </c>
      <c r="D109" s="133">
        <f t="shared" si="2"/>
        <v>9.3230590326741478E-4</v>
      </c>
      <c r="E109" s="122">
        <f t="shared" si="3"/>
        <v>0.7739878298992845</v>
      </c>
      <c r="F109" s="99" t="s">
        <v>2903</v>
      </c>
      <c r="L109"/>
      <c r="M109"/>
      <c r="N109"/>
      <c r="O109"/>
    </row>
    <row r="110" spans="2:15" x14ac:dyDescent="0.3">
      <c r="B110" s="99" t="s">
        <v>2312</v>
      </c>
      <c r="C110" s="101">
        <v>55330000</v>
      </c>
      <c r="D110" s="133">
        <f t="shared" si="2"/>
        <v>9.2445314745136307E-4</v>
      </c>
      <c r="E110" s="122">
        <f t="shared" si="3"/>
        <v>0.77491228304673587</v>
      </c>
      <c r="F110" s="99" t="s">
        <v>2903</v>
      </c>
      <c r="L110"/>
      <c r="M110"/>
      <c r="N110"/>
      <c r="O110"/>
    </row>
    <row r="111" spans="2:15" x14ac:dyDescent="0.3">
      <c r="B111" s="99" t="s">
        <v>2183</v>
      </c>
      <c r="C111" s="101">
        <v>54850000</v>
      </c>
      <c r="D111" s="133">
        <f t="shared" si="2"/>
        <v>9.1643331172433149E-4</v>
      </c>
      <c r="E111" s="122">
        <f t="shared" si="3"/>
        <v>0.77582871635846018</v>
      </c>
      <c r="F111" s="99" t="s">
        <v>2903</v>
      </c>
      <c r="L111"/>
      <c r="M111"/>
      <c r="N111"/>
      <c r="O111"/>
    </row>
    <row r="112" spans="2:15" x14ac:dyDescent="0.3">
      <c r="B112" s="99" t="s">
        <v>2495</v>
      </c>
      <c r="C112" s="101">
        <v>54710000</v>
      </c>
      <c r="D112" s="133">
        <f t="shared" si="2"/>
        <v>9.1409419297061394E-4</v>
      </c>
      <c r="E112" s="122">
        <f t="shared" si="3"/>
        <v>0.7767428105514308</v>
      </c>
      <c r="F112" s="99" t="s">
        <v>2903</v>
      </c>
      <c r="L112"/>
      <c r="M112"/>
      <c r="N112"/>
      <c r="O112"/>
    </row>
    <row r="113" spans="2:15" x14ac:dyDescent="0.3">
      <c r="B113" s="99" t="s">
        <v>2223</v>
      </c>
      <c r="C113" s="101">
        <v>54350000</v>
      </c>
      <c r="D113" s="133">
        <f t="shared" si="2"/>
        <v>9.0807931617534036E-4</v>
      </c>
      <c r="E113" s="122">
        <f t="shared" si="3"/>
        <v>0.77765088986760611</v>
      </c>
      <c r="F113" s="99" t="s">
        <v>2903</v>
      </c>
      <c r="L113"/>
      <c r="M113"/>
      <c r="N113"/>
      <c r="O113"/>
    </row>
    <row r="114" spans="2:15" x14ac:dyDescent="0.3">
      <c r="B114" s="99" t="s">
        <v>2316</v>
      </c>
      <c r="C114" s="101">
        <v>54250000</v>
      </c>
      <c r="D114" s="133">
        <f t="shared" si="2"/>
        <v>9.0640851706554212E-4</v>
      </c>
      <c r="E114" s="122">
        <f t="shared" si="3"/>
        <v>0.77855729838467169</v>
      </c>
      <c r="F114" s="99" t="s">
        <v>2903</v>
      </c>
      <c r="L114"/>
      <c r="M114"/>
      <c r="N114"/>
      <c r="O114"/>
    </row>
    <row r="115" spans="2:15" x14ac:dyDescent="0.3">
      <c r="B115" s="99" t="s">
        <v>2486</v>
      </c>
      <c r="C115" s="101">
        <v>54250000</v>
      </c>
      <c r="D115" s="133">
        <f t="shared" si="2"/>
        <v>9.0640851706554212E-4</v>
      </c>
      <c r="E115" s="122">
        <f t="shared" si="3"/>
        <v>0.77946370690173727</v>
      </c>
      <c r="F115" s="99" t="s">
        <v>2903</v>
      </c>
      <c r="L115"/>
      <c r="M115"/>
      <c r="N115"/>
      <c r="O115"/>
    </row>
    <row r="116" spans="2:15" x14ac:dyDescent="0.3">
      <c r="B116" s="99" t="s">
        <v>2784</v>
      </c>
      <c r="C116" s="101">
        <v>54000000</v>
      </c>
      <c r="D116" s="133">
        <f t="shared" si="2"/>
        <v>9.0223151929104655E-4</v>
      </c>
      <c r="E116" s="122">
        <f t="shared" si="3"/>
        <v>0.7803659384210283</v>
      </c>
      <c r="F116" s="99" t="s">
        <v>2903</v>
      </c>
      <c r="L116"/>
      <c r="M116"/>
      <c r="N116"/>
      <c r="O116"/>
    </row>
    <row r="117" spans="2:15" x14ac:dyDescent="0.3">
      <c r="B117" s="99" t="s">
        <v>2153</v>
      </c>
      <c r="C117" s="101">
        <v>53990000</v>
      </c>
      <c r="D117" s="133">
        <f t="shared" si="2"/>
        <v>9.0206443938006667E-4</v>
      </c>
      <c r="E117" s="122">
        <f t="shared" si="3"/>
        <v>0.78126800286040832</v>
      </c>
      <c r="F117" s="99" t="s">
        <v>2903</v>
      </c>
      <c r="L117"/>
      <c r="M117"/>
      <c r="N117"/>
      <c r="O117"/>
    </row>
    <row r="118" spans="2:15" x14ac:dyDescent="0.3">
      <c r="B118" s="99" t="s">
        <v>2669</v>
      </c>
      <c r="C118" s="101">
        <v>53990000</v>
      </c>
      <c r="D118" s="133">
        <f t="shared" si="2"/>
        <v>9.0206443938006667E-4</v>
      </c>
      <c r="E118" s="122">
        <f t="shared" si="3"/>
        <v>0.78217006729978833</v>
      </c>
      <c r="F118" s="99" t="s">
        <v>2903</v>
      </c>
      <c r="L118"/>
      <c r="M118"/>
      <c r="N118"/>
      <c r="O118"/>
    </row>
    <row r="119" spans="2:15" x14ac:dyDescent="0.3">
      <c r="B119" s="99" t="s">
        <v>2632</v>
      </c>
      <c r="C119" s="101">
        <v>53750000</v>
      </c>
      <c r="D119" s="133">
        <f t="shared" si="2"/>
        <v>8.9805452151655088E-4</v>
      </c>
      <c r="E119" s="122">
        <f t="shared" si="3"/>
        <v>0.78306812182130492</v>
      </c>
      <c r="F119" s="99" t="s">
        <v>2903</v>
      </c>
      <c r="L119"/>
      <c r="M119"/>
      <c r="N119"/>
      <c r="O119"/>
    </row>
    <row r="120" spans="2:15" x14ac:dyDescent="0.3">
      <c r="B120" s="99" t="s">
        <v>2302</v>
      </c>
      <c r="C120" s="101">
        <v>53550000</v>
      </c>
      <c r="D120" s="133">
        <f t="shared" si="2"/>
        <v>8.947129232969545E-4</v>
      </c>
      <c r="E120" s="122">
        <f t="shared" si="3"/>
        <v>0.78396283474460182</v>
      </c>
      <c r="F120" s="99" t="s">
        <v>2903</v>
      </c>
      <c r="L120"/>
      <c r="M120"/>
      <c r="N120"/>
      <c r="O120"/>
    </row>
    <row r="121" spans="2:15" x14ac:dyDescent="0.3">
      <c r="B121" s="99" t="s">
        <v>2643</v>
      </c>
      <c r="C121" s="101">
        <v>53500000</v>
      </c>
      <c r="D121" s="133">
        <f t="shared" si="2"/>
        <v>8.9387752374205532E-4</v>
      </c>
      <c r="E121" s="122">
        <f t="shared" si="3"/>
        <v>0.78485671226834386</v>
      </c>
      <c r="F121" s="99" t="s">
        <v>2903</v>
      </c>
      <c r="L121"/>
      <c r="M121"/>
      <c r="N121"/>
      <c r="O121"/>
    </row>
    <row r="122" spans="2:15" x14ac:dyDescent="0.3">
      <c r="B122" s="99" t="s">
        <v>2651</v>
      </c>
      <c r="C122" s="101">
        <v>53070000</v>
      </c>
      <c r="D122" s="133">
        <f t="shared" si="2"/>
        <v>8.8669308756992291E-4</v>
      </c>
      <c r="E122" s="122">
        <f t="shared" si="3"/>
        <v>0.7857434053559138</v>
      </c>
      <c r="F122" s="99" t="s">
        <v>2903</v>
      </c>
      <c r="L122"/>
      <c r="M122"/>
      <c r="N122"/>
      <c r="O122"/>
    </row>
    <row r="123" spans="2:15" x14ac:dyDescent="0.3">
      <c r="B123" s="99" t="s">
        <v>2527</v>
      </c>
      <c r="C123" s="101">
        <v>53050000</v>
      </c>
      <c r="D123" s="133">
        <f t="shared" si="2"/>
        <v>8.8635892774796326E-4</v>
      </c>
      <c r="E123" s="122">
        <f t="shared" si="3"/>
        <v>0.78662976428366171</v>
      </c>
      <c r="F123" s="99" t="s">
        <v>2903</v>
      </c>
      <c r="L123"/>
      <c r="M123"/>
      <c r="N123"/>
      <c r="O123"/>
    </row>
    <row r="124" spans="2:15" x14ac:dyDescent="0.3">
      <c r="B124" s="99" t="s">
        <v>2424</v>
      </c>
      <c r="C124" s="101">
        <v>52800000</v>
      </c>
      <c r="D124" s="133">
        <f t="shared" si="2"/>
        <v>8.821819299734677E-4</v>
      </c>
      <c r="E124" s="122">
        <f t="shared" si="3"/>
        <v>0.78751194621363518</v>
      </c>
      <c r="F124" s="99" t="s">
        <v>2903</v>
      </c>
      <c r="L124"/>
      <c r="M124"/>
      <c r="N124"/>
      <c r="O124"/>
    </row>
    <row r="125" spans="2:15" x14ac:dyDescent="0.3">
      <c r="B125" s="99" t="s">
        <v>2463</v>
      </c>
      <c r="C125" s="101">
        <v>52740000</v>
      </c>
      <c r="D125" s="133">
        <f t="shared" si="2"/>
        <v>8.8117945050758875E-4</v>
      </c>
      <c r="E125" s="122">
        <f t="shared" si="3"/>
        <v>0.78839312566414277</v>
      </c>
      <c r="F125" s="99" t="s">
        <v>2903</v>
      </c>
      <c r="L125"/>
      <c r="M125"/>
      <c r="N125"/>
      <c r="O125"/>
    </row>
    <row r="126" spans="2:15" x14ac:dyDescent="0.3">
      <c r="B126" s="99" t="s">
        <v>2770</v>
      </c>
      <c r="C126" s="101">
        <v>52600000</v>
      </c>
      <c r="D126" s="133">
        <f t="shared" si="2"/>
        <v>8.7884033175387121E-4</v>
      </c>
      <c r="E126" s="122">
        <f t="shared" si="3"/>
        <v>0.78927196599589666</v>
      </c>
      <c r="F126" s="99" t="s">
        <v>2903</v>
      </c>
      <c r="L126"/>
      <c r="M126"/>
      <c r="N126"/>
      <c r="O126"/>
    </row>
    <row r="127" spans="2:15" x14ac:dyDescent="0.3">
      <c r="B127" s="99" t="s">
        <v>2817</v>
      </c>
      <c r="C127" s="101">
        <v>52460000</v>
      </c>
      <c r="D127" s="133">
        <f t="shared" si="2"/>
        <v>8.7650121300015366E-4</v>
      </c>
      <c r="E127" s="122">
        <f t="shared" si="3"/>
        <v>0.79014846720889687</v>
      </c>
      <c r="F127" s="99" t="s">
        <v>2903</v>
      </c>
      <c r="L127"/>
      <c r="M127"/>
      <c r="N127"/>
      <c r="O127"/>
    </row>
    <row r="128" spans="2:15" x14ac:dyDescent="0.3">
      <c r="B128" s="99" t="s">
        <v>2673</v>
      </c>
      <c r="C128" s="101">
        <v>51855000</v>
      </c>
      <c r="D128" s="133">
        <f t="shared" si="2"/>
        <v>8.6639287838587435E-4</v>
      </c>
      <c r="E128" s="122">
        <f t="shared" si="3"/>
        <v>0.79101486008728272</v>
      </c>
      <c r="F128" s="99" t="s">
        <v>2903</v>
      </c>
      <c r="L128"/>
      <c r="M128"/>
      <c r="N128"/>
      <c r="O128"/>
    </row>
    <row r="129" spans="2:15" x14ac:dyDescent="0.3">
      <c r="B129" s="99" t="s">
        <v>2269</v>
      </c>
      <c r="C129" s="101">
        <v>51750000</v>
      </c>
      <c r="D129" s="133">
        <f t="shared" si="2"/>
        <v>8.6463853932058628E-4</v>
      </c>
      <c r="E129" s="122">
        <f t="shared" si="3"/>
        <v>0.79187949862660334</v>
      </c>
      <c r="F129" s="99" t="s">
        <v>2903</v>
      </c>
      <c r="L129"/>
      <c r="M129"/>
      <c r="N129"/>
      <c r="O129"/>
    </row>
    <row r="130" spans="2:15" x14ac:dyDescent="0.3">
      <c r="B130" s="99" t="s">
        <v>2314</v>
      </c>
      <c r="C130" s="101">
        <v>51720000</v>
      </c>
      <c r="D130" s="133">
        <f t="shared" si="2"/>
        <v>8.6413729958764675E-4</v>
      </c>
      <c r="E130" s="122">
        <f t="shared" si="3"/>
        <v>0.79274363592619101</v>
      </c>
      <c r="F130" s="99" t="s">
        <v>2903</v>
      </c>
      <c r="L130"/>
      <c r="M130"/>
      <c r="N130"/>
      <c r="O130"/>
    </row>
    <row r="131" spans="2:15" x14ac:dyDescent="0.3">
      <c r="B131" s="99" t="s">
        <v>2173</v>
      </c>
      <c r="C131" s="101">
        <v>51600000</v>
      </c>
      <c r="D131" s="133">
        <f t="shared" si="2"/>
        <v>8.6213234065588885E-4</v>
      </c>
      <c r="E131" s="122">
        <f t="shared" si="3"/>
        <v>0.79360576826684692</v>
      </c>
      <c r="F131" s="99" t="s">
        <v>2903</v>
      </c>
      <c r="L131"/>
      <c r="M131"/>
      <c r="N131"/>
      <c r="O131"/>
    </row>
    <row r="132" spans="2:15" x14ac:dyDescent="0.3">
      <c r="B132" s="99" t="s">
        <v>2453</v>
      </c>
      <c r="C132" s="101">
        <v>51520000</v>
      </c>
      <c r="D132" s="133">
        <f t="shared" si="2"/>
        <v>8.6079570136805036E-4</v>
      </c>
      <c r="E132" s="122">
        <f t="shared" si="3"/>
        <v>0.79446656396821502</v>
      </c>
      <c r="F132" s="99" t="s">
        <v>2903</v>
      </c>
      <c r="L132"/>
      <c r="M132"/>
      <c r="N132"/>
      <c r="O132"/>
    </row>
    <row r="133" spans="2:15" x14ac:dyDescent="0.3">
      <c r="B133" s="99" t="s">
        <v>2378</v>
      </c>
      <c r="C133" s="101">
        <v>50400000</v>
      </c>
      <c r="D133" s="133">
        <f t="shared" si="2"/>
        <v>8.4208275133831011E-4</v>
      </c>
      <c r="E133" s="122">
        <f t="shared" si="3"/>
        <v>0.79530864671955337</v>
      </c>
      <c r="F133" s="99" t="s">
        <v>2903</v>
      </c>
      <c r="L133"/>
      <c r="M133"/>
      <c r="N133"/>
      <c r="O133"/>
    </row>
    <row r="134" spans="2:15" x14ac:dyDescent="0.3">
      <c r="B134" s="99" t="s">
        <v>2815</v>
      </c>
      <c r="C134" s="101">
        <v>50400000</v>
      </c>
      <c r="D134" s="133">
        <f t="shared" ref="D134:D197" si="4">C134/SUM($C$6:$C$817)</f>
        <v>8.4208275133831011E-4</v>
      </c>
      <c r="E134" s="122">
        <f t="shared" si="3"/>
        <v>0.79615072947089172</v>
      </c>
      <c r="F134" s="99" t="s">
        <v>2903</v>
      </c>
      <c r="L134"/>
      <c r="M134"/>
      <c r="N134"/>
      <c r="O134"/>
    </row>
    <row r="135" spans="2:15" x14ac:dyDescent="0.3">
      <c r="B135" s="99" t="s">
        <v>2647</v>
      </c>
      <c r="C135" s="101">
        <v>50300000</v>
      </c>
      <c r="D135" s="133">
        <f t="shared" si="4"/>
        <v>8.4041195222851186E-4</v>
      </c>
      <c r="E135" s="122">
        <f t="shared" ref="E135:E198" si="5">E134+D135</f>
        <v>0.79699114142312022</v>
      </c>
      <c r="F135" s="99" t="s">
        <v>2903</v>
      </c>
      <c r="L135"/>
      <c r="M135"/>
      <c r="N135"/>
      <c r="O135"/>
    </row>
    <row r="136" spans="2:15" x14ac:dyDescent="0.3">
      <c r="B136" s="99" t="s">
        <v>2685</v>
      </c>
      <c r="C136" s="101">
        <v>49740000</v>
      </c>
      <c r="D136" s="133">
        <f t="shared" si="4"/>
        <v>8.3105547721364179E-4</v>
      </c>
      <c r="E136" s="122">
        <f t="shared" si="5"/>
        <v>0.79782219690033385</v>
      </c>
      <c r="F136" s="99" t="s">
        <v>2903</v>
      </c>
      <c r="L136"/>
      <c r="M136"/>
      <c r="N136"/>
      <c r="O136"/>
    </row>
    <row r="137" spans="2:15" x14ac:dyDescent="0.3">
      <c r="B137" s="99" t="s">
        <v>2443</v>
      </c>
      <c r="C137" s="101">
        <v>49600000</v>
      </c>
      <c r="D137" s="133">
        <f t="shared" si="4"/>
        <v>8.2871635845992424E-4</v>
      </c>
      <c r="E137" s="122">
        <f t="shared" si="5"/>
        <v>0.79865091325879378</v>
      </c>
      <c r="F137" s="99" t="s">
        <v>2903</v>
      </c>
      <c r="L137"/>
      <c r="M137"/>
      <c r="N137"/>
      <c r="O137"/>
    </row>
    <row r="138" spans="2:15" x14ac:dyDescent="0.3">
      <c r="B138" s="99" t="s">
        <v>2224</v>
      </c>
      <c r="C138" s="101">
        <v>49400000</v>
      </c>
      <c r="D138" s="133">
        <f t="shared" si="4"/>
        <v>8.2537476024032775E-4</v>
      </c>
      <c r="E138" s="122">
        <f t="shared" si="5"/>
        <v>0.79947628801903414</v>
      </c>
      <c r="F138" s="99" t="s">
        <v>2903</v>
      </c>
      <c r="L138"/>
      <c r="M138"/>
      <c r="N138"/>
      <c r="O138"/>
    </row>
    <row r="139" spans="2:15" x14ac:dyDescent="0.3">
      <c r="B139" s="118" t="s">
        <v>2272</v>
      </c>
      <c r="C139" s="119">
        <v>49090000</v>
      </c>
      <c r="D139" s="134">
        <f>C139/SUM($C$6:$C$817)</f>
        <v>8.2019528299995324E-4</v>
      </c>
      <c r="E139" s="124">
        <f>E138+D139</f>
        <v>0.80029648330203407</v>
      </c>
      <c r="F139" s="118" t="s">
        <v>2889</v>
      </c>
      <c r="L139"/>
      <c r="M139"/>
      <c r="N139"/>
      <c r="O139"/>
    </row>
    <row r="140" spans="2:15" x14ac:dyDescent="0.3">
      <c r="B140" s="99" t="s">
        <v>2157</v>
      </c>
      <c r="C140" s="101">
        <v>49000000</v>
      </c>
      <c r="D140" s="133">
        <f t="shared" si="4"/>
        <v>8.1869156380113477E-4</v>
      </c>
      <c r="E140" s="122">
        <f t="shared" si="5"/>
        <v>0.80111517486583517</v>
      </c>
      <c r="F140" s="99" t="s">
        <v>2889</v>
      </c>
      <c r="L140"/>
      <c r="M140"/>
      <c r="N140"/>
      <c r="O140"/>
    </row>
    <row r="141" spans="2:15" x14ac:dyDescent="0.3">
      <c r="B141" s="99" t="s">
        <v>2763</v>
      </c>
      <c r="C141" s="101">
        <v>48750000</v>
      </c>
      <c r="D141" s="133">
        <f t="shared" si="4"/>
        <v>8.145145660266392E-4</v>
      </c>
      <c r="E141" s="122">
        <f t="shared" si="5"/>
        <v>0.80192968943186183</v>
      </c>
      <c r="F141" s="99" t="s">
        <v>2889</v>
      </c>
      <c r="L141"/>
      <c r="M141"/>
      <c r="N141"/>
      <c r="O141"/>
    </row>
    <row r="142" spans="2:15" x14ac:dyDescent="0.3">
      <c r="B142" s="99" t="s">
        <v>2722</v>
      </c>
      <c r="C142" s="101">
        <v>48500000</v>
      </c>
      <c r="D142" s="133">
        <f t="shared" si="4"/>
        <v>8.1033756825214364E-4</v>
      </c>
      <c r="E142" s="122">
        <f t="shared" si="5"/>
        <v>0.80274002700011393</v>
      </c>
      <c r="F142" s="99" t="s">
        <v>2889</v>
      </c>
      <c r="L142"/>
      <c r="M142"/>
      <c r="N142"/>
      <c r="O142"/>
    </row>
    <row r="143" spans="2:15" x14ac:dyDescent="0.3">
      <c r="B143" s="99" t="s">
        <v>2646</v>
      </c>
      <c r="C143" s="101">
        <v>48400000</v>
      </c>
      <c r="D143" s="133">
        <f t="shared" si="4"/>
        <v>8.0866676914234539E-4</v>
      </c>
      <c r="E143" s="122">
        <f t="shared" si="5"/>
        <v>0.80354869376925631</v>
      </c>
      <c r="F143" s="99" t="s">
        <v>2889</v>
      </c>
      <c r="L143"/>
      <c r="M143"/>
      <c r="N143"/>
      <c r="O143"/>
    </row>
    <row r="144" spans="2:15" x14ac:dyDescent="0.3">
      <c r="B144" s="99" t="s">
        <v>2557</v>
      </c>
      <c r="C144" s="101">
        <v>48300000</v>
      </c>
      <c r="D144" s="133">
        <f t="shared" si="4"/>
        <v>8.0699597003254715E-4</v>
      </c>
      <c r="E144" s="122">
        <f t="shared" si="5"/>
        <v>0.80435568973928884</v>
      </c>
      <c r="F144" s="99" t="s">
        <v>2889</v>
      </c>
      <c r="L144"/>
      <c r="M144"/>
      <c r="N144"/>
      <c r="O144"/>
    </row>
    <row r="145" spans="2:15" x14ac:dyDescent="0.3">
      <c r="B145" s="99" t="s">
        <v>2599</v>
      </c>
      <c r="C145" s="101">
        <v>47880000</v>
      </c>
      <c r="D145" s="133">
        <f t="shared" si="4"/>
        <v>7.9997861377139462E-4</v>
      </c>
      <c r="E145" s="122">
        <f t="shared" si="5"/>
        <v>0.80515566835306018</v>
      </c>
      <c r="F145" s="99" t="s">
        <v>2889</v>
      </c>
      <c r="L145"/>
      <c r="M145"/>
      <c r="N145"/>
      <c r="O145"/>
    </row>
    <row r="146" spans="2:15" x14ac:dyDescent="0.3">
      <c r="B146" s="99" t="s">
        <v>2342</v>
      </c>
      <c r="C146" s="101">
        <v>47700000</v>
      </c>
      <c r="D146" s="133">
        <f t="shared" si="4"/>
        <v>7.9697117537375778E-4</v>
      </c>
      <c r="E146" s="122">
        <f t="shared" si="5"/>
        <v>0.80595263952843399</v>
      </c>
      <c r="F146" s="99" t="s">
        <v>2889</v>
      </c>
      <c r="L146"/>
      <c r="M146"/>
      <c r="N146"/>
      <c r="O146"/>
    </row>
    <row r="147" spans="2:15" x14ac:dyDescent="0.3">
      <c r="B147" s="99" t="s">
        <v>2580</v>
      </c>
      <c r="C147" s="101">
        <v>47700000</v>
      </c>
      <c r="D147" s="133">
        <f t="shared" si="4"/>
        <v>7.9697117537375778E-4</v>
      </c>
      <c r="E147" s="122">
        <f t="shared" si="5"/>
        <v>0.8067496107038078</v>
      </c>
      <c r="F147" s="99" t="s">
        <v>2889</v>
      </c>
      <c r="L147"/>
      <c r="M147"/>
      <c r="N147"/>
      <c r="O147"/>
    </row>
    <row r="148" spans="2:15" x14ac:dyDescent="0.3">
      <c r="B148" s="99" t="s">
        <v>2797</v>
      </c>
      <c r="C148" s="101">
        <v>47450000</v>
      </c>
      <c r="D148" s="133">
        <f t="shared" si="4"/>
        <v>7.9279417759926221E-4</v>
      </c>
      <c r="E148" s="122">
        <f t="shared" si="5"/>
        <v>0.80754240488140705</v>
      </c>
      <c r="F148" s="99" t="s">
        <v>2889</v>
      </c>
      <c r="L148"/>
      <c r="M148"/>
      <c r="N148"/>
      <c r="O148"/>
    </row>
    <row r="149" spans="2:15" x14ac:dyDescent="0.3">
      <c r="B149" s="99" t="s">
        <v>2810</v>
      </c>
      <c r="C149" s="101">
        <v>47150000</v>
      </c>
      <c r="D149" s="133">
        <f t="shared" si="4"/>
        <v>7.8778178026986747E-4</v>
      </c>
      <c r="E149" s="122">
        <f t="shared" si="5"/>
        <v>0.80833018666167689</v>
      </c>
      <c r="F149" s="99" t="s">
        <v>2889</v>
      </c>
      <c r="L149"/>
      <c r="M149"/>
      <c r="N149"/>
      <c r="O149"/>
    </row>
    <row r="150" spans="2:15" x14ac:dyDescent="0.3">
      <c r="B150" s="99" t="s">
        <v>2241</v>
      </c>
      <c r="C150" s="101">
        <v>46800000</v>
      </c>
      <c r="D150" s="133">
        <f t="shared" si="4"/>
        <v>7.8193398338557366E-4</v>
      </c>
      <c r="E150" s="122">
        <f t="shared" si="5"/>
        <v>0.80911212064506244</v>
      </c>
      <c r="F150" s="99" t="s">
        <v>2889</v>
      </c>
      <c r="L150"/>
      <c r="M150"/>
      <c r="N150"/>
      <c r="O150"/>
    </row>
    <row r="151" spans="2:15" x14ac:dyDescent="0.3">
      <c r="B151" s="99" t="s">
        <v>2661</v>
      </c>
      <c r="C151" s="101">
        <v>46560000</v>
      </c>
      <c r="D151" s="133">
        <f t="shared" si="4"/>
        <v>7.7792406552205787E-4</v>
      </c>
      <c r="E151" s="122">
        <f t="shared" si="5"/>
        <v>0.80989004471058446</v>
      </c>
      <c r="F151" s="99" t="s">
        <v>2889</v>
      </c>
      <c r="L151"/>
      <c r="M151"/>
      <c r="N151"/>
      <c r="O151"/>
    </row>
    <row r="152" spans="2:15" x14ac:dyDescent="0.3">
      <c r="B152" s="99" t="s">
        <v>2469</v>
      </c>
      <c r="C152" s="101">
        <v>46500000</v>
      </c>
      <c r="D152" s="133">
        <f t="shared" si="4"/>
        <v>7.7692158605617893E-4</v>
      </c>
      <c r="E152" s="122">
        <f t="shared" si="5"/>
        <v>0.81066696629664059</v>
      </c>
      <c r="F152" s="99" t="s">
        <v>2889</v>
      </c>
      <c r="L152"/>
      <c r="M152"/>
      <c r="N152"/>
      <c r="O152"/>
    </row>
    <row r="153" spans="2:15" x14ac:dyDescent="0.3">
      <c r="B153" s="99" t="s">
        <v>2128</v>
      </c>
      <c r="C153" s="101">
        <v>46465000</v>
      </c>
      <c r="D153" s="133">
        <f t="shared" si="4"/>
        <v>7.7633680636774957E-4</v>
      </c>
      <c r="E153" s="122">
        <f t="shared" si="5"/>
        <v>0.81144330310300838</v>
      </c>
      <c r="F153" s="99" t="s">
        <v>2889</v>
      </c>
      <c r="L153"/>
      <c r="M153"/>
      <c r="N153"/>
      <c r="O153"/>
    </row>
    <row r="154" spans="2:15" x14ac:dyDescent="0.3">
      <c r="B154" s="99" t="s">
        <v>2333</v>
      </c>
      <c r="C154" s="101">
        <v>46400000</v>
      </c>
      <c r="D154" s="133">
        <f t="shared" si="4"/>
        <v>7.7525078694638068E-4</v>
      </c>
      <c r="E154" s="122">
        <f t="shared" si="5"/>
        <v>0.81221855388995479</v>
      </c>
      <c r="F154" s="99" t="s">
        <v>2889</v>
      </c>
      <c r="L154"/>
      <c r="M154"/>
      <c r="N154"/>
      <c r="O154"/>
    </row>
    <row r="155" spans="2:15" x14ac:dyDescent="0.3">
      <c r="B155" s="99" t="s">
        <v>2187</v>
      </c>
      <c r="C155" s="101">
        <v>46225000</v>
      </c>
      <c r="D155" s="133">
        <f t="shared" si="4"/>
        <v>7.7232688850423377E-4</v>
      </c>
      <c r="E155" s="122">
        <f t="shared" si="5"/>
        <v>0.81299088077845905</v>
      </c>
      <c r="F155" s="99" t="s">
        <v>2889</v>
      </c>
      <c r="L155"/>
      <c r="M155"/>
      <c r="N155"/>
      <c r="O155"/>
    </row>
    <row r="156" spans="2:15" x14ac:dyDescent="0.3">
      <c r="B156" s="99" t="s">
        <v>533</v>
      </c>
      <c r="C156" s="101">
        <v>46210000</v>
      </c>
      <c r="D156" s="133">
        <f t="shared" si="4"/>
        <v>7.7207626863776406E-4</v>
      </c>
      <c r="E156" s="122">
        <f t="shared" si="5"/>
        <v>0.81376295704709678</v>
      </c>
      <c r="F156" s="99" t="s">
        <v>2889</v>
      </c>
      <c r="L156"/>
      <c r="M156"/>
      <c r="N156"/>
      <c r="O156"/>
    </row>
    <row r="157" spans="2:15" x14ac:dyDescent="0.3">
      <c r="B157" s="99" t="s">
        <v>2537</v>
      </c>
      <c r="C157" s="101">
        <v>46155000</v>
      </c>
      <c r="D157" s="133">
        <f t="shared" si="4"/>
        <v>7.7115732912737506E-4</v>
      </c>
      <c r="E157" s="122">
        <f t="shared" si="5"/>
        <v>0.81453411437622414</v>
      </c>
      <c r="F157" s="99" t="s">
        <v>2889</v>
      </c>
      <c r="L157"/>
      <c r="M157"/>
      <c r="N157"/>
      <c r="O157"/>
    </row>
    <row r="158" spans="2:15" x14ac:dyDescent="0.3">
      <c r="B158" s="99" t="s">
        <v>2267</v>
      </c>
      <c r="C158" s="101">
        <v>46100000</v>
      </c>
      <c r="D158" s="133">
        <f t="shared" si="4"/>
        <v>7.7023838961698605E-4</v>
      </c>
      <c r="E158" s="122">
        <f t="shared" si="5"/>
        <v>0.81530435276584112</v>
      </c>
      <c r="F158" s="99" t="s">
        <v>2889</v>
      </c>
      <c r="L158"/>
      <c r="M158"/>
      <c r="N158"/>
      <c r="O158"/>
    </row>
    <row r="159" spans="2:15" x14ac:dyDescent="0.3">
      <c r="B159" s="99" t="s">
        <v>2364</v>
      </c>
      <c r="C159" s="101">
        <v>46100000</v>
      </c>
      <c r="D159" s="133">
        <f t="shared" si="4"/>
        <v>7.7023838961698605E-4</v>
      </c>
      <c r="E159" s="122">
        <f t="shared" si="5"/>
        <v>0.81607459115545811</v>
      </c>
      <c r="F159" s="99" t="s">
        <v>2889</v>
      </c>
      <c r="L159"/>
      <c r="M159"/>
      <c r="N159"/>
      <c r="O159"/>
    </row>
    <row r="160" spans="2:15" x14ac:dyDescent="0.3">
      <c r="B160" s="99" t="s">
        <v>2118</v>
      </c>
      <c r="C160" s="101">
        <v>45960000</v>
      </c>
      <c r="D160" s="133">
        <f t="shared" si="4"/>
        <v>7.678992708632685E-4</v>
      </c>
      <c r="E160" s="122">
        <f t="shared" si="5"/>
        <v>0.8168424904263214</v>
      </c>
      <c r="F160" s="99" t="s">
        <v>2889</v>
      </c>
      <c r="L160"/>
      <c r="M160"/>
      <c r="N160"/>
      <c r="O160"/>
    </row>
    <row r="161" spans="2:15" x14ac:dyDescent="0.3">
      <c r="B161" s="99" t="s">
        <v>1358</v>
      </c>
      <c r="C161" s="101">
        <v>45850000</v>
      </c>
      <c r="D161" s="133">
        <f t="shared" si="4"/>
        <v>7.6606139184249038E-4</v>
      </c>
      <c r="E161" s="122">
        <f t="shared" si="5"/>
        <v>0.81760855181816394</v>
      </c>
      <c r="F161" s="99" t="s">
        <v>2889</v>
      </c>
      <c r="L161"/>
      <c r="M161"/>
      <c r="N161"/>
      <c r="O161"/>
    </row>
    <row r="162" spans="2:15" x14ac:dyDescent="0.3">
      <c r="B162" s="99" t="s">
        <v>2340</v>
      </c>
      <c r="C162" s="101">
        <v>45600000</v>
      </c>
      <c r="D162" s="133">
        <f t="shared" si="4"/>
        <v>7.6188439406799481E-4</v>
      </c>
      <c r="E162" s="122">
        <f t="shared" si="5"/>
        <v>0.81837043621223193</v>
      </c>
      <c r="F162" s="99" t="s">
        <v>2889</v>
      </c>
      <c r="L162"/>
      <c r="M162"/>
      <c r="N162"/>
      <c r="O162"/>
    </row>
    <row r="163" spans="2:15" x14ac:dyDescent="0.3">
      <c r="B163" s="99" t="s">
        <v>2578</v>
      </c>
      <c r="C163" s="101">
        <v>45600000</v>
      </c>
      <c r="D163" s="133">
        <f t="shared" si="4"/>
        <v>7.6188439406799481E-4</v>
      </c>
      <c r="E163" s="122">
        <f t="shared" si="5"/>
        <v>0.81913232060629992</v>
      </c>
      <c r="F163" s="99" t="s">
        <v>2889</v>
      </c>
      <c r="L163"/>
      <c r="M163"/>
      <c r="N163"/>
      <c r="O163"/>
    </row>
    <row r="164" spans="2:15" x14ac:dyDescent="0.3">
      <c r="B164" s="99" t="s">
        <v>2175</v>
      </c>
      <c r="C164" s="101">
        <v>45300000</v>
      </c>
      <c r="D164" s="133">
        <f t="shared" si="4"/>
        <v>7.5687199673860018E-4</v>
      </c>
      <c r="E164" s="122">
        <f t="shared" si="5"/>
        <v>0.8198891926030385</v>
      </c>
      <c r="F164" s="99" t="s">
        <v>2889</v>
      </c>
      <c r="L164"/>
      <c r="M164"/>
      <c r="N164"/>
      <c r="O164"/>
    </row>
    <row r="165" spans="2:15" x14ac:dyDescent="0.3">
      <c r="B165" s="99" t="s">
        <v>2663</v>
      </c>
      <c r="C165" s="101">
        <v>45210000</v>
      </c>
      <c r="D165" s="133">
        <f t="shared" si="4"/>
        <v>7.5536827753978171E-4</v>
      </c>
      <c r="E165" s="122">
        <f t="shared" si="5"/>
        <v>0.82064456088057824</v>
      </c>
      <c r="F165" s="99" t="s">
        <v>2889</v>
      </c>
      <c r="L165"/>
      <c r="M165"/>
      <c r="N165"/>
      <c r="O165"/>
    </row>
    <row r="166" spans="2:15" x14ac:dyDescent="0.3">
      <c r="B166" s="99" t="s">
        <v>2650</v>
      </c>
      <c r="C166" s="101">
        <v>45175000</v>
      </c>
      <c r="D166" s="133">
        <f t="shared" si="4"/>
        <v>7.5478349785135235E-4</v>
      </c>
      <c r="E166" s="122">
        <f t="shared" si="5"/>
        <v>0.82139934437842954</v>
      </c>
      <c r="F166" s="99" t="s">
        <v>2889</v>
      </c>
      <c r="L166"/>
      <c r="M166"/>
      <c r="N166"/>
      <c r="O166"/>
    </row>
    <row r="167" spans="2:15" x14ac:dyDescent="0.3">
      <c r="B167" s="99" t="s">
        <v>2447</v>
      </c>
      <c r="C167" s="101">
        <v>44830000</v>
      </c>
      <c r="D167" s="133">
        <f t="shared" si="4"/>
        <v>7.4901924092254848E-4</v>
      </c>
      <c r="E167" s="122">
        <f t="shared" si="5"/>
        <v>0.82214836361935206</v>
      </c>
      <c r="F167" s="99" t="s">
        <v>2889</v>
      </c>
      <c r="L167"/>
      <c r="M167"/>
      <c r="N167"/>
      <c r="O167"/>
    </row>
    <row r="168" spans="2:15" x14ac:dyDescent="0.3">
      <c r="B168" s="99" t="s">
        <v>2129</v>
      </c>
      <c r="C168" s="101">
        <v>44780000</v>
      </c>
      <c r="D168" s="133">
        <f t="shared" si="4"/>
        <v>7.481838413676493E-4</v>
      </c>
      <c r="E168" s="122">
        <f t="shared" si="5"/>
        <v>0.82289654746071972</v>
      </c>
      <c r="F168" s="99" t="s">
        <v>2889</v>
      </c>
      <c r="L168"/>
      <c r="M168"/>
      <c r="N168"/>
      <c r="O168"/>
    </row>
    <row r="169" spans="2:15" x14ac:dyDescent="0.3">
      <c r="B169" s="99" t="s">
        <v>2309</v>
      </c>
      <c r="C169" s="101">
        <v>44690000</v>
      </c>
      <c r="D169" s="133">
        <f t="shared" si="4"/>
        <v>7.4668012216883093E-4</v>
      </c>
      <c r="E169" s="122">
        <f t="shared" si="5"/>
        <v>0.82364322758288855</v>
      </c>
      <c r="F169" s="99" t="s">
        <v>2889</v>
      </c>
      <c r="L169"/>
      <c r="M169"/>
      <c r="N169"/>
      <c r="O169"/>
    </row>
    <row r="170" spans="2:15" x14ac:dyDescent="0.3">
      <c r="B170" s="99" t="s">
        <v>2501</v>
      </c>
      <c r="C170" s="101">
        <v>44350000</v>
      </c>
      <c r="D170" s="133">
        <f t="shared" si="4"/>
        <v>7.4099940519551689E-4</v>
      </c>
      <c r="E170" s="122">
        <f t="shared" si="5"/>
        <v>0.82438422698808411</v>
      </c>
      <c r="F170" s="99" t="s">
        <v>2889</v>
      </c>
      <c r="L170"/>
      <c r="M170"/>
      <c r="N170"/>
      <c r="O170"/>
    </row>
    <row r="171" spans="2:15" x14ac:dyDescent="0.3">
      <c r="B171" s="99" t="s">
        <v>2804</v>
      </c>
      <c r="C171" s="101">
        <v>44300000</v>
      </c>
      <c r="D171" s="133">
        <f t="shared" si="4"/>
        <v>7.4016400564061783E-4</v>
      </c>
      <c r="E171" s="122">
        <f t="shared" si="5"/>
        <v>0.8251243909937247</v>
      </c>
      <c r="F171" s="99" t="s">
        <v>2889</v>
      </c>
      <c r="L171"/>
      <c r="M171"/>
      <c r="N171"/>
      <c r="O171"/>
    </row>
    <row r="172" spans="2:15" x14ac:dyDescent="0.3">
      <c r="B172" s="99" t="s">
        <v>2426</v>
      </c>
      <c r="C172" s="101">
        <v>44000000</v>
      </c>
      <c r="D172" s="133">
        <f t="shared" si="4"/>
        <v>7.3515160831122309E-4</v>
      </c>
      <c r="E172" s="122">
        <f t="shared" si="5"/>
        <v>0.82585954260203587</v>
      </c>
      <c r="F172" s="99" t="s">
        <v>2889</v>
      </c>
      <c r="L172"/>
      <c r="M172"/>
      <c r="N172"/>
      <c r="O172"/>
    </row>
    <row r="173" spans="2:15" x14ac:dyDescent="0.3">
      <c r="B173" s="99" t="s">
        <v>2172</v>
      </c>
      <c r="C173" s="101">
        <v>43700000</v>
      </c>
      <c r="D173" s="133">
        <f t="shared" si="4"/>
        <v>7.3013921098182835E-4</v>
      </c>
      <c r="E173" s="122">
        <f t="shared" si="5"/>
        <v>0.82658968181301773</v>
      </c>
      <c r="F173" s="99" t="s">
        <v>2889</v>
      </c>
      <c r="L173"/>
      <c r="M173"/>
      <c r="N173"/>
      <c r="O173"/>
    </row>
    <row r="174" spans="2:15" x14ac:dyDescent="0.3">
      <c r="B174" s="99" t="s">
        <v>2262</v>
      </c>
      <c r="C174" s="101">
        <v>43700000</v>
      </c>
      <c r="D174" s="133">
        <f t="shared" si="4"/>
        <v>7.3013921098182835E-4</v>
      </c>
      <c r="E174" s="122">
        <f t="shared" si="5"/>
        <v>0.82731982102399959</v>
      </c>
      <c r="F174" s="99" t="s">
        <v>2889</v>
      </c>
      <c r="L174"/>
      <c r="M174"/>
      <c r="N174"/>
      <c r="O174"/>
    </row>
    <row r="175" spans="2:15" x14ac:dyDescent="0.3">
      <c r="B175" s="99" t="s">
        <v>216</v>
      </c>
      <c r="C175" s="101">
        <v>43550000</v>
      </c>
      <c r="D175" s="133">
        <f t="shared" si="4"/>
        <v>7.2763301231713103E-4</v>
      </c>
      <c r="E175" s="122">
        <f t="shared" si="5"/>
        <v>0.82804745403631674</v>
      </c>
      <c r="F175" s="99" t="s">
        <v>2889</v>
      </c>
      <c r="L175"/>
      <c r="M175"/>
      <c r="N175"/>
      <c r="O175"/>
    </row>
    <row r="176" spans="2:15" x14ac:dyDescent="0.3">
      <c r="B176" s="99" t="s">
        <v>2825</v>
      </c>
      <c r="C176" s="101">
        <v>42910000</v>
      </c>
      <c r="D176" s="133">
        <f t="shared" si="4"/>
        <v>7.1693989801442236E-4</v>
      </c>
      <c r="E176" s="122">
        <f t="shared" si="5"/>
        <v>0.82876439393433121</v>
      </c>
      <c r="F176" s="99" t="s">
        <v>2889</v>
      </c>
      <c r="L176"/>
      <c r="M176"/>
      <c r="N176"/>
      <c r="O176"/>
    </row>
    <row r="177" spans="2:15" x14ac:dyDescent="0.3">
      <c r="B177" s="99" t="s">
        <v>2201</v>
      </c>
      <c r="C177" s="101">
        <v>42650000</v>
      </c>
      <c r="D177" s="133">
        <f t="shared" si="4"/>
        <v>7.1259582032894692E-4</v>
      </c>
      <c r="E177" s="122">
        <f t="shared" si="5"/>
        <v>0.82947698975466011</v>
      </c>
      <c r="F177" s="99" t="s">
        <v>2889</v>
      </c>
      <c r="L177"/>
      <c r="M177"/>
      <c r="N177"/>
      <c r="O177"/>
    </row>
    <row r="178" spans="2:15" x14ac:dyDescent="0.3">
      <c r="B178" s="99" t="s">
        <v>2470</v>
      </c>
      <c r="C178" s="101">
        <v>42550000</v>
      </c>
      <c r="D178" s="133">
        <f t="shared" si="4"/>
        <v>7.1092502121914867E-4</v>
      </c>
      <c r="E178" s="122">
        <f t="shared" si="5"/>
        <v>0.83018791477587928</v>
      </c>
      <c r="F178" s="99" t="s">
        <v>2889</v>
      </c>
      <c r="L178"/>
      <c r="M178"/>
      <c r="N178"/>
      <c r="O178"/>
    </row>
    <row r="179" spans="2:15" x14ac:dyDescent="0.3">
      <c r="B179" s="99" t="s">
        <v>2475</v>
      </c>
      <c r="C179" s="101">
        <v>42350000</v>
      </c>
      <c r="D179" s="133">
        <f t="shared" si="4"/>
        <v>7.0758342299955218E-4</v>
      </c>
      <c r="E179" s="122">
        <f t="shared" si="5"/>
        <v>0.83089549819887887</v>
      </c>
      <c r="F179" s="99" t="s">
        <v>2889</v>
      </c>
      <c r="L179"/>
      <c r="M179"/>
      <c r="N179"/>
      <c r="O179"/>
    </row>
    <row r="180" spans="2:15" x14ac:dyDescent="0.3">
      <c r="B180" s="99" t="s">
        <v>2701</v>
      </c>
      <c r="C180" s="101">
        <v>42100000</v>
      </c>
      <c r="D180" s="133">
        <f t="shared" si="4"/>
        <v>7.0340642522505662E-4</v>
      </c>
      <c r="E180" s="122">
        <f t="shared" si="5"/>
        <v>0.83159890462410391</v>
      </c>
      <c r="F180" s="99" t="s">
        <v>2889</v>
      </c>
      <c r="L180"/>
      <c r="M180"/>
      <c r="N180"/>
      <c r="O180"/>
    </row>
    <row r="181" spans="2:15" x14ac:dyDescent="0.3">
      <c r="B181" s="99" t="s">
        <v>2394</v>
      </c>
      <c r="C181" s="101">
        <v>42025000</v>
      </c>
      <c r="D181" s="133">
        <f t="shared" si="4"/>
        <v>7.0215332589270796E-4</v>
      </c>
      <c r="E181" s="122">
        <f t="shared" si="5"/>
        <v>0.83230105794999665</v>
      </c>
      <c r="F181" s="99" t="s">
        <v>2889</v>
      </c>
      <c r="L181"/>
      <c r="M181"/>
      <c r="N181"/>
      <c r="O181"/>
    </row>
    <row r="182" spans="2:15" x14ac:dyDescent="0.3">
      <c r="B182" s="99" t="s">
        <v>2409</v>
      </c>
      <c r="C182" s="101">
        <v>41940000</v>
      </c>
      <c r="D182" s="133">
        <f t="shared" si="4"/>
        <v>7.0073314664937942E-4</v>
      </c>
      <c r="E182" s="122">
        <f t="shared" si="5"/>
        <v>0.83300179109664607</v>
      </c>
      <c r="F182" s="99" t="s">
        <v>2889</v>
      </c>
      <c r="L182"/>
      <c r="M182"/>
      <c r="N182"/>
      <c r="O182"/>
    </row>
    <row r="183" spans="2:15" x14ac:dyDescent="0.3">
      <c r="B183" s="99" t="s">
        <v>2258</v>
      </c>
      <c r="C183" s="101">
        <v>41900000</v>
      </c>
      <c r="D183" s="133">
        <f t="shared" si="4"/>
        <v>7.0006482700546012E-4</v>
      </c>
      <c r="E183" s="122">
        <f t="shared" si="5"/>
        <v>0.83370185592365154</v>
      </c>
      <c r="F183" s="99" t="s">
        <v>2889</v>
      </c>
      <c r="L183"/>
      <c r="M183"/>
      <c r="N183"/>
      <c r="O183"/>
    </row>
    <row r="184" spans="2:15" x14ac:dyDescent="0.3">
      <c r="B184" s="99" t="s">
        <v>2645</v>
      </c>
      <c r="C184" s="101">
        <v>41695000</v>
      </c>
      <c r="D184" s="133">
        <f t="shared" si="4"/>
        <v>6.966396888303738E-4</v>
      </c>
      <c r="E184" s="122">
        <f t="shared" si="5"/>
        <v>0.83439849561248192</v>
      </c>
      <c r="F184" s="99" t="s">
        <v>2889</v>
      </c>
      <c r="L184"/>
      <c r="M184"/>
      <c r="N184"/>
      <c r="O184"/>
    </row>
    <row r="185" spans="2:15" x14ac:dyDescent="0.3">
      <c r="B185" s="99" t="s">
        <v>2556</v>
      </c>
      <c r="C185" s="101">
        <v>41675000</v>
      </c>
      <c r="D185" s="133">
        <f t="shared" si="4"/>
        <v>6.9630552900841415E-4</v>
      </c>
      <c r="E185" s="122">
        <f t="shared" si="5"/>
        <v>0.83509480114149037</v>
      </c>
      <c r="F185" s="99" t="s">
        <v>2889</v>
      </c>
      <c r="L185"/>
      <c r="M185"/>
      <c r="N185"/>
      <c r="O185"/>
    </row>
    <row r="186" spans="2:15" x14ac:dyDescent="0.3">
      <c r="B186" s="99" t="s">
        <v>2381</v>
      </c>
      <c r="C186" s="101">
        <v>41400000</v>
      </c>
      <c r="D186" s="133">
        <f t="shared" si="4"/>
        <v>6.91710831456469E-4</v>
      </c>
      <c r="E186" s="122">
        <f t="shared" si="5"/>
        <v>0.83578651197294684</v>
      </c>
      <c r="F186" s="99" t="s">
        <v>2889</v>
      </c>
      <c r="L186"/>
      <c r="M186"/>
      <c r="N186"/>
      <c r="O186"/>
    </row>
    <row r="187" spans="2:15" x14ac:dyDescent="0.3">
      <c r="B187" s="99" t="s">
        <v>2296</v>
      </c>
      <c r="C187" s="101">
        <v>41350000</v>
      </c>
      <c r="D187" s="133">
        <f t="shared" si="4"/>
        <v>6.9087543190156993E-4</v>
      </c>
      <c r="E187" s="122">
        <f t="shared" si="5"/>
        <v>0.83647738740484845</v>
      </c>
      <c r="F187" s="99" t="s">
        <v>2889</v>
      </c>
      <c r="L187"/>
      <c r="M187"/>
      <c r="N187"/>
      <c r="O187"/>
    </row>
    <row r="188" spans="2:15" x14ac:dyDescent="0.3">
      <c r="B188" s="99" t="s">
        <v>2150</v>
      </c>
      <c r="C188" s="101">
        <v>41300000</v>
      </c>
      <c r="D188" s="133">
        <f t="shared" si="4"/>
        <v>6.9004003234667075E-4</v>
      </c>
      <c r="E188" s="122">
        <f t="shared" si="5"/>
        <v>0.83716742743719508</v>
      </c>
      <c r="F188" s="99" t="s">
        <v>2889</v>
      </c>
      <c r="L188"/>
      <c r="M188"/>
      <c r="N188"/>
      <c r="O188"/>
    </row>
    <row r="189" spans="2:15" x14ac:dyDescent="0.3">
      <c r="B189" s="99" t="s">
        <v>2627</v>
      </c>
      <c r="C189" s="101">
        <v>41200000</v>
      </c>
      <c r="D189" s="133">
        <f t="shared" si="4"/>
        <v>6.8836923323687251E-4</v>
      </c>
      <c r="E189" s="122">
        <f t="shared" si="5"/>
        <v>0.83785579667043197</v>
      </c>
      <c r="F189" s="99" t="s">
        <v>2889</v>
      </c>
      <c r="L189"/>
      <c r="M189"/>
      <c r="N189"/>
      <c r="O189"/>
    </row>
    <row r="190" spans="2:15" x14ac:dyDescent="0.3">
      <c r="B190" s="99" t="s">
        <v>2218</v>
      </c>
      <c r="C190" s="101">
        <v>40800000</v>
      </c>
      <c r="D190" s="133">
        <f t="shared" si="4"/>
        <v>6.8168603679767963E-4</v>
      </c>
      <c r="E190" s="122">
        <f t="shared" si="5"/>
        <v>0.83853748270722961</v>
      </c>
      <c r="F190" s="99" t="s">
        <v>2889</v>
      </c>
      <c r="L190"/>
      <c r="M190"/>
      <c r="N190"/>
      <c r="O190"/>
    </row>
    <row r="191" spans="2:15" x14ac:dyDescent="0.3">
      <c r="B191" s="99" t="s">
        <v>2551</v>
      </c>
      <c r="C191" s="101">
        <v>40800000</v>
      </c>
      <c r="D191" s="133">
        <f t="shared" si="4"/>
        <v>6.8168603679767963E-4</v>
      </c>
      <c r="E191" s="122">
        <f t="shared" si="5"/>
        <v>0.83921916874402724</v>
      </c>
      <c r="F191" s="99" t="s">
        <v>2889</v>
      </c>
      <c r="L191"/>
      <c r="M191"/>
      <c r="N191"/>
      <c r="O191"/>
    </row>
    <row r="192" spans="2:15" x14ac:dyDescent="0.3">
      <c r="B192" s="99" t="s">
        <v>2601</v>
      </c>
      <c r="C192" s="101">
        <v>40750000</v>
      </c>
      <c r="D192" s="133">
        <f t="shared" si="4"/>
        <v>6.8085063724278045E-4</v>
      </c>
      <c r="E192" s="122">
        <f t="shared" si="5"/>
        <v>0.83990001938127001</v>
      </c>
      <c r="F192" s="99" t="s">
        <v>2889</v>
      </c>
      <c r="L192"/>
      <c r="M192"/>
      <c r="N192"/>
      <c r="O192"/>
    </row>
    <row r="193" spans="2:15" x14ac:dyDescent="0.3">
      <c r="B193" s="99" t="s">
        <v>2657</v>
      </c>
      <c r="C193" s="101">
        <v>40730000</v>
      </c>
      <c r="D193" s="133">
        <f t="shared" si="4"/>
        <v>6.805164774208208E-4</v>
      </c>
      <c r="E193" s="122">
        <f t="shared" si="5"/>
        <v>0.84058053585869086</v>
      </c>
      <c r="F193" s="99" t="s">
        <v>2889</v>
      </c>
      <c r="L193"/>
      <c r="M193"/>
      <c r="N193"/>
      <c r="O193"/>
    </row>
    <row r="194" spans="2:15" x14ac:dyDescent="0.3">
      <c r="B194" s="99" t="s">
        <v>2809</v>
      </c>
      <c r="C194" s="101">
        <v>40700000</v>
      </c>
      <c r="D194" s="133">
        <f t="shared" si="4"/>
        <v>6.8001523768788138E-4</v>
      </c>
      <c r="E194" s="122">
        <f t="shared" si="5"/>
        <v>0.84126055109637876</v>
      </c>
      <c r="F194" s="99" t="s">
        <v>2889</v>
      </c>
      <c r="L194"/>
      <c r="M194"/>
      <c r="N194"/>
      <c r="O194"/>
    </row>
    <row r="195" spans="2:15" x14ac:dyDescent="0.3">
      <c r="B195" s="99" t="s">
        <v>1242</v>
      </c>
      <c r="C195" s="101">
        <v>40555000</v>
      </c>
      <c r="D195" s="133">
        <f t="shared" si="4"/>
        <v>6.775925789786739E-4</v>
      </c>
      <c r="E195" s="122">
        <f t="shared" si="5"/>
        <v>0.84193814367535746</v>
      </c>
      <c r="F195" s="99" t="s">
        <v>2889</v>
      </c>
      <c r="L195"/>
      <c r="M195"/>
      <c r="N195"/>
      <c r="O195"/>
    </row>
    <row r="196" spans="2:15" x14ac:dyDescent="0.3">
      <c r="B196" s="99" t="s">
        <v>2465</v>
      </c>
      <c r="C196" s="101">
        <v>40525000</v>
      </c>
      <c r="D196" s="133">
        <f t="shared" si="4"/>
        <v>6.7709133924573448E-4</v>
      </c>
      <c r="E196" s="122">
        <f t="shared" si="5"/>
        <v>0.84261523501460323</v>
      </c>
      <c r="F196" s="99" t="s">
        <v>2889</v>
      </c>
      <c r="L196"/>
      <c r="M196"/>
      <c r="N196"/>
      <c r="O196"/>
    </row>
    <row r="197" spans="2:15" x14ac:dyDescent="0.3">
      <c r="B197" s="99" t="s">
        <v>2777</v>
      </c>
      <c r="C197" s="101">
        <v>40500000</v>
      </c>
      <c r="D197" s="133">
        <f t="shared" si="4"/>
        <v>6.7667363946828489E-4</v>
      </c>
      <c r="E197" s="122">
        <f t="shared" si="5"/>
        <v>0.84329190865407155</v>
      </c>
      <c r="F197" s="99" t="s">
        <v>2889</v>
      </c>
      <c r="L197"/>
      <c r="M197"/>
      <c r="N197"/>
      <c r="O197"/>
    </row>
    <row r="198" spans="2:15" x14ac:dyDescent="0.3">
      <c r="B198" s="99" t="s">
        <v>2558</v>
      </c>
      <c r="C198" s="101">
        <v>40290000</v>
      </c>
      <c r="D198" s="133">
        <f t="shared" ref="D198:D261" si="6">C198/SUM($C$6:$C$817)</f>
        <v>6.7316496133770862E-4</v>
      </c>
      <c r="E198" s="122">
        <f t="shared" si="5"/>
        <v>0.84396507361540929</v>
      </c>
      <c r="F198" s="99" t="s">
        <v>2889</v>
      </c>
      <c r="L198"/>
      <c r="M198"/>
      <c r="N198"/>
      <c r="O198"/>
    </row>
    <row r="199" spans="2:15" x14ac:dyDescent="0.3">
      <c r="B199" s="99" t="s">
        <v>2633</v>
      </c>
      <c r="C199" s="101">
        <v>40235000</v>
      </c>
      <c r="D199" s="133">
        <f t="shared" si="6"/>
        <v>6.7224602182731962E-4</v>
      </c>
      <c r="E199" s="122">
        <f t="shared" ref="E199:E262" si="7">E198+D199</f>
        <v>0.84463731963723665</v>
      </c>
      <c r="F199" s="99" t="s">
        <v>2889</v>
      </c>
      <c r="L199"/>
      <c r="M199"/>
      <c r="N199"/>
      <c r="O199"/>
    </row>
    <row r="200" spans="2:15" x14ac:dyDescent="0.3">
      <c r="B200" s="99" t="s">
        <v>2655</v>
      </c>
      <c r="C200" s="101">
        <v>39980000</v>
      </c>
      <c r="D200" s="133">
        <f t="shared" si="6"/>
        <v>6.6798548409733411E-4</v>
      </c>
      <c r="E200" s="122">
        <f t="shared" si="7"/>
        <v>0.84530530512133395</v>
      </c>
      <c r="F200" s="99" t="s">
        <v>2889</v>
      </c>
      <c r="L200"/>
      <c r="M200"/>
      <c r="N200"/>
      <c r="O200"/>
    </row>
    <row r="201" spans="2:15" x14ac:dyDescent="0.3">
      <c r="B201" s="99" t="s">
        <v>89</v>
      </c>
      <c r="C201" s="101">
        <v>39900000</v>
      </c>
      <c r="D201" s="133">
        <f t="shared" si="6"/>
        <v>6.6664884480949552E-4</v>
      </c>
      <c r="E201" s="122">
        <f t="shared" si="7"/>
        <v>0.84597195396614344</v>
      </c>
      <c r="F201" s="99" t="s">
        <v>2889</v>
      </c>
      <c r="L201"/>
      <c r="M201"/>
      <c r="N201"/>
      <c r="O201"/>
    </row>
    <row r="202" spans="2:15" x14ac:dyDescent="0.3">
      <c r="B202" s="99" t="s">
        <v>2642</v>
      </c>
      <c r="C202" s="101">
        <v>39900000</v>
      </c>
      <c r="D202" s="133">
        <f t="shared" si="6"/>
        <v>6.6664884480949552E-4</v>
      </c>
      <c r="E202" s="122">
        <f t="shared" si="7"/>
        <v>0.84663860281095293</v>
      </c>
      <c r="F202" s="99" t="s">
        <v>2889</v>
      </c>
      <c r="L202"/>
      <c r="M202"/>
      <c r="N202"/>
      <c r="O202"/>
    </row>
    <row r="203" spans="2:15" x14ac:dyDescent="0.3">
      <c r="B203" s="99" t="s">
        <v>2781</v>
      </c>
      <c r="C203" s="101">
        <v>39560000</v>
      </c>
      <c r="D203" s="133">
        <f t="shared" si="6"/>
        <v>6.6096812783618148E-4</v>
      </c>
      <c r="E203" s="122">
        <f t="shared" si="7"/>
        <v>0.84729957093878916</v>
      </c>
      <c r="F203" s="99" t="s">
        <v>2889</v>
      </c>
      <c r="L203"/>
      <c r="M203"/>
      <c r="N203"/>
      <c r="O203"/>
    </row>
    <row r="204" spans="2:15" x14ac:dyDescent="0.3">
      <c r="B204" s="99" t="s">
        <v>2541</v>
      </c>
      <c r="C204" s="101">
        <v>39250000</v>
      </c>
      <c r="D204" s="133">
        <f t="shared" si="6"/>
        <v>6.5578865059580697E-4</v>
      </c>
      <c r="E204" s="122">
        <f t="shared" si="7"/>
        <v>0.84795535958938495</v>
      </c>
      <c r="F204" s="99" t="s">
        <v>2889</v>
      </c>
      <c r="L204"/>
      <c r="M204"/>
      <c r="N204"/>
      <c r="O204"/>
    </row>
    <row r="205" spans="2:15" x14ac:dyDescent="0.3">
      <c r="B205" s="99" t="s">
        <v>2420</v>
      </c>
      <c r="C205" s="101">
        <v>39215000</v>
      </c>
      <c r="D205" s="133">
        <f t="shared" si="6"/>
        <v>6.5520387090737761E-4</v>
      </c>
      <c r="E205" s="122">
        <f t="shared" si="7"/>
        <v>0.84861056346029229</v>
      </c>
      <c r="F205" s="99" t="s">
        <v>2889</v>
      </c>
      <c r="L205"/>
      <c r="M205"/>
      <c r="N205"/>
      <c r="O205"/>
    </row>
    <row r="206" spans="2:15" x14ac:dyDescent="0.3">
      <c r="B206" s="99" t="s">
        <v>2253</v>
      </c>
      <c r="C206" s="101">
        <v>39180000</v>
      </c>
      <c r="D206" s="133">
        <f t="shared" si="6"/>
        <v>6.5461909121894825E-4</v>
      </c>
      <c r="E206" s="122">
        <f t="shared" si="7"/>
        <v>0.84926518255151129</v>
      </c>
      <c r="F206" s="99" t="s">
        <v>2889</v>
      </c>
      <c r="L206"/>
      <c r="M206"/>
      <c r="N206"/>
      <c r="O206"/>
    </row>
    <row r="207" spans="2:15" x14ac:dyDescent="0.3">
      <c r="B207" s="99" t="s">
        <v>2793</v>
      </c>
      <c r="C207" s="101">
        <v>38950000</v>
      </c>
      <c r="D207" s="133">
        <f t="shared" si="6"/>
        <v>6.5077625326641223E-4</v>
      </c>
      <c r="E207" s="122">
        <f t="shared" si="7"/>
        <v>0.84991595880477766</v>
      </c>
      <c r="F207" s="99" t="s">
        <v>2889</v>
      </c>
      <c r="L207"/>
      <c r="M207"/>
      <c r="N207"/>
      <c r="O207"/>
    </row>
    <row r="208" spans="2:15" x14ac:dyDescent="0.3">
      <c r="B208" s="99" t="s">
        <v>2213</v>
      </c>
      <c r="C208" s="101">
        <v>38825000</v>
      </c>
      <c r="D208" s="133">
        <f t="shared" si="6"/>
        <v>6.486877543791645E-4</v>
      </c>
      <c r="E208" s="122">
        <f t="shared" si="7"/>
        <v>0.85056464655915687</v>
      </c>
      <c r="F208" s="99" t="s">
        <v>2889</v>
      </c>
      <c r="L208"/>
      <c r="M208"/>
      <c r="N208"/>
      <c r="O208"/>
    </row>
    <row r="209" spans="2:15" x14ac:dyDescent="0.3">
      <c r="B209" s="99" t="s">
        <v>274</v>
      </c>
      <c r="C209" s="101">
        <v>38710000</v>
      </c>
      <c r="D209" s="133">
        <f t="shared" si="6"/>
        <v>6.4676633540289654E-4</v>
      </c>
      <c r="E209" s="122">
        <f t="shared" si="7"/>
        <v>0.85121141289455982</v>
      </c>
      <c r="F209" s="99" t="s">
        <v>2889</v>
      </c>
      <c r="L209"/>
      <c r="M209"/>
      <c r="N209"/>
      <c r="O209"/>
    </row>
    <row r="210" spans="2:15" x14ac:dyDescent="0.3">
      <c r="B210" s="99" t="s">
        <v>2603</v>
      </c>
      <c r="C210" s="101">
        <v>38650000</v>
      </c>
      <c r="D210" s="133">
        <f t="shared" si="6"/>
        <v>6.457638559370176E-4</v>
      </c>
      <c r="E210" s="122">
        <f t="shared" si="7"/>
        <v>0.85185717675049688</v>
      </c>
      <c r="F210" s="99" t="s">
        <v>2889</v>
      </c>
      <c r="L210"/>
      <c r="M210"/>
      <c r="N210"/>
      <c r="O210"/>
    </row>
    <row r="211" spans="2:15" x14ac:dyDescent="0.3">
      <c r="B211" s="99" t="s">
        <v>2515</v>
      </c>
      <c r="C211" s="101">
        <v>38520000</v>
      </c>
      <c r="D211" s="133">
        <f t="shared" si="6"/>
        <v>6.4359181709427982E-4</v>
      </c>
      <c r="E211" s="122">
        <f t="shared" si="7"/>
        <v>0.85250076856759116</v>
      </c>
      <c r="F211" s="99" t="s">
        <v>2889</v>
      </c>
      <c r="L211"/>
      <c r="M211"/>
      <c r="N211"/>
      <c r="O211"/>
    </row>
    <row r="212" spans="2:15" x14ac:dyDescent="0.3">
      <c r="B212" s="99" t="s">
        <v>2628</v>
      </c>
      <c r="C212" s="101">
        <v>38450000</v>
      </c>
      <c r="D212" s="133">
        <f t="shared" si="6"/>
        <v>6.424222577174211E-4</v>
      </c>
      <c r="E212" s="122">
        <f t="shared" si="7"/>
        <v>0.85314319082530854</v>
      </c>
      <c r="F212" s="99" t="s">
        <v>2889</v>
      </c>
      <c r="L212"/>
      <c r="M212"/>
      <c r="N212"/>
      <c r="O212"/>
    </row>
    <row r="213" spans="2:15" x14ac:dyDescent="0.3">
      <c r="B213" s="99" t="s">
        <v>2747</v>
      </c>
      <c r="C213" s="101">
        <v>37850000</v>
      </c>
      <c r="D213" s="133">
        <f t="shared" si="6"/>
        <v>6.3239746305863173E-4</v>
      </c>
      <c r="E213" s="122">
        <f t="shared" si="7"/>
        <v>0.85377558828836719</v>
      </c>
      <c r="F213" s="99" t="s">
        <v>2889</v>
      </c>
      <c r="L213"/>
      <c r="M213"/>
      <c r="N213"/>
      <c r="O213"/>
    </row>
    <row r="214" spans="2:15" x14ac:dyDescent="0.3">
      <c r="B214" s="99" t="s">
        <v>2800</v>
      </c>
      <c r="C214" s="101">
        <v>37850000</v>
      </c>
      <c r="D214" s="133">
        <f t="shared" si="6"/>
        <v>6.3239746305863173E-4</v>
      </c>
      <c r="E214" s="122">
        <f t="shared" si="7"/>
        <v>0.85440798575142585</v>
      </c>
      <c r="F214" s="99" t="s">
        <v>2889</v>
      </c>
      <c r="L214"/>
      <c r="M214"/>
      <c r="N214"/>
      <c r="O214"/>
    </row>
    <row r="215" spans="2:15" x14ac:dyDescent="0.3">
      <c r="B215" s="99" t="s">
        <v>2397</v>
      </c>
      <c r="C215" s="101">
        <v>37800000</v>
      </c>
      <c r="D215" s="133">
        <f t="shared" si="6"/>
        <v>6.3156206350373255E-4</v>
      </c>
      <c r="E215" s="122">
        <f t="shared" si="7"/>
        <v>0.85503954781492963</v>
      </c>
      <c r="F215" s="99" t="s">
        <v>2889</v>
      </c>
      <c r="L215"/>
      <c r="M215"/>
      <c r="N215"/>
      <c r="O215"/>
    </row>
    <row r="216" spans="2:15" x14ac:dyDescent="0.3">
      <c r="B216" s="99" t="s">
        <v>2789</v>
      </c>
      <c r="C216" s="101">
        <v>37575000</v>
      </c>
      <c r="D216" s="133">
        <f t="shared" si="6"/>
        <v>6.2780276550668658E-4</v>
      </c>
      <c r="E216" s="122">
        <f t="shared" si="7"/>
        <v>0.8556673505804363</v>
      </c>
      <c r="F216" s="99" t="s">
        <v>2889</v>
      </c>
      <c r="L216"/>
      <c r="M216"/>
      <c r="N216"/>
      <c r="O216"/>
    </row>
    <row r="217" spans="2:15" x14ac:dyDescent="0.3">
      <c r="B217" s="99" t="s">
        <v>2126</v>
      </c>
      <c r="C217" s="101">
        <v>37525000</v>
      </c>
      <c r="D217" s="133">
        <f t="shared" si="6"/>
        <v>6.269673659517874E-4</v>
      </c>
      <c r="E217" s="122">
        <f t="shared" si="7"/>
        <v>0.85629431794638811</v>
      </c>
      <c r="F217" s="99" t="s">
        <v>2889</v>
      </c>
      <c r="L217"/>
      <c r="M217"/>
      <c r="N217"/>
      <c r="O217"/>
    </row>
    <row r="218" spans="2:15" x14ac:dyDescent="0.3">
      <c r="B218" s="99" t="s">
        <v>2247</v>
      </c>
      <c r="C218" s="101">
        <v>37490000</v>
      </c>
      <c r="D218" s="133">
        <f t="shared" si="6"/>
        <v>6.2638258626335804E-4</v>
      </c>
      <c r="E218" s="122">
        <f t="shared" si="7"/>
        <v>0.85692070053265146</v>
      </c>
      <c r="F218" s="99" t="s">
        <v>2889</v>
      </c>
      <c r="L218"/>
      <c r="M218"/>
      <c r="N218"/>
      <c r="O218"/>
    </row>
    <row r="219" spans="2:15" x14ac:dyDescent="0.3">
      <c r="B219" s="99" t="s">
        <v>2644</v>
      </c>
      <c r="C219" s="101">
        <v>37400000</v>
      </c>
      <c r="D219" s="133">
        <f t="shared" si="6"/>
        <v>6.2487886706453968E-4</v>
      </c>
      <c r="E219" s="122">
        <f t="shared" si="7"/>
        <v>0.85754557939971598</v>
      </c>
      <c r="F219" s="99" t="s">
        <v>2889</v>
      </c>
      <c r="L219"/>
      <c r="M219"/>
      <c r="N219"/>
      <c r="O219"/>
    </row>
    <row r="220" spans="2:15" x14ac:dyDescent="0.3">
      <c r="B220" s="99" t="s">
        <v>2827</v>
      </c>
      <c r="C220" s="101">
        <v>37200000</v>
      </c>
      <c r="D220" s="133">
        <f t="shared" si="6"/>
        <v>6.2153726884494318E-4</v>
      </c>
      <c r="E220" s="122">
        <f t="shared" si="7"/>
        <v>0.85816711666856094</v>
      </c>
      <c r="F220" s="99" t="s">
        <v>2889</v>
      </c>
      <c r="L220"/>
      <c r="M220"/>
      <c r="N220"/>
      <c r="O220"/>
    </row>
    <row r="221" spans="2:15" x14ac:dyDescent="0.3">
      <c r="B221" s="99" t="s">
        <v>2255</v>
      </c>
      <c r="C221" s="101">
        <v>37050000</v>
      </c>
      <c r="D221" s="133">
        <f t="shared" si="6"/>
        <v>6.1903107018024576E-4</v>
      </c>
      <c r="E221" s="122">
        <f t="shared" si="7"/>
        <v>0.85878614773874118</v>
      </c>
      <c r="F221" s="99" t="s">
        <v>2889</v>
      </c>
      <c r="L221"/>
      <c r="M221"/>
      <c r="N221"/>
      <c r="O221"/>
    </row>
    <row r="222" spans="2:15" x14ac:dyDescent="0.3">
      <c r="B222" s="99" t="s">
        <v>2211</v>
      </c>
      <c r="C222" s="101">
        <v>36100000</v>
      </c>
      <c r="D222" s="133">
        <f t="shared" si="6"/>
        <v>6.0315847863716258E-4</v>
      </c>
      <c r="E222" s="122">
        <f t="shared" si="7"/>
        <v>0.8593893062173783</v>
      </c>
      <c r="F222" s="99" t="s">
        <v>2889</v>
      </c>
      <c r="L222"/>
      <c r="M222"/>
      <c r="N222"/>
      <c r="O222"/>
    </row>
    <row r="223" spans="2:15" x14ac:dyDescent="0.3">
      <c r="B223" s="99" t="s">
        <v>2437</v>
      </c>
      <c r="C223" s="101">
        <v>35575000</v>
      </c>
      <c r="D223" s="133">
        <f t="shared" si="6"/>
        <v>5.9438678331072187E-4</v>
      </c>
      <c r="E223" s="122">
        <f t="shared" si="7"/>
        <v>0.859983693000689</v>
      </c>
      <c r="F223" s="99" t="s">
        <v>2889</v>
      </c>
      <c r="L223"/>
      <c r="M223"/>
      <c r="N223"/>
      <c r="O223"/>
    </row>
    <row r="224" spans="2:15" x14ac:dyDescent="0.3">
      <c r="B224" s="99" t="s">
        <v>2727</v>
      </c>
      <c r="C224" s="101">
        <v>35500000</v>
      </c>
      <c r="D224" s="133">
        <f t="shared" si="6"/>
        <v>5.9313368397837321E-4</v>
      </c>
      <c r="E224" s="122">
        <f t="shared" si="7"/>
        <v>0.8605768266846674</v>
      </c>
      <c r="F224" s="99" t="s">
        <v>2889</v>
      </c>
      <c r="L224"/>
      <c r="M224"/>
      <c r="N224"/>
      <c r="O224"/>
    </row>
    <row r="225" spans="2:15" x14ac:dyDescent="0.3">
      <c r="B225" s="99" t="s">
        <v>2833</v>
      </c>
      <c r="C225" s="101">
        <v>35375000</v>
      </c>
      <c r="D225" s="133">
        <f t="shared" si="6"/>
        <v>5.9104518509112537E-4</v>
      </c>
      <c r="E225" s="122">
        <f t="shared" si="7"/>
        <v>0.86116787186975852</v>
      </c>
      <c r="F225" s="99" t="s">
        <v>2889</v>
      </c>
      <c r="L225"/>
      <c r="M225"/>
      <c r="N225"/>
      <c r="O225"/>
    </row>
    <row r="226" spans="2:15" x14ac:dyDescent="0.3">
      <c r="B226" s="99" t="s">
        <v>2514</v>
      </c>
      <c r="C226" s="101">
        <v>35350000</v>
      </c>
      <c r="D226" s="133">
        <f t="shared" si="6"/>
        <v>5.9062748531367578E-4</v>
      </c>
      <c r="E226" s="122">
        <f t="shared" si="7"/>
        <v>0.86175849935507221</v>
      </c>
      <c r="F226" s="99" t="s">
        <v>2889</v>
      </c>
      <c r="L226"/>
      <c r="M226"/>
      <c r="N226"/>
      <c r="O226"/>
    </row>
    <row r="227" spans="2:15" x14ac:dyDescent="0.3">
      <c r="B227" s="99" t="s">
        <v>1756</v>
      </c>
      <c r="C227" s="101">
        <v>35150000</v>
      </c>
      <c r="D227" s="133">
        <f t="shared" si="6"/>
        <v>5.872858870940794E-4</v>
      </c>
      <c r="E227" s="122">
        <f t="shared" si="7"/>
        <v>0.86234578524216632</v>
      </c>
      <c r="F227" s="99" t="s">
        <v>2889</v>
      </c>
      <c r="L227"/>
      <c r="M227"/>
      <c r="N227"/>
      <c r="O227"/>
    </row>
    <row r="228" spans="2:15" x14ac:dyDescent="0.3">
      <c r="B228" s="99" t="s">
        <v>2177</v>
      </c>
      <c r="C228" s="101">
        <v>35150000</v>
      </c>
      <c r="D228" s="133">
        <f t="shared" si="6"/>
        <v>5.872858870940794E-4</v>
      </c>
      <c r="E228" s="122">
        <f t="shared" si="7"/>
        <v>0.86293307112926043</v>
      </c>
      <c r="F228" s="99" t="s">
        <v>2889</v>
      </c>
      <c r="L228"/>
      <c r="M228"/>
      <c r="N228"/>
      <c r="O228"/>
    </row>
    <row r="229" spans="2:15" x14ac:dyDescent="0.3">
      <c r="B229" s="99" t="s">
        <v>2479</v>
      </c>
      <c r="C229" s="101">
        <v>35150000</v>
      </c>
      <c r="D229" s="133">
        <f t="shared" si="6"/>
        <v>5.872858870940794E-4</v>
      </c>
      <c r="E229" s="122">
        <f t="shared" si="7"/>
        <v>0.86352035701635455</v>
      </c>
      <c r="F229" s="99" t="s">
        <v>2889</v>
      </c>
      <c r="L229"/>
      <c r="M229"/>
      <c r="N229"/>
      <c r="O229"/>
    </row>
    <row r="230" spans="2:15" x14ac:dyDescent="0.3">
      <c r="B230" s="99" t="s">
        <v>2487</v>
      </c>
      <c r="C230" s="101">
        <v>35100000</v>
      </c>
      <c r="D230" s="133">
        <f t="shared" si="6"/>
        <v>5.8645048753918022E-4</v>
      </c>
      <c r="E230" s="122">
        <f t="shared" si="7"/>
        <v>0.86410680750389368</v>
      </c>
      <c r="F230" s="99" t="s">
        <v>2889</v>
      </c>
      <c r="L230"/>
      <c r="M230"/>
      <c r="N230"/>
      <c r="O230"/>
    </row>
    <row r="231" spans="2:15" x14ac:dyDescent="0.3">
      <c r="B231" s="99" t="s">
        <v>2670</v>
      </c>
      <c r="C231" s="101">
        <v>34750000</v>
      </c>
      <c r="D231" s="133">
        <f t="shared" si="6"/>
        <v>5.8060269065488641E-4</v>
      </c>
      <c r="E231" s="122">
        <f t="shared" si="7"/>
        <v>0.86468741019454853</v>
      </c>
      <c r="F231" s="99" t="s">
        <v>2889</v>
      </c>
      <c r="L231"/>
      <c r="M231"/>
      <c r="N231"/>
      <c r="O231"/>
    </row>
    <row r="232" spans="2:15" x14ac:dyDescent="0.3">
      <c r="B232" s="99" t="s">
        <v>2622</v>
      </c>
      <c r="C232" s="101">
        <v>34600000</v>
      </c>
      <c r="D232" s="133">
        <f t="shared" si="6"/>
        <v>5.780964919901891E-4</v>
      </c>
      <c r="E232" s="122">
        <f t="shared" si="7"/>
        <v>0.86526550668653868</v>
      </c>
      <c r="F232" s="99" t="s">
        <v>2889</v>
      </c>
      <c r="L232"/>
      <c r="M232"/>
      <c r="N232"/>
      <c r="O232"/>
    </row>
    <row r="233" spans="2:15" x14ac:dyDescent="0.3">
      <c r="B233" s="99" t="s">
        <v>2752</v>
      </c>
      <c r="C233" s="101">
        <v>34550000</v>
      </c>
      <c r="D233" s="133">
        <f t="shared" si="6"/>
        <v>5.7726109243528992E-4</v>
      </c>
      <c r="E233" s="122">
        <f t="shared" si="7"/>
        <v>0.86584276777897395</v>
      </c>
      <c r="F233" s="99" t="s">
        <v>2889</v>
      </c>
      <c r="L233"/>
      <c r="M233"/>
      <c r="N233"/>
      <c r="O233"/>
    </row>
    <row r="234" spans="2:15" x14ac:dyDescent="0.3">
      <c r="B234" s="99" t="s">
        <v>2635</v>
      </c>
      <c r="C234" s="101">
        <v>34450000</v>
      </c>
      <c r="D234" s="133">
        <f t="shared" si="6"/>
        <v>5.7559029332549167E-4</v>
      </c>
      <c r="E234" s="122">
        <f t="shared" si="7"/>
        <v>0.8664183580722995</v>
      </c>
      <c r="F234" s="99" t="s">
        <v>2889</v>
      </c>
      <c r="L234"/>
      <c r="M234"/>
      <c r="N234"/>
      <c r="O234"/>
    </row>
    <row r="235" spans="2:15" x14ac:dyDescent="0.3">
      <c r="B235" s="99" t="s">
        <v>2538</v>
      </c>
      <c r="C235" s="101">
        <v>34375000</v>
      </c>
      <c r="D235" s="133">
        <f t="shared" si="6"/>
        <v>5.7433719399314302E-4</v>
      </c>
      <c r="E235" s="122">
        <f t="shared" si="7"/>
        <v>0.86699269526629263</v>
      </c>
      <c r="F235" s="99" t="s">
        <v>2889</v>
      </c>
      <c r="L235"/>
      <c r="M235"/>
      <c r="N235"/>
      <c r="O235"/>
    </row>
    <row r="236" spans="2:15" x14ac:dyDescent="0.3">
      <c r="B236" s="99" t="s">
        <v>1280</v>
      </c>
      <c r="C236" s="101">
        <v>34360000</v>
      </c>
      <c r="D236" s="133">
        <f t="shared" si="6"/>
        <v>5.7408657412667331E-4</v>
      </c>
      <c r="E236" s="122">
        <f t="shared" si="7"/>
        <v>0.86756678184041935</v>
      </c>
      <c r="F236" s="99" t="s">
        <v>2889</v>
      </c>
      <c r="L236"/>
      <c r="M236"/>
      <c r="N236"/>
      <c r="O236"/>
    </row>
    <row r="237" spans="2:15" x14ac:dyDescent="0.3">
      <c r="B237" s="99" t="s">
        <v>2252</v>
      </c>
      <c r="C237" s="101">
        <v>34200000</v>
      </c>
      <c r="D237" s="133">
        <f t="shared" si="6"/>
        <v>5.7141329555099611E-4</v>
      </c>
      <c r="E237" s="122">
        <f t="shared" si="7"/>
        <v>0.86813819513597035</v>
      </c>
      <c r="F237" s="99" t="s">
        <v>2889</v>
      </c>
      <c r="L237"/>
      <c r="M237"/>
      <c r="N237"/>
      <c r="O237"/>
    </row>
    <row r="238" spans="2:15" x14ac:dyDescent="0.3">
      <c r="B238" s="99" t="s">
        <v>2698</v>
      </c>
      <c r="C238" s="101">
        <v>34050000</v>
      </c>
      <c r="D238" s="133">
        <f t="shared" si="6"/>
        <v>5.6890709688629879E-4</v>
      </c>
      <c r="E238" s="122">
        <f t="shared" si="7"/>
        <v>0.86870710223285663</v>
      </c>
      <c r="F238" s="99" t="s">
        <v>2889</v>
      </c>
      <c r="L238"/>
      <c r="M238"/>
      <c r="N238"/>
      <c r="O238"/>
    </row>
    <row r="239" spans="2:15" x14ac:dyDescent="0.3">
      <c r="B239" s="99" t="s">
        <v>2652</v>
      </c>
      <c r="C239" s="101">
        <v>34000000</v>
      </c>
      <c r="D239" s="133">
        <f t="shared" si="6"/>
        <v>5.6807169733139962E-4</v>
      </c>
      <c r="E239" s="122">
        <f t="shared" si="7"/>
        <v>0.86927517393018805</v>
      </c>
      <c r="F239" s="99" t="s">
        <v>2889</v>
      </c>
      <c r="L239"/>
      <c r="M239"/>
      <c r="N239"/>
      <c r="O239"/>
    </row>
    <row r="240" spans="2:15" x14ac:dyDescent="0.3">
      <c r="B240" s="99" t="s">
        <v>2421</v>
      </c>
      <c r="C240" s="101">
        <v>33900000</v>
      </c>
      <c r="D240" s="133">
        <f t="shared" si="6"/>
        <v>5.6640089822160148E-4</v>
      </c>
      <c r="E240" s="122">
        <f t="shared" si="7"/>
        <v>0.86984157482840962</v>
      </c>
      <c r="F240" s="99" t="s">
        <v>2889</v>
      </c>
      <c r="L240"/>
      <c r="M240"/>
      <c r="N240"/>
      <c r="O240"/>
    </row>
    <row r="241" spans="2:15" x14ac:dyDescent="0.3">
      <c r="B241" s="99" t="s">
        <v>2636</v>
      </c>
      <c r="C241" s="101">
        <v>33120000</v>
      </c>
      <c r="D241" s="133">
        <f t="shared" si="6"/>
        <v>5.5336866516517516E-4</v>
      </c>
      <c r="E241" s="122">
        <f t="shared" si="7"/>
        <v>0.87039494349357482</v>
      </c>
      <c r="F241" s="99" t="s">
        <v>2889</v>
      </c>
      <c r="L241"/>
      <c r="M241"/>
      <c r="N241"/>
      <c r="O241"/>
    </row>
    <row r="242" spans="2:15" x14ac:dyDescent="0.3">
      <c r="B242" s="99" t="s">
        <v>2598</v>
      </c>
      <c r="C242" s="101">
        <v>33080000</v>
      </c>
      <c r="D242" s="133">
        <f t="shared" si="6"/>
        <v>5.5270034552125586E-4</v>
      </c>
      <c r="E242" s="122">
        <f t="shared" si="7"/>
        <v>0.87094764383909606</v>
      </c>
      <c r="F242" s="99" t="s">
        <v>2889</v>
      </c>
      <c r="L242"/>
      <c r="M242"/>
      <c r="N242"/>
      <c r="O242"/>
    </row>
    <row r="243" spans="2:15" x14ac:dyDescent="0.3">
      <c r="B243" s="99" t="s">
        <v>2823</v>
      </c>
      <c r="C243" s="101">
        <v>33050000</v>
      </c>
      <c r="D243" s="133">
        <f t="shared" si="6"/>
        <v>5.5219910578831644E-4</v>
      </c>
      <c r="E243" s="122">
        <f t="shared" si="7"/>
        <v>0.87149984294488436</v>
      </c>
      <c r="F243" s="99" t="s">
        <v>2889</v>
      </c>
      <c r="L243"/>
      <c r="M243"/>
      <c r="N243"/>
      <c r="O243"/>
    </row>
    <row r="244" spans="2:15" x14ac:dyDescent="0.3">
      <c r="B244" s="99" t="s">
        <v>2820</v>
      </c>
      <c r="C244" s="101">
        <v>32765000</v>
      </c>
      <c r="D244" s="133">
        <f t="shared" si="6"/>
        <v>5.4743732832539152E-4</v>
      </c>
      <c r="E244" s="122">
        <f t="shared" si="7"/>
        <v>0.87204728027320977</v>
      </c>
      <c r="F244" s="99" t="s">
        <v>2889</v>
      </c>
      <c r="L244"/>
      <c r="M244"/>
      <c r="N244"/>
      <c r="O244"/>
    </row>
    <row r="245" spans="2:15" x14ac:dyDescent="0.3">
      <c r="B245" s="99" t="s">
        <v>2288</v>
      </c>
      <c r="C245" s="101">
        <v>32750000</v>
      </c>
      <c r="D245" s="133">
        <f t="shared" si="6"/>
        <v>5.471867084589217E-4</v>
      </c>
      <c r="E245" s="122">
        <f t="shared" si="7"/>
        <v>0.87259446698166865</v>
      </c>
      <c r="F245" s="99" t="s">
        <v>2889</v>
      </c>
      <c r="L245"/>
      <c r="M245"/>
      <c r="N245"/>
      <c r="O245"/>
    </row>
    <row r="246" spans="2:15" x14ac:dyDescent="0.3">
      <c r="B246" s="99" t="s">
        <v>2301</v>
      </c>
      <c r="C246" s="101">
        <v>32730000</v>
      </c>
      <c r="D246" s="133">
        <f t="shared" si="6"/>
        <v>5.4685254863696205E-4</v>
      </c>
      <c r="E246" s="122">
        <f t="shared" si="7"/>
        <v>0.8731413195303056</v>
      </c>
      <c r="F246" s="99" t="s">
        <v>2889</v>
      </c>
      <c r="L246"/>
      <c r="M246"/>
      <c r="N246"/>
      <c r="O246"/>
    </row>
    <row r="247" spans="2:15" x14ac:dyDescent="0.3">
      <c r="B247" s="99" t="s">
        <v>2696</v>
      </c>
      <c r="C247" s="101">
        <v>32600000</v>
      </c>
      <c r="D247" s="133">
        <f t="shared" si="6"/>
        <v>5.4468050979422438E-4</v>
      </c>
      <c r="E247" s="122">
        <f t="shared" si="7"/>
        <v>0.87368600004009977</v>
      </c>
      <c r="F247" s="99" t="s">
        <v>2889</v>
      </c>
      <c r="L247"/>
      <c r="M247"/>
      <c r="N247"/>
      <c r="O247"/>
    </row>
    <row r="248" spans="2:15" x14ac:dyDescent="0.3">
      <c r="B248" s="99" t="s">
        <v>1913</v>
      </c>
      <c r="C248" s="101">
        <v>32300000</v>
      </c>
      <c r="D248" s="133">
        <f t="shared" si="6"/>
        <v>5.3966811246482964E-4</v>
      </c>
      <c r="E248" s="122">
        <f t="shared" si="7"/>
        <v>0.87422566815256464</v>
      </c>
      <c r="F248" s="99" t="s">
        <v>2889</v>
      </c>
      <c r="L248"/>
      <c r="M248"/>
      <c r="N248"/>
      <c r="O248"/>
    </row>
    <row r="249" spans="2:15" x14ac:dyDescent="0.3">
      <c r="B249" s="99" t="s">
        <v>709</v>
      </c>
      <c r="C249" s="101">
        <v>32150000</v>
      </c>
      <c r="D249" s="133">
        <f t="shared" si="6"/>
        <v>5.3716191380013233E-4</v>
      </c>
      <c r="E249" s="122">
        <f t="shared" si="7"/>
        <v>0.87476283006636479</v>
      </c>
      <c r="F249" s="99" t="s">
        <v>2889</v>
      </c>
      <c r="L249"/>
      <c r="M249"/>
      <c r="N249"/>
      <c r="O249"/>
    </row>
    <row r="250" spans="2:15" x14ac:dyDescent="0.3">
      <c r="B250" s="99" t="s">
        <v>2335</v>
      </c>
      <c r="C250" s="101">
        <v>32100000</v>
      </c>
      <c r="D250" s="133">
        <f t="shared" si="6"/>
        <v>5.3632651424523326E-4</v>
      </c>
      <c r="E250" s="122">
        <f t="shared" si="7"/>
        <v>0.87529915658060997</v>
      </c>
      <c r="F250" s="99" t="s">
        <v>2889</v>
      </c>
      <c r="L250"/>
      <c r="M250"/>
      <c r="N250"/>
      <c r="O250"/>
    </row>
    <row r="251" spans="2:15" x14ac:dyDescent="0.3">
      <c r="B251" s="99" t="s">
        <v>2190</v>
      </c>
      <c r="C251" s="101">
        <v>31850000</v>
      </c>
      <c r="D251" s="133">
        <f t="shared" si="6"/>
        <v>5.3214951647073759E-4</v>
      </c>
      <c r="E251" s="122">
        <f t="shared" si="7"/>
        <v>0.87583130609708071</v>
      </c>
      <c r="F251" s="99" t="s">
        <v>2889</v>
      </c>
      <c r="L251"/>
      <c r="M251"/>
      <c r="N251"/>
      <c r="O251"/>
    </row>
    <row r="252" spans="2:15" x14ac:dyDescent="0.3">
      <c r="B252" s="99" t="s">
        <v>2818</v>
      </c>
      <c r="C252" s="101">
        <v>31805000</v>
      </c>
      <c r="D252" s="133">
        <f t="shared" si="6"/>
        <v>5.3139765687132846E-4</v>
      </c>
      <c r="E252" s="122">
        <f t="shared" si="7"/>
        <v>0.87636270375395209</v>
      </c>
      <c r="F252" s="99" t="s">
        <v>2889</v>
      </c>
      <c r="L252"/>
      <c r="M252"/>
      <c r="N252"/>
      <c r="O252"/>
    </row>
    <row r="253" spans="2:15" x14ac:dyDescent="0.3">
      <c r="B253" s="99" t="s">
        <v>2404</v>
      </c>
      <c r="C253" s="101">
        <v>31585000</v>
      </c>
      <c r="D253" s="133">
        <f t="shared" si="6"/>
        <v>5.2772189882977231E-4</v>
      </c>
      <c r="E253" s="122">
        <f t="shared" si="7"/>
        <v>0.87689042565278186</v>
      </c>
      <c r="F253" s="99" t="s">
        <v>2889</v>
      </c>
      <c r="L253"/>
      <c r="M253"/>
      <c r="N253"/>
      <c r="O253"/>
    </row>
    <row r="254" spans="2:15" x14ac:dyDescent="0.3">
      <c r="B254" s="99" t="s">
        <v>2756</v>
      </c>
      <c r="C254" s="101">
        <v>31475000</v>
      </c>
      <c r="D254" s="133">
        <f t="shared" si="6"/>
        <v>5.258840198089943E-4</v>
      </c>
      <c r="E254" s="122">
        <f t="shared" si="7"/>
        <v>0.87741630967259088</v>
      </c>
      <c r="F254" s="99" t="s">
        <v>2889</v>
      </c>
      <c r="L254"/>
      <c r="M254"/>
      <c r="N254"/>
      <c r="O254"/>
    </row>
    <row r="255" spans="2:15" x14ac:dyDescent="0.3">
      <c r="B255" s="99" t="s">
        <v>2664</v>
      </c>
      <c r="C255" s="101">
        <v>31350000</v>
      </c>
      <c r="D255" s="133">
        <f t="shared" si="6"/>
        <v>5.2379552092174646E-4</v>
      </c>
      <c r="E255" s="122">
        <f t="shared" si="7"/>
        <v>0.87794010519351262</v>
      </c>
      <c r="F255" s="99" t="s">
        <v>2889</v>
      </c>
      <c r="L255"/>
      <c r="M255"/>
      <c r="N255"/>
      <c r="O255"/>
    </row>
    <row r="256" spans="2:15" x14ac:dyDescent="0.3">
      <c r="B256" s="99" t="s">
        <v>2120</v>
      </c>
      <c r="C256" s="101">
        <v>31280000</v>
      </c>
      <c r="D256" s="133">
        <f t="shared" si="6"/>
        <v>5.2262596154488764E-4</v>
      </c>
      <c r="E256" s="122">
        <f t="shared" si="7"/>
        <v>0.87846273115505746</v>
      </c>
      <c r="F256" s="99" t="s">
        <v>2889</v>
      </c>
      <c r="L256"/>
      <c r="M256"/>
      <c r="N256"/>
      <c r="O256"/>
    </row>
    <row r="257" spans="2:15" x14ac:dyDescent="0.3">
      <c r="B257" s="99" t="s">
        <v>2785</v>
      </c>
      <c r="C257" s="101">
        <v>31200000</v>
      </c>
      <c r="D257" s="133">
        <f t="shared" si="6"/>
        <v>5.2128932225704915E-4</v>
      </c>
      <c r="E257" s="122">
        <f t="shared" si="7"/>
        <v>0.8789840204773145</v>
      </c>
      <c r="F257" s="99" t="s">
        <v>2889</v>
      </c>
      <c r="L257"/>
      <c r="M257"/>
      <c r="N257"/>
      <c r="O257"/>
    </row>
    <row r="258" spans="2:15" x14ac:dyDescent="0.3">
      <c r="B258" s="99" t="s">
        <v>461</v>
      </c>
      <c r="C258" s="101">
        <v>31125000</v>
      </c>
      <c r="D258" s="133">
        <f t="shared" si="6"/>
        <v>5.2003622292470038E-4</v>
      </c>
      <c r="E258" s="122">
        <f t="shared" si="7"/>
        <v>0.87950405670023923</v>
      </c>
      <c r="F258" s="99" t="s">
        <v>2889</v>
      </c>
      <c r="L258"/>
      <c r="M258"/>
      <c r="N258"/>
      <c r="O258"/>
    </row>
    <row r="259" spans="2:15" x14ac:dyDescent="0.3">
      <c r="B259" s="99" t="s">
        <v>2529</v>
      </c>
      <c r="C259" s="101">
        <v>31100000</v>
      </c>
      <c r="D259" s="133">
        <f t="shared" si="6"/>
        <v>5.196185231472509E-4</v>
      </c>
      <c r="E259" s="122">
        <f t="shared" si="7"/>
        <v>0.88002367522338654</v>
      </c>
      <c r="F259" s="99" t="s">
        <v>2889</v>
      </c>
      <c r="L259"/>
      <c r="M259"/>
      <c r="N259"/>
      <c r="O259"/>
    </row>
    <row r="260" spans="2:15" x14ac:dyDescent="0.3">
      <c r="B260" s="99" t="s">
        <v>2159</v>
      </c>
      <c r="C260" s="101">
        <v>30910000</v>
      </c>
      <c r="D260" s="133">
        <f t="shared" si="6"/>
        <v>5.1644400483863418E-4</v>
      </c>
      <c r="E260" s="122">
        <f t="shared" si="7"/>
        <v>0.88054011922822517</v>
      </c>
      <c r="F260" s="99" t="s">
        <v>2889</v>
      </c>
      <c r="L260"/>
      <c r="M260"/>
      <c r="N260"/>
      <c r="O260"/>
    </row>
    <row r="261" spans="2:15" x14ac:dyDescent="0.3">
      <c r="B261" s="99" t="s">
        <v>2665</v>
      </c>
      <c r="C261" s="101">
        <v>30725000</v>
      </c>
      <c r="D261" s="133">
        <f t="shared" si="6"/>
        <v>5.133530264855075E-4</v>
      </c>
      <c r="E261" s="122">
        <f t="shared" si="7"/>
        <v>0.88105347225471065</v>
      </c>
      <c r="F261" s="99" t="s">
        <v>2889</v>
      </c>
      <c r="L261"/>
      <c r="M261"/>
      <c r="N261"/>
      <c r="O261"/>
    </row>
    <row r="262" spans="2:15" x14ac:dyDescent="0.3">
      <c r="B262" s="99" t="s">
        <v>2806</v>
      </c>
      <c r="C262" s="101">
        <v>30720000</v>
      </c>
      <c r="D262" s="133">
        <f t="shared" ref="D262:D325" si="8">C262/SUM($C$6:$C$817)</f>
        <v>5.1326948653001756E-4</v>
      </c>
      <c r="E262" s="122">
        <f t="shared" si="7"/>
        <v>0.88156674174124061</v>
      </c>
      <c r="F262" s="99" t="s">
        <v>2889</v>
      </c>
      <c r="L262"/>
      <c r="M262"/>
      <c r="N262"/>
      <c r="O262"/>
    </row>
    <row r="263" spans="2:15" x14ac:dyDescent="0.3">
      <c r="B263" s="99" t="s">
        <v>2300</v>
      </c>
      <c r="C263" s="101">
        <v>30650000</v>
      </c>
      <c r="D263" s="133">
        <f t="shared" si="8"/>
        <v>5.1209992715315884E-4</v>
      </c>
      <c r="E263" s="122">
        <f t="shared" ref="E263:E326" si="9">E262+D263</f>
        <v>0.88207884166839379</v>
      </c>
      <c r="F263" s="99" t="s">
        <v>2889</v>
      </c>
      <c r="L263"/>
      <c r="M263"/>
      <c r="N263"/>
      <c r="O263"/>
    </row>
    <row r="264" spans="2:15" x14ac:dyDescent="0.3">
      <c r="B264" s="99" t="s">
        <v>2656</v>
      </c>
      <c r="C264" s="101">
        <v>30450000</v>
      </c>
      <c r="D264" s="133">
        <f t="shared" si="8"/>
        <v>5.0875832893356235E-4</v>
      </c>
      <c r="E264" s="122">
        <f t="shared" si="9"/>
        <v>0.88258759999732739</v>
      </c>
      <c r="F264" s="99" t="s">
        <v>2889</v>
      </c>
      <c r="L264"/>
      <c r="M264"/>
      <c r="N264"/>
      <c r="O264"/>
    </row>
    <row r="265" spans="2:15" x14ac:dyDescent="0.3">
      <c r="B265" s="99" t="s">
        <v>2202</v>
      </c>
      <c r="C265" s="101">
        <v>30225000</v>
      </c>
      <c r="D265" s="133">
        <f t="shared" si="8"/>
        <v>5.0499903093651627E-4</v>
      </c>
      <c r="E265" s="122">
        <f t="shared" si="9"/>
        <v>0.88309259902826387</v>
      </c>
      <c r="F265" s="99" t="s">
        <v>2889</v>
      </c>
      <c r="L265"/>
      <c r="M265"/>
      <c r="N265"/>
      <c r="O265"/>
    </row>
    <row r="266" spans="2:15" x14ac:dyDescent="0.3">
      <c r="B266" s="99" t="s">
        <v>2536</v>
      </c>
      <c r="C266" s="101">
        <v>30100000</v>
      </c>
      <c r="D266" s="133">
        <f t="shared" si="8"/>
        <v>5.0291053204926854E-4</v>
      </c>
      <c r="E266" s="122">
        <f t="shared" si="9"/>
        <v>0.88359550956031319</v>
      </c>
      <c r="F266" s="99" t="s">
        <v>2889</v>
      </c>
      <c r="L266"/>
      <c r="M266"/>
      <c r="N266"/>
      <c r="O266"/>
    </row>
    <row r="267" spans="2:15" x14ac:dyDescent="0.3">
      <c r="B267" s="99" t="s">
        <v>2559</v>
      </c>
      <c r="C267" s="101">
        <v>30100000</v>
      </c>
      <c r="D267" s="133">
        <f t="shared" si="8"/>
        <v>5.0291053204926854E-4</v>
      </c>
      <c r="E267" s="122">
        <f t="shared" si="9"/>
        <v>0.8840984200923625</v>
      </c>
      <c r="F267" s="99" t="s">
        <v>2889</v>
      </c>
      <c r="L267"/>
      <c r="M267"/>
      <c r="N267"/>
      <c r="O267"/>
    </row>
    <row r="268" spans="2:15" x14ac:dyDescent="0.3">
      <c r="B268" s="99" t="s">
        <v>2415</v>
      </c>
      <c r="C268" s="101">
        <v>29990000</v>
      </c>
      <c r="D268" s="133">
        <f t="shared" si="8"/>
        <v>5.0107265302849042E-4</v>
      </c>
      <c r="E268" s="122">
        <f t="shared" si="9"/>
        <v>0.88459949274539096</v>
      </c>
      <c r="F268" s="99" t="s">
        <v>2889</v>
      </c>
      <c r="L268"/>
      <c r="M268"/>
      <c r="N268"/>
      <c r="O268"/>
    </row>
    <row r="269" spans="2:15" x14ac:dyDescent="0.3">
      <c r="B269" s="99" t="s">
        <v>863</v>
      </c>
      <c r="C269" s="101">
        <v>29950000</v>
      </c>
      <c r="D269" s="133">
        <f t="shared" si="8"/>
        <v>5.0040433338457123E-4</v>
      </c>
      <c r="E269" s="122">
        <f t="shared" si="9"/>
        <v>0.88509989707877557</v>
      </c>
      <c r="F269" s="99" t="s">
        <v>2889</v>
      </c>
      <c r="L269"/>
      <c r="M269"/>
      <c r="N269"/>
      <c r="O269"/>
    </row>
    <row r="270" spans="2:15" x14ac:dyDescent="0.3">
      <c r="B270" s="99" t="s">
        <v>2250</v>
      </c>
      <c r="C270" s="101">
        <v>29775000</v>
      </c>
      <c r="D270" s="133">
        <f t="shared" si="8"/>
        <v>4.9748043494242421E-4</v>
      </c>
      <c r="E270" s="122">
        <f t="shared" si="9"/>
        <v>0.88559737751371803</v>
      </c>
      <c r="F270" s="99" t="s">
        <v>2889</v>
      </c>
      <c r="L270"/>
      <c r="M270"/>
      <c r="N270"/>
      <c r="O270"/>
    </row>
    <row r="271" spans="2:15" x14ac:dyDescent="0.3">
      <c r="B271" s="99" t="s">
        <v>2327</v>
      </c>
      <c r="C271" s="101">
        <v>29770000</v>
      </c>
      <c r="D271" s="133">
        <f t="shared" si="8"/>
        <v>4.9739689498693438E-4</v>
      </c>
      <c r="E271" s="122">
        <f t="shared" si="9"/>
        <v>0.88609477440870499</v>
      </c>
      <c r="F271" s="99" t="s">
        <v>2889</v>
      </c>
      <c r="L271"/>
      <c r="M271"/>
      <c r="N271"/>
      <c r="O271"/>
    </row>
    <row r="272" spans="2:15" x14ac:dyDescent="0.3">
      <c r="B272" s="99" t="s">
        <v>2339</v>
      </c>
      <c r="C272" s="101">
        <v>29740000</v>
      </c>
      <c r="D272" s="133">
        <f t="shared" si="8"/>
        <v>4.9689565525399485E-4</v>
      </c>
      <c r="E272" s="122">
        <f t="shared" si="9"/>
        <v>0.886591670063959</v>
      </c>
      <c r="F272" s="99" t="s">
        <v>2889</v>
      </c>
      <c r="L272"/>
      <c r="M272"/>
      <c r="N272"/>
      <c r="O272"/>
    </row>
    <row r="273" spans="2:15" x14ac:dyDescent="0.3">
      <c r="B273" s="99" t="s">
        <v>2738</v>
      </c>
      <c r="C273" s="101">
        <v>29610000</v>
      </c>
      <c r="D273" s="133">
        <f t="shared" si="8"/>
        <v>4.9472361641125719E-4</v>
      </c>
      <c r="E273" s="122">
        <f t="shared" si="9"/>
        <v>0.88708639368037023</v>
      </c>
      <c r="F273" s="99" t="s">
        <v>2889</v>
      </c>
      <c r="L273"/>
      <c r="M273"/>
      <c r="N273"/>
      <c r="O273"/>
    </row>
    <row r="274" spans="2:15" x14ac:dyDescent="0.3">
      <c r="B274" s="99" t="s">
        <v>2119</v>
      </c>
      <c r="C274" s="101">
        <v>29580000</v>
      </c>
      <c r="D274" s="133">
        <f t="shared" si="8"/>
        <v>4.9422237667831766E-4</v>
      </c>
      <c r="E274" s="122">
        <f t="shared" si="9"/>
        <v>0.88758061605704852</v>
      </c>
      <c r="F274" s="99" t="s">
        <v>2889</v>
      </c>
      <c r="L274"/>
      <c r="M274"/>
      <c r="N274"/>
      <c r="O274"/>
    </row>
    <row r="275" spans="2:15" x14ac:dyDescent="0.3">
      <c r="B275" s="99" t="s">
        <v>2540</v>
      </c>
      <c r="C275" s="101">
        <v>29450000</v>
      </c>
      <c r="D275" s="133">
        <f t="shared" si="8"/>
        <v>4.9205033783557999E-4</v>
      </c>
      <c r="E275" s="122">
        <f t="shared" si="9"/>
        <v>0.88807266639488414</v>
      </c>
      <c r="F275" s="99" t="s">
        <v>2889</v>
      </c>
      <c r="L275"/>
      <c r="M275"/>
      <c r="N275"/>
      <c r="O275"/>
    </row>
    <row r="276" spans="2:15" x14ac:dyDescent="0.3">
      <c r="B276" s="99" t="s">
        <v>2773</v>
      </c>
      <c r="C276" s="101">
        <v>29430000</v>
      </c>
      <c r="D276" s="133">
        <f t="shared" si="8"/>
        <v>4.9171617801362034E-4</v>
      </c>
      <c r="E276" s="122">
        <f t="shared" si="9"/>
        <v>0.88856438257289772</v>
      </c>
      <c r="F276" s="99" t="s">
        <v>2889</v>
      </c>
      <c r="L276"/>
      <c r="M276"/>
      <c r="N276"/>
      <c r="O276"/>
    </row>
    <row r="277" spans="2:15" x14ac:dyDescent="0.3">
      <c r="B277" s="99" t="s">
        <v>2431</v>
      </c>
      <c r="C277" s="101">
        <v>29050000</v>
      </c>
      <c r="D277" s="133">
        <f t="shared" si="8"/>
        <v>4.8536714139638706E-4</v>
      </c>
      <c r="E277" s="122">
        <f t="shared" si="9"/>
        <v>0.88904974971429407</v>
      </c>
      <c r="F277" s="99" t="s">
        <v>2889</v>
      </c>
      <c r="L277"/>
      <c r="M277"/>
      <c r="N277"/>
      <c r="O277"/>
    </row>
    <row r="278" spans="2:15" x14ac:dyDescent="0.3">
      <c r="B278" s="99" t="s">
        <v>2717</v>
      </c>
      <c r="C278" s="101">
        <v>28990000</v>
      </c>
      <c r="D278" s="133">
        <f t="shared" si="8"/>
        <v>4.8436466193050811E-4</v>
      </c>
      <c r="E278" s="122">
        <f t="shared" si="9"/>
        <v>0.88953411437622454</v>
      </c>
      <c r="F278" s="99" t="s">
        <v>2889</v>
      </c>
      <c r="L278"/>
      <c r="M278"/>
      <c r="N278"/>
      <c r="O278"/>
    </row>
    <row r="279" spans="2:15" x14ac:dyDescent="0.3">
      <c r="B279" s="99" t="s">
        <v>2148</v>
      </c>
      <c r="C279" s="101">
        <v>28970000</v>
      </c>
      <c r="D279" s="133">
        <f t="shared" si="8"/>
        <v>4.8403050210854846E-4</v>
      </c>
      <c r="E279" s="122">
        <f t="shared" si="9"/>
        <v>0.89001814487833308</v>
      </c>
      <c r="F279" s="99" t="s">
        <v>2889</v>
      </c>
      <c r="L279"/>
      <c r="M279"/>
      <c r="N279"/>
      <c r="O279"/>
    </row>
    <row r="280" spans="2:15" x14ac:dyDescent="0.3">
      <c r="B280" s="99" t="s">
        <v>2346</v>
      </c>
      <c r="C280" s="101">
        <v>28950000</v>
      </c>
      <c r="D280" s="133">
        <f t="shared" si="8"/>
        <v>4.8369634228658881E-4</v>
      </c>
      <c r="E280" s="122">
        <f t="shared" si="9"/>
        <v>0.89050184122061971</v>
      </c>
      <c r="F280" s="99" t="s">
        <v>2889</v>
      </c>
      <c r="L280"/>
      <c r="M280"/>
      <c r="N280"/>
      <c r="O280"/>
    </row>
    <row r="281" spans="2:15" x14ac:dyDescent="0.3">
      <c r="B281" s="99" t="s">
        <v>2612</v>
      </c>
      <c r="C281" s="101">
        <v>28850000</v>
      </c>
      <c r="D281" s="133">
        <f t="shared" si="8"/>
        <v>4.8202554317679062E-4</v>
      </c>
      <c r="E281" s="122">
        <f t="shared" si="9"/>
        <v>0.89098386676379648</v>
      </c>
      <c r="F281" s="99" t="s">
        <v>2889</v>
      </c>
      <c r="L281"/>
      <c r="M281"/>
      <c r="N281"/>
      <c r="O281"/>
    </row>
    <row r="282" spans="2:15" x14ac:dyDescent="0.3">
      <c r="B282" s="99" t="s">
        <v>2483</v>
      </c>
      <c r="C282" s="101">
        <v>28800000</v>
      </c>
      <c r="D282" s="133">
        <f t="shared" si="8"/>
        <v>4.811901436218915E-4</v>
      </c>
      <c r="E282" s="122">
        <f t="shared" si="9"/>
        <v>0.8914650569074184</v>
      </c>
      <c r="F282" s="99" t="s">
        <v>2889</v>
      </c>
      <c r="L282"/>
      <c r="M282"/>
      <c r="N282"/>
      <c r="O282"/>
    </row>
    <row r="283" spans="2:15" x14ac:dyDescent="0.3">
      <c r="B283" s="99" t="s">
        <v>2782</v>
      </c>
      <c r="C283" s="101">
        <v>28700000</v>
      </c>
      <c r="D283" s="133">
        <f t="shared" si="8"/>
        <v>4.7951934451209325E-4</v>
      </c>
      <c r="E283" s="122">
        <f t="shared" si="9"/>
        <v>0.89194457625193047</v>
      </c>
      <c r="F283" s="99" t="s">
        <v>2889</v>
      </c>
      <c r="L283"/>
      <c r="M283"/>
      <c r="N283"/>
      <c r="O283"/>
    </row>
    <row r="284" spans="2:15" x14ac:dyDescent="0.3">
      <c r="B284" s="99" t="s">
        <v>2585</v>
      </c>
      <c r="C284" s="101">
        <v>28660000</v>
      </c>
      <c r="D284" s="133">
        <f t="shared" si="8"/>
        <v>4.7885102486817395E-4</v>
      </c>
      <c r="E284" s="122">
        <f t="shared" si="9"/>
        <v>0.89242342727679869</v>
      </c>
      <c r="F284" s="99" t="s">
        <v>2889</v>
      </c>
      <c r="L284"/>
      <c r="M284"/>
      <c r="N284"/>
      <c r="O284"/>
    </row>
    <row r="285" spans="2:15" x14ac:dyDescent="0.3">
      <c r="B285" s="99" t="s">
        <v>2609</v>
      </c>
      <c r="C285" s="101">
        <v>28550000</v>
      </c>
      <c r="D285" s="133">
        <f t="shared" si="8"/>
        <v>4.7701314584739588E-4</v>
      </c>
      <c r="E285" s="122">
        <f t="shared" si="9"/>
        <v>0.89290044042264605</v>
      </c>
      <c r="F285" s="99" t="s">
        <v>2889</v>
      </c>
      <c r="L285"/>
      <c r="M285"/>
      <c r="N285"/>
      <c r="O285"/>
    </row>
    <row r="286" spans="2:15" x14ac:dyDescent="0.3">
      <c r="B286" s="99" t="s">
        <v>2605</v>
      </c>
      <c r="C286" s="101">
        <v>28500000</v>
      </c>
      <c r="D286" s="133">
        <f t="shared" si="8"/>
        <v>4.7617774629249676E-4</v>
      </c>
      <c r="E286" s="122">
        <f t="shared" si="9"/>
        <v>0.89337661816893854</v>
      </c>
      <c r="F286" s="99" t="s">
        <v>2889</v>
      </c>
      <c r="L286"/>
      <c r="M286"/>
      <c r="N286"/>
      <c r="O286"/>
    </row>
    <row r="287" spans="2:15" x14ac:dyDescent="0.3">
      <c r="B287" s="99" t="s">
        <v>2746</v>
      </c>
      <c r="C287" s="101">
        <v>28500000</v>
      </c>
      <c r="D287" s="133">
        <f t="shared" si="8"/>
        <v>4.7617774629249676E-4</v>
      </c>
      <c r="E287" s="122">
        <f t="shared" si="9"/>
        <v>0.89385279591523104</v>
      </c>
      <c r="F287" s="99" t="s">
        <v>2889</v>
      </c>
      <c r="L287"/>
      <c r="M287"/>
      <c r="N287"/>
      <c r="O287"/>
    </row>
    <row r="288" spans="2:15" x14ac:dyDescent="0.3">
      <c r="B288" s="99" t="s">
        <v>2560</v>
      </c>
      <c r="C288" s="101">
        <v>28160000</v>
      </c>
      <c r="D288" s="133">
        <f t="shared" si="8"/>
        <v>4.7049702931918277E-4</v>
      </c>
      <c r="E288" s="122">
        <f t="shared" si="9"/>
        <v>0.89432329294455026</v>
      </c>
      <c r="F288" s="99" t="s">
        <v>2889</v>
      </c>
      <c r="L288"/>
      <c r="M288"/>
      <c r="N288"/>
      <c r="O288"/>
    </row>
    <row r="289" spans="2:15" x14ac:dyDescent="0.3">
      <c r="B289" s="99" t="s">
        <v>2712</v>
      </c>
      <c r="C289" s="101">
        <v>27950000</v>
      </c>
      <c r="D289" s="133">
        <f t="shared" si="8"/>
        <v>4.6698835118860651E-4</v>
      </c>
      <c r="E289" s="122">
        <f t="shared" si="9"/>
        <v>0.8947902812957389</v>
      </c>
      <c r="F289" s="99" t="s">
        <v>2889</v>
      </c>
      <c r="L289"/>
      <c r="M289"/>
      <c r="N289"/>
      <c r="O289"/>
    </row>
    <row r="290" spans="2:15" x14ac:dyDescent="0.3">
      <c r="B290" s="99" t="s">
        <v>2459</v>
      </c>
      <c r="C290" s="101">
        <v>27900000</v>
      </c>
      <c r="D290" s="133">
        <f t="shared" si="8"/>
        <v>4.6615295163370739E-4</v>
      </c>
      <c r="E290" s="122">
        <f t="shared" si="9"/>
        <v>0.89525643424737256</v>
      </c>
      <c r="F290" s="99" t="s">
        <v>2889</v>
      </c>
      <c r="L290"/>
      <c r="M290"/>
      <c r="N290"/>
      <c r="O290"/>
    </row>
    <row r="291" spans="2:15" x14ac:dyDescent="0.3">
      <c r="B291" s="99" t="s">
        <v>2215</v>
      </c>
      <c r="C291" s="101">
        <v>27550000</v>
      </c>
      <c r="D291" s="133">
        <f t="shared" si="8"/>
        <v>4.6030515474941352E-4</v>
      </c>
      <c r="E291" s="122">
        <f t="shared" si="9"/>
        <v>0.89571673940212193</v>
      </c>
      <c r="F291" s="99" t="s">
        <v>2889</v>
      </c>
      <c r="L291"/>
      <c r="M291"/>
      <c r="N291"/>
      <c r="O291"/>
    </row>
    <row r="292" spans="2:15" x14ac:dyDescent="0.3">
      <c r="B292" s="99" t="s">
        <v>2395</v>
      </c>
      <c r="C292" s="101">
        <v>27450000</v>
      </c>
      <c r="D292" s="133">
        <f t="shared" si="8"/>
        <v>4.5863435563961533E-4</v>
      </c>
      <c r="E292" s="122">
        <f t="shared" si="9"/>
        <v>0.89617537375776157</v>
      </c>
      <c r="F292" s="99" t="s">
        <v>2889</v>
      </c>
      <c r="L292"/>
      <c r="M292"/>
      <c r="N292"/>
      <c r="O292"/>
    </row>
    <row r="293" spans="2:15" x14ac:dyDescent="0.3">
      <c r="B293" s="99" t="s">
        <v>2480</v>
      </c>
      <c r="C293" s="101">
        <v>27320000</v>
      </c>
      <c r="D293" s="133">
        <f t="shared" si="8"/>
        <v>4.5646231679687761E-4</v>
      </c>
      <c r="E293" s="122">
        <f t="shared" si="9"/>
        <v>0.89663183607455843</v>
      </c>
      <c r="F293" s="99" t="s">
        <v>2889</v>
      </c>
      <c r="L293"/>
      <c r="M293"/>
      <c r="N293"/>
      <c r="O293"/>
    </row>
    <row r="294" spans="2:15" x14ac:dyDescent="0.3">
      <c r="B294" s="99" t="s">
        <v>2125</v>
      </c>
      <c r="C294" s="101">
        <v>27020000</v>
      </c>
      <c r="D294" s="133">
        <f t="shared" si="8"/>
        <v>4.5144991946748293E-4</v>
      </c>
      <c r="E294" s="122">
        <f t="shared" si="9"/>
        <v>0.89708328599402587</v>
      </c>
      <c r="F294" s="99" t="s">
        <v>2889</v>
      </c>
      <c r="L294"/>
      <c r="M294"/>
      <c r="N294"/>
      <c r="O294"/>
    </row>
    <row r="295" spans="2:15" x14ac:dyDescent="0.3">
      <c r="B295" s="99" t="s">
        <v>2783</v>
      </c>
      <c r="C295" s="101">
        <v>27020000</v>
      </c>
      <c r="D295" s="133">
        <f t="shared" si="8"/>
        <v>4.5144991946748293E-4</v>
      </c>
      <c r="E295" s="122">
        <f t="shared" si="9"/>
        <v>0.89753473591349331</v>
      </c>
      <c r="F295" s="99" t="s">
        <v>2889</v>
      </c>
      <c r="L295"/>
      <c r="M295"/>
      <c r="N295"/>
      <c r="O295"/>
    </row>
    <row r="296" spans="2:15" x14ac:dyDescent="0.3">
      <c r="B296" s="99" t="s">
        <v>2714</v>
      </c>
      <c r="C296" s="101">
        <v>26920000</v>
      </c>
      <c r="D296" s="133">
        <f t="shared" si="8"/>
        <v>4.4977912035768468E-4</v>
      </c>
      <c r="E296" s="122">
        <f t="shared" si="9"/>
        <v>0.89798451503385102</v>
      </c>
      <c r="F296" s="99" t="s">
        <v>2889</v>
      </c>
      <c r="L296"/>
      <c r="M296"/>
      <c r="N296"/>
      <c r="O296"/>
    </row>
    <row r="297" spans="2:15" x14ac:dyDescent="0.3">
      <c r="B297" s="99" t="s">
        <v>2762</v>
      </c>
      <c r="C297" s="101">
        <v>26690000</v>
      </c>
      <c r="D297" s="133">
        <f t="shared" si="8"/>
        <v>4.4593628240514871E-4</v>
      </c>
      <c r="E297" s="122">
        <f t="shared" si="9"/>
        <v>0.89843045131625621</v>
      </c>
      <c r="F297" s="99" t="s">
        <v>2889</v>
      </c>
      <c r="L297"/>
      <c r="M297"/>
      <c r="N297"/>
      <c r="O297"/>
    </row>
    <row r="298" spans="2:15" x14ac:dyDescent="0.3">
      <c r="B298" s="99" t="s">
        <v>2720</v>
      </c>
      <c r="C298" s="101">
        <v>26615000</v>
      </c>
      <c r="D298" s="133">
        <f t="shared" si="8"/>
        <v>4.4468318307280005E-4</v>
      </c>
      <c r="E298" s="122">
        <f t="shared" si="9"/>
        <v>0.89887513449932899</v>
      </c>
      <c r="F298" s="99" t="s">
        <v>2889</v>
      </c>
      <c r="L298"/>
      <c r="M298"/>
      <c r="N298"/>
      <c r="O298"/>
    </row>
    <row r="299" spans="2:15" x14ac:dyDescent="0.3">
      <c r="B299" s="99" t="s">
        <v>2476</v>
      </c>
      <c r="C299" s="101">
        <v>26600000</v>
      </c>
      <c r="D299" s="133">
        <f t="shared" si="8"/>
        <v>4.4443256320633034E-4</v>
      </c>
      <c r="E299" s="122">
        <f t="shared" si="9"/>
        <v>0.89931956706253535</v>
      </c>
      <c r="F299" s="99" t="s">
        <v>2889</v>
      </c>
      <c r="L299"/>
      <c r="M299"/>
      <c r="N299"/>
      <c r="O299"/>
    </row>
    <row r="300" spans="2:15" x14ac:dyDescent="0.3">
      <c r="B300" s="99" t="s">
        <v>2535</v>
      </c>
      <c r="C300" s="101">
        <v>26440000</v>
      </c>
      <c r="D300" s="133">
        <f t="shared" si="8"/>
        <v>4.4175928463065315E-4</v>
      </c>
      <c r="E300" s="122">
        <f t="shared" si="9"/>
        <v>0.89976132634716599</v>
      </c>
      <c r="F300" s="99" t="s">
        <v>2889</v>
      </c>
      <c r="L300"/>
      <c r="M300"/>
      <c r="N300"/>
      <c r="O300"/>
    </row>
    <row r="301" spans="2:15" x14ac:dyDescent="0.3">
      <c r="B301" s="99" t="s">
        <v>2216</v>
      </c>
      <c r="C301" s="101">
        <v>26400000</v>
      </c>
      <c r="D301" s="133">
        <f t="shared" si="8"/>
        <v>4.4109096498673385E-4</v>
      </c>
      <c r="E301" s="122">
        <f t="shared" si="9"/>
        <v>0.90020241731215267</v>
      </c>
      <c r="F301" s="99" t="s">
        <v>2889</v>
      </c>
      <c r="L301"/>
      <c r="M301"/>
      <c r="N301"/>
      <c r="O301"/>
    </row>
    <row r="302" spans="2:15" x14ac:dyDescent="0.3">
      <c r="B302" s="99" t="s">
        <v>2691</v>
      </c>
      <c r="C302" s="101">
        <v>26275000</v>
      </c>
      <c r="D302" s="133">
        <f t="shared" si="8"/>
        <v>4.3900246609948607E-4</v>
      </c>
      <c r="E302" s="122">
        <f t="shared" si="9"/>
        <v>0.90064141977825218</v>
      </c>
      <c r="F302" s="99" t="s">
        <v>2889</v>
      </c>
      <c r="L302"/>
      <c r="M302"/>
      <c r="N302"/>
      <c r="O302"/>
    </row>
    <row r="303" spans="2:15" x14ac:dyDescent="0.3">
      <c r="B303" s="99" t="s">
        <v>2711</v>
      </c>
      <c r="C303" s="101">
        <v>26150000</v>
      </c>
      <c r="D303" s="133">
        <f t="shared" si="8"/>
        <v>4.3691396721223829E-4</v>
      </c>
      <c r="E303" s="122">
        <f t="shared" si="9"/>
        <v>0.90107833374546442</v>
      </c>
      <c r="F303" s="99" t="s">
        <v>2889</v>
      </c>
      <c r="L303"/>
      <c r="M303"/>
      <c r="N303"/>
      <c r="O303"/>
    </row>
    <row r="304" spans="2:15" x14ac:dyDescent="0.3">
      <c r="B304" s="99" t="s">
        <v>2293</v>
      </c>
      <c r="C304" s="101">
        <v>26125000</v>
      </c>
      <c r="D304" s="133">
        <f t="shared" si="8"/>
        <v>4.364962674347887E-4</v>
      </c>
      <c r="E304" s="122">
        <f t="shared" si="9"/>
        <v>0.90151483001289923</v>
      </c>
      <c r="F304" s="99" t="s">
        <v>2889</v>
      </c>
      <c r="L304"/>
      <c r="M304"/>
      <c r="N304"/>
      <c r="O304"/>
    </row>
    <row r="305" spans="2:15" x14ac:dyDescent="0.3">
      <c r="B305" s="99" t="s">
        <v>2326</v>
      </c>
      <c r="C305" s="101">
        <v>26050000</v>
      </c>
      <c r="D305" s="133">
        <f t="shared" si="8"/>
        <v>4.3524316810244004E-4</v>
      </c>
      <c r="E305" s="122">
        <f t="shared" si="9"/>
        <v>0.90195007318100162</v>
      </c>
      <c r="F305" s="99" t="s">
        <v>2889</v>
      </c>
      <c r="L305"/>
      <c r="M305"/>
      <c r="N305"/>
      <c r="O305"/>
    </row>
    <row r="306" spans="2:15" x14ac:dyDescent="0.3">
      <c r="B306" s="99" t="s">
        <v>2391</v>
      </c>
      <c r="C306" s="101">
        <v>26025000</v>
      </c>
      <c r="D306" s="133">
        <f t="shared" si="8"/>
        <v>4.3482546832499045E-4</v>
      </c>
      <c r="E306" s="122">
        <f t="shared" si="9"/>
        <v>0.90238489864932658</v>
      </c>
      <c r="F306" s="99" t="s">
        <v>2889</v>
      </c>
      <c r="L306"/>
      <c r="M306"/>
      <c r="N306"/>
      <c r="O306"/>
    </row>
    <row r="307" spans="2:15" x14ac:dyDescent="0.3">
      <c r="B307" s="99" t="s">
        <v>2303</v>
      </c>
      <c r="C307" s="101">
        <v>25975000</v>
      </c>
      <c r="D307" s="133">
        <f t="shared" si="8"/>
        <v>4.3399006877009138E-4</v>
      </c>
      <c r="E307" s="122">
        <f t="shared" si="9"/>
        <v>0.90281888871809668</v>
      </c>
      <c r="F307" s="99" t="s">
        <v>2889</v>
      </c>
      <c r="L307"/>
      <c r="M307"/>
      <c r="N307"/>
      <c r="O307"/>
    </row>
    <row r="308" spans="2:15" x14ac:dyDescent="0.3">
      <c r="B308" s="99" t="s">
        <v>2273</v>
      </c>
      <c r="C308" s="101">
        <v>25935000</v>
      </c>
      <c r="D308" s="133">
        <f t="shared" si="8"/>
        <v>4.3332174912617209E-4</v>
      </c>
      <c r="E308" s="122">
        <f t="shared" si="9"/>
        <v>0.90325221046722282</v>
      </c>
      <c r="F308" s="99" t="s">
        <v>2889</v>
      </c>
      <c r="L308"/>
      <c r="M308"/>
      <c r="N308"/>
      <c r="O308"/>
    </row>
    <row r="309" spans="2:15" x14ac:dyDescent="0.3">
      <c r="B309" s="99" t="s">
        <v>2765</v>
      </c>
      <c r="C309" s="101">
        <v>25670000</v>
      </c>
      <c r="D309" s="133">
        <f t="shared" si="8"/>
        <v>4.2889413148520676E-4</v>
      </c>
      <c r="E309" s="122">
        <f t="shared" si="9"/>
        <v>0.90368110459870798</v>
      </c>
      <c r="F309" s="99" t="s">
        <v>2889</v>
      </c>
      <c r="L309"/>
      <c r="M309"/>
      <c r="N309"/>
      <c r="O309"/>
    </row>
    <row r="310" spans="2:15" x14ac:dyDescent="0.3">
      <c r="B310" s="99" t="s">
        <v>2520</v>
      </c>
      <c r="C310" s="101">
        <v>25530000</v>
      </c>
      <c r="D310" s="133">
        <f t="shared" si="8"/>
        <v>4.2655501273148921E-4</v>
      </c>
      <c r="E310" s="122">
        <f t="shared" si="9"/>
        <v>0.90410765961143946</v>
      </c>
      <c r="F310" s="99" t="s">
        <v>2889</v>
      </c>
      <c r="L310"/>
      <c r="M310"/>
      <c r="N310"/>
      <c r="O310"/>
    </row>
    <row r="311" spans="2:15" x14ac:dyDescent="0.3">
      <c r="B311" s="99" t="s">
        <v>2634</v>
      </c>
      <c r="C311" s="101">
        <v>25500000</v>
      </c>
      <c r="D311" s="133">
        <f t="shared" si="8"/>
        <v>4.2605377299854974E-4</v>
      </c>
      <c r="E311" s="122">
        <f t="shared" si="9"/>
        <v>0.904533713384438</v>
      </c>
      <c r="F311" s="99" t="s">
        <v>2889</v>
      </c>
      <c r="L311"/>
      <c r="M311"/>
      <c r="N311"/>
      <c r="O311"/>
    </row>
    <row r="312" spans="2:15" x14ac:dyDescent="0.3">
      <c r="B312" s="99" t="s">
        <v>2744</v>
      </c>
      <c r="C312" s="101">
        <v>25450000</v>
      </c>
      <c r="D312" s="133">
        <f t="shared" si="8"/>
        <v>4.2521837344365062E-4</v>
      </c>
      <c r="E312" s="122">
        <f t="shared" si="9"/>
        <v>0.90495893175788167</v>
      </c>
      <c r="F312" s="99" t="s">
        <v>2889</v>
      </c>
      <c r="L312"/>
      <c r="M312"/>
      <c r="N312"/>
      <c r="O312"/>
    </row>
    <row r="313" spans="2:15" x14ac:dyDescent="0.3">
      <c r="B313" s="99" t="s">
        <v>2345</v>
      </c>
      <c r="C313" s="101">
        <v>25385000</v>
      </c>
      <c r="D313" s="133">
        <f t="shared" si="8"/>
        <v>4.2413235402228178E-4</v>
      </c>
      <c r="E313" s="122">
        <f t="shared" si="9"/>
        <v>0.90538306411190395</v>
      </c>
      <c r="F313" s="99" t="s">
        <v>2889</v>
      </c>
      <c r="L313"/>
      <c r="M313"/>
      <c r="N313"/>
      <c r="O313"/>
    </row>
    <row r="314" spans="2:15" x14ac:dyDescent="0.3">
      <c r="B314" s="99" t="s">
        <v>2814</v>
      </c>
      <c r="C314" s="101">
        <v>25290000</v>
      </c>
      <c r="D314" s="133">
        <f t="shared" si="8"/>
        <v>4.2254509486797348E-4</v>
      </c>
      <c r="E314" s="122">
        <f t="shared" si="9"/>
        <v>0.90580560920677189</v>
      </c>
      <c r="F314" s="99" t="s">
        <v>2889</v>
      </c>
      <c r="L314"/>
      <c r="M314"/>
      <c r="N314"/>
      <c r="O314"/>
    </row>
    <row r="315" spans="2:15" x14ac:dyDescent="0.3">
      <c r="B315" s="99" t="s">
        <v>2400</v>
      </c>
      <c r="C315" s="101">
        <v>25200000</v>
      </c>
      <c r="D315" s="133">
        <f t="shared" si="8"/>
        <v>4.2104137566915505E-4</v>
      </c>
      <c r="E315" s="122">
        <f t="shared" si="9"/>
        <v>0.90622665058244101</v>
      </c>
      <c r="F315" s="99" t="s">
        <v>2889</v>
      </c>
      <c r="L315"/>
      <c r="M315"/>
      <c r="N315"/>
      <c r="O315"/>
    </row>
    <row r="316" spans="2:15" x14ac:dyDescent="0.3">
      <c r="B316" s="99" t="s">
        <v>2410</v>
      </c>
      <c r="C316" s="101">
        <v>25150000</v>
      </c>
      <c r="D316" s="133">
        <f t="shared" si="8"/>
        <v>4.2020597611425593E-4</v>
      </c>
      <c r="E316" s="122">
        <f t="shared" si="9"/>
        <v>0.90664685655855526</v>
      </c>
      <c r="F316" s="99" t="s">
        <v>2889</v>
      </c>
      <c r="L316"/>
      <c r="M316"/>
      <c r="N316"/>
      <c r="O316"/>
    </row>
    <row r="317" spans="2:15" x14ac:dyDescent="0.3">
      <c r="B317" s="99" t="s">
        <v>2718</v>
      </c>
      <c r="C317" s="101">
        <v>25000000</v>
      </c>
      <c r="D317" s="133">
        <f t="shared" si="8"/>
        <v>4.1769977744955856E-4</v>
      </c>
      <c r="E317" s="122">
        <f t="shared" si="9"/>
        <v>0.9070645563360048</v>
      </c>
      <c r="F317" s="99" t="s">
        <v>2889</v>
      </c>
      <c r="L317"/>
      <c r="M317"/>
      <c r="N317"/>
      <c r="O317"/>
    </row>
    <row r="318" spans="2:15" x14ac:dyDescent="0.3">
      <c r="B318" s="99" t="s">
        <v>2271</v>
      </c>
      <c r="C318" s="101">
        <v>24900000</v>
      </c>
      <c r="D318" s="133">
        <f t="shared" si="8"/>
        <v>4.1602897833976031E-4</v>
      </c>
      <c r="E318" s="122">
        <f t="shared" si="9"/>
        <v>0.90748058531434461</v>
      </c>
      <c r="F318" s="99" t="s">
        <v>2889</v>
      </c>
      <c r="L318"/>
      <c r="M318"/>
      <c r="N318"/>
      <c r="O318"/>
    </row>
    <row r="319" spans="2:15" x14ac:dyDescent="0.3">
      <c r="B319" s="99" t="s">
        <v>2732</v>
      </c>
      <c r="C319" s="101">
        <v>24850000</v>
      </c>
      <c r="D319" s="133">
        <f t="shared" si="8"/>
        <v>4.1519357878486125E-4</v>
      </c>
      <c r="E319" s="122">
        <f t="shared" si="9"/>
        <v>0.90789577889312945</v>
      </c>
      <c r="F319" s="99" t="s">
        <v>2889</v>
      </c>
      <c r="L319"/>
      <c r="M319"/>
      <c r="N319"/>
      <c r="O319"/>
    </row>
    <row r="320" spans="2:15" x14ac:dyDescent="0.3">
      <c r="B320" s="99" t="s">
        <v>2534</v>
      </c>
      <c r="C320" s="101">
        <v>24750000</v>
      </c>
      <c r="D320" s="133">
        <f t="shared" si="8"/>
        <v>4.13522779675063E-4</v>
      </c>
      <c r="E320" s="122">
        <f t="shared" si="9"/>
        <v>0.90830930167280455</v>
      </c>
      <c r="F320" s="99" t="s">
        <v>2889</v>
      </c>
      <c r="L320"/>
      <c r="M320"/>
      <c r="N320"/>
      <c r="O320"/>
    </row>
    <row r="321" spans="2:15" x14ac:dyDescent="0.3">
      <c r="B321" s="99" t="s">
        <v>2323</v>
      </c>
      <c r="C321" s="101">
        <v>24700000</v>
      </c>
      <c r="D321" s="133">
        <f t="shared" si="8"/>
        <v>4.1268738012016388E-4</v>
      </c>
      <c r="E321" s="122">
        <f t="shared" si="9"/>
        <v>0.90872198905292467</v>
      </c>
      <c r="F321" s="99" t="s">
        <v>2889</v>
      </c>
      <c r="L321"/>
      <c r="M321"/>
      <c r="N321"/>
      <c r="O321"/>
    </row>
    <row r="322" spans="2:15" x14ac:dyDescent="0.3">
      <c r="B322" s="99" t="s">
        <v>2710</v>
      </c>
      <c r="C322" s="101">
        <v>24650000</v>
      </c>
      <c r="D322" s="133">
        <f t="shared" si="8"/>
        <v>4.1185198056526475E-4</v>
      </c>
      <c r="E322" s="122">
        <f t="shared" si="9"/>
        <v>0.90913384103348993</v>
      </c>
      <c r="F322" s="99" t="s">
        <v>2889</v>
      </c>
      <c r="L322"/>
      <c r="M322"/>
      <c r="N322"/>
      <c r="O322"/>
    </row>
    <row r="323" spans="2:15" x14ac:dyDescent="0.3">
      <c r="B323" s="99" t="s">
        <v>2122</v>
      </c>
      <c r="C323" s="101">
        <v>24470000</v>
      </c>
      <c r="D323" s="133">
        <f t="shared" si="8"/>
        <v>4.0884454216762791E-4</v>
      </c>
      <c r="E323" s="122">
        <f t="shared" si="9"/>
        <v>0.90954268557565754</v>
      </c>
      <c r="F323" s="99" t="s">
        <v>2889</v>
      </c>
      <c r="L323"/>
      <c r="M323"/>
      <c r="N323"/>
      <c r="O323"/>
    </row>
    <row r="324" spans="2:15" x14ac:dyDescent="0.3">
      <c r="B324" s="99" t="s">
        <v>2591</v>
      </c>
      <c r="C324" s="101">
        <v>24460000</v>
      </c>
      <c r="D324" s="133">
        <f t="shared" si="8"/>
        <v>4.0867746225664808E-4</v>
      </c>
      <c r="E324" s="122">
        <f t="shared" si="9"/>
        <v>0.90995136303791424</v>
      </c>
      <c r="F324" s="99" t="s">
        <v>2889</v>
      </c>
      <c r="L324"/>
      <c r="M324"/>
      <c r="N324"/>
      <c r="O324"/>
    </row>
    <row r="325" spans="2:15" x14ac:dyDescent="0.3">
      <c r="B325" s="99" t="s">
        <v>2607</v>
      </c>
      <c r="C325" s="101">
        <v>24450000</v>
      </c>
      <c r="D325" s="133">
        <f t="shared" si="8"/>
        <v>4.0851038234566826E-4</v>
      </c>
      <c r="E325" s="122">
        <f t="shared" si="9"/>
        <v>0.91035987342025992</v>
      </c>
      <c r="F325" s="99" t="s">
        <v>2889</v>
      </c>
      <c r="L325"/>
      <c r="M325"/>
      <c r="N325"/>
      <c r="O325"/>
    </row>
    <row r="326" spans="2:15" x14ac:dyDescent="0.3">
      <c r="B326" s="99" t="s">
        <v>2592</v>
      </c>
      <c r="C326" s="101">
        <v>24250000</v>
      </c>
      <c r="D326" s="133">
        <f t="shared" ref="D326:D389" si="10">C326/SUM($C$6:$C$817)</f>
        <v>4.0516878412607182E-4</v>
      </c>
      <c r="E326" s="122">
        <f t="shared" si="9"/>
        <v>0.91076504220438603</v>
      </c>
      <c r="F326" s="99" t="s">
        <v>2889</v>
      </c>
      <c r="L326"/>
      <c r="M326"/>
      <c r="N326"/>
      <c r="O326"/>
    </row>
    <row r="327" spans="2:15" x14ac:dyDescent="0.3">
      <c r="B327" s="99" t="s">
        <v>2367</v>
      </c>
      <c r="C327" s="101">
        <v>24150000</v>
      </c>
      <c r="D327" s="133">
        <f t="shared" si="10"/>
        <v>4.0349798501627357E-4</v>
      </c>
      <c r="E327" s="122">
        <f t="shared" ref="E327:E390" si="11">E326+D327</f>
        <v>0.9111685401894023</v>
      </c>
      <c r="F327" s="99" t="s">
        <v>2889</v>
      </c>
      <c r="L327"/>
      <c r="M327"/>
      <c r="N327"/>
      <c r="O327"/>
    </row>
    <row r="328" spans="2:15" x14ac:dyDescent="0.3">
      <c r="B328" s="99" t="s">
        <v>2380</v>
      </c>
      <c r="C328" s="101">
        <v>24150000</v>
      </c>
      <c r="D328" s="133">
        <f t="shared" si="10"/>
        <v>4.0349798501627357E-4</v>
      </c>
      <c r="E328" s="122">
        <f t="shared" si="11"/>
        <v>0.91157203817441856</v>
      </c>
      <c r="F328" s="99" t="s">
        <v>2889</v>
      </c>
      <c r="L328"/>
      <c r="M328"/>
      <c r="N328"/>
      <c r="O328"/>
    </row>
    <row r="329" spans="2:15" x14ac:dyDescent="0.3">
      <c r="B329" s="99" t="s">
        <v>2631</v>
      </c>
      <c r="C329" s="101">
        <v>24100000</v>
      </c>
      <c r="D329" s="133">
        <f t="shared" si="10"/>
        <v>4.0266258546137445E-4</v>
      </c>
      <c r="E329" s="122">
        <f t="shared" si="11"/>
        <v>0.91197470075987996</v>
      </c>
      <c r="F329" s="99" t="s">
        <v>2889</v>
      </c>
      <c r="L329"/>
      <c r="M329"/>
      <c r="N329"/>
      <c r="O329"/>
    </row>
    <row r="330" spans="2:15" x14ac:dyDescent="0.3">
      <c r="B330" s="99" t="s">
        <v>2307</v>
      </c>
      <c r="C330" s="101">
        <v>24050000</v>
      </c>
      <c r="D330" s="133">
        <f t="shared" si="10"/>
        <v>4.0182718590647533E-4</v>
      </c>
      <c r="E330" s="122">
        <f t="shared" si="11"/>
        <v>0.91237652794578639</v>
      </c>
      <c r="F330" s="99" t="s">
        <v>2889</v>
      </c>
      <c r="L330"/>
      <c r="M330"/>
      <c r="N330"/>
      <c r="O330"/>
    </row>
    <row r="331" spans="2:15" x14ac:dyDescent="0.3">
      <c r="B331" s="99" t="s">
        <v>2142</v>
      </c>
      <c r="C331" s="101">
        <v>24040000</v>
      </c>
      <c r="D331" s="133">
        <f t="shared" si="10"/>
        <v>4.016601059954955E-4</v>
      </c>
      <c r="E331" s="122">
        <f t="shared" si="11"/>
        <v>0.9127781880517819</v>
      </c>
      <c r="F331" s="99" t="s">
        <v>2889</v>
      </c>
      <c r="L331"/>
      <c r="M331"/>
      <c r="N331"/>
      <c r="O331"/>
    </row>
    <row r="332" spans="2:15" x14ac:dyDescent="0.3">
      <c r="B332" s="99" t="s">
        <v>2728</v>
      </c>
      <c r="C332" s="101">
        <v>24040000</v>
      </c>
      <c r="D332" s="133">
        <f t="shared" si="10"/>
        <v>4.016601059954955E-4</v>
      </c>
      <c r="E332" s="122">
        <f t="shared" si="11"/>
        <v>0.91317984815777742</v>
      </c>
      <c r="F332" s="99" t="s">
        <v>2889</v>
      </c>
      <c r="L332"/>
      <c r="M332"/>
      <c r="N332"/>
      <c r="O332"/>
    </row>
    <row r="333" spans="2:15" x14ac:dyDescent="0.3">
      <c r="B333" s="99" t="s">
        <v>2164</v>
      </c>
      <c r="C333" s="101">
        <v>24000000</v>
      </c>
      <c r="D333" s="133">
        <f t="shared" si="10"/>
        <v>4.0099178635157626E-4</v>
      </c>
      <c r="E333" s="122">
        <f t="shared" si="11"/>
        <v>0.91358083994412898</v>
      </c>
      <c r="F333" s="99" t="s">
        <v>2889</v>
      </c>
      <c r="L333"/>
      <c r="M333"/>
      <c r="N333"/>
      <c r="O333"/>
    </row>
    <row r="334" spans="2:15" x14ac:dyDescent="0.3">
      <c r="B334" s="99" t="s">
        <v>2256</v>
      </c>
      <c r="C334" s="101">
        <v>23750000</v>
      </c>
      <c r="D334" s="133">
        <f t="shared" si="10"/>
        <v>3.9681478857708064E-4</v>
      </c>
      <c r="E334" s="122">
        <f t="shared" si="11"/>
        <v>0.91397765473270609</v>
      </c>
      <c r="F334" s="99" t="s">
        <v>2889</v>
      </c>
      <c r="L334"/>
      <c r="M334"/>
      <c r="N334"/>
      <c r="O334"/>
    </row>
    <row r="335" spans="2:15" x14ac:dyDescent="0.3">
      <c r="B335" s="99" t="s">
        <v>2206</v>
      </c>
      <c r="C335" s="101">
        <v>23500000</v>
      </c>
      <c r="D335" s="133">
        <f t="shared" si="10"/>
        <v>3.9263779080258508E-4</v>
      </c>
      <c r="E335" s="122">
        <f t="shared" si="11"/>
        <v>0.91437029252350865</v>
      </c>
      <c r="F335" s="99" t="s">
        <v>2889</v>
      </c>
      <c r="L335"/>
      <c r="M335"/>
      <c r="N335"/>
      <c r="O335"/>
    </row>
    <row r="336" spans="2:15" x14ac:dyDescent="0.3">
      <c r="B336" s="99" t="s">
        <v>2801</v>
      </c>
      <c r="C336" s="101">
        <v>23400000</v>
      </c>
      <c r="D336" s="133">
        <f t="shared" si="10"/>
        <v>3.9096699169278683E-4</v>
      </c>
      <c r="E336" s="122">
        <f t="shared" si="11"/>
        <v>0.91476125951520149</v>
      </c>
      <c r="F336" s="99" t="s">
        <v>2889</v>
      </c>
      <c r="L336"/>
      <c r="M336"/>
      <c r="N336"/>
      <c r="O336"/>
    </row>
    <row r="337" spans="2:15" x14ac:dyDescent="0.3">
      <c r="B337" s="99" t="s">
        <v>2554</v>
      </c>
      <c r="C337" s="101">
        <v>23375000</v>
      </c>
      <c r="D337" s="133">
        <f t="shared" si="10"/>
        <v>3.9054929191533724E-4</v>
      </c>
      <c r="E337" s="122">
        <f t="shared" si="11"/>
        <v>0.91515180880711677</v>
      </c>
      <c r="F337" s="99" t="s">
        <v>2889</v>
      </c>
      <c r="L337"/>
      <c r="M337"/>
      <c r="N337"/>
      <c r="O337"/>
    </row>
    <row r="338" spans="2:15" x14ac:dyDescent="0.3">
      <c r="B338" s="99" t="s">
        <v>2359</v>
      </c>
      <c r="C338" s="101">
        <v>23100000</v>
      </c>
      <c r="D338" s="133">
        <f t="shared" si="10"/>
        <v>3.8595459436339215E-4</v>
      </c>
      <c r="E338" s="122">
        <f t="shared" si="11"/>
        <v>0.91553776340148019</v>
      </c>
      <c r="F338" s="99" t="s">
        <v>2889</v>
      </c>
      <c r="L338"/>
      <c r="M338"/>
      <c r="N338"/>
      <c r="O338"/>
    </row>
    <row r="339" spans="2:15" x14ac:dyDescent="0.3">
      <c r="B339" s="99" t="s">
        <v>2721</v>
      </c>
      <c r="C339" s="101">
        <v>23060000</v>
      </c>
      <c r="D339" s="133">
        <f t="shared" si="10"/>
        <v>3.8528627471947285E-4</v>
      </c>
      <c r="E339" s="122">
        <f t="shared" si="11"/>
        <v>0.91592304967619964</v>
      </c>
      <c r="F339" s="99" t="s">
        <v>2889</v>
      </c>
      <c r="L339"/>
      <c r="M339"/>
      <c r="N339"/>
      <c r="O339"/>
    </row>
    <row r="340" spans="2:15" x14ac:dyDescent="0.3">
      <c r="B340" s="99" t="s">
        <v>2365</v>
      </c>
      <c r="C340" s="101">
        <v>23010000</v>
      </c>
      <c r="D340" s="133">
        <f t="shared" si="10"/>
        <v>3.8445087516457372E-4</v>
      </c>
      <c r="E340" s="122">
        <f t="shared" si="11"/>
        <v>0.91630750055136423</v>
      </c>
      <c r="F340" s="99" t="s">
        <v>2889</v>
      </c>
      <c r="L340"/>
      <c r="M340"/>
      <c r="N340"/>
      <c r="O340"/>
    </row>
    <row r="341" spans="2:15" x14ac:dyDescent="0.3">
      <c r="B341" s="99" t="s">
        <v>2351</v>
      </c>
      <c r="C341" s="101">
        <v>23000000</v>
      </c>
      <c r="D341" s="133">
        <f t="shared" si="10"/>
        <v>3.842837952535939E-4</v>
      </c>
      <c r="E341" s="122">
        <f t="shared" si="11"/>
        <v>0.9166917843466178</v>
      </c>
      <c r="F341" s="99" t="s">
        <v>2889</v>
      </c>
      <c r="L341"/>
      <c r="M341"/>
      <c r="N341"/>
      <c r="O341"/>
    </row>
    <row r="342" spans="2:15" x14ac:dyDescent="0.3">
      <c r="B342" s="99" t="s">
        <v>2600</v>
      </c>
      <c r="C342" s="101">
        <v>23000000</v>
      </c>
      <c r="D342" s="133">
        <f t="shared" si="10"/>
        <v>3.842837952535939E-4</v>
      </c>
      <c r="E342" s="122">
        <f t="shared" si="11"/>
        <v>0.91707606814187137</v>
      </c>
      <c r="F342" s="99" t="s">
        <v>2889</v>
      </c>
      <c r="L342"/>
      <c r="M342"/>
      <c r="N342"/>
      <c r="O342"/>
    </row>
    <row r="343" spans="2:15" x14ac:dyDescent="0.3">
      <c r="B343" s="99" t="s">
        <v>78</v>
      </c>
      <c r="C343" s="101">
        <v>22950000</v>
      </c>
      <c r="D343" s="133">
        <f t="shared" si="10"/>
        <v>3.8344839569869478E-4</v>
      </c>
      <c r="E343" s="122">
        <f t="shared" si="11"/>
        <v>0.91745951653757007</v>
      </c>
      <c r="F343" s="99" t="s">
        <v>2889</v>
      </c>
      <c r="L343"/>
      <c r="M343"/>
      <c r="N343"/>
      <c r="O343"/>
    </row>
    <row r="344" spans="2:15" x14ac:dyDescent="0.3">
      <c r="B344" s="99" t="s">
        <v>2366</v>
      </c>
      <c r="C344" s="101">
        <v>22680000</v>
      </c>
      <c r="D344" s="133">
        <f t="shared" si="10"/>
        <v>3.7893723810223957E-4</v>
      </c>
      <c r="E344" s="122">
        <f t="shared" si="11"/>
        <v>0.9178384537756723</v>
      </c>
      <c r="F344" s="99" t="s">
        <v>2889</v>
      </c>
      <c r="L344"/>
      <c r="M344"/>
      <c r="N344"/>
      <c r="O344"/>
    </row>
    <row r="345" spans="2:15" x14ac:dyDescent="0.3">
      <c r="B345" s="99" t="s">
        <v>2133</v>
      </c>
      <c r="C345" s="101">
        <v>22650000</v>
      </c>
      <c r="D345" s="133">
        <f t="shared" si="10"/>
        <v>3.7843599836930009E-4</v>
      </c>
      <c r="E345" s="122">
        <f t="shared" si="11"/>
        <v>0.91821688977404159</v>
      </c>
      <c r="F345" s="99" t="s">
        <v>2889</v>
      </c>
      <c r="L345"/>
      <c r="M345"/>
      <c r="N345"/>
      <c r="O345"/>
    </row>
    <row r="346" spans="2:15" x14ac:dyDescent="0.3">
      <c r="B346" s="99" t="s">
        <v>1164</v>
      </c>
      <c r="C346" s="101">
        <v>22500000</v>
      </c>
      <c r="D346" s="133">
        <f t="shared" si="10"/>
        <v>3.7592979970460272E-4</v>
      </c>
      <c r="E346" s="122">
        <f t="shared" si="11"/>
        <v>0.91859281957374617</v>
      </c>
      <c r="F346" s="99" t="s">
        <v>2889</v>
      </c>
      <c r="L346"/>
      <c r="M346"/>
      <c r="N346"/>
      <c r="O346"/>
    </row>
    <row r="347" spans="2:15" x14ac:dyDescent="0.3">
      <c r="B347" s="99" t="s">
        <v>2377</v>
      </c>
      <c r="C347" s="101">
        <v>22500000</v>
      </c>
      <c r="D347" s="133">
        <f t="shared" si="10"/>
        <v>3.7592979970460272E-4</v>
      </c>
      <c r="E347" s="122">
        <f t="shared" si="11"/>
        <v>0.91896874937345074</v>
      </c>
      <c r="F347" s="99" t="s">
        <v>2889</v>
      </c>
      <c r="L347"/>
      <c r="M347"/>
      <c r="N347"/>
      <c r="O347"/>
    </row>
    <row r="348" spans="2:15" x14ac:dyDescent="0.3">
      <c r="B348" s="99" t="s">
        <v>229</v>
      </c>
      <c r="C348" s="101">
        <v>22350000</v>
      </c>
      <c r="D348" s="133">
        <f t="shared" si="10"/>
        <v>3.7342360103990535E-4</v>
      </c>
      <c r="E348" s="122">
        <f t="shared" si="11"/>
        <v>0.91934217297449061</v>
      </c>
      <c r="F348" s="99" t="s">
        <v>2889</v>
      </c>
      <c r="L348"/>
      <c r="M348"/>
      <c r="N348"/>
      <c r="O348"/>
    </row>
    <row r="349" spans="2:15" x14ac:dyDescent="0.3">
      <c r="B349" s="99" t="s">
        <v>2053</v>
      </c>
      <c r="C349" s="101">
        <v>22350000</v>
      </c>
      <c r="D349" s="133">
        <f t="shared" si="10"/>
        <v>3.7342360103990535E-4</v>
      </c>
      <c r="E349" s="122">
        <f t="shared" si="11"/>
        <v>0.91971559657553048</v>
      </c>
      <c r="F349" s="99" t="s">
        <v>2889</v>
      </c>
      <c r="L349"/>
      <c r="M349"/>
      <c r="N349"/>
      <c r="O349"/>
    </row>
    <row r="350" spans="2:15" x14ac:dyDescent="0.3">
      <c r="B350" s="99" t="s">
        <v>2724</v>
      </c>
      <c r="C350" s="101">
        <v>22240000</v>
      </c>
      <c r="D350" s="133">
        <f t="shared" si="10"/>
        <v>3.7158572201912733E-4</v>
      </c>
      <c r="E350" s="122">
        <f t="shared" si="11"/>
        <v>0.9200871822975496</v>
      </c>
      <c r="F350" s="99" t="s">
        <v>2889</v>
      </c>
      <c r="L350"/>
      <c r="M350"/>
      <c r="N350"/>
      <c r="O350"/>
    </row>
    <row r="351" spans="2:15" x14ac:dyDescent="0.3">
      <c r="B351" s="99" t="s">
        <v>1584</v>
      </c>
      <c r="C351" s="101">
        <v>22205000</v>
      </c>
      <c r="D351" s="133">
        <f t="shared" si="10"/>
        <v>3.7100094233069792E-4</v>
      </c>
      <c r="E351" s="122">
        <f t="shared" si="11"/>
        <v>0.92045818323988027</v>
      </c>
      <c r="F351" s="99" t="s">
        <v>2889</v>
      </c>
      <c r="L351"/>
      <c r="M351"/>
      <c r="N351"/>
      <c r="O351"/>
    </row>
    <row r="352" spans="2:15" x14ac:dyDescent="0.3">
      <c r="B352" s="99" t="s">
        <v>2403</v>
      </c>
      <c r="C352" s="101">
        <v>22100000</v>
      </c>
      <c r="D352" s="133">
        <f t="shared" si="10"/>
        <v>3.6924660326540979E-4</v>
      </c>
      <c r="E352" s="122">
        <f t="shared" si="11"/>
        <v>0.9208274298431457</v>
      </c>
      <c r="F352" s="99" t="s">
        <v>2889</v>
      </c>
      <c r="L352"/>
      <c r="M352"/>
      <c r="N352"/>
      <c r="O352"/>
    </row>
    <row r="353" spans="2:15" x14ac:dyDescent="0.3">
      <c r="B353" s="99" t="s">
        <v>2579</v>
      </c>
      <c r="C353" s="101">
        <v>22050000</v>
      </c>
      <c r="D353" s="133">
        <f t="shared" si="10"/>
        <v>3.6841120371051067E-4</v>
      </c>
      <c r="E353" s="122">
        <f t="shared" si="11"/>
        <v>0.92119584104685626</v>
      </c>
      <c r="F353" s="99" t="s">
        <v>2889</v>
      </c>
      <c r="L353"/>
      <c r="M353"/>
      <c r="N353"/>
      <c r="O353"/>
    </row>
    <row r="354" spans="2:15" x14ac:dyDescent="0.3">
      <c r="B354" s="99" t="s">
        <v>2702</v>
      </c>
      <c r="C354" s="101">
        <v>22050000</v>
      </c>
      <c r="D354" s="133">
        <f t="shared" si="10"/>
        <v>3.6841120371051067E-4</v>
      </c>
      <c r="E354" s="122">
        <f t="shared" si="11"/>
        <v>0.92156425225056682</v>
      </c>
      <c r="F354" s="99" t="s">
        <v>2889</v>
      </c>
      <c r="L354"/>
      <c r="M354"/>
      <c r="N354"/>
      <c r="O354"/>
    </row>
    <row r="355" spans="2:15" x14ac:dyDescent="0.3">
      <c r="B355" s="99" t="s">
        <v>2803</v>
      </c>
      <c r="C355" s="101">
        <v>22050000</v>
      </c>
      <c r="D355" s="133">
        <f t="shared" si="10"/>
        <v>3.6841120371051067E-4</v>
      </c>
      <c r="E355" s="122">
        <f t="shared" si="11"/>
        <v>0.92193266345427738</v>
      </c>
      <c r="F355" s="99" t="s">
        <v>2889</v>
      </c>
      <c r="L355"/>
      <c r="M355"/>
      <c r="N355"/>
      <c r="O355"/>
    </row>
    <row r="356" spans="2:15" x14ac:dyDescent="0.3">
      <c r="B356" s="99" t="s">
        <v>2589</v>
      </c>
      <c r="C356" s="101">
        <v>22040000</v>
      </c>
      <c r="D356" s="133">
        <f t="shared" si="10"/>
        <v>3.6824412379953084E-4</v>
      </c>
      <c r="E356" s="122">
        <f t="shared" si="11"/>
        <v>0.92230090757807692</v>
      </c>
      <c r="F356" s="99" t="s">
        <v>2889</v>
      </c>
      <c r="L356"/>
      <c r="M356"/>
      <c r="N356"/>
      <c r="O356"/>
    </row>
    <row r="357" spans="2:15" x14ac:dyDescent="0.3">
      <c r="B357" s="99" t="s">
        <v>2666</v>
      </c>
      <c r="C357" s="101">
        <v>22000000</v>
      </c>
      <c r="D357" s="133">
        <f t="shared" si="10"/>
        <v>3.6757580415561154E-4</v>
      </c>
      <c r="E357" s="122">
        <f t="shared" si="11"/>
        <v>0.92266848338223251</v>
      </c>
      <c r="F357" s="99" t="s">
        <v>2889</v>
      </c>
      <c r="L357"/>
      <c r="M357"/>
      <c r="N357"/>
      <c r="O357"/>
    </row>
    <row r="358" spans="2:15" x14ac:dyDescent="0.3">
      <c r="B358" s="99" t="s">
        <v>2386</v>
      </c>
      <c r="C358" s="101">
        <v>21990000</v>
      </c>
      <c r="D358" s="133">
        <f t="shared" si="10"/>
        <v>3.6740872424463172E-4</v>
      </c>
      <c r="E358" s="122">
        <f t="shared" si="11"/>
        <v>0.92303589210647718</v>
      </c>
      <c r="F358" s="99" t="s">
        <v>2889</v>
      </c>
      <c r="L358"/>
      <c r="M358"/>
      <c r="N358"/>
      <c r="O358"/>
    </row>
    <row r="359" spans="2:15" x14ac:dyDescent="0.3">
      <c r="B359" s="99" t="s">
        <v>2703</v>
      </c>
      <c r="C359" s="101">
        <v>21990000</v>
      </c>
      <c r="D359" s="133">
        <f t="shared" si="10"/>
        <v>3.6740872424463172E-4</v>
      </c>
      <c r="E359" s="122">
        <f t="shared" si="11"/>
        <v>0.92340330083072186</v>
      </c>
      <c r="F359" s="99" t="s">
        <v>2889</v>
      </c>
      <c r="L359"/>
      <c r="M359"/>
      <c r="N359"/>
      <c r="O359"/>
    </row>
    <row r="360" spans="2:15" x14ac:dyDescent="0.3">
      <c r="B360" s="99" t="s">
        <v>2012</v>
      </c>
      <c r="C360" s="101">
        <v>21800000</v>
      </c>
      <c r="D360" s="133">
        <f t="shared" si="10"/>
        <v>3.642342059360151E-4</v>
      </c>
      <c r="E360" s="122">
        <f t="shared" si="11"/>
        <v>0.92376753503665787</v>
      </c>
      <c r="F360" s="99" t="s">
        <v>2889</v>
      </c>
      <c r="L360"/>
      <c r="M360"/>
      <c r="N360"/>
      <c r="O360"/>
    </row>
    <row r="361" spans="2:15" x14ac:dyDescent="0.3">
      <c r="B361" s="99" t="s">
        <v>2156</v>
      </c>
      <c r="C361" s="101">
        <v>21700000</v>
      </c>
      <c r="D361" s="133">
        <f t="shared" si="10"/>
        <v>3.6256340682621686E-4</v>
      </c>
      <c r="E361" s="122">
        <f t="shared" si="11"/>
        <v>0.92413009844348404</v>
      </c>
      <c r="F361" s="99" t="s">
        <v>2889</v>
      </c>
      <c r="L361"/>
      <c r="M361"/>
      <c r="N361"/>
      <c r="O361"/>
    </row>
    <row r="362" spans="2:15" x14ac:dyDescent="0.3">
      <c r="B362" s="99" t="s">
        <v>2166</v>
      </c>
      <c r="C362" s="101">
        <v>21400000</v>
      </c>
      <c r="D362" s="133">
        <f t="shared" si="10"/>
        <v>3.5755100949682212E-4</v>
      </c>
      <c r="E362" s="122">
        <f t="shared" si="11"/>
        <v>0.9244876494529809</v>
      </c>
      <c r="F362" s="99" t="s">
        <v>2889</v>
      </c>
      <c r="L362"/>
      <c r="M362"/>
      <c r="N362"/>
      <c r="O362"/>
    </row>
    <row r="363" spans="2:15" x14ac:dyDescent="0.3">
      <c r="B363" s="99" t="s">
        <v>2511</v>
      </c>
      <c r="C363" s="101">
        <v>21400000</v>
      </c>
      <c r="D363" s="133">
        <f t="shared" si="10"/>
        <v>3.5755100949682212E-4</v>
      </c>
      <c r="E363" s="122">
        <f t="shared" si="11"/>
        <v>0.92484520046247776</v>
      </c>
      <c r="F363" s="99" t="s">
        <v>2889</v>
      </c>
      <c r="L363"/>
      <c r="M363"/>
      <c r="N363"/>
      <c r="O363"/>
    </row>
    <row r="364" spans="2:15" x14ac:dyDescent="0.3">
      <c r="B364" s="99" t="s">
        <v>2761</v>
      </c>
      <c r="C364" s="101">
        <v>21390000</v>
      </c>
      <c r="D364" s="133">
        <f t="shared" si="10"/>
        <v>3.5738392958584229E-4</v>
      </c>
      <c r="E364" s="122">
        <f t="shared" si="11"/>
        <v>0.9252025843920636</v>
      </c>
      <c r="F364" s="99" t="s">
        <v>2889</v>
      </c>
      <c r="L364"/>
      <c r="M364"/>
      <c r="N364"/>
      <c r="O364"/>
    </row>
    <row r="365" spans="2:15" x14ac:dyDescent="0.3">
      <c r="B365" s="99" t="s">
        <v>2842</v>
      </c>
      <c r="C365" s="101">
        <v>21250000</v>
      </c>
      <c r="D365" s="133">
        <f t="shared" si="10"/>
        <v>3.550448108321248E-4</v>
      </c>
      <c r="E365" s="122">
        <f t="shared" si="11"/>
        <v>0.92555762920289575</v>
      </c>
      <c r="F365" s="99" t="s">
        <v>2889</v>
      </c>
      <c r="L365"/>
      <c r="M365"/>
      <c r="N365"/>
      <c r="O365"/>
    </row>
    <row r="366" spans="2:15" x14ac:dyDescent="0.3">
      <c r="B366" s="99" t="s">
        <v>2493</v>
      </c>
      <c r="C366" s="101">
        <v>21150000</v>
      </c>
      <c r="D366" s="133">
        <f t="shared" si="10"/>
        <v>3.5337401172232655E-4</v>
      </c>
      <c r="E366" s="122">
        <f t="shared" si="11"/>
        <v>0.92591100321461806</v>
      </c>
      <c r="F366" s="99" t="s">
        <v>2889</v>
      </c>
      <c r="L366"/>
      <c r="M366"/>
      <c r="N366"/>
      <c r="O366"/>
    </row>
    <row r="367" spans="2:15" x14ac:dyDescent="0.3">
      <c r="B367" s="99" t="s">
        <v>2203</v>
      </c>
      <c r="C367" s="101">
        <v>21000000</v>
      </c>
      <c r="D367" s="133">
        <f t="shared" si="10"/>
        <v>3.5086781305762919E-4</v>
      </c>
      <c r="E367" s="122">
        <f t="shared" si="11"/>
        <v>0.92626187102767565</v>
      </c>
      <c r="F367" s="99" t="s">
        <v>2889</v>
      </c>
      <c r="L367"/>
      <c r="M367"/>
      <c r="N367"/>
      <c r="O367"/>
    </row>
    <row r="368" spans="2:15" x14ac:dyDescent="0.3">
      <c r="B368" s="99" t="s">
        <v>2456</v>
      </c>
      <c r="C368" s="101">
        <v>21000000</v>
      </c>
      <c r="D368" s="133">
        <f t="shared" si="10"/>
        <v>3.5086781305762919E-4</v>
      </c>
      <c r="E368" s="122">
        <f t="shared" si="11"/>
        <v>0.92661273884073325</v>
      </c>
      <c r="F368" s="99" t="s">
        <v>2889</v>
      </c>
      <c r="L368"/>
      <c r="M368"/>
      <c r="N368"/>
      <c r="O368"/>
    </row>
    <row r="369" spans="2:15" x14ac:dyDescent="0.3">
      <c r="B369" s="99" t="s">
        <v>2373</v>
      </c>
      <c r="C369" s="101">
        <v>20990000</v>
      </c>
      <c r="D369" s="133">
        <f t="shared" si="10"/>
        <v>3.5070073314664936E-4</v>
      </c>
      <c r="E369" s="122">
        <f t="shared" si="11"/>
        <v>0.92696343957387994</v>
      </c>
      <c r="F369" s="99" t="s">
        <v>2889</v>
      </c>
      <c r="L369"/>
      <c r="M369"/>
      <c r="N369"/>
      <c r="O369"/>
    </row>
    <row r="370" spans="2:15" x14ac:dyDescent="0.3">
      <c r="B370" s="99" t="s">
        <v>2792</v>
      </c>
      <c r="C370" s="101">
        <v>20900000</v>
      </c>
      <c r="D370" s="133">
        <f t="shared" si="10"/>
        <v>3.4919701394783099E-4</v>
      </c>
      <c r="E370" s="122">
        <f t="shared" si="11"/>
        <v>0.92731263658782781</v>
      </c>
      <c r="F370" s="99" t="s">
        <v>2889</v>
      </c>
      <c r="L370"/>
      <c r="M370"/>
      <c r="N370"/>
      <c r="O370"/>
    </row>
    <row r="371" spans="2:15" x14ac:dyDescent="0.3">
      <c r="B371" s="99" t="s">
        <v>2328</v>
      </c>
      <c r="C371" s="101">
        <v>20875000</v>
      </c>
      <c r="D371" s="133">
        <f t="shared" si="10"/>
        <v>3.487793141703814E-4</v>
      </c>
      <c r="E371" s="122">
        <f t="shared" si="11"/>
        <v>0.92766141590199824</v>
      </c>
      <c r="F371" s="99" t="s">
        <v>2889</v>
      </c>
      <c r="L371"/>
      <c r="M371"/>
      <c r="N371"/>
      <c r="O371"/>
    </row>
    <row r="372" spans="2:15" x14ac:dyDescent="0.3">
      <c r="B372" s="99" t="s">
        <v>2140</v>
      </c>
      <c r="C372" s="101">
        <v>20825000</v>
      </c>
      <c r="D372" s="133">
        <f t="shared" si="10"/>
        <v>3.4794391461548228E-4</v>
      </c>
      <c r="E372" s="122">
        <f t="shared" si="11"/>
        <v>0.9280093598166137</v>
      </c>
      <c r="F372" s="99" t="s">
        <v>2889</v>
      </c>
      <c r="L372"/>
      <c r="M372"/>
      <c r="N372"/>
      <c r="O372"/>
    </row>
    <row r="373" spans="2:15" x14ac:dyDescent="0.3">
      <c r="B373" s="99" t="s">
        <v>2543</v>
      </c>
      <c r="C373" s="101">
        <v>20700000</v>
      </c>
      <c r="D373" s="133">
        <f t="shared" si="10"/>
        <v>3.458554157282345E-4</v>
      </c>
      <c r="E373" s="122">
        <f t="shared" si="11"/>
        <v>0.92835521523234188</v>
      </c>
      <c r="F373" s="99" t="s">
        <v>2889</v>
      </c>
      <c r="L373"/>
      <c r="M373"/>
      <c r="N373"/>
      <c r="O373"/>
    </row>
    <row r="374" spans="2:15" x14ac:dyDescent="0.3">
      <c r="B374" s="99" t="s">
        <v>2287</v>
      </c>
      <c r="C374" s="101">
        <v>20550000</v>
      </c>
      <c r="D374" s="133">
        <f t="shared" si="10"/>
        <v>3.4334921706353713E-4</v>
      </c>
      <c r="E374" s="122">
        <f t="shared" si="11"/>
        <v>0.92869856444940546</v>
      </c>
      <c r="F374" s="99" t="s">
        <v>2889</v>
      </c>
      <c r="L374"/>
      <c r="M374"/>
      <c r="N374"/>
      <c r="O374"/>
    </row>
    <row r="375" spans="2:15" x14ac:dyDescent="0.3">
      <c r="B375" s="99" t="s">
        <v>2275</v>
      </c>
      <c r="C375" s="101">
        <v>20500000</v>
      </c>
      <c r="D375" s="133">
        <f t="shared" si="10"/>
        <v>3.4251381750863801E-4</v>
      </c>
      <c r="E375" s="122">
        <f t="shared" si="11"/>
        <v>0.92904107826691407</v>
      </c>
      <c r="F375" s="99" t="s">
        <v>2889</v>
      </c>
      <c r="L375"/>
      <c r="M375"/>
      <c r="N375"/>
      <c r="O375"/>
    </row>
    <row r="376" spans="2:15" x14ac:dyDescent="0.3">
      <c r="B376" s="99" t="s">
        <v>2413</v>
      </c>
      <c r="C376" s="101">
        <v>20450000</v>
      </c>
      <c r="D376" s="133">
        <f t="shared" si="10"/>
        <v>3.4167841795373894E-4</v>
      </c>
      <c r="E376" s="122">
        <f t="shared" si="11"/>
        <v>0.92938275668486781</v>
      </c>
      <c r="F376" s="99" t="s">
        <v>2889</v>
      </c>
      <c r="L376"/>
      <c r="M376"/>
      <c r="N376"/>
      <c r="O376"/>
    </row>
    <row r="377" spans="2:15" x14ac:dyDescent="0.3">
      <c r="B377" s="99" t="s">
        <v>2170</v>
      </c>
      <c r="C377" s="101">
        <v>20400000</v>
      </c>
      <c r="D377" s="133">
        <f t="shared" si="10"/>
        <v>3.4084301839883981E-4</v>
      </c>
      <c r="E377" s="122">
        <f t="shared" si="11"/>
        <v>0.92972359970326668</v>
      </c>
      <c r="F377" s="99" t="s">
        <v>2889</v>
      </c>
      <c r="L377"/>
      <c r="M377"/>
      <c r="N377"/>
      <c r="O377"/>
    </row>
    <row r="378" spans="2:15" x14ac:dyDescent="0.3">
      <c r="B378" s="99" t="s">
        <v>2341</v>
      </c>
      <c r="C378" s="101">
        <v>20400000</v>
      </c>
      <c r="D378" s="133">
        <f t="shared" si="10"/>
        <v>3.4084301839883981E-4</v>
      </c>
      <c r="E378" s="122">
        <f t="shared" si="11"/>
        <v>0.93006444272166555</v>
      </c>
      <c r="F378" s="99" t="s">
        <v>2889</v>
      </c>
      <c r="L378"/>
      <c r="M378"/>
      <c r="N378"/>
      <c r="O378"/>
    </row>
    <row r="379" spans="2:15" x14ac:dyDescent="0.3">
      <c r="B379" s="99" t="s">
        <v>2259</v>
      </c>
      <c r="C379" s="101">
        <v>20300000</v>
      </c>
      <c r="D379" s="133">
        <f t="shared" si="10"/>
        <v>3.3917221928904157E-4</v>
      </c>
      <c r="E379" s="122">
        <f t="shared" si="11"/>
        <v>0.93040361494095458</v>
      </c>
      <c r="F379" s="99" t="s">
        <v>2889</v>
      </c>
      <c r="L379"/>
      <c r="M379"/>
      <c r="N379"/>
      <c r="O379"/>
    </row>
    <row r="380" spans="2:15" x14ac:dyDescent="0.3">
      <c r="B380" s="99" t="s">
        <v>2468</v>
      </c>
      <c r="C380" s="101">
        <v>20200000</v>
      </c>
      <c r="D380" s="133">
        <f t="shared" si="10"/>
        <v>3.3750142017924332E-4</v>
      </c>
      <c r="E380" s="122">
        <f t="shared" si="11"/>
        <v>0.93074111636113388</v>
      </c>
      <c r="F380" s="99" t="s">
        <v>2889</v>
      </c>
      <c r="L380"/>
      <c r="M380"/>
      <c r="N380"/>
      <c r="O380"/>
    </row>
    <row r="381" spans="2:15" x14ac:dyDescent="0.3">
      <c r="B381" s="99" t="s">
        <v>2257</v>
      </c>
      <c r="C381" s="101">
        <v>19960000</v>
      </c>
      <c r="D381" s="133">
        <f t="shared" si="10"/>
        <v>3.3349150231572758E-4</v>
      </c>
      <c r="E381" s="122">
        <f t="shared" si="11"/>
        <v>0.93107460786344964</v>
      </c>
      <c r="F381" s="99" t="s">
        <v>2889</v>
      </c>
      <c r="L381"/>
      <c r="M381"/>
      <c r="N381"/>
      <c r="O381"/>
    </row>
    <row r="382" spans="2:15" x14ac:dyDescent="0.3">
      <c r="B382" s="99" t="s">
        <v>670</v>
      </c>
      <c r="C382" s="101">
        <v>19950000</v>
      </c>
      <c r="D382" s="133">
        <f t="shared" si="10"/>
        <v>3.3332442240474776E-4</v>
      </c>
      <c r="E382" s="122">
        <f t="shared" si="11"/>
        <v>0.93140793228585439</v>
      </c>
      <c r="F382" s="99" t="s">
        <v>2889</v>
      </c>
      <c r="L382"/>
      <c r="M382"/>
      <c r="N382"/>
      <c r="O382"/>
    </row>
    <row r="383" spans="2:15" x14ac:dyDescent="0.3">
      <c r="B383" s="99" t="s">
        <v>2507</v>
      </c>
      <c r="C383" s="101">
        <v>19950000</v>
      </c>
      <c r="D383" s="133">
        <f t="shared" si="10"/>
        <v>3.3332442240474776E-4</v>
      </c>
      <c r="E383" s="122">
        <f t="shared" si="11"/>
        <v>0.93174125670825914</v>
      </c>
      <c r="F383" s="99" t="s">
        <v>2889</v>
      </c>
      <c r="L383"/>
      <c r="M383"/>
      <c r="N383"/>
      <c r="O383"/>
    </row>
    <row r="384" spans="2:15" x14ac:dyDescent="0.3">
      <c r="B384" s="99" t="s">
        <v>2689</v>
      </c>
      <c r="C384" s="101">
        <v>19950000</v>
      </c>
      <c r="D384" s="133">
        <f t="shared" si="10"/>
        <v>3.3332442240474776E-4</v>
      </c>
      <c r="E384" s="122">
        <f t="shared" si="11"/>
        <v>0.93207458113066388</v>
      </c>
      <c r="F384" s="99" t="s">
        <v>2889</v>
      </c>
      <c r="L384"/>
      <c r="M384"/>
      <c r="N384"/>
      <c r="O384"/>
    </row>
    <row r="385" spans="2:15" x14ac:dyDescent="0.3">
      <c r="B385" s="99" t="s">
        <v>2219</v>
      </c>
      <c r="C385" s="101">
        <v>19800000</v>
      </c>
      <c r="D385" s="133">
        <f t="shared" si="10"/>
        <v>3.3081822374005039E-4</v>
      </c>
      <c r="E385" s="122">
        <f t="shared" si="11"/>
        <v>0.93240539935440392</v>
      </c>
      <c r="F385" s="99" t="s">
        <v>2889</v>
      </c>
      <c r="L385"/>
      <c r="M385"/>
      <c r="N385"/>
      <c r="O385"/>
    </row>
    <row r="386" spans="2:15" x14ac:dyDescent="0.3">
      <c r="B386" s="99" t="s">
        <v>2422</v>
      </c>
      <c r="C386" s="101">
        <v>19760000</v>
      </c>
      <c r="D386" s="133">
        <f t="shared" si="10"/>
        <v>3.3014990409613109E-4</v>
      </c>
      <c r="E386" s="122">
        <f t="shared" si="11"/>
        <v>0.9327355492585</v>
      </c>
      <c r="F386" s="99" t="s">
        <v>2889</v>
      </c>
      <c r="L386"/>
      <c r="M386"/>
      <c r="N386"/>
      <c r="O386"/>
    </row>
    <row r="387" spans="2:15" x14ac:dyDescent="0.3">
      <c r="B387" s="99" t="s">
        <v>2767</v>
      </c>
      <c r="C387" s="101">
        <v>19700000</v>
      </c>
      <c r="D387" s="133">
        <f t="shared" si="10"/>
        <v>3.2914742463025214E-4</v>
      </c>
      <c r="E387" s="122">
        <f t="shared" si="11"/>
        <v>0.9330646966831303</v>
      </c>
      <c r="F387" s="99" t="s">
        <v>2889</v>
      </c>
      <c r="L387"/>
      <c r="M387"/>
      <c r="N387"/>
      <c r="O387"/>
    </row>
    <row r="388" spans="2:15" x14ac:dyDescent="0.3">
      <c r="B388" s="99" t="s">
        <v>2524</v>
      </c>
      <c r="C388" s="101">
        <v>19600000</v>
      </c>
      <c r="D388" s="133">
        <f t="shared" si="10"/>
        <v>3.2747662552045395E-4</v>
      </c>
      <c r="E388" s="122">
        <f t="shared" si="11"/>
        <v>0.93339217330865076</v>
      </c>
      <c r="F388" s="99" t="s">
        <v>2889</v>
      </c>
      <c r="L388"/>
      <c r="M388"/>
      <c r="N388"/>
      <c r="O388"/>
    </row>
    <row r="389" spans="2:15" x14ac:dyDescent="0.3">
      <c r="B389" s="99" t="s">
        <v>2354</v>
      </c>
      <c r="C389" s="101">
        <v>19350000</v>
      </c>
      <c r="D389" s="133">
        <f t="shared" si="10"/>
        <v>3.2329962774595833E-4</v>
      </c>
      <c r="E389" s="122">
        <f t="shared" si="11"/>
        <v>0.93371547293639667</v>
      </c>
      <c r="F389" s="99" t="s">
        <v>2889</v>
      </c>
      <c r="L389"/>
      <c r="M389"/>
      <c r="N389"/>
      <c r="O389"/>
    </row>
    <row r="390" spans="2:15" x14ac:dyDescent="0.3">
      <c r="B390" s="99" t="s">
        <v>2588</v>
      </c>
      <c r="C390" s="101">
        <v>19340000</v>
      </c>
      <c r="D390" s="133">
        <f t="shared" ref="D390:D453" si="12">C390/SUM($C$6:$C$817)</f>
        <v>3.2313254783497851E-4</v>
      </c>
      <c r="E390" s="122">
        <f t="shared" si="11"/>
        <v>0.93403860548423168</v>
      </c>
      <c r="F390" s="99" t="s">
        <v>2889</v>
      </c>
      <c r="L390"/>
      <c r="M390"/>
      <c r="N390"/>
      <c r="O390"/>
    </row>
    <row r="391" spans="2:15" x14ac:dyDescent="0.3">
      <c r="B391" s="99" t="s">
        <v>2274</v>
      </c>
      <c r="C391" s="101">
        <v>19315000</v>
      </c>
      <c r="D391" s="133">
        <f t="shared" si="12"/>
        <v>3.2271484805752897E-4</v>
      </c>
      <c r="E391" s="122">
        <f t="shared" ref="E391:E454" si="13">E390+D391</f>
        <v>0.93436132033228925</v>
      </c>
      <c r="F391" s="99" t="s">
        <v>2889</v>
      </c>
      <c r="L391"/>
      <c r="M391"/>
      <c r="N391"/>
      <c r="O391"/>
    </row>
    <row r="392" spans="2:15" x14ac:dyDescent="0.3">
      <c r="B392" s="99" t="s">
        <v>2500</v>
      </c>
      <c r="C392" s="101">
        <v>19250000</v>
      </c>
      <c r="D392" s="133">
        <f t="shared" si="12"/>
        <v>3.2162882863616009E-4</v>
      </c>
      <c r="E392" s="122">
        <f t="shared" si="13"/>
        <v>0.93468294916092542</v>
      </c>
      <c r="F392" s="99" t="s">
        <v>2889</v>
      </c>
      <c r="L392"/>
      <c r="M392"/>
      <c r="N392"/>
      <c r="O392"/>
    </row>
    <row r="393" spans="2:15" x14ac:dyDescent="0.3">
      <c r="B393" s="99" t="s">
        <v>2278</v>
      </c>
      <c r="C393" s="101">
        <v>19200000</v>
      </c>
      <c r="D393" s="133">
        <f t="shared" si="12"/>
        <v>3.2079342908126096E-4</v>
      </c>
      <c r="E393" s="122">
        <f t="shared" si="13"/>
        <v>0.93500374259000674</v>
      </c>
      <c r="F393" s="99" t="s">
        <v>2889</v>
      </c>
      <c r="L393"/>
      <c r="M393"/>
      <c r="N393"/>
      <c r="O393"/>
    </row>
    <row r="394" spans="2:15" x14ac:dyDescent="0.3">
      <c r="B394" s="99" t="s">
        <v>2304</v>
      </c>
      <c r="C394" s="101">
        <v>19200000</v>
      </c>
      <c r="D394" s="133">
        <f t="shared" si="12"/>
        <v>3.2079342908126096E-4</v>
      </c>
      <c r="E394" s="122">
        <f t="shared" si="13"/>
        <v>0.93532453601908805</v>
      </c>
      <c r="F394" s="99" t="s">
        <v>2889</v>
      </c>
      <c r="L394"/>
      <c r="M394"/>
      <c r="N394"/>
      <c r="O394"/>
    </row>
    <row r="395" spans="2:15" x14ac:dyDescent="0.3">
      <c r="B395" s="99" t="s">
        <v>2473</v>
      </c>
      <c r="C395" s="101">
        <v>19200000</v>
      </c>
      <c r="D395" s="133">
        <f t="shared" si="12"/>
        <v>3.2079342908126096E-4</v>
      </c>
      <c r="E395" s="122">
        <f t="shared" si="13"/>
        <v>0.93564532944816936</v>
      </c>
      <c r="F395" s="99" t="s">
        <v>2889</v>
      </c>
      <c r="L395"/>
      <c r="M395"/>
      <c r="N395"/>
      <c r="O395"/>
    </row>
    <row r="396" spans="2:15" x14ac:dyDescent="0.3">
      <c r="B396" s="99" t="s">
        <v>2494</v>
      </c>
      <c r="C396" s="101">
        <v>19200000</v>
      </c>
      <c r="D396" s="133">
        <f t="shared" si="12"/>
        <v>3.2079342908126096E-4</v>
      </c>
      <c r="E396" s="122">
        <f t="shared" si="13"/>
        <v>0.93596612287725067</v>
      </c>
      <c r="F396" s="99" t="s">
        <v>2889</v>
      </c>
      <c r="L396"/>
      <c r="M396"/>
      <c r="N396"/>
      <c r="O396"/>
    </row>
    <row r="397" spans="2:15" x14ac:dyDescent="0.3">
      <c r="B397" s="99" t="s">
        <v>2796</v>
      </c>
      <c r="C397" s="101">
        <v>19200000</v>
      </c>
      <c r="D397" s="133">
        <f t="shared" si="12"/>
        <v>3.2079342908126096E-4</v>
      </c>
      <c r="E397" s="122">
        <f t="shared" si="13"/>
        <v>0.93628691630633198</v>
      </c>
      <c r="F397" s="99" t="s">
        <v>2889</v>
      </c>
      <c r="L397"/>
      <c r="M397"/>
      <c r="N397"/>
      <c r="O397"/>
    </row>
    <row r="398" spans="2:15" x14ac:dyDescent="0.3">
      <c r="B398" s="99" t="s">
        <v>2629</v>
      </c>
      <c r="C398" s="101">
        <v>19130000</v>
      </c>
      <c r="D398" s="133">
        <f t="shared" si="12"/>
        <v>3.1962386970440224E-4</v>
      </c>
      <c r="E398" s="122">
        <f t="shared" si="13"/>
        <v>0.9366065401760364</v>
      </c>
      <c r="F398" s="99" t="s">
        <v>2889</v>
      </c>
      <c r="L398"/>
      <c r="M398"/>
      <c r="N398"/>
      <c r="O398"/>
    </row>
    <row r="399" spans="2:15" x14ac:dyDescent="0.3">
      <c r="B399" s="99" t="s">
        <v>2719</v>
      </c>
      <c r="C399" s="101">
        <v>19075000</v>
      </c>
      <c r="D399" s="133">
        <f t="shared" si="12"/>
        <v>3.1870493019401318E-4</v>
      </c>
      <c r="E399" s="122">
        <f t="shared" si="13"/>
        <v>0.93692524510623043</v>
      </c>
      <c r="F399" s="99" t="s">
        <v>2889</v>
      </c>
      <c r="L399"/>
      <c r="M399"/>
      <c r="N399"/>
      <c r="O399"/>
    </row>
    <row r="400" spans="2:15" x14ac:dyDescent="0.3">
      <c r="B400" s="99" t="s">
        <v>117</v>
      </c>
      <c r="C400" s="101">
        <v>19000000</v>
      </c>
      <c r="D400" s="133">
        <f t="shared" si="12"/>
        <v>3.1745183086166452E-4</v>
      </c>
      <c r="E400" s="122">
        <f t="shared" si="13"/>
        <v>0.93724269693709206</v>
      </c>
      <c r="F400" s="99" t="s">
        <v>2889</v>
      </c>
      <c r="L400"/>
      <c r="M400"/>
      <c r="N400"/>
      <c r="O400"/>
    </row>
    <row r="401" spans="2:15" x14ac:dyDescent="0.3">
      <c r="B401" s="99" t="s">
        <v>2276</v>
      </c>
      <c r="C401" s="101">
        <v>19000000</v>
      </c>
      <c r="D401" s="133">
        <f t="shared" si="12"/>
        <v>3.1745183086166452E-4</v>
      </c>
      <c r="E401" s="122">
        <f t="shared" si="13"/>
        <v>0.93756014876795368</v>
      </c>
      <c r="F401" s="99" t="s">
        <v>2889</v>
      </c>
      <c r="L401"/>
      <c r="M401"/>
      <c r="N401"/>
      <c r="O401"/>
    </row>
    <row r="402" spans="2:15" x14ac:dyDescent="0.3">
      <c r="B402" s="99" t="s">
        <v>2653</v>
      </c>
      <c r="C402" s="101">
        <v>19000000</v>
      </c>
      <c r="D402" s="133">
        <f t="shared" si="12"/>
        <v>3.1745183086166452E-4</v>
      </c>
      <c r="E402" s="122">
        <f t="shared" si="13"/>
        <v>0.93787760059881531</v>
      </c>
      <c r="F402" s="99" t="s">
        <v>2889</v>
      </c>
      <c r="L402"/>
      <c r="M402"/>
      <c r="N402"/>
      <c r="O402"/>
    </row>
    <row r="403" spans="2:15" x14ac:dyDescent="0.3">
      <c r="B403" s="99" t="s">
        <v>2192</v>
      </c>
      <c r="C403" s="101">
        <v>18900000</v>
      </c>
      <c r="D403" s="133">
        <f t="shared" si="12"/>
        <v>3.1578103175186628E-4</v>
      </c>
      <c r="E403" s="122">
        <f t="shared" si="13"/>
        <v>0.9381933816305672</v>
      </c>
      <c r="F403" s="99" t="s">
        <v>2889</v>
      </c>
      <c r="L403"/>
      <c r="M403"/>
      <c r="N403"/>
      <c r="O403"/>
    </row>
    <row r="404" spans="2:15" x14ac:dyDescent="0.3">
      <c r="B404" s="99" t="s">
        <v>840</v>
      </c>
      <c r="C404" s="101">
        <v>18875000</v>
      </c>
      <c r="D404" s="133">
        <f t="shared" si="12"/>
        <v>3.1536333197441674E-4</v>
      </c>
      <c r="E404" s="122">
        <f t="shared" si="13"/>
        <v>0.93850874496254166</v>
      </c>
      <c r="F404" s="99" t="s">
        <v>2889</v>
      </c>
      <c r="L404"/>
      <c r="M404"/>
      <c r="N404"/>
      <c r="O404"/>
    </row>
    <row r="405" spans="2:15" x14ac:dyDescent="0.3">
      <c r="B405" s="99" t="s">
        <v>2282</v>
      </c>
      <c r="C405" s="101">
        <v>18720000</v>
      </c>
      <c r="D405" s="133">
        <f t="shared" si="12"/>
        <v>3.1277359335422949E-4</v>
      </c>
      <c r="E405" s="122">
        <f t="shared" si="13"/>
        <v>0.93882151855589591</v>
      </c>
      <c r="F405" s="99" t="s">
        <v>2889</v>
      </c>
      <c r="L405"/>
      <c r="M405"/>
      <c r="N405"/>
      <c r="O405"/>
    </row>
    <row r="406" spans="2:15" x14ac:dyDescent="0.3">
      <c r="B406" s="99" t="s">
        <v>2305</v>
      </c>
      <c r="C406" s="101">
        <v>18625000</v>
      </c>
      <c r="D406" s="133">
        <f t="shared" si="12"/>
        <v>3.1118633419992113E-4</v>
      </c>
      <c r="E406" s="122">
        <f t="shared" si="13"/>
        <v>0.93913270489009582</v>
      </c>
      <c r="F406" s="99" t="s">
        <v>2889</v>
      </c>
      <c r="L406"/>
      <c r="M406"/>
      <c r="N406"/>
      <c r="O406"/>
    </row>
    <row r="407" spans="2:15" x14ac:dyDescent="0.3">
      <c r="B407" s="99" t="s">
        <v>2582</v>
      </c>
      <c r="C407" s="101">
        <v>18600000</v>
      </c>
      <c r="D407" s="133">
        <f t="shared" si="12"/>
        <v>3.1076863442247159E-4</v>
      </c>
      <c r="E407" s="122">
        <f t="shared" si="13"/>
        <v>0.93944347352451829</v>
      </c>
      <c r="F407" s="99" t="s">
        <v>2889</v>
      </c>
      <c r="L407"/>
      <c r="M407"/>
      <c r="N407"/>
      <c r="O407"/>
    </row>
    <row r="408" spans="2:15" x14ac:dyDescent="0.3">
      <c r="B408" s="99" t="s">
        <v>204</v>
      </c>
      <c r="C408" s="101">
        <v>18500000</v>
      </c>
      <c r="D408" s="133">
        <f t="shared" si="12"/>
        <v>3.0909783531267335E-4</v>
      </c>
      <c r="E408" s="122">
        <f t="shared" si="13"/>
        <v>0.93975257135983092</v>
      </c>
      <c r="F408" s="99" t="s">
        <v>2889</v>
      </c>
      <c r="L408"/>
      <c r="M408"/>
      <c r="N408"/>
      <c r="O408"/>
    </row>
    <row r="409" spans="2:15" x14ac:dyDescent="0.3">
      <c r="B409" s="99" t="s">
        <v>184</v>
      </c>
      <c r="C409" s="101">
        <v>18450000</v>
      </c>
      <c r="D409" s="133">
        <f t="shared" si="12"/>
        <v>3.0826243575777422E-4</v>
      </c>
      <c r="E409" s="122">
        <f t="shared" si="13"/>
        <v>0.94006083379558869</v>
      </c>
      <c r="F409" s="99" t="s">
        <v>2889</v>
      </c>
      <c r="L409"/>
      <c r="M409"/>
      <c r="N409"/>
      <c r="O409"/>
    </row>
    <row r="410" spans="2:15" x14ac:dyDescent="0.3">
      <c r="B410" s="99" t="s">
        <v>2350</v>
      </c>
      <c r="C410" s="101">
        <v>18450000</v>
      </c>
      <c r="D410" s="133">
        <f t="shared" si="12"/>
        <v>3.0826243575777422E-4</v>
      </c>
      <c r="E410" s="122">
        <f t="shared" si="13"/>
        <v>0.94036909623134646</v>
      </c>
      <c r="F410" s="99" t="s">
        <v>2889</v>
      </c>
      <c r="L410"/>
      <c r="M410"/>
      <c r="N410"/>
      <c r="O410"/>
    </row>
    <row r="411" spans="2:15" x14ac:dyDescent="0.3">
      <c r="B411" s="99" t="s">
        <v>2182</v>
      </c>
      <c r="C411" s="101">
        <v>18400000</v>
      </c>
      <c r="D411" s="133">
        <f t="shared" si="12"/>
        <v>3.074270362028751E-4</v>
      </c>
      <c r="E411" s="122">
        <f t="shared" si="13"/>
        <v>0.94067652326754936</v>
      </c>
      <c r="F411" s="99" t="s">
        <v>2889</v>
      </c>
      <c r="L411"/>
      <c r="M411"/>
      <c r="N411"/>
      <c r="O411"/>
    </row>
    <row r="412" spans="2:15" x14ac:dyDescent="0.3">
      <c r="B412" s="99" t="s">
        <v>2135</v>
      </c>
      <c r="C412" s="101">
        <v>18300000</v>
      </c>
      <c r="D412" s="133">
        <f t="shared" si="12"/>
        <v>3.0575623709307685E-4</v>
      </c>
      <c r="E412" s="122">
        <f t="shared" si="13"/>
        <v>0.94098227950464242</v>
      </c>
      <c r="F412" s="99" t="s">
        <v>2889</v>
      </c>
      <c r="L412"/>
      <c r="M412"/>
      <c r="N412"/>
      <c r="O412"/>
    </row>
    <row r="413" spans="2:15" x14ac:dyDescent="0.3">
      <c r="B413" s="99" t="s">
        <v>2682</v>
      </c>
      <c r="C413" s="101">
        <v>18275000</v>
      </c>
      <c r="D413" s="133">
        <f t="shared" si="12"/>
        <v>3.0533853731562732E-4</v>
      </c>
      <c r="E413" s="122">
        <f t="shared" si="13"/>
        <v>0.94128761804195804</v>
      </c>
      <c r="F413" s="99" t="s">
        <v>2889</v>
      </c>
      <c r="L413"/>
      <c r="M413"/>
      <c r="N413"/>
      <c r="O413"/>
    </row>
    <row r="414" spans="2:15" x14ac:dyDescent="0.3">
      <c r="B414" s="99" t="s">
        <v>2440</v>
      </c>
      <c r="C414" s="101">
        <v>18200000</v>
      </c>
      <c r="D414" s="133">
        <f t="shared" si="12"/>
        <v>3.0408543798327866E-4</v>
      </c>
      <c r="E414" s="122">
        <f t="shared" si="13"/>
        <v>0.94159170347994137</v>
      </c>
      <c r="F414" s="99" t="s">
        <v>2889</v>
      </c>
      <c r="L414"/>
      <c r="M414"/>
      <c r="N414"/>
      <c r="O414"/>
    </row>
    <row r="415" spans="2:15" x14ac:dyDescent="0.3">
      <c r="B415" s="99" t="s">
        <v>2602</v>
      </c>
      <c r="C415" s="101">
        <v>18100000</v>
      </c>
      <c r="D415" s="133">
        <f t="shared" si="12"/>
        <v>3.0241463887348041E-4</v>
      </c>
      <c r="E415" s="122">
        <f t="shared" si="13"/>
        <v>0.94189411811881485</v>
      </c>
      <c r="F415" s="99" t="s">
        <v>2889</v>
      </c>
      <c r="L415"/>
      <c r="M415"/>
      <c r="N415"/>
      <c r="O415"/>
    </row>
    <row r="416" spans="2:15" x14ac:dyDescent="0.3">
      <c r="B416" s="99" t="s">
        <v>2195</v>
      </c>
      <c r="C416" s="101">
        <v>18075000</v>
      </c>
      <c r="D416" s="133">
        <f t="shared" si="12"/>
        <v>3.0199693909603082E-4</v>
      </c>
      <c r="E416" s="122">
        <f t="shared" si="13"/>
        <v>0.9421961150579109</v>
      </c>
      <c r="F416" s="99" t="s">
        <v>2889</v>
      </c>
      <c r="L416"/>
      <c r="M416"/>
      <c r="N416"/>
      <c r="O416"/>
    </row>
    <row r="417" spans="2:15" x14ac:dyDescent="0.3">
      <c r="B417" s="99" t="s">
        <v>2843</v>
      </c>
      <c r="C417" s="101">
        <v>18075000</v>
      </c>
      <c r="D417" s="133">
        <f t="shared" si="12"/>
        <v>3.0199693909603082E-4</v>
      </c>
      <c r="E417" s="122">
        <f t="shared" si="13"/>
        <v>0.94249811199700695</v>
      </c>
      <c r="F417" s="99" t="s">
        <v>2889</v>
      </c>
      <c r="L417"/>
      <c r="M417"/>
      <c r="N417"/>
      <c r="O417"/>
    </row>
    <row r="418" spans="2:15" x14ac:dyDescent="0.3">
      <c r="B418" s="99" t="s">
        <v>924</v>
      </c>
      <c r="C418" s="101">
        <v>18000000</v>
      </c>
      <c r="D418" s="133">
        <f t="shared" si="12"/>
        <v>3.0074383976368217E-4</v>
      </c>
      <c r="E418" s="122">
        <f t="shared" si="13"/>
        <v>0.94279885583677059</v>
      </c>
      <c r="F418" s="99" t="s">
        <v>2889</v>
      </c>
      <c r="L418"/>
      <c r="M418"/>
      <c r="N418"/>
      <c r="O418"/>
    </row>
    <row r="419" spans="2:15" x14ac:dyDescent="0.3">
      <c r="B419" s="99" t="s">
        <v>2165</v>
      </c>
      <c r="C419" s="101">
        <v>18000000</v>
      </c>
      <c r="D419" s="133">
        <f t="shared" si="12"/>
        <v>3.0074383976368217E-4</v>
      </c>
      <c r="E419" s="122">
        <f t="shared" si="13"/>
        <v>0.94309959967653423</v>
      </c>
      <c r="F419" s="99" t="s">
        <v>2889</v>
      </c>
      <c r="L419"/>
      <c r="M419"/>
      <c r="N419"/>
      <c r="O419"/>
    </row>
    <row r="420" spans="2:15" x14ac:dyDescent="0.3">
      <c r="B420" s="99" t="s">
        <v>2286</v>
      </c>
      <c r="C420" s="101">
        <v>18000000</v>
      </c>
      <c r="D420" s="133">
        <f t="shared" si="12"/>
        <v>3.0074383976368217E-4</v>
      </c>
      <c r="E420" s="122">
        <f t="shared" si="13"/>
        <v>0.94340034351629787</v>
      </c>
      <c r="F420" s="99" t="s">
        <v>2889</v>
      </c>
      <c r="L420"/>
      <c r="M420"/>
      <c r="N420"/>
      <c r="O420"/>
    </row>
    <row r="421" spans="2:15" x14ac:dyDescent="0.3">
      <c r="B421" s="99" t="s">
        <v>2289</v>
      </c>
      <c r="C421" s="101">
        <v>18000000</v>
      </c>
      <c r="D421" s="133">
        <f t="shared" si="12"/>
        <v>3.0074383976368217E-4</v>
      </c>
      <c r="E421" s="122">
        <f t="shared" si="13"/>
        <v>0.94370108735606151</v>
      </c>
      <c r="F421" s="99" t="s">
        <v>2889</v>
      </c>
      <c r="L421"/>
      <c r="M421"/>
      <c r="N421"/>
      <c r="O421"/>
    </row>
    <row r="422" spans="2:15" x14ac:dyDescent="0.3">
      <c r="B422" s="99" t="s">
        <v>2384</v>
      </c>
      <c r="C422" s="101">
        <v>18000000</v>
      </c>
      <c r="D422" s="133">
        <f t="shared" si="12"/>
        <v>3.0074383976368217E-4</v>
      </c>
      <c r="E422" s="122">
        <f t="shared" si="13"/>
        <v>0.94400183119582515</v>
      </c>
      <c r="F422" s="99" t="s">
        <v>2889</v>
      </c>
      <c r="L422"/>
      <c r="M422"/>
      <c r="N422"/>
      <c r="O422"/>
    </row>
    <row r="423" spans="2:15" x14ac:dyDescent="0.3">
      <c r="B423" s="99" t="s">
        <v>2481</v>
      </c>
      <c r="C423" s="101">
        <v>18000000</v>
      </c>
      <c r="D423" s="133">
        <f t="shared" si="12"/>
        <v>3.0074383976368217E-4</v>
      </c>
      <c r="E423" s="122">
        <f t="shared" si="13"/>
        <v>0.94430257503558879</v>
      </c>
      <c r="F423" s="99" t="s">
        <v>2889</v>
      </c>
      <c r="L423"/>
      <c r="M423"/>
      <c r="N423"/>
      <c r="O423"/>
    </row>
    <row r="424" spans="2:15" x14ac:dyDescent="0.3">
      <c r="B424" s="99" t="s">
        <v>2448</v>
      </c>
      <c r="C424" s="101">
        <v>17950000</v>
      </c>
      <c r="D424" s="133">
        <f t="shared" si="12"/>
        <v>2.9990844020878304E-4</v>
      </c>
      <c r="E424" s="122">
        <f t="shared" si="13"/>
        <v>0.94460248347579756</v>
      </c>
      <c r="F424" s="99" t="s">
        <v>2889</v>
      </c>
      <c r="L424"/>
      <c r="M424"/>
      <c r="N424"/>
      <c r="O424"/>
    </row>
    <row r="425" spans="2:15" x14ac:dyDescent="0.3">
      <c r="B425" s="99" t="s">
        <v>2757</v>
      </c>
      <c r="C425" s="101">
        <v>17900000</v>
      </c>
      <c r="D425" s="133">
        <f t="shared" si="12"/>
        <v>2.9907304065388392E-4</v>
      </c>
      <c r="E425" s="122">
        <f t="shared" si="13"/>
        <v>0.94490155651645147</v>
      </c>
      <c r="F425" s="99" t="s">
        <v>2889</v>
      </c>
      <c r="L425"/>
      <c r="M425"/>
      <c r="N425"/>
      <c r="O425"/>
    </row>
    <row r="426" spans="2:15" x14ac:dyDescent="0.3">
      <c r="B426" s="99" t="s">
        <v>2532</v>
      </c>
      <c r="C426" s="101">
        <v>17800000</v>
      </c>
      <c r="D426" s="133">
        <f t="shared" si="12"/>
        <v>2.9740224154408573E-4</v>
      </c>
      <c r="E426" s="122">
        <f t="shared" si="13"/>
        <v>0.94519895875799553</v>
      </c>
      <c r="F426" s="99" t="s">
        <v>2889</v>
      </c>
      <c r="L426"/>
      <c r="M426"/>
      <c r="N426"/>
      <c r="O426"/>
    </row>
    <row r="427" spans="2:15" x14ac:dyDescent="0.3">
      <c r="B427" s="99" t="s">
        <v>2178</v>
      </c>
      <c r="C427" s="101">
        <v>17530000</v>
      </c>
      <c r="D427" s="133">
        <f t="shared" si="12"/>
        <v>2.9289108394763046E-4</v>
      </c>
      <c r="E427" s="122">
        <f t="shared" si="13"/>
        <v>0.94549184984194312</v>
      </c>
      <c r="F427" s="99" t="s">
        <v>2889</v>
      </c>
      <c r="L427"/>
      <c r="M427"/>
      <c r="N427"/>
      <c r="O427"/>
    </row>
    <row r="428" spans="2:15" x14ac:dyDescent="0.3">
      <c r="B428" s="99" t="s">
        <v>339</v>
      </c>
      <c r="C428" s="101">
        <v>17500000</v>
      </c>
      <c r="D428" s="133">
        <f t="shared" si="12"/>
        <v>2.9238984421469099E-4</v>
      </c>
      <c r="E428" s="122">
        <f t="shared" si="13"/>
        <v>0.94578423968615777</v>
      </c>
      <c r="F428" s="99" t="s">
        <v>2889</v>
      </c>
      <c r="L428"/>
      <c r="M428"/>
      <c r="N428"/>
      <c r="O428"/>
    </row>
    <row r="429" spans="2:15" x14ac:dyDescent="0.3">
      <c r="B429" s="99" t="s">
        <v>2311</v>
      </c>
      <c r="C429" s="101">
        <v>17500000</v>
      </c>
      <c r="D429" s="133">
        <f t="shared" si="12"/>
        <v>2.9238984421469099E-4</v>
      </c>
      <c r="E429" s="122">
        <f t="shared" si="13"/>
        <v>0.94607662953037241</v>
      </c>
      <c r="F429" s="99" t="s">
        <v>2889</v>
      </c>
      <c r="L429"/>
      <c r="M429"/>
      <c r="N429"/>
      <c r="O429"/>
    </row>
    <row r="430" spans="2:15" x14ac:dyDescent="0.3">
      <c r="B430" s="99" t="s">
        <v>46</v>
      </c>
      <c r="C430" s="101">
        <v>17425000</v>
      </c>
      <c r="D430" s="133">
        <f t="shared" si="12"/>
        <v>2.9113674488234233E-4</v>
      </c>
      <c r="E430" s="122">
        <f t="shared" si="13"/>
        <v>0.94636776627525476</v>
      </c>
      <c r="F430" s="99" t="s">
        <v>2889</v>
      </c>
      <c r="L430"/>
      <c r="M430"/>
      <c r="N430"/>
      <c r="O430"/>
    </row>
    <row r="431" spans="2:15" x14ac:dyDescent="0.3">
      <c r="B431" s="99" t="s">
        <v>2330</v>
      </c>
      <c r="C431" s="101">
        <v>17420000</v>
      </c>
      <c r="D431" s="133">
        <f t="shared" si="12"/>
        <v>2.9105320492685239E-4</v>
      </c>
      <c r="E431" s="122">
        <f t="shared" si="13"/>
        <v>0.9466588194801816</v>
      </c>
      <c r="F431" s="99" t="s">
        <v>2889</v>
      </c>
      <c r="L431"/>
      <c r="M431"/>
      <c r="N431"/>
      <c r="O431"/>
    </row>
    <row r="432" spans="2:15" x14ac:dyDescent="0.3">
      <c r="B432" s="99" t="s">
        <v>2477</v>
      </c>
      <c r="C432" s="101">
        <v>17300000</v>
      </c>
      <c r="D432" s="133">
        <f t="shared" si="12"/>
        <v>2.8904824599509455E-4</v>
      </c>
      <c r="E432" s="122">
        <f t="shared" si="13"/>
        <v>0.94694786772617667</v>
      </c>
      <c r="F432" s="99" t="s">
        <v>2889</v>
      </c>
      <c r="L432"/>
      <c r="M432"/>
      <c r="N432"/>
      <c r="O432"/>
    </row>
    <row r="433" spans="2:15" x14ac:dyDescent="0.3">
      <c r="B433" s="99" t="s">
        <v>2811</v>
      </c>
      <c r="C433" s="101">
        <v>17250000</v>
      </c>
      <c r="D433" s="133">
        <f t="shared" si="12"/>
        <v>2.8821284644019543E-4</v>
      </c>
      <c r="E433" s="122">
        <f t="shared" si="13"/>
        <v>0.94723608057261688</v>
      </c>
      <c r="F433" s="99" t="s">
        <v>2889</v>
      </c>
      <c r="L433"/>
      <c r="M433"/>
      <c r="N433"/>
      <c r="O433"/>
    </row>
    <row r="434" spans="2:15" x14ac:dyDescent="0.3">
      <c r="B434" s="99" t="s">
        <v>418</v>
      </c>
      <c r="C434" s="101">
        <v>17100000</v>
      </c>
      <c r="D434" s="133">
        <f t="shared" si="12"/>
        <v>2.8570664777549806E-4</v>
      </c>
      <c r="E434" s="122">
        <f t="shared" si="13"/>
        <v>0.94752178722039238</v>
      </c>
      <c r="F434" s="99" t="s">
        <v>2889</v>
      </c>
      <c r="L434"/>
      <c r="M434"/>
      <c r="N434"/>
      <c r="O434"/>
    </row>
    <row r="435" spans="2:15" x14ac:dyDescent="0.3">
      <c r="B435" s="99" t="s">
        <v>2611</v>
      </c>
      <c r="C435" s="101">
        <v>17100000</v>
      </c>
      <c r="D435" s="133">
        <f t="shared" si="12"/>
        <v>2.8570664777549806E-4</v>
      </c>
      <c r="E435" s="122">
        <f t="shared" si="13"/>
        <v>0.94780749386816787</v>
      </c>
      <c r="F435" s="99" t="s">
        <v>2889</v>
      </c>
      <c r="L435"/>
      <c r="M435"/>
      <c r="N435"/>
      <c r="O435"/>
    </row>
    <row r="436" spans="2:15" x14ac:dyDescent="0.3">
      <c r="B436" s="99" t="s">
        <v>2838</v>
      </c>
      <c r="C436" s="101">
        <v>17100000</v>
      </c>
      <c r="D436" s="133">
        <f t="shared" si="12"/>
        <v>2.8570664777549806E-4</v>
      </c>
      <c r="E436" s="122">
        <f t="shared" si="13"/>
        <v>0.94809320051594337</v>
      </c>
      <c r="F436" s="99" t="s">
        <v>2889</v>
      </c>
      <c r="L436"/>
      <c r="M436"/>
      <c r="N436"/>
      <c r="O436"/>
    </row>
    <row r="437" spans="2:15" x14ac:dyDescent="0.3">
      <c r="B437" s="99" t="s">
        <v>2200</v>
      </c>
      <c r="C437" s="101">
        <v>17000000</v>
      </c>
      <c r="D437" s="133">
        <f t="shared" si="12"/>
        <v>2.8403584866569981E-4</v>
      </c>
      <c r="E437" s="122">
        <f t="shared" si="13"/>
        <v>0.94837723636460902</v>
      </c>
      <c r="F437" s="99" t="s">
        <v>2889</v>
      </c>
      <c r="L437"/>
      <c r="M437"/>
      <c r="N437"/>
      <c r="O437"/>
    </row>
    <row r="438" spans="2:15" x14ac:dyDescent="0.3">
      <c r="B438" s="99" t="s">
        <v>2186</v>
      </c>
      <c r="C438" s="101">
        <v>16820000</v>
      </c>
      <c r="D438" s="133">
        <f t="shared" si="12"/>
        <v>2.8102841026806302E-4</v>
      </c>
      <c r="E438" s="122">
        <f t="shared" si="13"/>
        <v>0.94865826477487714</v>
      </c>
      <c r="F438" s="99" t="s">
        <v>2889</v>
      </c>
      <c r="L438"/>
      <c r="M438"/>
      <c r="N438"/>
      <c r="O438"/>
    </row>
    <row r="439" spans="2:15" x14ac:dyDescent="0.3">
      <c r="B439" s="99" t="s">
        <v>2151</v>
      </c>
      <c r="C439" s="101">
        <v>16800000</v>
      </c>
      <c r="D439" s="133">
        <f t="shared" si="12"/>
        <v>2.8069425044610337E-4</v>
      </c>
      <c r="E439" s="122">
        <f t="shared" si="13"/>
        <v>0.94893895902532321</v>
      </c>
      <c r="F439" s="99" t="s">
        <v>2889</v>
      </c>
      <c r="L439"/>
      <c r="M439"/>
      <c r="N439"/>
      <c r="O439"/>
    </row>
    <row r="440" spans="2:15" x14ac:dyDescent="0.3">
      <c r="B440" s="99" t="s">
        <v>2492</v>
      </c>
      <c r="C440" s="101">
        <v>16800000</v>
      </c>
      <c r="D440" s="133">
        <f t="shared" si="12"/>
        <v>2.8069425044610337E-4</v>
      </c>
      <c r="E440" s="122">
        <f t="shared" si="13"/>
        <v>0.94921965327576929</v>
      </c>
      <c r="F440" s="99" t="s">
        <v>2889</v>
      </c>
      <c r="L440"/>
      <c r="M440"/>
      <c r="N440"/>
      <c r="O440"/>
    </row>
    <row r="441" spans="2:15" x14ac:dyDescent="0.3">
      <c r="B441" s="99" t="s">
        <v>2708</v>
      </c>
      <c r="C441" s="101">
        <v>16790000</v>
      </c>
      <c r="D441" s="133">
        <f t="shared" si="12"/>
        <v>2.8052717053512355E-4</v>
      </c>
      <c r="E441" s="122">
        <f t="shared" si="13"/>
        <v>0.94950018044630446</v>
      </c>
      <c r="F441" s="99" t="s">
        <v>2889</v>
      </c>
      <c r="L441"/>
      <c r="M441"/>
      <c r="N441"/>
      <c r="O441"/>
    </row>
    <row r="442" spans="2:15" x14ac:dyDescent="0.3">
      <c r="B442" s="99" t="s">
        <v>2310</v>
      </c>
      <c r="C442" s="101">
        <v>16700000</v>
      </c>
      <c r="D442" s="133">
        <f t="shared" si="12"/>
        <v>2.7902345133630512E-4</v>
      </c>
      <c r="E442" s="122">
        <f t="shared" si="13"/>
        <v>0.94977920389764081</v>
      </c>
      <c r="F442" s="99" t="s">
        <v>2889</v>
      </c>
      <c r="L442"/>
      <c r="M442"/>
      <c r="N442"/>
      <c r="O442"/>
    </row>
    <row r="443" spans="2:15" x14ac:dyDescent="0.3">
      <c r="B443" s="99" t="s">
        <v>2749</v>
      </c>
      <c r="C443" s="101">
        <v>16650000</v>
      </c>
      <c r="D443" s="133">
        <f t="shared" si="12"/>
        <v>2.78188051781406E-4</v>
      </c>
      <c r="E443" s="122">
        <f t="shared" si="13"/>
        <v>0.95005739194942218</v>
      </c>
      <c r="F443" s="99" t="s">
        <v>2889</v>
      </c>
      <c r="L443"/>
      <c r="M443"/>
      <c r="N443"/>
      <c r="O443"/>
    </row>
    <row r="444" spans="2:15" x14ac:dyDescent="0.3">
      <c r="B444" s="99" t="s">
        <v>2679</v>
      </c>
      <c r="C444" s="101">
        <v>16575000</v>
      </c>
      <c r="D444" s="133">
        <f t="shared" si="12"/>
        <v>2.7693495244905734E-4</v>
      </c>
      <c r="E444" s="122">
        <f t="shared" si="13"/>
        <v>0.95033432690187125</v>
      </c>
      <c r="F444" s="99" t="s">
        <v>2889</v>
      </c>
      <c r="L444"/>
      <c r="M444"/>
      <c r="N444"/>
      <c r="O444"/>
    </row>
    <row r="445" spans="2:15" x14ac:dyDescent="0.3">
      <c r="B445" s="99" t="s">
        <v>2839</v>
      </c>
      <c r="C445" s="101">
        <v>16500000</v>
      </c>
      <c r="D445" s="133">
        <f t="shared" si="12"/>
        <v>2.7568185311670868E-4</v>
      </c>
      <c r="E445" s="122">
        <f t="shared" si="13"/>
        <v>0.95061000875498791</v>
      </c>
      <c r="F445" s="99" t="s">
        <v>2889</v>
      </c>
      <c r="L445"/>
      <c r="M445"/>
      <c r="N445"/>
      <c r="O445"/>
    </row>
    <row r="446" spans="2:15" x14ac:dyDescent="0.3">
      <c r="B446" s="99" t="s">
        <v>2146</v>
      </c>
      <c r="C446" s="101">
        <v>16450000</v>
      </c>
      <c r="D446" s="133">
        <f t="shared" si="12"/>
        <v>2.7484645356180956E-4</v>
      </c>
      <c r="E446" s="122">
        <f t="shared" si="13"/>
        <v>0.95088485520854971</v>
      </c>
      <c r="F446" s="99" t="s">
        <v>2889</v>
      </c>
      <c r="L446"/>
      <c r="M446"/>
      <c r="N446"/>
      <c r="O446"/>
    </row>
    <row r="447" spans="2:15" x14ac:dyDescent="0.3">
      <c r="B447" s="99" t="s">
        <v>2597</v>
      </c>
      <c r="C447" s="101">
        <v>16420000</v>
      </c>
      <c r="D447" s="133">
        <f t="shared" si="12"/>
        <v>2.7434521382887009E-4</v>
      </c>
      <c r="E447" s="122">
        <f t="shared" si="13"/>
        <v>0.95115920042237856</v>
      </c>
      <c r="F447" s="99" t="s">
        <v>2889</v>
      </c>
      <c r="L447"/>
      <c r="M447"/>
      <c r="N447"/>
      <c r="O447"/>
    </row>
    <row r="448" spans="2:15" x14ac:dyDescent="0.3">
      <c r="B448" s="99" t="s">
        <v>325</v>
      </c>
      <c r="C448" s="101">
        <v>16200000</v>
      </c>
      <c r="D448" s="133">
        <f t="shared" si="12"/>
        <v>2.7066945578731394E-4</v>
      </c>
      <c r="E448" s="122">
        <f t="shared" si="13"/>
        <v>0.95142986987816591</v>
      </c>
      <c r="F448" s="99" t="s">
        <v>2889</v>
      </c>
      <c r="L448"/>
      <c r="M448"/>
      <c r="N448"/>
      <c r="O448"/>
    </row>
    <row r="449" spans="2:15" x14ac:dyDescent="0.3">
      <c r="B449" s="99" t="s">
        <v>2193</v>
      </c>
      <c r="C449" s="101">
        <v>16200000</v>
      </c>
      <c r="D449" s="133">
        <f t="shared" si="12"/>
        <v>2.7066945578731394E-4</v>
      </c>
      <c r="E449" s="122">
        <f t="shared" si="13"/>
        <v>0.95170053933395327</v>
      </c>
      <c r="F449" s="99" t="s">
        <v>2889</v>
      </c>
      <c r="L449"/>
      <c r="M449"/>
      <c r="N449"/>
      <c r="O449"/>
    </row>
    <row r="450" spans="2:15" x14ac:dyDescent="0.3">
      <c r="B450" s="99" t="s">
        <v>2840</v>
      </c>
      <c r="C450" s="101">
        <v>16200000</v>
      </c>
      <c r="D450" s="133">
        <f t="shared" si="12"/>
        <v>2.7066945578731394E-4</v>
      </c>
      <c r="E450" s="122">
        <f t="shared" si="13"/>
        <v>0.95197120878974062</v>
      </c>
      <c r="F450" s="99" t="s">
        <v>2889</v>
      </c>
      <c r="L450"/>
      <c r="M450"/>
      <c r="N450"/>
      <c r="O450"/>
    </row>
    <row r="451" spans="2:15" x14ac:dyDescent="0.3">
      <c r="B451" s="99" t="s">
        <v>2821</v>
      </c>
      <c r="C451" s="101">
        <v>16100000</v>
      </c>
      <c r="D451" s="133">
        <f t="shared" si="12"/>
        <v>2.689986566775157E-4</v>
      </c>
      <c r="E451" s="122">
        <f t="shared" si="13"/>
        <v>0.95224020744641813</v>
      </c>
      <c r="F451" s="99" t="s">
        <v>2889</v>
      </c>
      <c r="L451"/>
      <c r="M451"/>
      <c r="N451"/>
      <c r="O451"/>
    </row>
    <row r="452" spans="2:15" x14ac:dyDescent="0.3">
      <c r="B452" s="99" t="s">
        <v>359</v>
      </c>
      <c r="C452" s="101">
        <v>15880000</v>
      </c>
      <c r="D452" s="133">
        <f t="shared" si="12"/>
        <v>2.6532289863595961E-4</v>
      </c>
      <c r="E452" s="122">
        <f t="shared" si="13"/>
        <v>0.95250553034505414</v>
      </c>
      <c r="F452" s="99" t="s">
        <v>2889</v>
      </c>
      <c r="L452"/>
      <c r="M452"/>
      <c r="N452"/>
      <c r="O452"/>
    </row>
    <row r="453" spans="2:15" x14ac:dyDescent="0.3">
      <c r="B453" s="99" t="s">
        <v>2370</v>
      </c>
      <c r="C453" s="101">
        <v>15820000</v>
      </c>
      <c r="D453" s="133">
        <f t="shared" si="12"/>
        <v>2.6432041917008066E-4</v>
      </c>
      <c r="E453" s="122">
        <f t="shared" si="13"/>
        <v>0.95276985076422427</v>
      </c>
      <c r="F453" s="99" t="s">
        <v>2889</v>
      </c>
      <c r="L453"/>
      <c r="M453"/>
      <c r="N453"/>
      <c r="O453"/>
    </row>
    <row r="454" spans="2:15" x14ac:dyDescent="0.3">
      <c r="B454" s="99" t="s">
        <v>2573</v>
      </c>
      <c r="C454" s="101">
        <v>15750000</v>
      </c>
      <c r="D454" s="133">
        <f t="shared" ref="D454:D517" si="14">C454/SUM($C$6:$C$817)</f>
        <v>2.6315085979322189E-4</v>
      </c>
      <c r="E454" s="122">
        <f t="shared" si="13"/>
        <v>0.9530330016240175</v>
      </c>
      <c r="F454" s="99" t="s">
        <v>2889</v>
      </c>
      <c r="L454"/>
      <c r="M454"/>
      <c r="N454"/>
      <c r="O454"/>
    </row>
    <row r="455" spans="2:15" x14ac:dyDescent="0.3">
      <c r="B455" s="99" t="s">
        <v>2639</v>
      </c>
      <c r="C455" s="101">
        <v>15750000</v>
      </c>
      <c r="D455" s="133">
        <f t="shared" si="14"/>
        <v>2.6315085979322189E-4</v>
      </c>
      <c r="E455" s="122">
        <f t="shared" ref="E455:E518" si="15">E454+D455</f>
        <v>0.95329615248381072</v>
      </c>
      <c r="F455" s="99" t="s">
        <v>2889</v>
      </c>
      <c r="L455"/>
      <c r="M455"/>
      <c r="N455"/>
      <c r="O455"/>
    </row>
    <row r="456" spans="2:15" x14ac:dyDescent="0.3">
      <c r="B456" s="99" t="s">
        <v>1470</v>
      </c>
      <c r="C456" s="101">
        <v>15600000</v>
      </c>
      <c r="D456" s="133">
        <f t="shared" si="14"/>
        <v>2.6064466112852457E-4</v>
      </c>
      <c r="E456" s="122">
        <f t="shared" si="15"/>
        <v>0.95355679714493924</v>
      </c>
      <c r="F456" s="99" t="s">
        <v>2889</v>
      </c>
      <c r="L456"/>
      <c r="M456"/>
      <c r="N456"/>
      <c r="O456"/>
    </row>
    <row r="457" spans="2:15" x14ac:dyDescent="0.3">
      <c r="B457" s="99" t="s">
        <v>2590</v>
      </c>
      <c r="C457" s="101">
        <v>15600000</v>
      </c>
      <c r="D457" s="133">
        <f t="shared" si="14"/>
        <v>2.6064466112852457E-4</v>
      </c>
      <c r="E457" s="122">
        <f t="shared" si="15"/>
        <v>0.95381744180606776</v>
      </c>
      <c r="F457" s="99" t="s">
        <v>2889</v>
      </c>
      <c r="L457"/>
      <c r="M457"/>
      <c r="N457"/>
      <c r="O457"/>
    </row>
    <row r="458" spans="2:15" x14ac:dyDescent="0.3">
      <c r="B458" s="99" t="s">
        <v>2832</v>
      </c>
      <c r="C458" s="101">
        <v>15600000</v>
      </c>
      <c r="D458" s="133">
        <f t="shared" si="14"/>
        <v>2.6064466112852457E-4</v>
      </c>
      <c r="E458" s="122">
        <f t="shared" si="15"/>
        <v>0.95407808646719627</v>
      </c>
      <c r="F458" s="99" t="s">
        <v>2889</v>
      </c>
      <c r="L458"/>
      <c r="M458"/>
      <c r="N458"/>
      <c r="O458"/>
    </row>
    <row r="459" spans="2:15" x14ac:dyDescent="0.3">
      <c r="B459" s="99" t="s">
        <v>2831</v>
      </c>
      <c r="C459" s="101">
        <v>15585000</v>
      </c>
      <c r="D459" s="133">
        <f t="shared" si="14"/>
        <v>2.6039404126205481E-4</v>
      </c>
      <c r="E459" s="122">
        <f t="shared" si="15"/>
        <v>0.95433848050845838</v>
      </c>
      <c r="F459" s="99" t="s">
        <v>2889</v>
      </c>
      <c r="L459"/>
      <c r="M459"/>
      <c r="N459"/>
      <c r="O459"/>
    </row>
    <row r="460" spans="2:15" x14ac:dyDescent="0.3">
      <c r="B460" s="99" t="s">
        <v>2147</v>
      </c>
      <c r="C460" s="101">
        <v>15500000</v>
      </c>
      <c r="D460" s="133">
        <f t="shared" si="14"/>
        <v>2.5897386201872633E-4</v>
      </c>
      <c r="E460" s="122">
        <f t="shared" si="15"/>
        <v>0.95459745437047705</v>
      </c>
      <c r="F460" s="99" t="s">
        <v>2889</v>
      </c>
      <c r="L460"/>
      <c r="M460"/>
      <c r="N460"/>
      <c r="O460"/>
    </row>
    <row r="461" spans="2:15" x14ac:dyDescent="0.3">
      <c r="B461" s="99" t="s">
        <v>2355</v>
      </c>
      <c r="C461" s="101">
        <v>15475000</v>
      </c>
      <c r="D461" s="133">
        <f t="shared" si="14"/>
        <v>2.5855616224127674E-4</v>
      </c>
      <c r="E461" s="122">
        <f t="shared" si="15"/>
        <v>0.95485601053271829</v>
      </c>
      <c r="F461" s="99" t="s">
        <v>2889</v>
      </c>
      <c r="L461"/>
      <c r="M461"/>
      <c r="N461"/>
      <c r="O461"/>
    </row>
    <row r="462" spans="2:15" x14ac:dyDescent="0.3">
      <c r="B462" s="99" t="s">
        <v>2168</v>
      </c>
      <c r="C462" s="101">
        <v>15450000</v>
      </c>
      <c r="D462" s="133">
        <f t="shared" si="14"/>
        <v>2.581384624638272E-4</v>
      </c>
      <c r="E462" s="122">
        <f t="shared" si="15"/>
        <v>0.9551141489951821</v>
      </c>
      <c r="F462" s="99" t="s">
        <v>2889</v>
      </c>
      <c r="L462"/>
      <c r="M462"/>
      <c r="N462"/>
      <c r="O462"/>
    </row>
    <row r="463" spans="2:15" x14ac:dyDescent="0.3">
      <c r="B463" s="99" t="s">
        <v>2630</v>
      </c>
      <c r="C463" s="101">
        <v>15340000</v>
      </c>
      <c r="D463" s="133">
        <f t="shared" si="14"/>
        <v>2.5630058344304913E-4</v>
      </c>
      <c r="E463" s="122">
        <f t="shared" si="15"/>
        <v>0.95537044957862516</v>
      </c>
      <c r="F463" s="99" t="s">
        <v>2889</v>
      </c>
      <c r="L463"/>
      <c r="M463"/>
      <c r="N463"/>
      <c r="O463"/>
    </row>
    <row r="464" spans="2:15" x14ac:dyDescent="0.3">
      <c r="B464" s="99" t="s">
        <v>596</v>
      </c>
      <c r="C464" s="101">
        <v>15300000</v>
      </c>
      <c r="D464" s="133">
        <f t="shared" si="14"/>
        <v>2.5563226379912983E-4</v>
      </c>
      <c r="E464" s="122">
        <f t="shared" si="15"/>
        <v>0.95562608184242426</v>
      </c>
      <c r="F464" s="99" t="s">
        <v>2889</v>
      </c>
      <c r="L464"/>
      <c r="M464"/>
      <c r="N464"/>
      <c r="O464"/>
    </row>
    <row r="465" spans="2:15" x14ac:dyDescent="0.3">
      <c r="B465" s="99" t="s">
        <v>2353</v>
      </c>
      <c r="C465" s="101">
        <v>15275000</v>
      </c>
      <c r="D465" s="133">
        <f t="shared" si="14"/>
        <v>2.552145640216803E-4</v>
      </c>
      <c r="E465" s="122">
        <f t="shared" si="15"/>
        <v>0.95588129640644592</v>
      </c>
      <c r="F465" s="99" t="s">
        <v>2889</v>
      </c>
      <c r="L465"/>
      <c r="M465"/>
      <c r="N465"/>
      <c r="O465"/>
    </row>
    <row r="466" spans="2:15" x14ac:dyDescent="0.3">
      <c r="B466" s="99" t="s">
        <v>2648</v>
      </c>
      <c r="C466" s="101">
        <v>15200000</v>
      </c>
      <c r="D466" s="133">
        <f t="shared" si="14"/>
        <v>2.5396146468933159E-4</v>
      </c>
      <c r="E466" s="122">
        <f t="shared" si="15"/>
        <v>0.95613525787113529</v>
      </c>
      <c r="F466" s="99" t="s">
        <v>2889</v>
      </c>
      <c r="L466"/>
      <c r="M466"/>
      <c r="N466"/>
      <c r="O466"/>
    </row>
    <row r="467" spans="2:15" x14ac:dyDescent="0.3">
      <c r="B467" s="99" t="s">
        <v>2768</v>
      </c>
      <c r="C467" s="101">
        <v>15125000</v>
      </c>
      <c r="D467" s="133">
        <f t="shared" si="14"/>
        <v>2.5270836535698293E-4</v>
      </c>
      <c r="E467" s="122">
        <f t="shared" si="15"/>
        <v>0.95638796623649225</v>
      </c>
      <c r="F467" s="99" t="s">
        <v>2889</v>
      </c>
      <c r="L467"/>
      <c r="M467"/>
      <c r="N467"/>
      <c r="O467"/>
    </row>
    <row r="468" spans="2:15" x14ac:dyDescent="0.3">
      <c r="B468" s="99" t="s">
        <v>2518</v>
      </c>
      <c r="C468" s="101">
        <v>15100000</v>
      </c>
      <c r="D468" s="133">
        <f t="shared" si="14"/>
        <v>2.5229066557953339E-4</v>
      </c>
      <c r="E468" s="122">
        <f t="shared" si="15"/>
        <v>0.95664025690207177</v>
      </c>
      <c r="F468" s="99" t="s">
        <v>2889</v>
      </c>
      <c r="L468"/>
      <c r="M468"/>
      <c r="N468"/>
      <c r="O468"/>
    </row>
    <row r="469" spans="2:15" x14ac:dyDescent="0.3">
      <c r="B469" s="99" t="s">
        <v>2243</v>
      </c>
      <c r="C469" s="101">
        <v>15030000</v>
      </c>
      <c r="D469" s="133">
        <f t="shared" si="14"/>
        <v>2.5112110620267462E-4</v>
      </c>
      <c r="E469" s="122">
        <f t="shared" si="15"/>
        <v>0.9568913780082744</v>
      </c>
      <c r="F469" s="99" t="s">
        <v>2889</v>
      </c>
      <c r="L469"/>
      <c r="M469"/>
      <c r="N469"/>
      <c r="O469"/>
    </row>
    <row r="470" spans="2:15" x14ac:dyDescent="0.3">
      <c r="B470" s="99" t="s">
        <v>2095</v>
      </c>
      <c r="C470" s="101">
        <v>15010000</v>
      </c>
      <c r="D470" s="133">
        <f t="shared" si="14"/>
        <v>2.5078694638071497E-4</v>
      </c>
      <c r="E470" s="122">
        <f t="shared" si="15"/>
        <v>0.95714216495465509</v>
      </c>
      <c r="F470" s="99" t="s">
        <v>2889</v>
      </c>
      <c r="L470"/>
      <c r="M470"/>
      <c r="N470"/>
      <c r="O470"/>
    </row>
    <row r="471" spans="2:15" x14ac:dyDescent="0.3">
      <c r="B471" s="99" t="s">
        <v>2205</v>
      </c>
      <c r="C471" s="101">
        <v>15000000</v>
      </c>
      <c r="D471" s="133">
        <f t="shared" si="14"/>
        <v>2.5061986646973515E-4</v>
      </c>
      <c r="E471" s="122">
        <f t="shared" si="15"/>
        <v>0.95739278482112478</v>
      </c>
      <c r="F471" s="99" t="s">
        <v>2889</v>
      </c>
      <c r="L471"/>
      <c r="M471"/>
      <c r="N471"/>
      <c r="O471"/>
    </row>
    <row r="472" spans="2:15" x14ac:dyDescent="0.3">
      <c r="B472" s="99" t="s">
        <v>2845</v>
      </c>
      <c r="C472" s="101">
        <v>14870000</v>
      </c>
      <c r="D472" s="133">
        <f t="shared" si="14"/>
        <v>2.4844782762699743E-4</v>
      </c>
      <c r="E472" s="122">
        <f t="shared" si="15"/>
        <v>0.95764123264875178</v>
      </c>
      <c r="F472" s="99" t="s">
        <v>2889</v>
      </c>
      <c r="L472"/>
      <c r="M472"/>
      <c r="N472"/>
      <c r="O472"/>
    </row>
    <row r="473" spans="2:15" x14ac:dyDescent="0.3">
      <c r="B473" s="99" t="s">
        <v>771</v>
      </c>
      <c r="C473" s="101">
        <v>14850000</v>
      </c>
      <c r="D473" s="133">
        <f t="shared" si="14"/>
        <v>2.4811366780503778E-4</v>
      </c>
      <c r="E473" s="122">
        <f t="shared" si="15"/>
        <v>0.95788934631655687</v>
      </c>
      <c r="F473" s="99" t="s">
        <v>2889</v>
      </c>
      <c r="L473"/>
      <c r="M473"/>
      <c r="N473"/>
      <c r="O473"/>
    </row>
    <row r="474" spans="2:15" x14ac:dyDescent="0.3">
      <c r="B474" s="99" t="s">
        <v>2134</v>
      </c>
      <c r="C474" s="101">
        <v>14850000</v>
      </c>
      <c r="D474" s="133">
        <f t="shared" si="14"/>
        <v>2.4811366780503778E-4</v>
      </c>
      <c r="E474" s="122">
        <f t="shared" si="15"/>
        <v>0.95813745998436195</v>
      </c>
      <c r="F474" s="99" t="s">
        <v>2889</v>
      </c>
      <c r="L474"/>
      <c r="M474"/>
      <c r="N474"/>
      <c r="O474"/>
    </row>
    <row r="475" spans="2:15" x14ac:dyDescent="0.3">
      <c r="B475" s="99" t="s">
        <v>2572</v>
      </c>
      <c r="C475" s="101">
        <v>14775000</v>
      </c>
      <c r="D475" s="133">
        <f t="shared" si="14"/>
        <v>2.4686056847268912E-4</v>
      </c>
      <c r="E475" s="122">
        <f t="shared" si="15"/>
        <v>0.95838432055283462</v>
      </c>
      <c r="F475" s="99" t="s">
        <v>2889</v>
      </c>
      <c r="L475"/>
      <c r="M475"/>
      <c r="N475"/>
      <c r="O475"/>
    </row>
    <row r="476" spans="2:15" x14ac:dyDescent="0.3">
      <c r="B476" s="99" t="s">
        <v>692</v>
      </c>
      <c r="C476" s="101">
        <v>14670000</v>
      </c>
      <c r="D476" s="133">
        <f t="shared" si="14"/>
        <v>2.4510622940740099E-4</v>
      </c>
      <c r="E476" s="122">
        <f t="shared" si="15"/>
        <v>0.95862942678224206</v>
      </c>
      <c r="F476" s="99" t="s">
        <v>2889</v>
      </c>
      <c r="L476"/>
      <c r="M476"/>
      <c r="N476"/>
      <c r="O476"/>
    </row>
    <row r="477" spans="2:15" x14ac:dyDescent="0.3">
      <c r="B477" s="99" t="s">
        <v>2297</v>
      </c>
      <c r="C477" s="101">
        <v>14590000</v>
      </c>
      <c r="D477" s="133">
        <f t="shared" si="14"/>
        <v>2.4376959011956239E-4</v>
      </c>
      <c r="E477" s="122">
        <f t="shared" si="15"/>
        <v>0.95887319637236157</v>
      </c>
      <c r="F477" s="99" t="s">
        <v>2889</v>
      </c>
      <c r="L477"/>
      <c r="M477"/>
      <c r="N477"/>
      <c r="O477"/>
    </row>
    <row r="478" spans="2:15" x14ac:dyDescent="0.3">
      <c r="B478" s="99" t="s">
        <v>1959</v>
      </c>
      <c r="C478" s="101">
        <v>14500000</v>
      </c>
      <c r="D478" s="133">
        <f t="shared" si="14"/>
        <v>2.4226587092074397E-4</v>
      </c>
      <c r="E478" s="122">
        <f t="shared" si="15"/>
        <v>0.95911546224328237</v>
      </c>
      <c r="F478" s="99" t="s">
        <v>2889</v>
      </c>
      <c r="L478"/>
      <c r="M478"/>
      <c r="N478"/>
      <c r="O478"/>
    </row>
    <row r="479" spans="2:15" x14ac:dyDescent="0.3">
      <c r="B479" s="99" t="s">
        <v>2228</v>
      </c>
      <c r="C479" s="101">
        <v>14500000</v>
      </c>
      <c r="D479" s="133">
        <f t="shared" si="14"/>
        <v>2.4226587092074397E-4</v>
      </c>
      <c r="E479" s="122">
        <f t="shared" si="15"/>
        <v>0.95935772811420317</v>
      </c>
      <c r="F479" s="99" t="s">
        <v>2889</v>
      </c>
      <c r="L479"/>
      <c r="M479"/>
      <c r="N479"/>
      <c r="O479"/>
    </row>
    <row r="480" spans="2:15" x14ac:dyDescent="0.3">
      <c r="B480" s="99" t="s">
        <v>2467</v>
      </c>
      <c r="C480" s="101">
        <v>14500000</v>
      </c>
      <c r="D480" s="133">
        <f t="shared" si="14"/>
        <v>2.4226587092074397E-4</v>
      </c>
      <c r="E480" s="122">
        <f t="shared" si="15"/>
        <v>0.95959999398512397</v>
      </c>
      <c r="F480" s="99" t="s">
        <v>2889</v>
      </c>
      <c r="L480"/>
      <c r="M480"/>
      <c r="N480"/>
      <c r="O480"/>
    </row>
    <row r="481" spans="2:15" x14ac:dyDescent="0.3">
      <c r="B481" s="99" t="s">
        <v>2319</v>
      </c>
      <c r="C481" s="101">
        <v>14490000</v>
      </c>
      <c r="D481" s="133">
        <f t="shared" si="14"/>
        <v>2.4209879100976414E-4</v>
      </c>
      <c r="E481" s="122">
        <f t="shared" si="15"/>
        <v>0.95984209277613375</v>
      </c>
      <c r="F481" s="99" t="s">
        <v>2889</v>
      </c>
      <c r="L481"/>
      <c r="M481"/>
      <c r="N481"/>
      <c r="O481"/>
    </row>
    <row r="482" spans="2:15" x14ac:dyDescent="0.3">
      <c r="B482" s="99" t="s">
        <v>2608</v>
      </c>
      <c r="C482" s="101">
        <v>14380000</v>
      </c>
      <c r="D482" s="133">
        <f t="shared" si="14"/>
        <v>2.402609119889861E-4</v>
      </c>
      <c r="E482" s="122">
        <f t="shared" si="15"/>
        <v>0.96008235368812278</v>
      </c>
      <c r="F482" s="99" t="s">
        <v>2889</v>
      </c>
      <c r="L482"/>
      <c r="M482"/>
      <c r="N482"/>
      <c r="O482"/>
    </row>
    <row r="483" spans="2:15" x14ac:dyDescent="0.3">
      <c r="B483" s="99" t="s">
        <v>2185</v>
      </c>
      <c r="C483" s="101">
        <v>14350000</v>
      </c>
      <c r="D483" s="133">
        <f t="shared" si="14"/>
        <v>2.3975967225604663E-4</v>
      </c>
      <c r="E483" s="122">
        <f t="shared" si="15"/>
        <v>0.96032211336037887</v>
      </c>
      <c r="F483" s="99" t="s">
        <v>2889</v>
      </c>
      <c r="L483"/>
      <c r="M483"/>
      <c r="N483"/>
      <c r="O483"/>
    </row>
    <row r="484" spans="2:15" x14ac:dyDescent="0.3">
      <c r="B484" s="99" t="s">
        <v>2760</v>
      </c>
      <c r="C484" s="101">
        <v>14270000</v>
      </c>
      <c r="D484" s="133">
        <f t="shared" si="14"/>
        <v>2.3842303296820803E-4</v>
      </c>
      <c r="E484" s="122">
        <f t="shared" si="15"/>
        <v>0.96056053639334704</v>
      </c>
      <c r="F484" s="99" t="s">
        <v>2889</v>
      </c>
      <c r="L484"/>
      <c r="M484"/>
      <c r="N484"/>
      <c r="O484"/>
    </row>
    <row r="485" spans="2:15" x14ac:dyDescent="0.3">
      <c r="B485" s="99" t="s">
        <v>2516</v>
      </c>
      <c r="C485" s="101">
        <v>14250000</v>
      </c>
      <c r="D485" s="133">
        <f t="shared" si="14"/>
        <v>2.3808887314624838E-4</v>
      </c>
      <c r="E485" s="122">
        <f t="shared" si="15"/>
        <v>0.96079862526649329</v>
      </c>
      <c r="F485" s="99" t="s">
        <v>2889</v>
      </c>
      <c r="L485"/>
      <c r="M485"/>
      <c r="N485"/>
      <c r="O485"/>
    </row>
    <row r="486" spans="2:15" x14ac:dyDescent="0.3">
      <c r="B486" s="99" t="s">
        <v>2325</v>
      </c>
      <c r="C486" s="101">
        <v>14000000</v>
      </c>
      <c r="D486" s="133">
        <f t="shared" si="14"/>
        <v>2.3391187537175279E-4</v>
      </c>
      <c r="E486" s="122">
        <f t="shared" si="15"/>
        <v>0.9610325371418651</v>
      </c>
      <c r="F486" s="99" t="s">
        <v>2889</v>
      </c>
      <c r="L486"/>
      <c r="M486"/>
      <c r="N486"/>
      <c r="O486"/>
    </row>
    <row r="487" spans="2:15" x14ac:dyDescent="0.3">
      <c r="B487" s="99" t="s">
        <v>2331</v>
      </c>
      <c r="C487" s="101">
        <v>14000000</v>
      </c>
      <c r="D487" s="133">
        <f t="shared" si="14"/>
        <v>2.3391187537175279E-4</v>
      </c>
      <c r="E487" s="122">
        <f t="shared" si="15"/>
        <v>0.9612664490172369</v>
      </c>
      <c r="F487" s="99" t="s">
        <v>2889</v>
      </c>
      <c r="L487"/>
      <c r="M487"/>
      <c r="N487"/>
      <c r="O487"/>
    </row>
    <row r="488" spans="2:15" x14ac:dyDescent="0.3">
      <c r="B488" s="99" t="s">
        <v>2676</v>
      </c>
      <c r="C488" s="101">
        <v>13950000</v>
      </c>
      <c r="D488" s="133">
        <f t="shared" si="14"/>
        <v>2.3307647581685369E-4</v>
      </c>
      <c r="E488" s="122">
        <f t="shared" si="15"/>
        <v>0.96149952549305373</v>
      </c>
      <c r="F488" s="99" t="s">
        <v>2889</v>
      </c>
      <c r="L488"/>
      <c r="M488"/>
      <c r="N488"/>
      <c r="O488"/>
    </row>
    <row r="489" spans="2:15" x14ac:dyDescent="0.3">
      <c r="B489" s="99" t="s">
        <v>2751</v>
      </c>
      <c r="C489" s="101">
        <v>13950000</v>
      </c>
      <c r="D489" s="133">
        <f t="shared" si="14"/>
        <v>2.3307647581685369E-4</v>
      </c>
      <c r="E489" s="122">
        <f t="shared" si="15"/>
        <v>0.96173260196887056</v>
      </c>
      <c r="F489" s="99" t="s">
        <v>2889</v>
      </c>
      <c r="L489"/>
      <c r="M489"/>
      <c r="N489"/>
      <c r="O489"/>
    </row>
    <row r="490" spans="2:15" x14ac:dyDescent="0.3">
      <c r="B490" s="99" t="s">
        <v>2385</v>
      </c>
      <c r="C490" s="101">
        <v>13920000</v>
      </c>
      <c r="D490" s="133">
        <f t="shared" si="14"/>
        <v>2.3257523608391422E-4</v>
      </c>
      <c r="E490" s="122">
        <f t="shared" si="15"/>
        <v>0.96196517720495445</v>
      </c>
      <c r="F490" s="99" t="s">
        <v>2889</v>
      </c>
      <c r="L490"/>
      <c r="M490"/>
      <c r="N490"/>
      <c r="O490"/>
    </row>
    <row r="491" spans="2:15" x14ac:dyDescent="0.3">
      <c r="B491" s="99" t="s">
        <v>2616</v>
      </c>
      <c r="C491" s="101">
        <v>13920000</v>
      </c>
      <c r="D491" s="133">
        <f t="shared" si="14"/>
        <v>2.3257523608391422E-4</v>
      </c>
      <c r="E491" s="122">
        <f t="shared" si="15"/>
        <v>0.96219775244103833</v>
      </c>
      <c r="F491" s="99" t="s">
        <v>2889</v>
      </c>
      <c r="L491"/>
      <c r="M491"/>
      <c r="N491"/>
      <c r="O491"/>
    </row>
    <row r="492" spans="2:15" x14ac:dyDescent="0.3">
      <c r="B492" s="99" t="s">
        <v>2690</v>
      </c>
      <c r="C492" s="101">
        <v>13885000</v>
      </c>
      <c r="D492" s="133">
        <f t="shared" si="14"/>
        <v>2.3199045639548483E-4</v>
      </c>
      <c r="E492" s="122">
        <f t="shared" si="15"/>
        <v>0.96242974289743377</v>
      </c>
      <c r="F492" s="99" t="s">
        <v>2889</v>
      </c>
      <c r="L492"/>
      <c r="M492"/>
      <c r="N492"/>
      <c r="O492"/>
    </row>
    <row r="493" spans="2:15" x14ac:dyDescent="0.3">
      <c r="B493" s="99" t="s">
        <v>2127</v>
      </c>
      <c r="C493" s="101">
        <v>13880000</v>
      </c>
      <c r="D493" s="133">
        <f t="shared" si="14"/>
        <v>2.3190691643999492E-4</v>
      </c>
      <c r="E493" s="122">
        <f t="shared" si="15"/>
        <v>0.96266164981387381</v>
      </c>
      <c r="F493" s="99" t="s">
        <v>2889</v>
      </c>
      <c r="L493"/>
      <c r="M493"/>
      <c r="N493"/>
      <c r="O493"/>
    </row>
    <row r="494" spans="2:15" x14ac:dyDescent="0.3">
      <c r="B494" s="99" t="s">
        <v>2298</v>
      </c>
      <c r="C494" s="101">
        <v>13700000</v>
      </c>
      <c r="D494" s="133">
        <f t="shared" si="14"/>
        <v>2.288994780423581E-4</v>
      </c>
      <c r="E494" s="122">
        <f t="shared" si="15"/>
        <v>0.9628905492919162</v>
      </c>
      <c r="F494" s="99" t="s">
        <v>2889</v>
      </c>
      <c r="L494"/>
      <c r="M494"/>
      <c r="N494"/>
      <c r="O494"/>
    </row>
    <row r="495" spans="2:15" x14ac:dyDescent="0.3">
      <c r="B495" s="99" t="s">
        <v>2026</v>
      </c>
      <c r="C495" s="101">
        <v>13650000</v>
      </c>
      <c r="D495" s="133">
        <f t="shared" si="14"/>
        <v>2.2806407848745898E-4</v>
      </c>
      <c r="E495" s="122">
        <f t="shared" si="15"/>
        <v>0.96311861337040361</v>
      </c>
      <c r="F495" s="99" t="s">
        <v>2889</v>
      </c>
      <c r="L495"/>
      <c r="M495"/>
      <c r="N495"/>
      <c r="O495"/>
    </row>
    <row r="496" spans="2:15" x14ac:dyDescent="0.3">
      <c r="B496" s="99" t="s">
        <v>2167</v>
      </c>
      <c r="C496" s="101">
        <v>13650000</v>
      </c>
      <c r="D496" s="133">
        <f t="shared" si="14"/>
        <v>2.2806407848745898E-4</v>
      </c>
      <c r="E496" s="122">
        <f t="shared" si="15"/>
        <v>0.96334667744889102</v>
      </c>
      <c r="F496" s="99" t="s">
        <v>2889</v>
      </c>
      <c r="L496"/>
      <c r="M496"/>
      <c r="N496"/>
      <c r="O496"/>
    </row>
    <row r="497" spans="2:15" x14ac:dyDescent="0.3">
      <c r="B497" s="99" t="s">
        <v>2503</v>
      </c>
      <c r="C497" s="101">
        <v>13650000</v>
      </c>
      <c r="D497" s="133">
        <f t="shared" si="14"/>
        <v>2.2806407848745898E-4</v>
      </c>
      <c r="E497" s="122">
        <f t="shared" si="15"/>
        <v>0.96357474152737843</v>
      </c>
      <c r="F497" s="99" t="s">
        <v>2889</v>
      </c>
      <c r="L497"/>
      <c r="M497"/>
      <c r="N497"/>
      <c r="O497"/>
    </row>
    <row r="498" spans="2:15" x14ac:dyDescent="0.3">
      <c r="B498" s="99" t="s">
        <v>2755</v>
      </c>
      <c r="C498" s="101">
        <v>13610000</v>
      </c>
      <c r="D498" s="133">
        <f t="shared" si="14"/>
        <v>2.2739575884353968E-4</v>
      </c>
      <c r="E498" s="122">
        <f t="shared" si="15"/>
        <v>0.96380213728622199</v>
      </c>
      <c r="F498" s="99" t="s">
        <v>2889</v>
      </c>
      <c r="L498"/>
      <c r="M498"/>
      <c r="N498"/>
      <c r="O498"/>
    </row>
    <row r="499" spans="2:15" x14ac:dyDescent="0.3">
      <c r="B499" s="99" t="s">
        <v>2484</v>
      </c>
      <c r="C499" s="101">
        <v>13515000</v>
      </c>
      <c r="D499" s="133">
        <f t="shared" si="14"/>
        <v>2.2580849968923138E-4</v>
      </c>
      <c r="E499" s="122">
        <f t="shared" si="15"/>
        <v>0.96402794578591122</v>
      </c>
      <c r="F499" s="99" t="s">
        <v>2889</v>
      </c>
      <c r="L499"/>
      <c r="M499"/>
      <c r="N499"/>
      <c r="O499"/>
    </row>
    <row r="500" spans="2:15" x14ac:dyDescent="0.3">
      <c r="B500" s="99" t="s">
        <v>2214</v>
      </c>
      <c r="C500" s="101">
        <v>13500000</v>
      </c>
      <c r="D500" s="133">
        <f t="shared" si="14"/>
        <v>2.2555787982276164E-4</v>
      </c>
      <c r="E500" s="122">
        <f t="shared" si="15"/>
        <v>0.96425350366573404</v>
      </c>
      <c r="F500" s="99" t="s">
        <v>2889</v>
      </c>
      <c r="L500"/>
      <c r="M500"/>
      <c r="N500"/>
      <c r="O500"/>
    </row>
    <row r="501" spans="2:15" x14ac:dyDescent="0.3">
      <c r="B501" s="99" t="s">
        <v>2240</v>
      </c>
      <c r="C501" s="101">
        <v>13500000</v>
      </c>
      <c r="D501" s="133">
        <f t="shared" si="14"/>
        <v>2.2555787982276164E-4</v>
      </c>
      <c r="E501" s="122">
        <f t="shared" si="15"/>
        <v>0.96447906154555685</v>
      </c>
      <c r="F501" s="99" t="s">
        <v>2889</v>
      </c>
      <c r="L501"/>
      <c r="M501"/>
      <c r="N501"/>
      <c r="O501"/>
    </row>
    <row r="502" spans="2:15" x14ac:dyDescent="0.3">
      <c r="B502" s="99" t="s">
        <v>2461</v>
      </c>
      <c r="C502" s="101">
        <v>13500000</v>
      </c>
      <c r="D502" s="133">
        <f t="shared" si="14"/>
        <v>2.2555787982276164E-4</v>
      </c>
      <c r="E502" s="122">
        <f t="shared" si="15"/>
        <v>0.96470461942537966</v>
      </c>
      <c r="F502" s="99" t="s">
        <v>2889</v>
      </c>
      <c r="L502"/>
      <c r="M502"/>
      <c r="N502"/>
      <c r="O502"/>
    </row>
    <row r="503" spans="2:15" x14ac:dyDescent="0.3">
      <c r="B503" s="99" t="s">
        <v>2363</v>
      </c>
      <c r="C503" s="101">
        <v>13490000</v>
      </c>
      <c r="D503" s="133">
        <f t="shared" si="14"/>
        <v>2.2539079991178181E-4</v>
      </c>
      <c r="E503" s="122">
        <f t="shared" si="15"/>
        <v>0.96493001022529146</v>
      </c>
      <c r="F503" s="99" t="s">
        <v>2889</v>
      </c>
      <c r="L503"/>
      <c r="M503"/>
      <c r="N503"/>
      <c r="O503"/>
    </row>
    <row r="504" spans="2:15" x14ac:dyDescent="0.3">
      <c r="B504" s="99" t="s">
        <v>2649</v>
      </c>
      <c r="C504" s="101">
        <v>13300000</v>
      </c>
      <c r="D504" s="133">
        <f t="shared" si="14"/>
        <v>2.2221628160316517E-4</v>
      </c>
      <c r="E504" s="122">
        <f t="shared" si="15"/>
        <v>0.96515222650689458</v>
      </c>
      <c r="F504" s="99" t="s">
        <v>2889</v>
      </c>
      <c r="L504"/>
      <c r="M504"/>
      <c r="N504"/>
      <c r="O504"/>
    </row>
    <row r="505" spans="2:15" x14ac:dyDescent="0.3">
      <c r="B505" s="99" t="s">
        <v>2372</v>
      </c>
      <c r="C505" s="101">
        <v>13230000</v>
      </c>
      <c r="D505" s="133">
        <f t="shared" si="14"/>
        <v>2.210467222263064E-4</v>
      </c>
      <c r="E505" s="122">
        <f t="shared" si="15"/>
        <v>0.96537327322912092</v>
      </c>
      <c r="F505" s="99" t="s">
        <v>2889</v>
      </c>
      <c r="L505"/>
      <c r="M505"/>
      <c r="N505"/>
      <c r="O505"/>
    </row>
    <row r="506" spans="2:15" x14ac:dyDescent="0.3">
      <c r="B506" s="99" t="s">
        <v>878</v>
      </c>
      <c r="C506" s="101">
        <v>13200000</v>
      </c>
      <c r="D506" s="133">
        <f t="shared" si="14"/>
        <v>2.2054548249336693E-4</v>
      </c>
      <c r="E506" s="122">
        <f t="shared" si="15"/>
        <v>0.96559381871161432</v>
      </c>
      <c r="F506" s="99" t="s">
        <v>2889</v>
      </c>
      <c r="L506"/>
      <c r="M506"/>
      <c r="N506"/>
      <c r="O506"/>
    </row>
    <row r="507" spans="2:15" x14ac:dyDescent="0.3">
      <c r="B507" s="99" t="s">
        <v>2436</v>
      </c>
      <c r="C507" s="101">
        <v>13200000</v>
      </c>
      <c r="D507" s="133">
        <f t="shared" si="14"/>
        <v>2.2054548249336693E-4</v>
      </c>
      <c r="E507" s="122">
        <f t="shared" si="15"/>
        <v>0.96581436419410771</v>
      </c>
      <c r="F507" s="99" t="s">
        <v>2889</v>
      </c>
      <c r="L507"/>
      <c r="M507"/>
      <c r="N507"/>
      <c r="O507"/>
    </row>
    <row r="508" spans="2:15" x14ac:dyDescent="0.3">
      <c r="B508" s="99" t="s">
        <v>2204</v>
      </c>
      <c r="C508" s="101">
        <v>13100000</v>
      </c>
      <c r="D508" s="133">
        <f t="shared" si="14"/>
        <v>2.1887468338356871E-4</v>
      </c>
      <c r="E508" s="122">
        <f t="shared" si="15"/>
        <v>0.96603323887749126</v>
      </c>
      <c r="F508" s="99" t="s">
        <v>2889</v>
      </c>
      <c r="L508"/>
      <c r="M508"/>
      <c r="N508"/>
      <c r="O508"/>
    </row>
    <row r="509" spans="2:15" x14ac:dyDescent="0.3">
      <c r="B509" s="99" t="s">
        <v>2502</v>
      </c>
      <c r="C509" s="101">
        <v>12930000</v>
      </c>
      <c r="D509" s="133">
        <f t="shared" si="14"/>
        <v>2.1603432489691169E-4</v>
      </c>
      <c r="E509" s="122">
        <f t="shared" si="15"/>
        <v>0.96624927320238818</v>
      </c>
      <c r="F509" s="99" t="s">
        <v>2889</v>
      </c>
      <c r="L509"/>
      <c r="M509"/>
      <c r="N509"/>
      <c r="O509"/>
    </row>
    <row r="510" spans="2:15" x14ac:dyDescent="0.3">
      <c r="B510" s="99" t="s">
        <v>2411</v>
      </c>
      <c r="C510" s="101">
        <v>12910000</v>
      </c>
      <c r="D510" s="133">
        <f t="shared" si="14"/>
        <v>2.1570016507495204E-4</v>
      </c>
      <c r="E510" s="122">
        <f t="shared" si="15"/>
        <v>0.96646497336746318</v>
      </c>
      <c r="F510" s="99" t="s">
        <v>2889</v>
      </c>
      <c r="L510"/>
      <c r="M510"/>
      <c r="N510"/>
      <c r="O510"/>
    </row>
    <row r="511" spans="2:15" x14ac:dyDescent="0.3">
      <c r="B511" s="99" t="s">
        <v>2143</v>
      </c>
      <c r="C511" s="101">
        <v>12725000</v>
      </c>
      <c r="D511" s="133">
        <f t="shared" si="14"/>
        <v>2.1260918672182531E-4</v>
      </c>
      <c r="E511" s="122">
        <f t="shared" si="15"/>
        <v>0.96667758255418501</v>
      </c>
      <c r="F511" s="99" t="s">
        <v>2889</v>
      </c>
      <c r="L511"/>
      <c r="M511"/>
      <c r="N511"/>
      <c r="O511"/>
    </row>
    <row r="512" spans="2:15" x14ac:dyDescent="0.3">
      <c r="B512" s="99" t="s">
        <v>2294</v>
      </c>
      <c r="C512" s="101">
        <v>12600000</v>
      </c>
      <c r="D512" s="133">
        <f t="shared" si="14"/>
        <v>2.1052068783457753E-4</v>
      </c>
      <c r="E512" s="122">
        <f t="shared" si="15"/>
        <v>0.96688810324201957</v>
      </c>
      <c r="F512" s="99" t="s">
        <v>2889</v>
      </c>
      <c r="L512"/>
      <c r="M512"/>
      <c r="N512"/>
      <c r="O512"/>
    </row>
    <row r="513" spans="2:15" x14ac:dyDescent="0.3">
      <c r="B513" s="99" t="s">
        <v>1195</v>
      </c>
      <c r="C513" s="101">
        <v>12500000</v>
      </c>
      <c r="D513" s="133">
        <f t="shared" si="14"/>
        <v>2.0884988872477928E-4</v>
      </c>
      <c r="E513" s="122">
        <f t="shared" si="15"/>
        <v>0.9670969531307444</v>
      </c>
      <c r="F513" s="99" t="s">
        <v>2889</v>
      </c>
      <c r="L513"/>
      <c r="M513"/>
      <c r="N513"/>
      <c r="O513"/>
    </row>
    <row r="514" spans="2:15" x14ac:dyDescent="0.3">
      <c r="B514" s="99" t="s">
        <v>2396</v>
      </c>
      <c r="C514" s="101">
        <v>12500000</v>
      </c>
      <c r="D514" s="133">
        <f t="shared" si="14"/>
        <v>2.0884988872477928E-4</v>
      </c>
      <c r="E514" s="122">
        <f t="shared" si="15"/>
        <v>0.96730580301946922</v>
      </c>
      <c r="F514" s="99" t="s">
        <v>2889</v>
      </c>
      <c r="L514"/>
      <c r="M514"/>
      <c r="N514"/>
      <c r="O514"/>
    </row>
    <row r="515" spans="2:15" x14ac:dyDescent="0.3">
      <c r="B515" s="99" t="s">
        <v>2450</v>
      </c>
      <c r="C515" s="101">
        <v>12420000</v>
      </c>
      <c r="D515" s="133">
        <f t="shared" si="14"/>
        <v>2.0751324943694071E-4</v>
      </c>
      <c r="E515" s="122">
        <f t="shared" si="15"/>
        <v>0.96751331626890613</v>
      </c>
      <c r="F515" s="99" t="s">
        <v>2889</v>
      </c>
      <c r="L515"/>
      <c r="M515"/>
      <c r="N515"/>
      <c r="O515"/>
    </row>
    <row r="516" spans="2:15" x14ac:dyDescent="0.3">
      <c r="B516" s="99" t="s">
        <v>2505</v>
      </c>
      <c r="C516" s="101">
        <v>12380000</v>
      </c>
      <c r="D516" s="133">
        <f t="shared" si="14"/>
        <v>2.0684492979302141E-4</v>
      </c>
      <c r="E516" s="122">
        <f t="shared" si="15"/>
        <v>0.96772016119869919</v>
      </c>
      <c r="F516" s="99" t="s">
        <v>2889</v>
      </c>
      <c r="L516"/>
      <c r="M516"/>
      <c r="N516"/>
      <c r="O516"/>
    </row>
    <row r="517" spans="2:15" x14ac:dyDescent="0.3">
      <c r="B517" s="99" t="s">
        <v>2040</v>
      </c>
      <c r="C517" s="101">
        <v>12250000</v>
      </c>
      <c r="D517" s="133">
        <f t="shared" si="14"/>
        <v>2.0467289095028369E-4</v>
      </c>
      <c r="E517" s="122">
        <f t="shared" si="15"/>
        <v>0.96792483408964947</v>
      </c>
      <c r="F517" s="99" t="s">
        <v>2889</v>
      </c>
      <c r="L517"/>
      <c r="M517"/>
      <c r="N517"/>
      <c r="O517"/>
    </row>
    <row r="518" spans="2:15" x14ac:dyDescent="0.3">
      <c r="B518" s="99" t="s">
        <v>2124</v>
      </c>
      <c r="C518" s="101">
        <v>12250000</v>
      </c>
      <c r="D518" s="133">
        <f t="shared" ref="D518:D581" si="16">C518/SUM($C$6:$C$817)</f>
        <v>2.0467289095028369E-4</v>
      </c>
      <c r="E518" s="122">
        <f t="shared" si="15"/>
        <v>0.96812950698059974</v>
      </c>
      <c r="F518" s="99" t="s">
        <v>2889</v>
      </c>
      <c r="L518"/>
      <c r="M518"/>
      <c r="N518"/>
      <c r="O518"/>
    </row>
    <row r="519" spans="2:15" x14ac:dyDescent="0.3">
      <c r="B519" s="99" t="s">
        <v>2222</v>
      </c>
      <c r="C519" s="101">
        <v>12250000</v>
      </c>
      <c r="D519" s="133">
        <f t="shared" si="16"/>
        <v>2.0467289095028369E-4</v>
      </c>
      <c r="E519" s="122">
        <f t="shared" ref="E519:E582" si="17">E518+D519</f>
        <v>0.96833417987155002</v>
      </c>
      <c r="F519" s="99" t="s">
        <v>2889</v>
      </c>
      <c r="L519"/>
      <c r="M519"/>
      <c r="N519"/>
      <c r="O519"/>
    </row>
    <row r="520" spans="2:15" x14ac:dyDescent="0.3">
      <c r="B520" s="99" t="s">
        <v>2295</v>
      </c>
      <c r="C520" s="101">
        <v>12025000</v>
      </c>
      <c r="D520" s="133">
        <f t="shared" si="16"/>
        <v>2.0091359295323766E-4</v>
      </c>
      <c r="E520" s="122">
        <f t="shared" si="17"/>
        <v>0.96853509346450328</v>
      </c>
      <c r="F520" s="99" t="s">
        <v>2889</v>
      </c>
      <c r="L520"/>
      <c r="M520"/>
      <c r="N520"/>
      <c r="O520"/>
    </row>
    <row r="521" spans="2:15" x14ac:dyDescent="0.3">
      <c r="B521" s="99" t="s">
        <v>2171</v>
      </c>
      <c r="C521" s="101">
        <v>12000000</v>
      </c>
      <c r="D521" s="133">
        <f t="shared" si="16"/>
        <v>2.0049589317578813E-4</v>
      </c>
      <c r="E521" s="122">
        <f t="shared" si="17"/>
        <v>0.96873558935767912</v>
      </c>
      <c r="F521" s="99" t="s">
        <v>2889</v>
      </c>
      <c r="L521"/>
      <c r="M521"/>
      <c r="N521"/>
      <c r="O521"/>
    </row>
    <row r="522" spans="2:15" x14ac:dyDescent="0.3">
      <c r="B522" s="99" t="s">
        <v>2329</v>
      </c>
      <c r="C522" s="101">
        <v>12000000</v>
      </c>
      <c r="D522" s="133">
        <f t="shared" si="16"/>
        <v>2.0049589317578813E-4</v>
      </c>
      <c r="E522" s="122">
        <f t="shared" si="17"/>
        <v>0.96893608525085495</v>
      </c>
      <c r="F522" s="99" t="s">
        <v>2889</v>
      </c>
      <c r="L522"/>
      <c r="M522"/>
      <c r="N522"/>
      <c r="O522"/>
    </row>
    <row r="523" spans="2:15" x14ac:dyDescent="0.3">
      <c r="B523" s="99" t="s">
        <v>2626</v>
      </c>
      <c r="C523" s="101">
        <v>12000000</v>
      </c>
      <c r="D523" s="133">
        <f t="shared" si="16"/>
        <v>2.0049589317578813E-4</v>
      </c>
      <c r="E523" s="122">
        <f t="shared" si="17"/>
        <v>0.96913658114403078</v>
      </c>
      <c r="F523" s="99" t="s">
        <v>2889</v>
      </c>
      <c r="L523"/>
      <c r="M523"/>
      <c r="N523"/>
      <c r="O523"/>
    </row>
    <row r="524" spans="2:15" x14ac:dyDescent="0.3">
      <c r="B524" s="99" t="s">
        <v>2457</v>
      </c>
      <c r="C524" s="101">
        <v>11900000</v>
      </c>
      <c r="D524" s="133">
        <f t="shared" si="16"/>
        <v>1.9882509406598988E-4</v>
      </c>
      <c r="E524" s="122">
        <f t="shared" si="17"/>
        <v>0.96933540623809678</v>
      </c>
      <c r="F524" s="99" t="s">
        <v>2889</v>
      </c>
      <c r="L524"/>
      <c r="M524"/>
      <c r="N524"/>
      <c r="O524"/>
    </row>
    <row r="525" spans="2:15" x14ac:dyDescent="0.3">
      <c r="B525" s="99" t="s">
        <v>2697</v>
      </c>
      <c r="C525" s="101">
        <v>11900000</v>
      </c>
      <c r="D525" s="133">
        <f t="shared" si="16"/>
        <v>1.9882509406598988E-4</v>
      </c>
      <c r="E525" s="122">
        <f t="shared" si="17"/>
        <v>0.96953423133216277</v>
      </c>
      <c r="F525" s="99" t="s">
        <v>2889</v>
      </c>
      <c r="L525"/>
      <c r="M525"/>
      <c r="N525"/>
      <c r="O525"/>
    </row>
    <row r="526" spans="2:15" x14ac:dyDescent="0.3">
      <c r="B526" s="99" t="s">
        <v>2562</v>
      </c>
      <c r="C526" s="101">
        <v>11775000</v>
      </c>
      <c r="D526" s="133">
        <f t="shared" si="16"/>
        <v>1.967365951787421E-4</v>
      </c>
      <c r="E526" s="122">
        <f t="shared" si="17"/>
        <v>0.96973096792734148</v>
      </c>
      <c r="F526" s="99" t="s">
        <v>2889</v>
      </c>
      <c r="L526"/>
      <c r="M526"/>
      <c r="N526"/>
      <c r="O526"/>
    </row>
    <row r="527" spans="2:15" x14ac:dyDescent="0.3">
      <c r="B527" s="99" t="s">
        <v>2713</v>
      </c>
      <c r="C527" s="101">
        <v>11750000</v>
      </c>
      <c r="D527" s="133">
        <f t="shared" si="16"/>
        <v>1.9631889540129254E-4</v>
      </c>
      <c r="E527" s="122">
        <f t="shared" si="17"/>
        <v>0.96992728682274276</v>
      </c>
      <c r="F527" s="99" t="s">
        <v>2889</v>
      </c>
      <c r="L527"/>
      <c r="M527"/>
      <c r="N527"/>
      <c r="O527"/>
    </row>
    <row r="528" spans="2:15" x14ac:dyDescent="0.3">
      <c r="B528" s="99" t="s">
        <v>2729</v>
      </c>
      <c r="C528" s="101">
        <v>11750000</v>
      </c>
      <c r="D528" s="133">
        <f t="shared" si="16"/>
        <v>1.9631889540129254E-4</v>
      </c>
      <c r="E528" s="122">
        <f t="shared" si="17"/>
        <v>0.97012360571814404</v>
      </c>
      <c r="F528" s="99" t="s">
        <v>2889</v>
      </c>
      <c r="L528"/>
      <c r="M528"/>
      <c r="N528"/>
      <c r="O528"/>
    </row>
    <row r="529" spans="2:15" x14ac:dyDescent="0.3">
      <c r="B529" s="99" t="s">
        <v>2545</v>
      </c>
      <c r="C529" s="101">
        <v>11710000</v>
      </c>
      <c r="D529" s="133">
        <f t="shared" si="16"/>
        <v>1.9565057575737324E-4</v>
      </c>
      <c r="E529" s="122">
        <f t="shared" si="17"/>
        <v>0.97031925629390137</v>
      </c>
      <c r="F529" s="99" t="s">
        <v>2889</v>
      </c>
      <c r="L529"/>
      <c r="M529"/>
      <c r="N529"/>
      <c r="O529"/>
    </row>
    <row r="530" spans="2:15" x14ac:dyDescent="0.3">
      <c r="B530" s="99" t="s">
        <v>126</v>
      </c>
      <c r="C530" s="101">
        <v>11700000</v>
      </c>
      <c r="D530" s="133">
        <f t="shared" si="16"/>
        <v>1.9548349584639342E-4</v>
      </c>
      <c r="E530" s="122">
        <f t="shared" si="17"/>
        <v>0.97051473978974778</v>
      </c>
      <c r="F530" s="99" t="s">
        <v>2889</v>
      </c>
      <c r="L530"/>
      <c r="M530"/>
      <c r="N530"/>
      <c r="O530"/>
    </row>
    <row r="531" spans="2:15" x14ac:dyDescent="0.3">
      <c r="B531" s="99" t="s">
        <v>2315</v>
      </c>
      <c r="C531" s="101">
        <v>11700000</v>
      </c>
      <c r="D531" s="133">
        <f t="shared" si="16"/>
        <v>1.9548349584639342E-4</v>
      </c>
      <c r="E531" s="122">
        <f t="shared" si="17"/>
        <v>0.9707102232855942</v>
      </c>
      <c r="F531" s="99" t="s">
        <v>2889</v>
      </c>
      <c r="L531"/>
      <c r="M531"/>
      <c r="N531"/>
      <c r="O531"/>
    </row>
    <row r="532" spans="2:15" x14ac:dyDescent="0.3">
      <c r="B532" s="99" t="s">
        <v>2606</v>
      </c>
      <c r="C532" s="101">
        <v>11700000</v>
      </c>
      <c r="D532" s="133">
        <f t="shared" si="16"/>
        <v>1.9548349584639342E-4</v>
      </c>
      <c r="E532" s="122">
        <f t="shared" si="17"/>
        <v>0.97090570678144061</v>
      </c>
      <c r="F532" s="99" t="s">
        <v>2889</v>
      </c>
      <c r="L532"/>
      <c r="M532"/>
      <c r="N532"/>
      <c r="O532"/>
    </row>
    <row r="533" spans="2:15" x14ac:dyDescent="0.3">
      <c r="B533" s="99" t="s">
        <v>2210</v>
      </c>
      <c r="C533" s="101">
        <v>11680000</v>
      </c>
      <c r="D533" s="133">
        <f t="shared" si="16"/>
        <v>1.9514933602443377E-4</v>
      </c>
      <c r="E533" s="122">
        <f t="shared" si="17"/>
        <v>0.97110085611746499</v>
      </c>
      <c r="F533" s="99" t="s">
        <v>2889</v>
      </c>
      <c r="L533"/>
      <c r="M533"/>
      <c r="N533"/>
      <c r="O533"/>
    </row>
    <row r="534" spans="2:15" x14ac:dyDescent="0.3">
      <c r="B534" s="99" t="s">
        <v>2425</v>
      </c>
      <c r="C534" s="101">
        <v>11650000</v>
      </c>
      <c r="D534" s="133">
        <f t="shared" si="16"/>
        <v>1.9464809629149429E-4</v>
      </c>
      <c r="E534" s="122">
        <f t="shared" si="17"/>
        <v>0.97129550421375654</v>
      </c>
      <c r="F534" s="99" t="s">
        <v>2889</v>
      </c>
      <c r="L534"/>
      <c r="M534"/>
      <c r="N534"/>
      <c r="O534"/>
    </row>
    <row r="535" spans="2:15" x14ac:dyDescent="0.3">
      <c r="B535" s="99" t="s">
        <v>485</v>
      </c>
      <c r="C535" s="101">
        <v>11625000</v>
      </c>
      <c r="D535" s="133">
        <f t="shared" si="16"/>
        <v>1.9423039651404473E-4</v>
      </c>
      <c r="E535" s="122">
        <f t="shared" si="17"/>
        <v>0.97148973461027055</v>
      </c>
      <c r="F535" s="99" t="s">
        <v>2889</v>
      </c>
      <c r="L535"/>
      <c r="M535"/>
      <c r="N535"/>
      <c r="O535"/>
    </row>
    <row r="536" spans="2:15" x14ac:dyDescent="0.3">
      <c r="B536" s="99" t="s">
        <v>1970</v>
      </c>
      <c r="C536" s="101">
        <v>11625000</v>
      </c>
      <c r="D536" s="133">
        <f t="shared" si="16"/>
        <v>1.9423039651404473E-4</v>
      </c>
      <c r="E536" s="122">
        <f t="shared" si="17"/>
        <v>0.97168396500678456</v>
      </c>
      <c r="F536" s="99" t="s">
        <v>2889</v>
      </c>
      <c r="L536"/>
      <c r="M536"/>
      <c r="N536"/>
      <c r="O536"/>
    </row>
    <row r="537" spans="2:15" x14ac:dyDescent="0.3">
      <c r="B537" s="99" t="s">
        <v>2225</v>
      </c>
      <c r="C537" s="101">
        <v>11575000</v>
      </c>
      <c r="D537" s="133">
        <f t="shared" si="16"/>
        <v>1.9339499695914561E-4</v>
      </c>
      <c r="E537" s="122">
        <f t="shared" si="17"/>
        <v>0.9718773600037437</v>
      </c>
      <c r="F537" s="99" t="s">
        <v>2889</v>
      </c>
      <c r="L537"/>
      <c r="M537"/>
      <c r="N537"/>
      <c r="O537"/>
    </row>
    <row r="538" spans="2:15" x14ac:dyDescent="0.3">
      <c r="B538" s="99" t="s">
        <v>2198</v>
      </c>
      <c r="C538" s="101">
        <v>11430000</v>
      </c>
      <c r="D538" s="133">
        <f t="shared" si="16"/>
        <v>1.9097233824993818E-4</v>
      </c>
      <c r="E538" s="122">
        <f t="shared" si="17"/>
        <v>0.97206833234199364</v>
      </c>
      <c r="F538" s="99" t="s">
        <v>2889</v>
      </c>
      <c r="L538"/>
      <c r="M538"/>
      <c r="N538"/>
      <c r="O538"/>
    </row>
    <row r="539" spans="2:15" x14ac:dyDescent="0.3">
      <c r="B539" s="99" t="s">
        <v>2427</v>
      </c>
      <c r="C539" s="101">
        <v>11350000</v>
      </c>
      <c r="D539" s="133">
        <f t="shared" si="16"/>
        <v>1.8963569896209958E-4</v>
      </c>
      <c r="E539" s="122">
        <f t="shared" si="17"/>
        <v>0.97225796804095577</v>
      </c>
      <c r="F539" s="99" t="s">
        <v>2889</v>
      </c>
      <c r="L539"/>
      <c r="M539"/>
      <c r="N539"/>
      <c r="O539"/>
    </row>
    <row r="540" spans="2:15" x14ac:dyDescent="0.3">
      <c r="B540" s="99" t="s">
        <v>1977</v>
      </c>
      <c r="C540" s="101">
        <v>11250000</v>
      </c>
      <c r="D540" s="133">
        <f t="shared" si="16"/>
        <v>1.8796489985230136E-4</v>
      </c>
      <c r="E540" s="122">
        <f t="shared" si="17"/>
        <v>0.97244593294080806</v>
      </c>
      <c r="F540" s="99" t="s">
        <v>2889</v>
      </c>
      <c r="L540"/>
      <c r="M540"/>
      <c r="N540"/>
      <c r="O540"/>
    </row>
    <row r="541" spans="2:15" x14ac:dyDescent="0.3">
      <c r="B541" s="99" t="s">
        <v>2360</v>
      </c>
      <c r="C541" s="101">
        <v>11250000</v>
      </c>
      <c r="D541" s="133">
        <f t="shared" si="16"/>
        <v>1.8796489985230136E-4</v>
      </c>
      <c r="E541" s="122">
        <f t="shared" si="17"/>
        <v>0.97263389784066034</v>
      </c>
      <c r="F541" s="99" t="s">
        <v>2889</v>
      </c>
      <c r="L541"/>
      <c r="M541"/>
      <c r="N541"/>
      <c r="O541"/>
    </row>
    <row r="542" spans="2:15" x14ac:dyDescent="0.3">
      <c r="B542" s="99" t="s">
        <v>2361</v>
      </c>
      <c r="C542" s="101">
        <v>11250000</v>
      </c>
      <c r="D542" s="133">
        <f t="shared" si="16"/>
        <v>1.8796489985230136E-4</v>
      </c>
      <c r="E542" s="122">
        <f t="shared" si="17"/>
        <v>0.97282186274051263</v>
      </c>
      <c r="F542" s="99" t="s">
        <v>2889</v>
      </c>
      <c r="L542"/>
      <c r="M542"/>
      <c r="N542"/>
      <c r="O542"/>
    </row>
    <row r="543" spans="2:15" x14ac:dyDescent="0.3">
      <c r="B543" s="99" t="s">
        <v>2416</v>
      </c>
      <c r="C543" s="101">
        <v>11250000</v>
      </c>
      <c r="D543" s="133">
        <f t="shared" si="16"/>
        <v>1.8796489985230136E-4</v>
      </c>
      <c r="E543" s="122">
        <f t="shared" si="17"/>
        <v>0.97300982764036492</v>
      </c>
      <c r="F543" s="99" t="s">
        <v>2889</v>
      </c>
      <c r="L543"/>
      <c r="M543"/>
      <c r="N543"/>
      <c r="O543"/>
    </row>
    <row r="544" spans="2:15" x14ac:dyDescent="0.3">
      <c r="B544" s="99" t="s">
        <v>2441</v>
      </c>
      <c r="C544" s="101">
        <v>11250000</v>
      </c>
      <c r="D544" s="133">
        <f t="shared" si="16"/>
        <v>1.8796489985230136E-4</v>
      </c>
      <c r="E544" s="122">
        <f t="shared" si="17"/>
        <v>0.97319779254021721</v>
      </c>
      <c r="F544" s="99" t="s">
        <v>2889</v>
      </c>
      <c r="L544"/>
      <c r="M544"/>
      <c r="N544"/>
      <c r="O544"/>
    </row>
    <row r="545" spans="2:15" x14ac:dyDescent="0.3">
      <c r="B545" s="99" t="s">
        <v>2308</v>
      </c>
      <c r="C545" s="101">
        <v>11200000</v>
      </c>
      <c r="D545" s="133">
        <f t="shared" si="16"/>
        <v>1.8712950029740224E-4</v>
      </c>
      <c r="E545" s="122">
        <f t="shared" si="17"/>
        <v>0.97338492204051463</v>
      </c>
      <c r="F545" s="99" t="s">
        <v>2889</v>
      </c>
      <c r="L545"/>
      <c r="M545"/>
      <c r="N545"/>
      <c r="O545"/>
    </row>
    <row r="546" spans="2:15" x14ac:dyDescent="0.3">
      <c r="B546" s="99" t="s">
        <v>2332</v>
      </c>
      <c r="C546" s="101">
        <v>11200000</v>
      </c>
      <c r="D546" s="133">
        <f t="shared" si="16"/>
        <v>1.8712950029740224E-4</v>
      </c>
      <c r="E546" s="122">
        <f t="shared" si="17"/>
        <v>0.97357205154081206</v>
      </c>
      <c r="F546" s="99" t="s">
        <v>2889</v>
      </c>
      <c r="L546"/>
      <c r="M546"/>
      <c r="N546"/>
      <c r="O546"/>
    </row>
    <row r="547" spans="2:15" x14ac:dyDescent="0.3">
      <c r="B547" s="99" t="s">
        <v>2154</v>
      </c>
      <c r="C547" s="101">
        <v>11150000</v>
      </c>
      <c r="D547" s="133">
        <f t="shared" si="16"/>
        <v>1.8629410074250311E-4</v>
      </c>
      <c r="E547" s="122">
        <f t="shared" si="17"/>
        <v>0.97375834564155461</v>
      </c>
      <c r="F547" s="99" t="s">
        <v>2889</v>
      </c>
      <c r="L547"/>
      <c r="M547"/>
      <c r="N547"/>
      <c r="O547"/>
    </row>
    <row r="548" spans="2:15" x14ac:dyDescent="0.3">
      <c r="B548" s="99" t="s">
        <v>307</v>
      </c>
      <c r="C548" s="101">
        <v>11100000</v>
      </c>
      <c r="D548" s="133">
        <f t="shared" si="16"/>
        <v>1.8545870118760402E-4</v>
      </c>
      <c r="E548" s="122">
        <f t="shared" si="17"/>
        <v>0.97394380434274219</v>
      </c>
      <c r="F548" s="99" t="s">
        <v>2889</v>
      </c>
      <c r="L548"/>
      <c r="M548"/>
      <c r="N548"/>
      <c r="O548"/>
    </row>
    <row r="549" spans="2:15" x14ac:dyDescent="0.3">
      <c r="B549" s="99" t="s">
        <v>2163</v>
      </c>
      <c r="C549" s="101">
        <v>11060000</v>
      </c>
      <c r="D549" s="133">
        <f t="shared" si="16"/>
        <v>1.8479038154368472E-4</v>
      </c>
      <c r="E549" s="122">
        <f t="shared" si="17"/>
        <v>0.97412859472428592</v>
      </c>
      <c r="F549" s="99" t="s">
        <v>2889</v>
      </c>
      <c r="L549"/>
      <c r="M549"/>
      <c r="N549"/>
      <c r="O549"/>
    </row>
    <row r="550" spans="2:15" x14ac:dyDescent="0.3">
      <c r="B550" s="99" t="s">
        <v>2623</v>
      </c>
      <c r="C550" s="101">
        <v>11025000</v>
      </c>
      <c r="D550" s="133">
        <f t="shared" si="16"/>
        <v>1.8420560185525533E-4</v>
      </c>
      <c r="E550" s="122">
        <f t="shared" si="17"/>
        <v>0.9743128003261412</v>
      </c>
      <c r="F550" s="99" t="s">
        <v>2889</v>
      </c>
      <c r="L550"/>
      <c r="M550"/>
      <c r="N550"/>
      <c r="O550"/>
    </row>
    <row r="551" spans="2:15" x14ac:dyDescent="0.3">
      <c r="B551" s="99" t="s">
        <v>2073</v>
      </c>
      <c r="C551" s="101">
        <v>11000000</v>
      </c>
      <c r="D551" s="133">
        <f t="shared" si="16"/>
        <v>1.8378790207780577E-4</v>
      </c>
      <c r="E551" s="122">
        <f t="shared" si="17"/>
        <v>0.97449658822821905</v>
      </c>
      <c r="F551" s="99" t="s">
        <v>2889</v>
      </c>
      <c r="L551"/>
      <c r="M551"/>
      <c r="N551"/>
      <c r="O551"/>
    </row>
    <row r="552" spans="2:15" x14ac:dyDescent="0.3">
      <c r="B552" s="99" t="s">
        <v>2375</v>
      </c>
      <c r="C552" s="101">
        <v>11000000</v>
      </c>
      <c r="D552" s="133">
        <f t="shared" si="16"/>
        <v>1.8378790207780577E-4</v>
      </c>
      <c r="E552" s="122">
        <f t="shared" si="17"/>
        <v>0.9746803761302969</v>
      </c>
      <c r="F552" s="99" t="s">
        <v>2889</v>
      </c>
      <c r="L552"/>
      <c r="M552"/>
      <c r="N552"/>
      <c r="O552"/>
    </row>
    <row r="553" spans="2:15" x14ac:dyDescent="0.3">
      <c r="B553" s="99" t="s">
        <v>2677</v>
      </c>
      <c r="C553" s="101">
        <v>11000000</v>
      </c>
      <c r="D553" s="133">
        <f t="shared" si="16"/>
        <v>1.8378790207780577E-4</v>
      </c>
      <c r="E553" s="122">
        <f t="shared" si="17"/>
        <v>0.97486416403237475</v>
      </c>
      <c r="F553" s="99" t="s">
        <v>2889</v>
      </c>
      <c r="L553"/>
      <c r="M553"/>
      <c r="N553"/>
      <c r="O553"/>
    </row>
    <row r="554" spans="2:15" x14ac:dyDescent="0.3">
      <c r="B554" s="99" t="s">
        <v>2387</v>
      </c>
      <c r="C554" s="101">
        <v>10950000</v>
      </c>
      <c r="D554" s="133">
        <f t="shared" si="16"/>
        <v>1.8295250252290665E-4</v>
      </c>
      <c r="E554" s="122">
        <f t="shared" si="17"/>
        <v>0.97504711653489762</v>
      </c>
      <c r="F554" s="99" t="s">
        <v>2889</v>
      </c>
      <c r="L554"/>
      <c r="M554"/>
      <c r="N554"/>
      <c r="O554"/>
    </row>
    <row r="555" spans="2:15" x14ac:dyDescent="0.3">
      <c r="B555" s="99" t="s">
        <v>2544</v>
      </c>
      <c r="C555" s="101">
        <v>10940000</v>
      </c>
      <c r="D555" s="133">
        <f t="shared" si="16"/>
        <v>1.8278542261192682E-4</v>
      </c>
      <c r="E555" s="122">
        <f t="shared" si="17"/>
        <v>0.97522990195750958</v>
      </c>
      <c r="F555" s="99" t="s">
        <v>2889</v>
      </c>
      <c r="L555"/>
      <c r="M555"/>
      <c r="N555"/>
      <c r="O555"/>
    </row>
    <row r="556" spans="2:15" x14ac:dyDescent="0.3">
      <c r="B556" s="99" t="s">
        <v>2220</v>
      </c>
      <c r="C556" s="101">
        <v>10800000</v>
      </c>
      <c r="D556" s="133">
        <f t="shared" si="16"/>
        <v>1.8044630385820931E-4</v>
      </c>
      <c r="E556" s="122">
        <f t="shared" si="17"/>
        <v>0.97541034826136774</v>
      </c>
      <c r="F556" s="99" t="s">
        <v>2889</v>
      </c>
      <c r="L556"/>
      <c r="M556"/>
      <c r="N556"/>
      <c r="O556"/>
    </row>
    <row r="557" spans="2:15" x14ac:dyDescent="0.3">
      <c r="B557" s="99" t="s">
        <v>2321</v>
      </c>
      <c r="C557" s="101">
        <v>10800000</v>
      </c>
      <c r="D557" s="133">
        <f t="shared" si="16"/>
        <v>1.8044630385820931E-4</v>
      </c>
      <c r="E557" s="122">
        <f t="shared" si="17"/>
        <v>0.97559079456522591</v>
      </c>
      <c r="F557" s="99" t="s">
        <v>2889</v>
      </c>
      <c r="L557"/>
      <c r="M557"/>
      <c r="N557"/>
      <c r="O557"/>
    </row>
    <row r="558" spans="2:15" x14ac:dyDescent="0.3">
      <c r="B558" s="99" t="s">
        <v>2848</v>
      </c>
      <c r="C558" s="101">
        <v>10800000</v>
      </c>
      <c r="D558" s="133">
        <f t="shared" si="16"/>
        <v>1.8044630385820931E-4</v>
      </c>
      <c r="E558" s="122">
        <f t="shared" si="17"/>
        <v>0.97577124086908407</v>
      </c>
      <c r="F558" s="99" t="s">
        <v>2889</v>
      </c>
      <c r="L558"/>
      <c r="M558"/>
      <c r="N558"/>
      <c r="O558"/>
    </row>
    <row r="559" spans="2:15" x14ac:dyDescent="0.3">
      <c r="B559" s="99" t="s">
        <v>2575</v>
      </c>
      <c r="C559" s="101">
        <v>10680000</v>
      </c>
      <c r="D559" s="133">
        <f t="shared" si="16"/>
        <v>1.7844134492645144E-4</v>
      </c>
      <c r="E559" s="122">
        <f t="shared" si="17"/>
        <v>0.97594968221401057</v>
      </c>
      <c r="F559" s="99" t="s">
        <v>2889</v>
      </c>
      <c r="L559"/>
      <c r="M559"/>
      <c r="N559"/>
      <c r="O559"/>
    </row>
    <row r="560" spans="2:15" x14ac:dyDescent="0.3">
      <c r="B560" s="99" t="s">
        <v>2510</v>
      </c>
      <c r="C560" s="101">
        <v>10560000</v>
      </c>
      <c r="D560" s="133">
        <f t="shared" si="16"/>
        <v>1.7643638599469354E-4</v>
      </c>
      <c r="E560" s="122">
        <f t="shared" si="17"/>
        <v>0.97612611860000531</v>
      </c>
      <c r="F560" s="99" t="s">
        <v>2889</v>
      </c>
      <c r="L560"/>
      <c r="M560"/>
      <c r="N560"/>
      <c r="O560"/>
    </row>
    <row r="561" spans="2:15" x14ac:dyDescent="0.3">
      <c r="B561" s="99" t="s">
        <v>402</v>
      </c>
      <c r="C561" s="101">
        <v>10525000</v>
      </c>
      <c r="D561" s="133">
        <f t="shared" si="16"/>
        <v>1.7585160630626415E-4</v>
      </c>
      <c r="E561" s="122">
        <f t="shared" si="17"/>
        <v>0.9763019702063116</v>
      </c>
      <c r="F561" s="99" t="s">
        <v>2889</v>
      </c>
      <c r="L561"/>
      <c r="M561"/>
      <c r="N561"/>
      <c r="O561"/>
    </row>
    <row r="562" spans="2:15" x14ac:dyDescent="0.3">
      <c r="B562" s="99" t="s">
        <v>2849</v>
      </c>
      <c r="C562" s="101">
        <v>10500000</v>
      </c>
      <c r="D562" s="133">
        <f t="shared" si="16"/>
        <v>1.7543390652881459E-4</v>
      </c>
      <c r="E562" s="122">
        <f t="shared" si="17"/>
        <v>0.97647740411284045</v>
      </c>
      <c r="F562" s="99" t="s">
        <v>2889</v>
      </c>
      <c r="L562"/>
      <c r="M562"/>
      <c r="N562"/>
      <c r="O562"/>
    </row>
    <row r="563" spans="2:15" x14ac:dyDescent="0.3">
      <c r="B563" s="99" t="s">
        <v>2407</v>
      </c>
      <c r="C563" s="101">
        <v>10500000</v>
      </c>
      <c r="D563" s="133">
        <f t="shared" si="16"/>
        <v>1.7543390652881459E-4</v>
      </c>
      <c r="E563" s="122">
        <f t="shared" si="17"/>
        <v>0.97665283801936931</v>
      </c>
      <c r="F563" s="99" t="s">
        <v>2889</v>
      </c>
      <c r="L563"/>
      <c r="M563"/>
      <c r="N563"/>
      <c r="O563"/>
    </row>
    <row r="564" spans="2:15" x14ac:dyDescent="0.3">
      <c r="B564" s="99" t="s">
        <v>824</v>
      </c>
      <c r="C564" s="101">
        <v>10400000</v>
      </c>
      <c r="D564" s="133">
        <f t="shared" si="16"/>
        <v>1.7376310741901637E-4</v>
      </c>
      <c r="E564" s="122">
        <f t="shared" si="17"/>
        <v>0.97682660112678832</v>
      </c>
      <c r="F564" s="99" t="s">
        <v>2889</v>
      </c>
      <c r="L564"/>
      <c r="M564"/>
      <c r="N564"/>
      <c r="O564"/>
    </row>
    <row r="565" spans="2:15" x14ac:dyDescent="0.3">
      <c r="B565" s="99" t="s">
        <v>2574</v>
      </c>
      <c r="C565" s="101">
        <v>10350000</v>
      </c>
      <c r="D565" s="133">
        <f t="shared" si="16"/>
        <v>1.7292770786411725E-4</v>
      </c>
      <c r="E565" s="122">
        <f t="shared" si="17"/>
        <v>0.97699952883465246</v>
      </c>
      <c r="F565" s="99" t="s">
        <v>2889</v>
      </c>
      <c r="L565"/>
      <c r="M565"/>
      <c r="N565"/>
      <c r="O565"/>
    </row>
    <row r="566" spans="2:15" x14ac:dyDescent="0.3">
      <c r="B566" s="99" t="s">
        <v>2521</v>
      </c>
      <c r="C566" s="101">
        <v>10260000</v>
      </c>
      <c r="D566" s="133">
        <f t="shared" si="16"/>
        <v>1.7142398866529883E-4</v>
      </c>
      <c r="E566" s="122">
        <f t="shared" si="17"/>
        <v>0.97717095282331778</v>
      </c>
      <c r="F566" s="99" t="s">
        <v>2889</v>
      </c>
      <c r="L566"/>
      <c r="M566"/>
      <c r="N566"/>
      <c r="O566"/>
    </row>
    <row r="567" spans="2:15" x14ac:dyDescent="0.3">
      <c r="B567" s="99" t="s">
        <v>2829</v>
      </c>
      <c r="C567" s="101">
        <v>10260000</v>
      </c>
      <c r="D567" s="133">
        <f t="shared" si="16"/>
        <v>1.7142398866529883E-4</v>
      </c>
      <c r="E567" s="122">
        <f t="shared" si="17"/>
        <v>0.9773423768119831</v>
      </c>
      <c r="F567" s="99" t="s">
        <v>2889</v>
      </c>
      <c r="L567"/>
      <c r="M567"/>
      <c r="N567"/>
      <c r="O567"/>
    </row>
    <row r="568" spans="2:15" x14ac:dyDescent="0.3">
      <c r="B568" s="99" t="s">
        <v>2552</v>
      </c>
      <c r="C568" s="101">
        <v>10250000</v>
      </c>
      <c r="D568" s="133">
        <f t="shared" si="16"/>
        <v>1.71256908754319E-4</v>
      </c>
      <c r="E568" s="122">
        <f t="shared" si="17"/>
        <v>0.97751363372073741</v>
      </c>
      <c r="F568" s="99" t="s">
        <v>2889</v>
      </c>
      <c r="L568"/>
      <c r="M568"/>
      <c r="N568"/>
      <c r="O568"/>
    </row>
    <row r="569" spans="2:15" x14ac:dyDescent="0.3">
      <c r="B569" s="99" t="s">
        <v>152</v>
      </c>
      <c r="C569" s="101">
        <v>10230000</v>
      </c>
      <c r="D569" s="133">
        <f t="shared" si="16"/>
        <v>1.7092274893235938E-4</v>
      </c>
      <c r="E569" s="122">
        <f t="shared" si="17"/>
        <v>0.97768455646966979</v>
      </c>
      <c r="F569" s="99" t="s">
        <v>2889</v>
      </c>
      <c r="L569"/>
      <c r="M569"/>
      <c r="N569"/>
      <c r="O569"/>
    </row>
    <row r="570" spans="2:15" x14ac:dyDescent="0.3">
      <c r="B570" s="99" t="s">
        <v>2693</v>
      </c>
      <c r="C570" s="101">
        <v>10130000</v>
      </c>
      <c r="D570" s="133">
        <f t="shared" si="16"/>
        <v>1.6925194982256113E-4</v>
      </c>
      <c r="E570" s="122">
        <f t="shared" si="17"/>
        <v>0.97785380841949232</v>
      </c>
      <c r="F570" s="99" t="s">
        <v>2889</v>
      </c>
      <c r="L570"/>
      <c r="M570"/>
      <c r="N570"/>
      <c r="O570"/>
    </row>
    <row r="571" spans="2:15" x14ac:dyDescent="0.3">
      <c r="B571" s="99" t="s">
        <v>2280</v>
      </c>
      <c r="C571" s="101">
        <v>9900000</v>
      </c>
      <c r="D571" s="133">
        <f t="shared" si="16"/>
        <v>1.6540911187002519E-4</v>
      </c>
      <c r="E571" s="122">
        <f t="shared" si="17"/>
        <v>0.97801921753136234</v>
      </c>
      <c r="F571" s="99" t="s">
        <v>2889</v>
      </c>
      <c r="L571"/>
      <c r="M571"/>
      <c r="N571"/>
      <c r="O571"/>
    </row>
    <row r="572" spans="2:15" x14ac:dyDescent="0.3">
      <c r="B572" s="99" t="s">
        <v>2337</v>
      </c>
      <c r="C572" s="101">
        <v>9900000</v>
      </c>
      <c r="D572" s="133">
        <f t="shared" si="16"/>
        <v>1.6540911187002519E-4</v>
      </c>
      <c r="E572" s="122">
        <f t="shared" si="17"/>
        <v>0.97818462664323236</v>
      </c>
      <c r="F572" s="99" t="s">
        <v>2889</v>
      </c>
      <c r="L572"/>
      <c r="M572"/>
      <c r="N572"/>
      <c r="O572"/>
    </row>
    <row r="573" spans="2:15" x14ac:dyDescent="0.3">
      <c r="B573" s="99" t="s">
        <v>2549</v>
      </c>
      <c r="C573" s="101">
        <v>9900000</v>
      </c>
      <c r="D573" s="133">
        <f t="shared" si="16"/>
        <v>1.6540911187002519E-4</v>
      </c>
      <c r="E573" s="122">
        <f t="shared" si="17"/>
        <v>0.97835003575510238</v>
      </c>
      <c r="F573" s="99" t="s">
        <v>2889</v>
      </c>
      <c r="L573"/>
      <c r="M573"/>
      <c r="N573"/>
      <c r="O573"/>
    </row>
    <row r="574" spans="2:15" x14ac:dyDescent="0.3">
      <c r="B574" s="99" t="s">
        <v>2402</v>
      </c>
      <c r="C574" s="101">
        <v>9825000</v>
      </c>
      <c r="D574" s="133">
        <f t="shared" si="16"/>
        <v>1.6415601253767651E-4</v>
      </c>
      <c r="E574" s="122">
        <f t="shared" si="17"/>
        <v>0.9785141917676401</v>
      </c>
      <c r="F574" s="99" t="s">
        <v>2889</v>
      </c>
      <c r="L574"/>
      <c r="M574"/>
      <c r="N574"/>
      <c r="O574"/>
    </row>
    <row r="575" spans="2:15" x14ac:dyDescent="0.3">
      <c r="B575" s="99" t="s">
        <v>2189</v>
      </c>
      <c r="C575" s="101">
        <v>9800000</v>
      </c>
      <c r="D575" s="133">
        <f t="shared" si="16"/>
        <v>1.6373831276022697E-4</v>
      </c>
      <c r="E575" s="122">
        <f t="shared" si="17"/>
        <v>0.97867793008040027</v>
      </c>
      <c r="F575" s="99" t="s">
        <v>2889</v>
      </c>
      <c r="L575"/>
      <c r="M575"/>
      <c r="N575"/>
      <c r="O575"/>
    </row>
    <row r="576" spans="2:15" x14ac:dyDescent="0.3">
      <c r="B576" s="99" t="s">
        <v>2383</v>
      </c>
      <c r="C576" s="101">
        <v>9800000</v>
      </c>
      <c r="D576" s="133">
        <f t="shared" si="16"/>
        <v>1.6373831276022697E-4</v>
      </c>
      <c r="E576" s="122">
        <f t="shared" si="17"/>
        <v>0.97884166839316045</v>
      </c>
      <c r="F576" s="99" t="s">
        <v>2889</v>
      </c>
      <c r="L576"/>
      <c r="M576"/>
      <c r="N576"/>
      <c r="O576"/>
    </row>
    <row r="577" spans="2:15" x14ac:dyDescent="0.3">
      <c r="B577" s="99" t="s">
        <v>2230</v>
      </c>
      <c r="C577" s="101">
        <v>9750000</v>
      </c>
      <c r="D577" s="133">
        <f t="shared" si="16"/>
        <v>1.6290291320532785E-4</v>
      </c>
      <c r="E577" s="122">
        <f t="shared" si="17"/>
        <v>0.97900457130636576</v>
      </c>
      <c r="F577" s="99" t="s">
        <v>2889</v>
      </c>
      <c r="L577"/>
      <c r="M577"/>
      <c r="N577"/>
      <c r="O577"/>
    </row>
    <row r="578" spans="2:15" x14ac:dyDescent="0.3">
      <c r="B578" s="99" t="s">
        <v>2499</v>
      </c>
      <c r="C578" s="101">
        <v>9750000</v>
      </c>
      <c r="D578" s="133">
        <f t="shared" si="16"/>
        <v>1.6290291320532785E-4</v>
      </c>
      <c r="E578" s="122">
        <f t="shared" si="17"/>
        <v>0.97916747421957107</v>
      </c>
      <c r="F578" s="99" t="s">
        <v>2889</v>
      </c>
      <c r="L578"/>
      <c r="M578"/>
      <c r="N578"/>
      <c r="O578"/>
    </row>
    <row r="579" spans="2:15" x14ac:dyDescent="0.3">
      <c r="B579" s="99" t="s">
        <v>2583</v>
      </c>
      <c r="C579" s="101">
        <v>9650000</v>
      </c>
      <c r="D579" s="133">
        <f t="shared" si="16"/>
        <v>1.612321140955296E-4</v>
      </c>
      <c r="E579" s="122">
        <f t="shared" si="17"/>
        <v>0.97932870633366664</v>
      </c>
      <c r="F579" s="99" t="s">
        <v>2889</v>
      </c>
      <c r="L579"/>
      <c r="M579"/>
      <c r="N579"/>
      <c r="O579"/>
    </row>
    <row r="580" spans="2:15" x14ac:dyDescent="0.3">
      <c r="B580" s="99" t="s">
        <v>2723</v>
      </c>
      <c r="C580" s="101">
        <v>9580000</v>
      </c>
      <c r="D580" s="133">
        <f t="shared" si="16"/>
        <v>1.6006255471867086E-4</v>
      </c>
      <c r="E580" s="122">
        <f t="shared" si="17"/>
        <v>0.97948876888838532</v>
      </c>
      <c r="F580" s="99" t="s">
        <v>2889</v>
      </c>
      <c r="L580"/>
      <c r="M580"/>
      <c r="N580"/>
      <c r="O580"/>
    </row>
    <row r="581" spans="2:15" x14ac:dyDescent="0.3">
      <c r="B581" s="99" t="s">
        <v>2231</v>
      </c>
      <c r="C581" s="101">
        <v>9500000</v>
      </c>
      <c r="D581" s="133">
        <f t="shared" si="16"/>
        <v>1.5872591543083226E-4</v>
      </c>
      <c r="E581" s="122">
        <f t="shared" si="17"/>
        <v>0.97964749480381619</v>
      </c>
      <c r="F581" s="99" t="s">
        <v>2889</v>
      </c>
      <c r="L581"/>
      <c r="M581"/>
      <c r="N581"/>
      <c r="O581"/>
    </row>
    <row r="582" spans="2:15" x14ac:dyDescent="0.3">
      <c r="B582" s="99" t="s">
        <v>2369</v>
      </c>
      <c r="C582" s="101">
        <v>9500000</v>
      </c>
      <c r="D582" s="133">
        <f t="shared" ref="D582:D645" si="18">C582/SUM($C$6:$C$817)</f>
        <v>1.5872591543083226E-4</v>
      </c>
      <c r="E582" s="122">
        <f t="shared" si="17"/>
        <v>0.97980622071924706</v>
      </c>
      <c r="F582" s="99" t="s">
        <v>2889</v>
      </c>
      <c r="L582"/>
      <c r="M582"/>
      <c r="N582"/>
      <c r="O582"/>
    </row>
    <row r="583" spans="2:15" x14ac:dyDescent="0.3">
      <c r="B583" s="99" t="s">
        <v>2568</v>
      </c>
      <c r="C583" s="101">
        <v>9500000</v>
      </c>
      <c r="D583" s="133">
        <f t="shared" si="18"/>
        <v>1.5872591543083226E-4</v>
      </c>
      <c r="E583" s="122">
        <f t="shared" ref="E583:E646" si="19">E582+D583</f>
        <v>0.97996494663467792</v>
      </c>
      <c r="F583" s="99" t="s">
        <v>2889</v>
      </c>
      <c r="L583"/>
      <c r="M583"/>
      <c r="N583"/>
      <c r="O583"/>
    </row>
    <row r="584" spans="2:15" x14ac:dyDescent="0.3">
      <c r="B584" s="99" t="s">
        <v>2659</v>
      </c>
      <c r="C584" s="101">
        <v>9500000</v>
      </c>
      <c r="D584" s="133">
        <f t="shared" si="18"/>
        <v>1.5872591543083226E-4</v>
      </c>
      <c r="E584" s="122">
        <f t="shared" si="19"/>
        <v>0.98012367255010879</v>
      </c>
      <c r="F584" s="99" t="s">
        <v>2889</v>
      </c>
      <c r="L584"/>
      <c r="M584"/>
      <c r="N584"/>
      <c r="O584"/>
    </row>
    <row r="585" spans="2:15" x14ac:dyDescent="0.3">
      <c r="B585" s="99" t="s">
        <v>2778</v>
      </c>
      <c r="C585" s="101">
        <v>9500000</v>
      </c>
      <c r="D585" s="133">
        <f t="shared" si="18"/>
        <v>1.5872591543083226E-4</v>
      </c>
      <c r="E585" s="122">
        <f t="shared" si="19"/>
        <v>0.98028239846553966</v>
      </c>
      <c r="F585" s="99" t="s">
        <v>2889</v>
      </c>
      <c r="L585"/>
      <c r="M585"/>
      <c r="N585"/>
      <c r="O585"/>
    </row>
    <row r="586" spans="2:15" x14ac:dyDescent="0.3">
      <c r="B586" s="99" t="s">
        <v>2547</v>
      </c>
      <c r="C586" s="101">
        <v>9400000</v>
      </c>
      <c r="D586" s="133">
        <f t="shared" si="18"/>
        <v>1.5705511632103402E-4</v>
      </c>
      <c r="E586" s="122">
        <f t="shared" si="19"/>
        <v>0.98043945358186069</v>
      </c>
      <c r="F586" s="99" t="s">
        <v>2889</v>
      </c>
      <c r="L586"/>
      <c r="M586"/>
      <c r="N586"/>
      <c r="O586"/>
    </row>
    <row r="587" spans="2:15" x14ac:dyDescent="0.3">
      <c r="B587" s="99" t="s">
        <v>2613</v>
      </c>
      <c r="C587" s="101">
        <v>9250000</v>
      </c>
      <c r="D587" s="133">
        <f t="shared" si="18"/>
        <v>1.5454891765633667E-4</v>
      </c>
      <c r="E587" s="122">
        <f t="shared" si="19"/>
        <v>0.980594002499517</v>
      </c>
      <c r="F587" s="99" t="s">
        <v>2889</v>
      </c>
      <c r="L587"/>
      <c r="M587"/>
      <c r="N587"/>
      <c r="O587"/>
    </row>
    <row r="588" spans="2:15" x14ac:dyDescent="0.3">
      <c r="B588" s="99" t="s">
        <v>2745</v>
      </c>
      <c r="C588" s="101">
        <v>9250000</v>
      </c>
      <c r="D588" s="133">
        <f t="shared" si="18"/>
        <v>1.5454891765633667E-4</v>
      </c>
      <c r="E588" s="122">
        <f t="shared" si="19"/>
        <v>0.98074855141717332</v>
      </c>
      <c r="F588" s="99" t="s">
        <v>2889</v>
      </c>
      <c r="L588"/>
      <c r="M588"/>
      <c r="N588"/>
      <c r="O588"/>
    </row>
    <row r="589" spans="2:15" x14ac:dyDescent="0.3">
      <c r="B589" s="99" t="s">
        <v>442</v>
      </c>
      <c r="C589" s="101">
        <v>9200000</v>
      </c>
      <c r="D589" s="133">
        <f t="shared" si="18"/>
        <v>1.5371351810143755E-4</v>
      </c>
      <c r="E589" s="122">
        <f t="shared" si="19"/>
        <v>0.98090226493527477</v>
      </c>
      <c r="F589" s="99" t="s">
        <v>2889</v>
      </c>
      <c r="L589"/>
      <c r="M589"/>
      <c r="N589"/>
      <c r="O589"/>
    </row>
    <row r="590" spans="2:15" x14ac:dyDescent="0.3">
      <c r="B590" s="99" t="s">
        <v>2617</v>
      </c>
      <c r="C590" s="101">
        <v>9200000</v>
      </c>
      <c r="D590" s="133">
        <f t="shared" si="18"/>
        <v>1.5371351810143755E-4</v>
      </c>
      <c r="E590" s="122">
        <f t="shared" si="19"/>
        <v>0.98105597845337622</v>
      </c>
      <c r="F590" s="99" t="s">
        <v>2889</v>
      </c>
      <c r="L590"/>
      <c r="M590"/>
      <c r="N590"/>
      <c r="O590"/>
    </row>
    <row r="591" spans="2:15" x14ac:dyDescent="0.3">
      <c r="B591" s="99" t="s">
        <v>2531</v>
      </c>
      <c r="C591" s="101">
        <v>9160000</v>
      </c>
      <c r="D591" s="133">
        <f t="shared" si="18"/>
        <v>1.5304519845751825E-4</v>
      </c>
      <c r="E591" s="122">
        <f t="shared" si="19"/>
        <v>0.98120902365183371</v>
      </c>
      <c r="F591" s="99" t="s">
        <v>2889</v>
      </c>
      <c r="L591"/>
      <c r="M591"/>
      <c r="N591"/>
      <c r="O591"/>
    </row>
    <row r="592" spans="2:15" x14ac:dyDescent="0.3">
      <c r="B592" s="99" t="s">
        <v>2522</v>
      </c>
      <c r="C592" s="101">
        <v>9120000</v>
      </c>
      <c r="D592" s="133">
        <f t="shared" si="18"/>
        <v>1.5237687881359898E-4</v>
      </c>
      <c r="E592" s="122">
        <f t="shared" si="19"/>
        <v>0.98136140053064735</v>
      </c>
      <c r="F592" s="99" t="s">
        <v>2889</v>
      </c>
      <c r="L592"/>
      <c r="M592"/>
      <c r="N592"/>
      <c r="O592"/>
    </row>
    <row r="593" spans="2:15" x14ac:dyDescent="0.3">
      <c r="B593" s="99" t="s">
        <v>2209</v>
      </c>
      <c r="C593" s="101">
        <v>9070000</v>
      </c>
      <c r="D593" s="133">
        <f t="shared" si="18"/>
        <v>1.5154147925869986E-4</v>
      </c>
      <c r="E593" s="122">
        <f t="shared" si="19"/>
        <v>0.98151294200990602</v>
      </c>
      <c r="F593" s="99" t="s">
        <v>2889</v>
      </c>
      <c r="L593"/>
      <c r="M593"/>
      <c r="N593"/>
      <c r="O593"/>
    </row>
    <row r="594" spans="2:15" x14ac:dyDescent="0.3">
      <c r="B594" s="99" t="s">
        <v>2212</v>
      </c>
      <c r="C594" s="101">
        <v>9000000</v>
      </c>
      <c r="D594" s="133">
        <f t="shared" si="18"/>
        <v>1.5037191988184108E-4</v>
      </c>
      <c r="E594" s="122">
        <f t="shared" si="19"/>
        <v>0.9816633139297879</v>
      </c>
      <c r="F594" s="99" t="s">
        <v>2889</v>
      </c>
      <c r="L594"/>
      <c r="M594"/>
      <c r="N594"/>
      <c r="O594"/>
    </row>
    <row r="595" spans="2:15" x14ac:dyDescent="0.3">
      <c r="B595" s="99" t="s">
        <v>2408</v>
      </c>
      <c r="C595" s="101">
        <v>9000000</v>
      </c>
      <c r="D595" s="133">
        <f t="shared" si="18"/>
        <v>1.5037191988184108E-4</v>
      </c>
      <c r="E595" s="122">
        <f t="shared" si="19"/>
        <v>0.98181368584966977</v>
      </c>
      <c r="F595" s="99" t="s">
        <v>2889</v>
      </c>
      <c r="L595"/>
      <c r="M595"/>
      <c r="N595"/>
      <c r="O595"/>
    </row>
    <row r="596" spans="2:15" x14ac:dyDescent="0.3">
      <c r="B596" s="99" t="s">
        <v>2418</v>
      </c>
      <c r="C596" s="101">
        <v>9000000</v>
      </c>
      <c r="D596" s="133">
        <f t="shared" si="18"/>
        <v>1.5037191988184108E-4</v>
      </c>
      <c r="E596" s="122">
        <f t="shared" si="19"/>
        <v>0.98196405776955165</v>
      </c>
      <c r="F596" s="99" t="s">
        <v>2889</v>
      </c>
      <c r="L596"/>
      <c r="M596"/>
      <c r="N596"/>
      <c r="O596"/>
    </row>
    <row r="597" spans="2:15" x14ac:dyDescent="0.3">
      <c r="B597" s="99" t="s">
        <v>2654</v>
      </c>
      <c r="C597" s="101">
        <v>9000000</v>
      </c>
      <c r="D597" s="133">
        <f t="shared" si="18"/>
        <v>1.5037191988184108E-4</v>
      </c>
      <c r="E597" s="122">
        <f t="shared" si="19"/>
        <v>0.98211442968943352</v>
      </c>
      <c r="F597" s="99" t="s">
        <v>2889</v>
      </c>
      <c r="L597"/>
      <c r="M597"/>
      <c r="N597"/>
      <c r="O597"/>
    </row>
    <row r="598" spans="2:15" x14ac:dyDescent="0.3">
      <c r="B598" s="99" t="s">
        <v>2586</v>
      </c>
      <c r="C598" s="101">
        <v>8975000</v>
      </c>
      <c r="D598" s="133">
        <f t="shared" si="18"/>
        <v>1.4995422010439152E-4</v>
      </c>
      <c r="E598" s="122">
        <f t="shared" si="19"/>
        <v>0.98226438390953796</v>
      </c>
      <c r="F598" s="99" t="s">
        <v>2889</v>
      </c>
      <c r="L598"/>
      <c r="M598"/>
      <c r="N598"/>
      <c r="O598"/>
    </row>
    <row r="599" spans="2:15" x14ac:dyDescent="0.3">
      <c r="B599" s="99" t="s">
        <v>2249</v>
      </c>
      <c r="C599" s="101">
        <v>8960000</v>
      </c>
      <c r="D599" s="133">
        <f t="shared" si="18"/>
        <v>1.4970360023792178E-4</v>
      </c>
      <c r="E599" s="122">
        <f t="shared" si="19"/>
        <v>0.98241408750977588</v>
      </c>
      <c r="F599" s="99" t="s">
        <v>2889</v>
      </c>
      <c r="L599"/>
      <c r="M599"/>
      <c r="N599"/>
      <c r="O599"/>
    </row>
    <row r="600" spans="2:15" x14ac:dyDescent="0.3">
      <c r="B600" s="99" t="s">
        <v>2435</v>
      </c>
      <c r="C600" s="101">
        <v>8960000</v>
      </c>
      <c r="D600" s="133">
        <f t="shared" si="18"/>
        <v>1.4970360023792178E-4</v>
      </c>
      <c r="E600" s="122">
        <f t="shared" si="19"/>
        <v>0.9825637911100138</v>
      </c>
      <c r="F600" s="99" t="s">
        <v>2889</v>
      </c>
      <c r="L600"/>
      <c r="M600"/>
      <c r="N600"/>
      <c r="O600"/>
    </row>
    <row r="601" spans="2:15" x14ac:dyDescent="0.3">
      <c r="B601" s="99" t="s">
        <v>2595</v>
      </c>
      <c r="C601" s="101">
        <v>8820000</v>
      </c>
      <c r="D601" s="133">
        <f t="shared" si="18"/>
        <v>1.4736448148420427E-4</v>
      </c>
      <c r="E601" s="122">
        <f t="shared" si="19"/>
        <v>0.98271115559149802</v>
      </c>
      <c r="F601" s="99" t="s">
        <v>2889</v>
      </c>
      <c r="L601"/>
      <c r="M601"/>
      <c r="N601"/>
      <c r="O601"/>
    </row>
    <row r="602" spans="2:15" x14ac:dyDescent="0.3">
      <c r="B602" s="99" t="s">
        <v>2621</v>
      </c>
      <c r="C602" s="101">
        <v>8750000</v>
      </c>
      <c r="D602" s="133">
        <f t="shared" si="18"/>
        <v>1.4619492210734549E-4</v>
      </c>
      <c r="E602" s="122">
        <f t="shared" si="19"/>
        <v>0.98285735051360534</v>
      </c>
      <c r="F602" s="99" t="s">
        <v>2889</v>
      </c>
      <c r="L602"/>
      <c r="M602"/>
      <c r="N602"/>
      <c r="O602"/>
    </row>
    <row r="603" spans="2:15" x14ac:dyDescent="0.3">
      <c r="B603" s="99" t="s">
        <v>2771</v>
      </c>
      <c r="C603" s="101">
        <v>8750000</v>
      </c>
      <c r="D603" s="133">
        <f t="shared" si="18"/>
        <v>1.4619492210734549E-4</v>
      </c>
      <c r="E603" s="122">
        <f t="shared" si="19"/>
        <v>0.98300354543571267</v>
      </c>
      <c r="F603" s="99" t="s">
        <v>2889</v>
      </c>
      <c r="L603"/>
      <c r="M603"/>
      <c r="N603"/>
      <c r="O603"/>
    </row>
    <row r="604" spans="2:15" x14ac:dyDescent="0.3">
      <c r="B604" s="99" t="s">
        <v>1716</v>
      </c>
      <c r="C604" s="101">
        <v>8720000</v>
      </c>
      <c r="D604" s="133">
        <f t="shared" si="18"/>
        <v>1.4569368237440602E-4</v>
      </c>
      <c r="E604" s="122">
        <f t="shared" si="19"/>
        <v>0.98314923911808705</v>
      </c>
      <c r="F604" s="99" t="s">
        <v>2889</v>
      </c>
      <c r="L604"/>
      <c r="M604"/>
      <c r="N604"/>
      <c r="O604"/>
    </row>
    <row r="605" spans="2:15" x14ac:dyDescent="0.3">
      <c r="B605" s="99" t="s">
        <v>2318</v>
      </c>
      <c r="C605" s="101">
        <v>8660000</v>
      </c>
      <c r="D605" s="133">
        <f t="shared" si="18"/>
        <v>1.446912029085271E-4</v>
      </c>
      <c r="E605" s="122">
        <f t="shared" si="19"/>
        <v>0.98329393032099555</v>
      </c>
      <c r="F605" s="99" t="s">
        <v>2889</v>
      </c>
      <c r="L605"/>
      <c r="M605"/>
      <c r="N605"/>
      <c r="O605"/>
    </row>
    <row r="606" spans="2:15" x14ac:dyDescent="0.3">
      <c r="B606" s="99" t="s">
        <v>968</v>
      </c>
      <c r="C606" s="101">
        <v>8640000</v>
      </c>
      <c r="D606" s="133">
        <f t="shared" si="18"/>
        <v>1.4435704308656745E-4</v>
      </c>
      <c r="E606" s="122">
        <f t="shared" si="19"/>
        <v>0.98343828736408212</v>
      </c>
      <c r="F606" s="99" t="s">
        <v>2889</v>
      </c>
      <c r="L606"/>
      <c r="M606"/>
      <c r="N606"/>
      <c r="O606"/>
    </row>
    <row r="607" spans="2:15" x14ac:dyDescent="0.3">
      <c r="B607" s="99" t="s">
        <v>2795</v>
      </c>
      <c r="C607" s="101">
        <v>8640000</v>
      </c>
      <c r="D607" s="133">
        <f t="shared" si="18"/>
        <v>1.4435704308656745E-4</v>
      </c>
      <c r="E607" s="122">
        <f t="shared" si="19"/>
        <v>0.98358264440716869</v>
      </c>
      <c r="F607" s="99" t="s">
        <v>2889</v>
      </c>
      <c r="L607"/>
      <c r="M607"/>
      <c r="N607"/>
      <c r="O607"/>
    </row>
    <row r="608" spans="2:15" x14ac:dyDescent="0.3">
      <c r="B608" s="99" t="s">
        <v>1899</v>
      </c>
      <c r="C608" s="101">
        <v>8600000</v>
      </c>
      <c r="D608" s="133">
        <f t="shared" si="18"/>
        <v>1.4368872344264815E-4</v>
      </c>
      <c r="E608" s="122">
        <f t="shared" si="19"/>
        <v>0.98372633313061131</v>
      </c>
      <c r="F608" s="99" t="s">
        <v>2889</v>
      </c>
      <c r="L608"/>
      <c r="M608"/>
      <c r="N608"/>
      <c r="O608"/>
    </row>
    <row r="609" spans="2:15" x14ac:dyDescent="0.3">
      <c r="B609" s="99" t="s">
        <v>2174</v>
      </c>
      <c r="C609" s="101">
        <v>8600000</v>
      </c>
      <c r="D609" s="133">
        <f t="shared" si="18"/>
        <v>1.4368872344264815E-4</v>
      </c>
      <c r="E609" s="122">
        <f t="shared" si="19"/>
        <v>0.98387002185405392</v>
      </c>
      <c r="F609" s="99" t="s">
        <v>2889</v>
      </c>
      <c r="L609"/>
      <c r="M609"/>
      <c r="N609"/>
      <c r="O609"/>
    </row>
    <row r="610" spans="2:15" x14ac:dyDescent="0.3">
      <c r="B610" s="99" t="s">
        <v>2539</v>
      </c>
      <c r="C610" s="101">
        <v>8600000</v>
      </c>
      <c r="D610" s="133">
        <f t="shared" si="18"/>
        <v>1.4368872344264815E-4</v>
      </c>
      <c r="E610" s="122">
        <f t="shared" si="19"/>
        <v>0.98401371057749654</v>
      </c>
      <c r="F610" s="99" t="s">
        <v>2889</v>
      </c>
      <c r="L610"/>
      <c r="M610"/>
      <c r="N610"/>
      <c r="O610"/>
    </row>
    <row r="611" spans="2:15" x14ac:dyDescent="0.3">
      <c r="B611" s="99" t="s">
        <v>2726</v>
      </c>
      <c r="C611" s="101">
        <v>8600000</v>
      </c>
      <c r="D611" s="133">
        <f t="shared" si="18"/>
        <v>1.4368872344264815E-4</v>
      </c>
      <c r="E611" s="122">
        <f t="shared" si="19"/>
        <v>0.98415739930093915</v>
      </c>
      <c r="F611" s="99" t="s">
        <v>2889</v>
      </c>
      <c r="L611"/>
      <c r="M611"/>
      <c r="N611"/>
      <c r="O611"/>
    </row>
    <row r="612" spans="2:15" x14ac:dyDescent="0.3">
      <c r="B612" s="99" t="s">
        <v>379</v>
      </c>
      <c r="C612" s="101">
        <v>8550000</v>
      </c>
      <c r="D612" s="133">
        <f t="shared" si="18"/>
        <v>1.4285332388774903E-4</v>
      </c>
      <c r="E612" s="122">
        <f t="shared" si="19"/>
        <v>0.9843002526248269</v>
      </c>
      <c r="F612" s="99" t="s">
        <v>2889</v>
      </c>
      <c r="L612"/>
      <c r="M612"/>
      <c r="N612"/>
      <c r="O612"/>
    </row>
    <row r="613" spans="2:15" x14ac:dyDescent="0.3">
      <c r="B613" s="99" t="s">
        <v>2221</v>
      </c>
      <c r="C613" s="101">
        <v>8550000</v>
      </c>
      <c r="D613" s="133">
        <f t="shared" si="18"/>
        <v>1.4285332388774903E-4</v>
      </c>
      <c r="E613" s="122">
        <f t="shared" si="19"/>
        <v>0.98444310594871465</v>
      </c>
      <c r="F613" s="99" t="s">
        <v>2889</v>
      </c>
      <c r="L613"/>
      <c r="M613"/>
      <c r="N613"/>
      <c r="O613"/>
    </row>
    <row r="614" spans="2:15" x14ac:dyDescent="0.3">
      <c r="B614" s="99" t="s">
        <v>2802</v>
      </c>
      <c r="C614" s="101">
        <v>8550000</v>
      </c>
      <c r="D614" s="133">
        <f t="shared" si="18"/>
        <v>1.4285332388774903E-4</v>
      </c>
      <c r="E614" s="122">
        <f t="shared" si="19"/>
        <v>0.9845859592726024</v>
      </c>
      <c r="F614" s="99" t="s">
        <v>2889</v>
      </c>
      <c r="L614"/>
      <c r="M614"/>
      <c r="N614"/>
      <c r="O614"/>
    </row>
    <row r="615" spans="2:15" x14ac:dyDescent="0.3">
      <c r="B615" s="99" t="s">
        <v>2787</v>
      </c>
      <c r="C615" s="101">
        <v>8505000</v>
      </c>
      <c r="D615" s="133">
        <f t="shared" si="18"/>
        <v>1.4210146428833982E-4</v>
      </c>
      <c r="E615" s="122">
        <f t="shared" si="19"/>
        <v>0.98472806073689079</v>
      </c>
      <c r="F615" s="99" t="s">
        <v>2889</v>
      </c>
      <c r="L615"/>
      <c r="M615"/>
      <c r="N615"/>
      <c r="O615"/>
    </row>
    <row r="616" spans="2:15" x14ac:dyDescent="0.3">
      <c r="B616" s="99" t="s">
        <v>2775</v>
      </c>
      <c r="C616" s="101">
        <v>8500000</v>
      </c>
      <c r="D616" s="133">
        <f t="shared" si="18"/>
        <v>1.420179243328499E-4</v>
      </c>
      <c r="E616" s="122">
        <f t="shared" si="19"/>
        <v>0.98487007866122367</v>
      </c>
      <c r="F616" s="99" t="s">
        <v>2889</v>
      </c>
      <c r="L616"/>
      <c r="M616"/>
      <c r="N616"/>
      <c r="O616"/>
    </row>
    <row r="617" spans="2:15" x14ac:dyDescent="0.3">
      <c r="B617" s="99" t="s">
        <v>2180</v>
      </c>
      <c r="C617" s="101">
        <v>8460000</v>
      </c>
      <c r="D617" s="133">
        <f t="shared" si="18"/>
        <v>1.4134960468893063E-4</v>
      </c>
      <c r="E617" s="122">
        <f t="shared" si="19"/>
        <v>0.98501142826591259</v>
      </c>
      <c r="F617" s="99" t="s">
        <v>2889</v>
      </c>
      <c r="L617"/>
      <c r="M617"/>
      <c r="N617"/>
      <c r="O617"/>
    </row>
    <row r="618" spans="2:15" x14ac:dyDescent="0.3">
      <c r="B618" s="99" t="s">
        <v>2246</v>
      </c>
      <c r="C618" s="101">
        <v>8400000</v>
      </c>
      <c r="D618" s="133">
        <f t="shared" si="18"/>
        <v>1.4034712522305168E-4</v>
      </c>
      <c r="E618" s="122">
        <f t="shared" si="19"/>
        <v>0.98515177539113563</v>
      </c>
      <c r="F618" s="99" t="s">
        <v>2889</v>
      </c>
      <c r="L618"/>
      <c r="M618"/>
      <c r="N618"/>
      <c r="O618"/>
    </row>
    <row r="619" spans="2:15" x14ac:dyDescent="0.3">
      <c r="B619" s="99" t="s">
        <v>2512</v>
      </c>
      <c r="C619" s="101">
        <v>8400000</v>
      </c>
      <c r="D619" s="133">
        <f t="shared" si="18"/>
        <v>1.4034712522305168E-4</v>
      </c>
      <c r="E619" s="122">
        <f t="shared" si="19"/>
        <v>0.98529212251635867</v>
      </c>
      <c r="F619" s="99" t="s">
        <v>2889</v>
      </c>
      <c r="L619"/>
      <c r="M619"/>
      <c r="N619"/>
      <c r="O619"/>
    </row>
    <row r="620" spans="2:15" x14ac:dyDescent="0.3">
      <c r="B620" s="99" t="s">
        <v>2594</v>
      </c>
      <c r="C620" s="101">
        <v>8400000</v>
      </c>
      <c r="D620" s="133">
        <f t="shared" si="18"/>
        <v>1.4034712522305168E-4</v>
      </c>
      <c r="E620" s="122">
        <f t="shared" si="19"/>
        <v>0.98543246964158171</v>
      </c>
      <c r="F620" s="99" t="s">
        <v>2889</v>
      </c>
      <c r="L620"/>
      <c r="M620"/>
      <c r="N620"/>
      <c r="O620"/>
    </row>
    <row r="621" spans="2:15" x14ac:dyDescent="0.3">
      <c r="B621" s="99" t="s">
        <v>2471</v>
      </c>
      <c r="C621" s="101">
        <v>8375000</v>
      </c>
      <c r="D621" s="133">
        <f t="shared" si="18"/>
        <v>1.3992942544560212E-4</v>
      </c>
      <c r="E621" s="122">
        <f t="shared" si="19"/>
        <v>0.98557239906702732</v>
      </c>
      <c r="F621" s="99" t="s">
        <v>2889</v>
      </c>
      <c r="L621"/>
      <c r="M621"/>
      <c r="N621"/>
      <c r="O621"/>
    </row>
    <row r="622" spans="2:15" x14ac:dyDescent="0.3">
      <c r="B622" s="99" t="s">
        <v>2349</v>
      </c>
      <c r="C622" s="101">
        <v>8250000</v>
      </c>
      <c r="D622" s="133">
        <f t="shared" si="18"/>
        <v>1.3784092655835434E-4</v>
      </c>
      <c r="E622" s="122">
        <f t="shared" si="19"/>
        <v>0.98571023999358565</v>
      </c>
      <c r="F622" s="99" t="s">
        <v>2889</v>
      </c>
      <c r="L622"/>
      <c r="M622"/>
      <c r="N622"/>
      <c r="O622"/>
    </row>
    <row r="623" spans="2:15" x14ac:dyDescent="0.3">
      <c r="B623" s="99" t="s">
        <v>2430</v>
      </c>
      <c r="C623" s="101">
        <v>8200000</v>
      </c>
      <c r="D623" s="133">
        <f t="shared" si="18"/>
        <v>1.3700552700345522E-4</v>
      </c>
      <c r="E623" s="122">
        <f t="shared" si="19"/>
        <v>0.98584724552058911</v>
      </c>
      <c r="F623" s="99" t="s">
        <v>2889</v>
      </c>
      <c r="L623"/>
      <c r="M623"/>
      <c r="N623"/>
      <c r="O623"/>
    </row>
    <row r="624" spans="2:15" x14ac:dyDescent="0.3">
      <c r="B624" s="99" t="s">
        <v>2822</v>
      </c>
      <c r="C624" s="101">
        <v>8200000</v>
      </c>
      <c r="D624" s="133">
        <f t="shared" si="18"/>
        <v>1.3700552700345522E-4</v>
      </c>
      <c r="E624" s="122">
        <f t="shared" si="19"/>
        <v>0.98598425104759257</v>
      </c>
      <c r="F624" s="99" t="s">
        <v>2889</v>
      </c>
      <c r="L624"/>
      <c r="M624"/>
      <c r="N624"/>
      <c r="O624"/>
    </row>
    <row r="625" spans="2:15" x14ac:dyDescent="0.3">
      <c r="B625" s="99" t="s">
        <v>2452</v>
      </c>
      <c r="C625" s="101">
        <v>8100000</v>
      </c>
      <c r="D625" s="133">
        <f t="shared" si="18"/>
        <v>1.3533472789365697E-4</v>
      </c>
      <c r="E625" s="122">
        <f t="shared" si="19"/>
        <v>0.9861195857754862</v>
      </c>
      <c r="F625" s="99" t="s">
        <v>2889</v>
      </c>
      <c r="L625"/>
      <c r="M625"/>
      <c r="N625"/>
      <c r="O625"/>
    </row>
    <row r="626" spans="2:15" x14ac:dyDescent="0.3">
      <c r="B626" s="99" t="s">
        <v>2699</v>
      </c>
      <c r="C626" s="101">
        <v>8000000</v>
      </c>
      <c r="D626" s="133">
        <f t="shared" si="18"/>
        <v>1.3366392878385875E-4</v>
      </c>
      <c r="E626" s="122">
        <f t="shared" si="19"/>
        <v>0.98625324970427009</v>
      </c>
      <c r="F626" s="99" t="s">
        <v>2889</v>
      </c>
      <c r="L626"/>
      <c r="M626"/>
      <c r="N626"/>
      <c r="O626"/>
    </row>
    <row r="627" spans="2:15" x14ac:dyDescent="0.3">
      <c r="B627" s="99" t="s">
        <v>1939</v>
      </c>
      <c r="C627" s="101">
        <v>7990000</v>
      </c>
      <c r="D627" s="133">
        <f t="shared" si="18"/>
        <v>1.3349684887287893E-4</v>
      </c>
      <c r="E627" s="122">
        <f t="shared" si="19"/>
        <v>0.98638674655314296</v>
      </c>
      <c r="F627" s="99" t="s">
        <v>2889</v>
      </c>
      <c r="L627"/>
      <c r="M627"/>
      <c r="N627"/>
      <c r="O627"/>
    </row>
    <row r="628" spans="2:15" x14ac:dyDescent="0.3">
      <c r="B628" s="99" t="s">
        <v>2446</v>
      </c>
      <c r="C628" s="101">
        <v>7920000</v>
      </c>
      <c r="D628" s="133">
        <f t="shared" si="18"/>
        <v>1.3232728949602016E-4</v>
      </c>
      <c r="E628" s="122">
        <f t="shared" si="19"/>
        <v>0.98651907384263893</v>
      </c>
      <c r="F628" s="99" t="s">
        <v>2889</v>
      </c>
      <c r="L628"/>
      <c r="M628"/>
      <c r="N628"/>
      <c r="O628"/>
    </row>
    <row r="629" spans="2:15" x14ac:dyDescent="0.3">
      <c r="B629" s="99" t="s">
        <v>2207</v>
      </c>
      <c r="C629" s="101">
        <v>7900000</v>
      </c>
      <c r="D629" s="133">
        <f t="shared" si="18"/>
        <v>1.3199312967406051E-4</v>
      </c>
      <c r="E629" s="122">
        <f t="shared" si="19"/>
        <v>0.98665106697231297</v>
      </c>
      <c r="F629" s="99" t="s">
        <v>2889</v>
      </c>
      <c r="L629"/>
      <c r="M629"/>
      <c r="N629"/>
      <c r="O629"/>
    </row>
    <row r="630" spans="2:15" x14ac:dyDescent="0.3">
      <c r="B630" s="99" t="s">
        <v>2379</v>
      </c>
      <c r="C630" s="101">
        <v>7800000</v>
      </c>
      <c r="D630" s="133">
        <f t="shared" si="18"/>
        <v>1.3032233056426229E-4</v>
      </c>
      <c r="E630" s="122">
        <f t="shared" si="19"/>
        <v>0.98678138930287729</v>
      </c>
      <c r="F630" s="99" t="s">
        <v>2889</v>
      </c>
      <c r="L630"/>
      <c r="M630"/>
      <c r="N630"/>
      <c r="O630"/>
    </row>
    <row r="631" spans="2:15" x14ac:dyDescent="0.3">
      <c r="B631" s="99" t="s">
        <v>2264</v>
      </c>
      <c r="C631" s="101">
        <v>7740000</v>
      </c>
      <c r="D631" s="133">
        <f t="shared" si="18"/>
        <v>1.2931985109838334E-4</v>
      </c>
      <c r="E631" s="122">
        <f t="shared" si="19"/>
        <v>0.98691070915397572</v>
      </c>
      <c r="F631" s="99" t="s">
        <v>2889</v>
      </c>
      <c r="L631"/>
      <c r="M631"/>
      <c r="N631"/>
      <c r="O631"/>
    </row>
    <row r="632" spans="2:15" x14ac:dyDescent="0.3">
      <c r="B632" s="99" t="s">
        <v>2542</v>
      </c>
      <c r="C632" s="101">
        <v>7740000</v>
      </c>
      <c r="D632" s="133">
        <f t="shared" si="18"/>
        <v>1.2931985109838334E-4</v>
      </c>
      <c r="E632" s="122">
        <f t="shared" si="19"/>
        <v>0.98704002900507415</v>
      </c>
      <c r="F632" s="99" t="s">
        <v>2889</v>
      </c>
      <c r="L632"/>
      <c r="M632"/>
      <c r="N632"/>
      <c r="O632"/>
    </row>
    <row r="633" spans="2:15" x14ac:dyDescent="0.3">
      <c r="B633" s="99" t="s">
        <v>2799</v>
      </c>
      <c r="C633" s="101">
        <v>7740000</v>
      </c>
      <c r="D633" s="133">
        <f t="shared" si="18"/>
        <v>1.2931985109838334E-4</v>
      </c>
      <c r="E633" s="122">
        <f t="shared" si="19"/>
        <v>0.98716934885617258</v>
      </c>
      <c r="F633" s="99" t="s">
        <v>2889</v>
      </c>
      <c r="L633"/>
      <c r="M633"/>
      <c r="N633"/>
      <c r="O633"/>
    </row>
    <row r="634" spans="2:15" x14ac:dyDescent="0.3">
      <c r="B634" s="99" t="s">
        <v>2836</v>
      </c>
      <c r="C634" s="101">
        <v>7740000</v>
      </c>
      <c r="D634" s="133">
        <f t="shared" si="18"/>
        <v>1.2931985109838334E-4</v>
      </c>
      <c r="E634" s="122">
        <f t="shared" si="19"/>
        <v>0.98729866870727101</v>
      </c>
      <c r="F634" s="99" t="s">
        <v>2889</v>
      </c>
      <c r="L634"/>
      <c r="M634"/>
      <c r="N634"/>
      <c r="O634"/>
    </row>
    <row r="635" spans="2:15" x14ac:dyDescent="0.3">
      <c r="B635" s="99" t="s">
        <v>2504</v>
      </c>
      <c r="C635" s="101">
        <v>7700000</v>
      </c>
      <c r="D635" s="133">
        <f t="shared" si="18"/>
        <v>1.2865153145446404E-4</v>
      </c>
      <c r="E635" s="122">
        <f t="shared" si="19"/>
        <v>0.98742732023872548</v>
      </c>
      <c r="F635" s="99" t="s">
        <v>2889</v>
      </c>
      <c r="L635"/>
      <c r="M635"/>
      <c r="N635"/>
      <c r="O635"/>
    </row>
    <row r="636" spans="2:15" x14ac:dyDescent="0.3">
      <c r="B636" s="99" t="s">
        <v>2741</v>
      </c>
      <c r="C636" s="101">
        <v>7660000</v>
      </c>
      <c r="D636" s="133">
        <f t="shared" si="18"/>
        <v>1.2798321181054474E-4</v>
      </c>
      <c r="E636" s="122">
        <f t="shared" si="19"/>
        <v>0.98755530345053599</v>
      </c>
      <c r="F636" s="99" t="s">
        <v>2889</v>
      </c>
      <c r="L636"/>
      <c r="M636"/>
      <c r="N636"/>
      <c r="O636"/>
    </row>
    <row r="637" spans="2:15" x14ac:dyDescent="0.3">
      <c r="B637" s="99" t="s">
        <v>2769</v>
      </c>
      <c r="C637" s="101">
        <v>7650000</v>
      </c>
      <c r="D637" s="133">
        <f t="shared" si="18"/>
        <v>1.2781613189956492E-4</v>
      </c>
      <c r="E637" s="122">
        <f t="shared" si="19"/>
        <v>0.9876831195824356</v>
      </c>
      <c r="F637" s="99" t="s">
        <v>2889</v>
      </c>
      <c r="L637"/>
      <c r="M637"/>
      <c r="N637"/>
      <c r="O637"/>
    </row>
    <row r="638" spans="2:15" x14ac:dyDescent="0.3">
      <c r="B638" s="99" t="s">
        <v>2798</v>
      </c>
      <c r="C638" s="101">
        <v>7600000</v>
      </c>
      <c r="D638" s="133">
        <f t="shared" si="18"/>
        <v>1.2698073234466579E-4</v>
      </c>
      <c r="E638" s="122">
        <f t="shared" si="19"/>
        <v>0.98781010031478023</v>
      </c>
      <c r="F638" s="99" t="s">
        <v>2889</v>
      </c>
      <c r="L638"/>
      <c r="M638"/>
      <c r="N638"/>
      <c r="O638"/>
    </row>
    <row r="639" spans="2:15" x14ac:dyDescent="0.3">
      <c r="B639" s="99" t="s">
        <v>2640</v>
      </c>
      <c r="C639" s="101">
        <v>7560000</v>
      </c>
      <c r="D639" s="133">
        <f t="shared" si="18"/>
        <v>1.2631241270074652E-4</v>
      </c>
      <c r="E639" s="122">
        <f t="shared" si="19"/>
        <v>0.98793641272748101</v>
      </c>
      <c r="F639" s="99" t="s">
        <v>2889</v>
      </c>
      <c r="L639"/>
      <c r="M639"/>
      <c r="N639"/>
      <c r="O639"/>
    </row>
    <row r="640" spans="2:15" x14ac:dyDescent="0.3">
      <c r="B640" s="99" t="s">
        <v>2141</v>
      </c>
      <c r="C640" s="101">
        <v>7550000</v>
      </c>
      <c r="D640" s="133">
        <f t="shared" si="18"/>
        <v>1.261453327897667E-4</v>
      </c>
      <c r="E640" s="122">
        <f t="shared" si="19"/>
        <v>0.98806255806027077</v>
      </c>
      <c r="F640" s="99" t="s">
        <v>2889</v>
      </c>
      <c r="L640"/>
      <c r="M640"/>
      <c r="N640"/>
      <c r="O640"/>
    </row>
    <row r="641" spans="2:15" x14ac:dyDescent="0.3">
      <c r="B641" s="99" t="s">
        <v>2285</v>
      </c>
      <c r="C641" s="101">
        <v>7430000</v>
      </c>
      <c r="D641" s="133">
        <f t="shared" si="18"/>
        <v>1.241403738580088E-4</v>
      </c>
      <c r="E641" s="122">
        <f t="shared" si="19"/>
        <v>0.98818669843412876</v>
      </c>
      <c r="F641" s="99" t="s">
        <v>2889</v>
      </c>
      <c r="L641"/>
      <c r="M641"/>
      <c r="N641"/>
      <c r="O641"/>
    </row>
    <row r="642" spans="2:15" x14ac:dyDescent="0.3">
      <c r="B642" s="99" t="s">
        <v>2584</v>
      </c>
      <c r="C642" s="101">
        <v>7400000</v>
      </c>
      <c r="D642" s="133">
        <f t="shared" si="18"/>
        <v>1.2363913412506933E-4</v>
      </c>
      <c r="E642" s="122">
        <f t="shared" si="19"/>
        <v>0.98831033756825382</v>
      </c>
      <c r="F642" s="99" t="s">
        <v>2889</v>
      </c>
      <c r="L642"/>
      <c r="M642"/>
      <c r="N642"/>
      <c r="O642"/>
    </row>
    <row r="643" spans="2:15" x14ac:dyDescent="0.3">
      <c r="B643" s="99" t="s">
        <v>2343</v>
      </c>
      <c r="C643" s="101">
        <v>7380000</v>
      </c>
      <c r="D643" s="133">
        <f t="shared" si="18"/>
        <v>1.2330497430310968E-4</v>
      </c>
      <c r="E643" s="122">
        <f t="shared" si="19"/>
        <v>0.98843364254255695</v>
      </c>
      <c r="F643" s="99" t="s">
        <v>2889</v>
      </c>
      <c r="L643"/>
      <c r="M643"/>
      <c r="N643"/>
      <c r="O643"/>
    </row>
    <row r="644" spans="2:15" x14ac:dyDescent="0.3">
      <c r="B644" s="99" t="s">
        <v>2807</v>
      </c>
      <c r="C644" s="101">
        <v>7370000</v>
      </c>
      <c r="D644" s="133">
        <f t="shared" si="18"/>
        <v>1.2313789439212988E-4</v>
      </c>
      <c r="E644" s="122">
        <f t="shared" si="19"/>
        <v>0.98855678043694906</v>
      </c>
      <c r="F644" s="99" t="s">
        <v>2889</v>
      </c>
      <c r="L644"/>
      <c r="M644"/>
      <c r="N644"/>
      <c r="O644"/>
    </row>
    <row r="645" spans="2:15" x14ac:dyDescent="0.3">
      <c r="B645" s="99" t="s">
        <v>2791</v>
      </c>
      <c r="C645" s="101">
        <v>7350000</v>
      </c>
      <c r="D645" s="133">
        <f t="shared" si="18"/>
        <v>1.2280373457017023E-4</v>
      </c>
      <c r="E645" s="122">
        <f t="shared" si="19"/>
        <v>0.98867958417151924</v>
      </c>
      <c r="F645" s="99" t="s">
        <v>2889</v>
      </c>
      <c r="L645"/>
      <c r="M645"/>
      <c r="N645"/>
      <c r="O645"/>
    </row>
    <row r="646" spans="2:15" x14ac:dyDescent="0.3">
      <c r="B646" s="99" t="s">
        <v>2812</v>
      </c>
      <c r="C646" s="101">
        <v>7350000</v>
      </c>
      <c r="D646" s="133">
        <f t="shared" ref="D646:D709" si="20">C646/SUM($C$6:$C$817)</f>
        <v>1.2280373457017023E-4</v>
      </c>
      <c r="E646" s="122">
        <f t="shared" si="19"/>
        <v>0.98880238790608943</v>
      </c>
      <c r="F646" s="99" t="s">
        <v>2889</v>
      </c>
      <c r="L646"/>
      <c r="M646"/>
      <c r="N646"/>
      <c r="O646"/>
    </row>
    <row r="647" spans="2:15" x14ac:dyDescent="0.3">
      <c r="B647" s="99" t="s">
        <v>2482</v>
      </c>
      <c r="C647" s="101">
        <v>7325000</v>
      </c>
      <c r="D647" s="133">
        <f t="shared" si="20"/>
        <v>1.2238603479272067E-4</v>
      </c>
      <c r="E647" s="122">
        <f t="shared" ref="E647:E710" si="21">E646+D647</f>
        <v>0.98892477394088218</v>
      </c>
      <c r="F647" s="99" t="s">
        <v>2889</v>
      </c>
      <c r="L647"/>
      <c r="M647"/>
      <c r="N647"/>
      <c r="O647"/>
    </row>
    <row r="648" spans="2:15" x14ac:dyDescent="0.3">
      <c r="B648" s="99" t="s">
        <v>2324</v>
      </c>
      <c r="C648" s="101">
        <v>7200000</v>
      </c>
      <c r="D648" s="133">
        <f t="shared" si="20"/>
        <v>1.2029753590547287E-4</v>
      </c>
      <c r="E648" s="122">
        <f t="shared" si="21"/>
        <v>0.98904507147678766</v>
      </c>
      <c r="F648" s="99" t="s">
        <v>2889</v>
      </c>
      <c r="L648"/>
      <c r="M648"/>
      <c r="N648"/>
      <c r="O648"/>
    </row>
    <row r="649" spans="2:15" x14ac:dyDescent="0.3">
      <c r="B649" s="99" t="s">
        <v>2348</v>
      </c>
      <c r="C649" s="101">
        <v>7200000</v>
      </c>
      <c r="D649" s="133">
        <f t="shared" si="20"/>
        <v>1.2029753590547287E-4</v>
      </c>
      <c r="E649" s="122">
        <f t="shared" si="21"/>
        <v>0.98916536901269314</v>
      </c>
      <c r="F649" s="99" t="s">
        <v>2889</v>
      </c>
      <c r="L649"/>
      <c r="M649"/>
      <c r="N649"/>
      <c r="O649"/>
    </row>
    <row r="650" spans="2:15" x14ac:dyDescent="0.3">
      <c r="B650" s="99" t="s">
        <v>2358</v>
      </c>
      <c r="C650" s="101">
        <v>7200000</v>
      </c>
      <c r="D650" s="133">
        <f t="shared" si="20"/>
        <v>1.2029753590547287E-4</v>
      </c>
      <c r="E650" s="122">
        <f t="shared" si="21"/>
        <v>0.98928566654859862</v>
      </c>
      <c r="F650" s="99" t="s">
        <v>2889</v>
      </c>
    </row>
    <row r="651" spans="2:15" x14ac:dyDescent="0.3">
      <c r="B651" s="99" t="s">
        <v>2374</v>
      </c>
      <c r="C651" s="101">
        <v>7200000</v>
      </c>
      <c r="D651" s="133">
        <f t="shared" si="20"/>
        <v>1.2029753590547287E-4</v>
      </c>
      <c r="E651" s="122">
        <f t="shared" si="21"/>
        <v>0.9894059640845041</v>
      </c>
      <c r="F651" s="99" t="s">
        <v>2889</v>
      </c>
    </row>
    <row r="652" spans="2:15" x14ac:dyDescent="0.3">
      <c r="B652" s="99" t="s">
        <v>2389</v>
      </c>
      <c r="C652" s="101">
        <v>7200000</v>
      </c>
      <c r="D652" s="133">
        <f t="shared" si="20"/>
        <v>1.2029753590547287E-4</v>
      </c>
      <c r="E652" s="122">
        <f t="shared" si="21"/>
        <v>0.98952626162040958</v>
      </c>
      <c r="F652" s="99" t="s">
        <v>2889</v>
      </c>
    </row>
    <row r="653" spans="2:15" x14ac:dyDescent="0.3">
      <c r="B653" s="99" t="s">
        <v>2490</v>
      </c>
      <c r="C653" s="101">
        <v>7200000</v>
      </c>
      <c r="D653" s="133">
        <f t="shared" si="20"/>
        <v>1.2029753590547287E-4</v>
      </c>
      <c r="E653" s="122">
        <f t="shared" si="21"/>
        <v>0.98964655915631505</v>
      </c>
      <c r="F653" s="99" t="s">
        <v>2889</v>
      </c>
    </row>
    <row r="654" spans="2:15" x14ac:dyDescent="0.3">
      <c r="B654" s="99" t="s">
        <v>2462</v>
      </c>
      <c r="C654" s="101">
        <v>7065000</v>
      </c>
      <c r="D654" s="133">
        <f t="shared" si="20"/>
        <v>1.1804195710724526E-4</v>
      </c>
      <c r="E654" s="122">
        <f t="shared" si="21"/>
        <v>0.98976460111342235</v>
      </c>
      <c r="F654" s="99" t="s">
        <v>2889</v>
      </c>
    </row>
    <row r="655" spans="2:15" x14ac:dyDescent="0.3">
      <c r="B655" s="99" t="s">
        <v>2528</v>
      </c>
      <c r="C655" s="101">
        <v>7020000</v>
      </c>
      <c r="D655" s="133">
        <f t="shared" si="20"/>
        <v>1.1729009750783604E-4</v>
      </c>
      <c r="E655" s="122">
        <f t="shared" si="21"/>
        <v>0.98988189121093018</v>
      </c>
      <c r="F655" s="99" t="s">
        <v>2889</v>
      </c>
    </row>
    <row r="656" spans="2:15" x14ac:dyDescent="0.3">
      <c r="B656" s="99" t="s">
        <v>2284</v>
      </c>
      <c r="C656" s="101">
        <v>7000000</v>
      </c>
      <c r="D656" s="133">
        <f t="shared" si="20"/>
        <v>1.169559376858764E-4</v>
      </c>
      <c r="E656" s="122">
        <f t="shared" si="21"/>
        <v>0.98999884714861608</v>
      </c>
      <c r="F656" s="99" t="s">
        <v>2889</v>
      </c>
    </row>
    <row r="657" spans="2:6" x14ac:dyDescent="0.3">
      <c r="B657" s="99" t="s">
        <v>2352</v>
      </c>
      <c r="C657" s="101">
        <v>7000000</v>
      </c>
      <c r="D657" s="133">
        <f t="shared" si="20"/>
        <v>1.169559376858764E-4</v>
      </c>
      <c r="E657" s="122">
        <f t="shared" si="21"/>
        <v>0.99011580308630198</v>
      </c>
      <c r="F657" s="99" t="s">
        <v>2889</v>
      </c>
    </row>
    <row r="658" spans="2:6" x14ac:dyDescent="0.3">
      <c r="B658" s="99" t="s">
        <v>2766</v>
      </c>
      <c r="C658" s="101">
        <v>7000000</v>
      </c>
      <c r="D658" s="133">
        <f t="shared" si="20"/>
        <v>1.169559376858764E-4</v>
      </c>
      <c r="E658" s="122">
        <f t="shared" si="21"/>
        <v>0.99023275902398789</v>
      </c>
      <c r="F658" s="99" t="s">
        <v>2889</v>
      </c>
    </row>
    <row r="659" spans="2:6" x14ac:dyDescent="0.3">
      <c r="B659" s="99" t="s">
        <v>2553</v>
      </c>
      <c r="C659" s="101">
        <v>6990000</v>
      </c>
      <c r="D659" s="133">
        <f t="shared" si="20"/>
        <v>1.1678885777489658E-4</v>
      </c>
      <c r="E659" s="122">
        <f t="shared" si="21"/>
        <v>0.99034954788176277</v>
      </c>
      <c r="F659" s="99" t="s">
        <v>2889</v>
      </c>
    </row>
    <row r="660" spans="2:6" x14ac:dyDescent="0.3">
      <c r="B660" s="99" t="s">
        <v>1855</v>
      </c>
      <c r="C660" s="101">
        <v>6965000</v>
      </c>
      <c r="D660" s="133">
        <f t="shared" si="20"/>
        <v>1.1637115799744702E-4</v>
      </c>
      <c r="E660" s="122">
        <f t="shared" si="21"/>
        <v>0.99046591903976022</v>
      </c>
      <c r="F660" s="99" t="s">
        <v>2889</v>
      </c>
    </row>
    <row r="661" spans="2:6" x14ac:dyDescent="0.3">
      <c r="B661" s="99" t="s">
        <v>2334</v>
      </c>
      <c r="C661" s="101">
        <v>6960000</v>
      </c>
      <c r="D661" s="133">
        <f t="shared" si="20"/>
        <v>1.1628761804195711E-4</v>
      </c>
      <c r="E661" s="122">
        <f t="shared" si="21"/>
        <v>0.99058220665780217</v>
      </c>
      <c r="F661" s="99" t="s">
        <v>2889</v>
      </c>
    </row>
    <row r="662" spans="2:6" x14ac:dyDescent="0.3">
      <c r="B662" s="99" t="s">
        <v>2844</v>
      </c>
      <c r="C662" s="101">
        <v>6900000</v>
      </c>
      <c r="D662" s="133">
        <f t="shared" si="20"/>
        <v>1.1528513857607816E-4</v>
      </c>
      <c r="E662" s="122">
        <f t="shared" si="21"/>
        <v>0.99069749179637823</v>
      </c>
      <c r="F662" s="99" t="s">
        <v>2889</v>
      </c>
    </row>
    <row r="663" spans="2:6" x14ac:dyDescent="0.3">
      <c r="B663" s="99" t="s">
        <v>2242</v>
      </c>
      <c r="C663" s="101">
        <v>6750000</v>
      </c>
      <c r="D663" s="133">
        <f t="shared" si="20"/>
        <v>1.1277893991138082E-4</v>
      </c>
      <c r="E663" s="122">
        <f t="shared" si="21"/>
        <v>0.99081027073628958</v>
      </c>
      <c r="F663" s="99" t="s">
        <v>2889</v>
      </c>
    </row>
    <row r="664" spans="2:6" x14ac:dyDescent="0.3">
      <c r="B664" s="99" t="s">
        <v>2707</v>
      </c>
      <c r="C664" s="101">
        <v>6650000</v>
      </c>
      <c r="D664" s="133">
        <f t="shared" si="20"/>
        <v>1.1110814080158259E-4</v>
      </c>
      <c r="E664" s="122">
        <f t="shared" si="21"/>
        <v>0.9909213788770912</v>
      </c>
      <c r="F664" s="99" t="s">
        <v>2889</v>
      </c>
    </row>
    <row r="665" spans="2:6" x14ac:dyDescent="0.3">
      <c r="B665" s="99" t="s">
        <v>2816</v>
      </c>
      <c r="C665" s="101">
        <v>6595000</v>
      </c>
      <c r="D665" s="133">
        <f t="shared" si="20"/>
        <v>1.1018920129119355E-4</v>
      </c>
      <c r="E665" s="122">
        <f t="shared" si="21"/>
        <v>0.99103156807838244</v>
      </c>
      <c r="F665" s="99" t="s">
        <v>2889</v>
      </c>
    </row>
    <row r="666" spans="2:6" x14ac:dyDescent="0.3">
      <c r="B666" s="99" t="s">
        <v>2819</v>
      </c>
      <c r="C666" s="101">
        <v>6500000</v>
      </c>
      <c r="D666" s="133">
        <f t="shared" si="20"/>
        <v>1.0860194213688523E-4</v>
      </c>
      <c r="E666" s="122">
        <f t="shared" si="21"/>
        <v>0.99114017002051935</v>
      </c>
      <c r="F666" s="99" t="s">
        <v>2889</v>
      </c>
    </row>
    <row r="667" spans="2:6" x14ac:dyDescent="0.3">
      <c r="B667" s="99" t="s">
        <v>2155</v>
      </c>
      <c r="C667" s="101">
        <v>6480000</v>
      </c>
      <c r="D667" s="133">
        <f t="shared" si="20"/>
        <v>1.0826778231492558E-4</v>
      </c>
      <c r="E667" s="122">
        <f t="shared" si="21"/>
        <v>0.99124843780283423</v>
      </c>
      <c r="F667" s="99" t="s">
        <v>2889</v>
      </c>
    </row>
    <row r="668" spans="2:6" x14ac:dyDescent="0.3">
      <c r="B668" s="99" t="s">
        <v>2498</v>
      </c>
      <c r="C668" s="101">
        <v>6480000</v>
      </c>
      <c r="D668" s="133">
        <f t="shared" si="20"/>
        <v>1.0826778231492558E-4</v>
      </c>
      <c r="E668" s="122">
        <f t="shared" si="21"/>
        <v>0.9913567055851491</v>
      </c>
      <c r="F668" s="99" t="s">
        <v>2889</v>
      </c>
    </row>
    <row r="669" spans="2:6" x14ac:dyDescent="0.3">
      <c r="B669" s="99" t="s">
        <v>2414</v>
      </c>
      <c r="C669" s="101">
        <v>6450000</v>
      </c>
      <c r="D669" s="133">
        <f t="shared" si="20"/>
        <v>1.0776654258198611E-4</v>
      </c>
      <c r="E669" s="122">
        <f t="shared" si="21"/>
        <v>0.99146447212773103</v>
      </c>
      <c r="F669" s="99" t="s">
        <v>2889</v>
      </c>
    </row>
    <row r="670" spans="2:6" x14ac:dyDescent="0.3">
      <c r="B670" s="99" t="s">
        <v>2733</v>
      </c>
      <c r="C670" s="101">
        <v>6400000</v>
      </c>
      <c r="D670" s="133">
        <f t="shared" si="20"/>
        <v>1.06931143027087E-4</v>
      </c>
      <c r="E670" s="122">
        <f t="shared" si="21"/>
        <v>0.9915714032707581</v>
      </c>
      <c r="F670" s="99" t="s">
        <v>2889</v>
      </c>
    </row>
    <row r="671" spans="2:6" x14ac:dyDescent="0.3">
      <c r="B671" s="99" t="s">
        <v>2736</v>
      </c>
      <c r="C671" s="101">
        <v>6400000</v>
      </c>
      <c r="D671" s="133">
        <f t="shared" si="20"/>
        <v>1.06931143027087E-4</v>
      </c>
      <c r="E671" s="122">
        <f t="shared" si="21"/>
        <v>0.99167833441378517</v>
      </c>
      <c r="F671" s="99" t="s">
        <v>2889</v>
      </c>
    </row>
    <row r="672" spans="2:6" x14ac:dyDescent="0.3">
      <c r="B672" s="99" t="s">
        <v>1951</v>
      </c>
      <c r="C672" s="101">
        <v>6300000</v>
      </c>
      <c r="D672" s="133">
        <f t="shared" si="20"/>
        <v>1.0526034391728876E-4</v>
      </c>
      <c r="E672" s="122">
        <f t="shared" si="21"/>
        <v>0.9917835947577025</v>
      </c>
      <c r="F672" s="99" t="s">
        <v>2889</v>
      </c>
    </row>
    <row r="673" spans="2:6" x14ac:dyDescent="0.3">
      <c r="B673" s="99" t="s">
        <v>2546</v>
      </c>
      <c r="C673" s="101">
        <v>6300000</v>
      </c>
      <c r="D673" s="133">
        <f t="shared" si="20"/>
        <v>1.0526034391728876E-4</v>
      </c>
      <c r="E673" s="122">
        <f t="shared" si="21"/>
        <v>0.99188885510161984</v>
      </c>
      <c r="F673" s="99" t="s">
        <v>2889</v>
      </c>
    </row>
    <row r="674" spans="2:6" x14ac:dyDescent="0.3">
      <c r="B674" s="99" t="s">
        <v>2576</v>
      </c>
      <c r="C674" s="101">
        <v>6280000</v>
      </c>
      <c r="D674" s="133">
        <f t="shared" si="20"/>
        <v>1.0492618409532911E-4</v>
      </c>
      <c r="E674" s="122">
        <f t="shared" si="21"/>
        <v>0.99199378128571514</v>
      </c>
      <c r="F674" s="99" t="s">
        <v>2889</v>
      </c>
    </row>
    <row r="675" spans="2:6" x14ac:dyDescent="0.3">
      <c r="B675" s="99" t="s">
        <v>2412</v>
      </c>
      <c r="C675" s="101">
        <v>6250000</v>
      </c>
      <c r="D675" s="133">
        <f t="shared" si="20"/>
        <v>1.0442494436238964E-4</v>
      </c>
      <c r="E675" s="122">
        <f t="shared" si="21"/>
        <v>0.9920982062300775</v>
      </c>
      <c r="F675" s="99" t="s">
        <v>2889</v>
      </c>
    </row>
    <row r="676" spans="2:6" x14ac:dyDescent="0.3">
      <c r="B676" s="99" t="s">
        <v>2439</v>
      </c>
      <c r="C676" s="101">
        <v>6250000</v>
      </c>
      <c r="D676" s="133">
        <f t="shared" si="20"/>
        <v>1.0442494436238964E-4</v>
      </c>
      <c r="E676" s="122">
        <f t="shared" si="21"/>
        <v>0.99220263117443985</v>
      </c>
      <c r="F676" s="99" t="s">
        <v>2889</v>
      </c>
    </row>
    <row r="677" spans="2:6" x14ac:dyDescent="0.3">
      <c r="B677" s="99" t="s">
        <v>2565</v>
      </c>
      <c r="C677" s="101">
        <v>6175000</v>
      </c>
      <c r="D677" s="133">
        <f t="shared" si="20"/>
        <v>1.0317184503004097E-4</v>
      </c>
      <c r="E677" s="122">
        <f t="shared" si="21"/>
        <v>0.99230580301946991</v>
      </c>
      <c r="F677" s="99" t="s">
        <v>2889</v>
      </c>
    </row>
    <row r="678" spans="2:6" x14ac:dyDescent="0.3">
      <c r="B678" s="99" t="s">
        <v>1431</v>
      </c>
      <c r="C678" s="101">
        <v>6060000</v>
      </c>
      <c r="D678" s="133">
        <f t="shared" si="20"/>
        <v>1.01250426053773E-4</v>
      </c>
      <c r="E678" s="122">
        <f t="shared" si="21"/>
        <v>0.99240705344552371</v>
      </c>
      <c r="F678" s="99" t="s">
        <v>2889</v>
      </c>
    </row>
    <row r="679" spans="2:6" x14ac:dyDescent="0.3">
      <c r="B679" s="99" t="s">
        <v>2139</v>
      </c>
      <c r="C679" s="101">
        <v>6000000</v>
      </c>
      <c r="D679" s="133">
        <f t="shared" si="20"/>
        <v>1.0024794658789406E-4</v>
      </c>
      <c r="E679" s="122">
        <f t="shared" si="21"/>
        <v>0.99250730139211163</v>
      </c>
      <c r="F679" s="99" t="s">
        <v>2889</v>
      </c>
    </row>
    <row r="680" spans="2:6" x14ac:dyDescent="0.3">
      <c r="B680" s="99" t="s">
        <v>2238</v>
      </c>
      <c r="C680" s="101">
        <v>6000000</v>
      </c>
      <c r="D680" s="133">
        <f t="shared" si="20"/>
        <v>1.0024794658789406E-4</v>
      </c>
      <c r="E680" s="122">
        <f t="shared" si="21"/>
        <v>0.99260754933869955</v>
      </c>
      <c r="F680" s="99" t="s">
        <v>2889</v>
      </c>
    </row>
    <row r="681" spans="2:6" x14ac:dyDescent="0.3">
      <c r="B681" s="99" t="s">
        <v>2813</v>
      </c>
      <c r="C681" s="101">
        <v>6000000</v>
      </c>
      <c r="D681" s="133">
        <f t="shared" si="20"/>
        <v>1.0024794658789406E-4</v>
      </c>
      <c r="E681" s="122">
        <f t="shared" si="21"/>
        <v>0.99270779728528746</v>
      </c>
      <c r="F681" s="99" t="s">
        <v>2889</v>
      </c>
    </row>
    <row r="682" spans="2:6" x14ac:dyDescent="0.3">
      <c r="B682" s="99" t="s">
        <v>2123</v>
      </c>
      <c r="C682" s="101">
        <v>5950000</v>
      </c>
      <c r="D682" s="133">
        <f t="shared" si="20"/>
        <v>9.9412547032994941E-5</v>
      </c>
      <c r="E682" s="122">
        <f t="shared" si="21"/>
        <v>0.9928072098323204</v>
      </c>
      <c r="F682" s="99" t="s">
        <v>2889</v>
      </c>
    </row>
    <row r="683" spans="2:6" x14ac:dyDescent="0.3">
      <c r="B683" s="99" t="s">
        <v>2390</v>
      </c>
      <c r="C683" s="101">
        <v>5950000</v>
      </c>
      <c r="D683" s="133">
        <f t="shared" si="20"/>
        <v>9.9412547032994941E-5</v>
      </c>
      <c r="E683" s="122">
        <f t="shared" si="21"/>
        <v>0.99290662237935334</v>
      </c>
      <c r="F683" s="99" t="s">
        <v>2889</v>
      </c>
    </row>
    <row r="684" spans="2:6" x14ac:dyDescent="0.3">
      <c r="B684" s="99" t="s">
        <v>2405</v>
      </c>
      <c r="C684" s="101">
        <v>5950000</v>
      </c>
      <c r="D684" s="133">
        <f t="shared" si="20"/>
        <v>9.9412547032994941E-5</v>
      </c>
      <c r="E684" s="122">
        <f t="shared" si="21"/>
        <v>0.99300603492638628</v>
      </c>
      <c r="F684" s="99" t="s">
        <v>2889</v>
      </c>
    </row>
    <row r="685" spans="2:6" x14ac:dyDescent="0.3">
      <c r="B685" s="99" t="s">
        <v>2320</v>
      </c>
      <c r="C685" s="101">
        <v>5940000</v>
      </c>
      <c r="D685" s="133">
        <f t="shared" si="20"/>
        <v>9.9245467122015117E-5</v>
      </c>
      <c r="E685" s="122">
        <f t="shared" si="21"/>
        <v>0.99310528039350832</v>
      </c>
      <c r="F685" s="99" t="s">
        <v>2889</v>
      </c>
    </row>
    <row r="686" spans="2:6" x14ac:dyDescent="0.3">
      <c r="B686" s="99" t="s">
        <v>2667</v>
      </c>
      <c r="C686" s="101">
        <v>5890000</v>
      </c>
      <c r="D686" s="133">
        <f t="shared" si="20"/>
        <v>9.8410067567116007E-5</v>
      </c>
      <c r="E686" s="122">
        <f t="shared" si="21"/>
        <v>0.99320369046107548</v>
      </c>
      <c r="F686" s="99" t="s">
        <v>2889</v>
      </c>
    </row>
    <row r="687" spans="2:6" x14ac:dyDescent="0.3">
      <c r="B687" s="99" t="s">
        <v>258</v>
      </c>
      <c r="C687" s="101">
        <v>5825000</v>
      </c>
      <c r="D687" s="133">
        <f t="shared" si="20"/>
        <v>9.7324048145747146E-5</v>
      </c>
      <c r="E687" s="122">
        <f t="shared" si="21"/>
        <v>0.99330101450922126</v>
      </c>
      <c r="F687" s="99" t="s">
        <v>2889</v>
      </c>
    </row>
    <row r="688" spans="2:6" x14ac:dyDescent="0.3">
      <c r="B688" s="99" t="s">
        <v>2194</v>
      </c>
      <c r="C688" s="101">
        <v>5825000</v>
      </c>
      <c r="D688" s="133">
        <f t="shared" si="20"/>
        <v>9.7324048145747146E-5</v>
      </c>
      <c r="E688" s="122">
        <f t="shared" si="21"/>
        <v>0.99339833855736703</v>
      </c>
      <c r="F688" s="99" t="s">
        <v>2889</v>
      </c>
    </row>
    <row r="689" spans="2:6" x14ac:dyDescent="0.3">
      <c r="B689" s="99" t="s">
        <v>2466</v>
      </c>
      <c r="C689" s="101">
        <v>5820000</v>
      </c>
      <c r="D689" s="133">
        <f t="shared" si="20"/>
        <v>9.7240508190257234E-5</v>
      </c>
      <c r="E689" s="122">
        <f t="shared" si="21"/>
        <v>0.9934955790655573</v>
      </c>
      <c r="F689" s="99" t="s">
        <v>2889</v>
      </c>
    </row>
    <row r="690" spans="2:6" x14ac:dyDescent="0.3">
      <c r="B690" s="99" t="s">
        <v>2279</v>
      </c>
      <c r="C690" s="101">
        <v>5750000</v>
      </c>
      <c r="D690" s="133">
        <f t="shared" si="20"/>
        <v>9.6070948813398475E-5</v>
      </c>
      <c r="E690" s="122">
        <f t="shared" si="21"/>
        <v>0.99359165001437066</v>
      </c>
      <c r="F690" s="99" t="s">
        <v>2889</v>
      </c>
    </row>
    <row r="691" spans="2:6" x14ac:dyDescent="0.3">
      <c r="B691" s="99" t="s">
        <v>2132</v>
      </c>
      <c r="C691" s="101">
        <v>5640000</v>
      </c>
      <c r="D691" s="133">
        <f t="shared" si="20"/>
        <v>9.4233069792620417E-5</v>
      </c>
      <c r="E691" s="122">
        <f t="shared" si="21"/>
        <v>0.99368588308416328</v>
      </c>
      <c r="F691" s="99" t="s">
        <v>2889</v>
      </c>
    </row>
    <row r="692" spans="2:6" x14ac:dyDescent="0.3">
      <c r="B692" s="99" t="s">
        <v>2491</v>
      </c>
      <c r="C692" s="101">
        <v>5640000</v>
      </c>
      <c r="D692" s="133">
        <f t="shared" si="20"/>
        <v>9.4233069792620417E-5</v>
      </c>
      <c r="E692" s="122">
        <f t="shared" si="21"/>
        <v>0.99378011615395589</v>
      </c>
      <c r="F692" s="99" t="s">
        <v>2889</v>
      </c>
    </row>
    <row r="693" spans="2:6" x14ac:dyDescent="0.3">
      <c r="B693" s="99" t="s">
        <v>2614</v>
      </c>
      <c r="C693" s="101">
        <v>5580000</v>
      </c>
      <c r="D693" s="133">
        <f t="shared" si="20"/>
        <v>9.3230590326741469E-5</v>
      </c>
      <c r="E693" s="122">
        <f t="shared" si="21"/>
        <v>0.99387334674428263</v>
      </c>
      <c r="F693" s="99" t="s">
        <v>2889</v>
      </c>
    </row>
    <row r="694" spans="2:6" x14ac:dyDescent="0.3">
      <c r="B694" s="99" t="s">
        <v>792</v>
      </c>
      <c r="C694" s="101">
        <v>5520000</v>
      </c>
      <c r="D694" s="133">
        <f t="shared" si="20"/>
        <v>9.2228110860862535E-5</v>
      </c>
      <c r="E694" s="122">
        <f t="shared" si="21"/>
        <v>0.99396557485514347</v>
      </c>
      <c r="F694" s="99" t="s">
        <v>2889</v>
      </c>
    </row>
    <row r="695" spans="2:6" x14ac:dyDescent="0.3">
      <c r="B695" s="99" t="s">
        <v>2434</v>
      </c>
      <c r="C695" s="101">
        <v>5510000</v>
      </c>
      <c r="D695" s="133">
        <f t="shared" si="20"/>
        <v>9.206103094988271E-5</v>
      </c>
      <c r="E695" s="122">
        <f t="shared" si="21"/>
        <v>0.9940576358860933</v>
      </c>
      <c r="F695" s="99" t="s">
        <v>2889</v>
      </c>
    </row>
    <row r="696" spans="2:6" x14ac:dyDescent="0.3">
      <c r="B696" s="99" t="s">
        <v>2433</v>
      </c>
      <c r="C696" s="101">
        <v>5500000</v>
      </c>
      <c r="D696" s="133">
        <f t="shared" si="20"/>
        <v>9.1893951038902886E-5</v>
      </c>
      <c r="E696" s="122">
        <f t="shared" si="21"/>
        <v>0.99414952983713223</v>
      </c>
      <c r="F696" s="99" t="s">
        <v>2889</v>
      </c>
    </row>
    <row r="697" spans="2:6" x14ac:dyDescent="0.3">
      <c r="B697" s="99" t="s">
        <v>2805</v>
      </c>
      <c r="C697" s="101">
        <v>5500000</v>
      </c>
      <c r="D697" s="133">
        <f t="shared" si="20"/>
        <v>9.1893951038902886E-5</v>
      </c>
      <c r="E697" s="122">
        <f t="shared" si="21"/>
        <v>0.99424142378817115</v>
      </c>
      <c r="F697" s="99" t="s">
        <v>2889</v>
      </c>
    </row>
    <row r="698" spans="2:6" x14ac:dyDescent="0.3">
      <c r="B698" s="99" t="s">
        <v>2401</v>
      </c>
      <c r="C698" s="101">
        <v>5280000</v>
      </c>
      <c r="D698" s="133">
        <f t="shared" si="20"/>
        <v>8.821819299734677E-5</v>
      </c>
      <c r="E698" s="122">
        <f t="shared" si="21"/>
        <v>0.99432964198116847</v>
      </c>
      <c r="F698" s="99" t="s">
        <v>2889</v>
      </c>
    </row>
    <row r="699" spans="2:6" x14ac:dyDescent="0.3">
      <c r="B699" s="99" t="s">
        <v>2406</v>
      </c>
      <c r="C699" s="101">
        <v>5220000</v>
      </c>
      <c r="D699" s="133">
        <f t="shared" si="20"/>
        <v>8.7215713531467836E-5</v>
      </c>
      <c r="E699" s="122">
        <f t="shared" si="21"/>
        <v>0.9944168576946999</v>
      </c>
      <c r="F699" s="99" t="s">
        <v>2889</v>
      </c>
    </row>
    <row r="700" spans="2:6" x14ac:dyDescent="0.3">
      <c r="B700" s="99" t="s">
        <v>897</v>
      </c>
      <c r="C700" s="101">
        <v>5200000</v>
      </c>
      <c r="D700" s="133">
        <f t="shared" si="20"/>
        <v>8.6881553709508187E-5</v>
      </c>
      <c r="E700" s="122">
        <f t="shared" si="21"/>
        <v>0.9945037392484094</v>
      </c>
      <c r="F700" s="99" t="s">
        <v>2889</v>
      </c>
    </row>
    <row r="701" spans="2:6" x14ac:dyDescent="0.3">
      <c r="B701" s="99" t="s">
        <v>2550</v>
      </c>
      <c r="C701" s="101">
        <v>5160000</v>
      </c>
      <c r="D701" s="133">
        <f t="shared" si="20"/>
        <v>8.6213234065588888E-5</v>
      </c>
      <c r="E701" s="122">
        <f t="shared" si="21"/>
        <v>0.99458995248247495</v>
      </c>
      <c r="F701" s="99" t="s">
        <v>2889</v>
      </c>
    </row>
    <row r="702" spans="2:6" x14ac:dyDescent="0.3">
      <c r="B702" s="99" t="s">
        <v>2637</v>
      </c>
      <c r="C702" s="101">
        <v>5055000</v>
      </c>
      <c r="D702" s="133">
        <f t="shared" si="20"/>
        <v>8.4458895000300742E-5</v>
      </c>
      <c r="E702" s="122">
        <f t="shared" si="21"/>
        <v>0.99467441137747525</v>
      </c>
      <c r="F702" s="99" t="s">
        <v>2889</v>
      </c>
    </row>
    <row r="703" spans="2:6" x14ac:dyDescent="0.3">
      <c r="B703" s="99" t="s">
        <v>2683</v>
      </c>
      <c r="C703" s="101">
        <v>5040000</v>
      </c>
      <c r="D703" s="133">
        <f t="shared" si="20"/>
        <v>8.4208275133831005E-5</v>
      </c>
      <c r="E703" s="122">
        <f t="shared" si="21"/>
        <v>0.99475861965260903</v>
      </c>
      <c r="F703" s="99" t="s">
        <v>2889</v>
      </c>
    </row>
    <row r="704" spans="2:6" x14ac:dyDescent="0.3">
      <c r="B704" s="99" t="s">
        <v>2336</v>
      </c>
      <c r="C704" s="101">
        <v>5000000</v>
      </c>
      <c r="D704" s="133">
        <f t="shared" si="20"/>
        <v>8.353995548991172E-5</v>
      </c>
      <c r="E704" s="122">
        <f t="shared" si="21"/>
        <v>0.99484215960809896</v>
      </c>
      <c r="F704" s="99" t="s">
        <v>2889</v>
      </c>
    </row>
    <row r="705" spans="2:6" x14ac:dyDescent="0.3">
      <c r="B705" s="99" t="s">
        <v>2671</v>
      </c>
      <c r="C705" s="101">
        <v>5000000</v>
      </c>
      <c r="D705" s="133">
        <f t="shared" si="20"/>
        <v>8.353995548991172E-5</v>
      </c>
      <c r="E705" s="122">
        <f t="shared" si="21"/>
        <v>0.99492569956358889</v>
      </c>
      <c r="F705" s="99" t="s">
        <v>2889</v>
      </c>
    </row>
    <row r="706" spans="2:6" x14ac:dyDescent="0.3">
      <c r="B706" s="99" t="s">
        <v>2700</v>
      </c>
      <c r="C706" s="101">
        <v>5000000</v>
      </c>
      <c r="D706" s="133">
        <f t="shared" si="20"/>
        <v>8.353995548991172E-5</v>
      </c>
      <c r="E706" s="122">
        <f t="shared" si="21"/>
        <v>0.99500923951907883</v>
      </c>
      <c r="F706" s="99" t="s">
        <v>2889</v>
      </c>
    </row>
    <row r="707" spans="2:6" x14ac:dyDescent="0.3">
      <c r="B707" s="99" t="s">
        <v>2826</v>
      </c>
      <c r="C707" s="101">
        <v>5000000</v>
      </c>
      <c r="D707" s="133">
        <f t="shared" si="20"/>
        <v>8.353995548991172E-5</v>
      </c>
      <c r="E707" s="122">
        <f t="shared" si="21"/>
        <v>0.99509277947456876</v>
      </c>
      <c r="F707" s="99" t="s">
        <v>2889</v>
      </c>
    </row>
    <row r="708" spans="2:6" x14ac:dyDescent="0.3">
      <c r="B708" s="99" t="s">
        <v>2460</v>
      </c>
      <c r="C708" s="101">
        <v>4950000</v>
      </c>
      <c r="D708" s="133">
        <f t="shared" si="20"/>
        <v>8.2704555935012597E-5</v>
      </c>
      <c r="E708" s="122">
        <f t="shared" si="21"/>
        <v>0.99517548403050382</v>
      </c>
      <c r="F708" s="99" t="s">
        <v>2889</v>
      </c>
    </row>
    <row r="709" spans="2:6" x14ac:dyDescent="0.3">
      <c r="B709" s="99" t="s">
        <v>2438</v>
      </c>
      <c r="C709" s="101">
        <v>4920000</v>
      </c>
      <c r="D709" s="133">
        <f t="shared" si="20"/>
        <v>8.2203316202073123E-5</v>
      </c>
      <c r="E709" s="122">
        <f t="shared" si="21"/>
        <v>0.99525768734670594</v>
      </c>
      <c r="F709" s="99" t="s">
        <v>2889</v>
      </c>
    </row>
    <row r="710" spans="2:6" x14ac:dyDescent="0.3">
      <c r="B710" s="99" t="s">
        <v>2454</v>
      </c>
      <c r="C710" s="101">
        <v>4900000</v>
      </c>
      <c r="D710" s="133">
        <f t="shared" ref="D710:D773" si="22">C710/SUM($C$6:$C$817)</f>
        <v>8.1869156380113487E-5</v>
      </c>
      <c r="E710" s="122">
        <f t="shared" si="21"/>
        <v>0.99533955650308603</v>
      </c>
      <c r="F710" s="99" t="s">
        <v>2889</v>
      </c>
    </row>
    <row r="711" spans="2:6" x14ac:dyDescent="0.3">
      <c r="B711" s="99" t="s">
        <v>2130</v>
      </c>
      <c r="C711" s="101">
        <v>4860000</v>
      </c>
      <c r="D711" s="133">
        <f t="shared" si="22"/>
        <v>8.1200836736194189E-5</v>
      </c>
      <c r="E711" s="122">
        <f t="shared" ref="E711:E774" si="23">E710+D711</f>
        <v>0.99542075733982227</v>
      </c>
      <c r="F711" s="99" t="s">
        <v>2889</v>
      </c>
    </row>
    <row r="712" spans="2:6" x14ac:dyDescent="0.3">
      <c r="B712" s="99" t="s">
        <v>2398</v>
      </c>
      <c r="C712" s="101">
        <v>4860000</v>
      </c>
      <c r="D712" s="133">
        <f t="shared" si="22"/>
        <v>8.1200836736194189E-5</v>
      </c>
      <c r="E712" s="122">
        <f t="shared" si="23"/>
        <v>0.99550195817655851</v>
      </c>
      <c r="F712" s="99" t="s">
        <v>2889</v>
      </c>
    </row>
    <row r="713" spans="2:6" x14ac:dyDescent="0.3">
      <c r="B713" s="99" t="s">
        <v>2525</v>
      </c>
      <c r="C713" s="101">
        <v>4860000</v>
      </c>
      <c r="D713" s="133">
        <f t="shared" si="22"/>
        <v>8.1200836736194189E-5</v>
      </c>
      <c r="E713" s="122">
        <f t="shared" si="23"/>
        <v>0.99558315901329475</v>
      </c>
      <c r="F713" s="99" t="s">
        <v>2889</v>
      </c>
    </row>
    <row r="714" spans="2:6" x14ac:dyDescent="0.3">
      <c r="B714" s="99" t="s">
        <v>2509</v>
      </c>
      <c r="C714" s="101">
        <v>4800000</v>
      </c>
      <c r="D714" s="133">
        <f t="shared" si="22"/>
        <v>8.0198357270315241E-5</v>
      </c>
      <c r="E714" s="122">
        <f t="shared" si="23"/>
        <v>0.99566335737056511</v>
      </c>
      <c r="F714" s="99" t="s">
        <v>2889</v>
      </c>
    </row>
    <row r="715" spans="2:6" x14ac:dyDescent="0.3">
      <c r="B715" s="99" t="s">
        <v>2478</v>
      </c>
      <c r="C715" s="101">
        <v>4750000</v>
      </c>
      <c r="D715" s="133">
        <f t="shared" si="22"/>
        <v>7.9362957715416131E-5</v>
      </c>
      <c r="E715" s="122">
        <f t="shared" si="23"/>
        <v>0.99574272032828048</v>
      </c>
      <c r="F715" s="99" t="s">
        <v>2889</v>
      </c>
    </row>
    <row r="716" spans="2:6" x14ac:dyDescent="0.3">
      <c r="B716" s="99" t="s">
        <v>2743</v>
      </c>
      <c r="C716" s="101">
        <v>4750000</v>
      </c>
      <c r="D716" s="133">
        <f t="shared" si="22"/>
        <v>7.9362957715416131E-5</v>
      </c>
      <c r="E716" s="122">
        <f t="shared" si="23"/>
        <v>0.99582208328599586</v>
      </c>
      <c r="F716" s="99" t="s">
        <v>2889</v>
      </c>
    </row>
    <row r="717" spans="2:6" x14ac:dyDescent="0.3">
      <c r="B717" s="99" t="s">
        <v>2196</v>
      </c>
      <c r="C717" s="101">
        <v>4680000</v>
      </c>
      <c r="D717" s="133">
        <f t="shared" si="22"/>
        <v>7.8193398338557372E-5</v>
      </c>
      <c r="E717" s="122">
        <f t="shared" si="23"/>
        <v>0.99590027668433445</v>
      </c>
      <c r="F717" s="99" t="s">
        <v>2889</v>
      </c>
    </row>
    <row r="718" spans="2:6" x14ac:dyDescent="0.3">
      <c r="B718" s="99" t="s">
        <v>2261</v>
      </c>
      <c r="C718" s="101">
        <v>4680000</v>
      </c>
      <c r="D718" s="133">
        <f t="shared" si="22"/>
        <v>7.8193398338557372E-5</v>
      </c>
      <c r="E718" s="122">
        <f t="shared" si="23"/>
        <v>0.99597847008267304</v>
      </c>
      <c r="F718" s="99" t="s">
        <v>2889</v>
      </c>
    </row>
    <row r="719" spans="2:6" x14ac:dyDescent="0.3">
      <c r="B719" s="99" t="s">
        <v>2735</v>
      </c>
      <c r="C719" s="101">
        <v>4680000</v>
      </c>
      <c r="D719" s="133">
        <f t="shared" si="22"/>
        <v>7.8193398338557372E-5</v>
      </c>
      <c r="E719" s="122">
        <f t="shared" si="23"/>
        <v>0.99605666348101163</v>
      </c>
      <c r="F719" s="99" t="s">
        <v>2889</v>
      </c>
    </row>
    <row r="720" spans="2:6" x14ac:dyDescent="0.3">
      <c r="B720" s="99" t="s">
        <v>2513</v>
      </c>
      <c r="C720" s="101">
        <v>4595000</v>
      </c>
      <c r="D720" s="133">
        <f t="shared" si="22"/>
        <v>7.6773219095228862E-5</v>
      </c>
      <c r="E720" s="122">
        <f t="shared" si="23"/>
        <v>0.9961334367001069</v>
      </c>
      <c r="F720" s="99" t="s">
        <v>2889</v>
      </c>
    </row>
    <row r="721" spans="2:6" x14ac:dyDescent="0.3">
      <c r="B721" s="99" t="s">
        <v>2625</v>
      </c>
      <c r="C721" s="101">
        <v>4560000</v>
      </c>
      <c r="D721" s="133">
        <f t="shared" si="22"/>
        <v>7.618843940679949E-5</v>
      </c>
      <c r="E721" s="122">
        <f t="shared" si="23"/>
        <v>0.99620962513951372</v>
      </c>
      <c r="F721" s="99" t="s">
        <v>2889</v>
      </c>
    </row>
    <row r="722" spans="2:6" x14ac:dyDescent="0.3">
      <c r="B722" s="99" t="s">
        <v>2268</v>
      </c>
      <c r="C722" s="101">
        <v>4500000</v>
      </c>
      <c r="D722" s="133">
        <f t="shared" si="22"/>
        <v>7.5185959940920542E-5</v>
      </c>
      <c r="E722" s="122">
        <f t="shared" si="23"/>
        <v>0.99628481109945466</v>
      </c>
      <c r="F722" s="99" t="s">
        <v>2889</v>
      </c>
    </row>
    <row r="723" spans="2:6" x14ac:dyDescent="0.3">
      <c r="B723" s="99" t="s">
        <v>2455</v>
      </c>
      <c r="C723" s="101">
        <v>4500000</v>
      </c>
      <c r="D723" s="133">
        <f t="shared" si="22"/>
        <v>7.5185959940920542E-5</v>
      </c>
      <c r="E723" s="122">
        <f t="shared" si="23"/>
        <v>0.9963599970593956</v>
      </c>
      <c r="F723" s="99" t="s">
        <v>2889</v>
      </c>
    </row>
    <row r="724" spans="2:6" x14ac:dyDescent="0.3">
      <c r="B724" s="99" t="s">
        <v>2137</v>
      </c>
      <c r="C724" s="101">
        <v>4440000</v>
      </c>
      <c r="D724" s="133">
        <f t="shared" si="22"/>
        <v>7.4183480475041607E-5</v>
      </c>
      <c r="E724" s="122">
        <f t="shared" si="23"/>
        <v>0.99643418053987065</v>
      </c>
      <c r="F724" s="99" t="s">
        <v>2889</v>
      </c>
    </row>
    <row r="725" spans="2:6" x14ac:dyDescent="0.3">
      <c r="B725" s="99" t="s">
        <v>2596</v>
      </c>
      <c r="C725" s="101">
        <v>4440000</v>
      </c>
      <c r="D725" s="133">
        <f t="shared" si="22"/>
        <v>7.4183480475041607E-5</v>
      </c>
      <c r="E725" s="122">
        <f t="shared" si="23"/>
        <v>0.9965083640203457</v>
      </c>
      <c r="F725" s="99" t="s">
        <v>2889</v>
      </c>
    </row>
    <row r="726" spans="2:6" x14ac:dyDescent="0.3">
      <c r="B726" s="99" t="s">
        <v>2734</v>
      </c>
      <c r="C726" s="101">
        <v>4440000</v>
      </c>
      <c r="D726" s="133">
        <f t="shared" si="22"/>
        <v>7.4183480475041607E-5</v>
      </c>
      <c r="E726" s="122">
        <f t="shared" si="23"/>
        <v>0.99658254750082076</v>
      </c>
      <c r="F726" s="99" t="s">
        <v>2889</v>
      </c>
    </row>
    <row r="727" spans="2:6" x14ac:dyDescent="0.3">
      <c r="B727" s="99" t="s">
        <v>2270</v>
      </c>
      <c r="C727" s="101">
        <v>4430000</v>
      </c>
      <c r="D727" s="133">
        <f t="shared" si="22"/>
        <v>7.4016400564061783E-5</v>
      </c>
      <c r="E727" s="122">
        <f t="shared" si="23"/>
        <v>0.9966565639013848</v>
      </c>
      <c r="F727" s="99" t="s">
        <v>2889</v>
      </c>
    </row>
    <row r="728" spans="2:6" x14ac:dyDescent="0.3">
      <c r="B728" s="99" t="s">
        <v>2237</v>
      </c>
      <c r="C728" s="101">
        <v>4320000</v>
      </c>
      <c r="D728" s="133">
        <f t="shared" si="22"/>
        <v>7.2178521543283725E-5</v>
      </c>
      <c r="E728" s="122">
        <f t="shared" si="23"/>
        <v>0.99672874242292808</v>
      </c>
      <c r="F728" s="99" t="s">
        <v>2889</v>
      </c>
    </row>
    <row r="729" spans="2:6" x14ac:dyDescent="0.3">
      <c r="B729" s="99" t="s">
        <v>2399</v>
      </c>
      <c r="C729" s="101">
        <v>4320000</v>
      </c>
      <c r="D729" s="133">
        <f t="shared" si="22"/>
        <v>7.2178521543283725E-5</v>
      </c>
      <c r="E729" s="122">
        <f t="shared" si="23"/>
        <v>0.99680092094447137</v>
      </c>
      <c r="F729" s="99" t="s">
        <v>2889</v>
      </c>
    </row>
    <row r="730" spans="2:6" x14ac:dyDescent="0.3">
      <c r="B730" s="99" t="s">
        <v>2581</v>
      </c>
      <c r="C730" s="101">
        <v>4320000</v>
      </c>
      <c r="D730" s="133">
        <f t="shared" si="22"/>
        <v>7.2178521543283725E-5</v>
      </c>
      <c r="E730" s="122">
        <f t="shared" si="23"/>
        <v>0.99687309946601466</v>
      </c>
      <c r="F730" s="99" t="s">
        <v>2889</v>
      </c>
    </row>
    <row r="731" spans="2:6" x14ac:dyDescent="0.3">
      <c r="B731" s="99" t="s">
        <v>2658</v>
      </c>
      <c r="C731" s="101">
        <v>4320000</v>
      </c>
      <c r="D731" s="133">
        <f t="shared" si="22"/>
        <v>7.2178521543283725E-5</v>
      </c>
      <c r="E731" s="122">
        <f t="shared" si="23"/>
        <v>0.99694527798755794</v>
      </c>
      <c r="F731" s="99" t="s">
        <v>2889</v>
      </c>
    </row>
    <row r="732" spans="2:6" x14ac:dyDescent="0.3">
      <c r="B732" s="99" t="s">
        <v>2715</v>
      </c>
      <c r="C732" s="101">
        <v>4300000</v>
      </c>
      <c r="D732" s="133">
        <f t="shared" si="22"/>
        <v>7.1844361721324075E-5</v>
      </c>
      <c r="E732" s="122">
        <f t="shared" si="23"/>
        <v>0.99701712234927931</v>
      </c>
      <c r="F732" s="99" t="s">
        <v>2889</v>
      </c>
    </row>
    <row r="733" spans="2:6" x14ac:dyDescent="0.3">
      <c r="B733" s="99" t="s">
        <v>2371</v>
      </c>
      <c r="C733" s="101">
        <v>4260000</v>
      </c>
      <c r="D733" s="133">
        <f t="shared" si="22"/>
        <v>7.1176042077404777E-5</v>
      </c>
      <c r="E733" s="122">
        <f t="shared" si="23"/>
        <v>0.99708829839135671</v>
      </c>
      <c r="F733" s="99" t="s">
        <v>2889</v>
      </c>
    </row>
    <row r="734" spans="2:6" x14ac:dyDescent="0.3">
      <c r="B734" s="99" t="s">
        <v>2458</v>
      </c>
      <c r="C734" s="101">
        <v>4250000</v>
      </c>
      <c r="D734" s="133">
        <f t="shared" si="22"/>
        <v>7.1008962166424952E-5</v>
      </c>
      <c r="E734" s="122">
        <f t="shared" si="23"/>
        <v>0.99715930735352309</v>
      </c>
      <c r="F734" s="99" t="s">
        <v>2889</v>
      </c>
    </row>
    <row r="735" spans="2:6" x14ac:dyDescent="0.3">
      <c r="B735" s="99" t="s">
        <v>1926</v>
      </c>
      <c r="C735" s="101">
        <v>4200000</v>
      </c>
      <c r="D735" s="133">
        <f t="shared" si="22"/>
        <v>7.0173562611525842E-5</v>
      </c>
      <c r="E735" s="122">
        <f t="shared" si="23"/>
        <v>0.99722948091613461</v>
      </c>
      <c r="F735" s="99" t="s">
        <v>2889</v>
      </c>
    </row>
    <row r="736" spans="2:6" x14ac:dyDescent="0.3">
      <c r="B736" s="99" t="s">
        <v>2506</v>
      </c>
      <c r="C736" s="101">
        <v>4200000</v>
      </c>
      <c r="D736" s="133">
        <f t="shared" si="22"/>
        <v>7.0173562611525842E-5</v>
      </c>
      <c r="E736" s="122">
        <f t="shared" si="23"/>
        <v>0.99729965447874613</v>
      </c>
      <c r="F736" s="99" t="s">
        <v>2889</v>
      </c>
    </row>
    <row r="737" spans="2:6" x14ac:dyDescent="0.3">
      <c r="B737" s="99" t="s">
        <v>2610</v>
      </c>
      <c r="C737" s="101">
        <v>4200000</v>
      </c>
      <c r="D737" s="133">
        <f t="shared" si="22"/>
        <v>7.0173562611525842E-5</v>
      </c>
      <c r="E737" s="122">
        <f t="shared" si="23"/>
        <v>0.99736982804135765</v>
      </c>
      <c r="F737" s="99" t="s">
        <v>2889</v>
      </c>
    </row>
    <row r="738" spans="2:6" x14ac:dyDescent="0.3">
      <c r="B738" s="99" t="s">
        <v>2281</v>
      </c>
      <c r="C738" s="101">
        <v>4140000</v>
      </c>
      <c r="D738" s="133">
        <f t="shared" si="22"/>
        <v>6.9171083145646894E-5</v>
      </c>
      <c r="E738" s="122">
        <f t="shared" si="23"/>
        <v>0.99743899912450329</v>
      </c>
      <c r="F738" s="99" t="s">
        <v>2889</v>
      </c>
    </row>
    <row r="739" spans="2:6" x14ac:dyDescent="0.3">
      <c r="B739" s="99" t="s">
        <v>2188</v>
      </c>
      <c r="C739" s="101">
        <v>4050000</v>
      </c>
      <c r="D739" s="133">
        <f t="shared" si="22"/>
        <v>6.7667363946828486E-5</v>
      </c>
      <c r="E739" s="122">
        <f t="shared" si="23"/>
        <v>0.9975066664884501</v>
      </c>
      <c r="F739" s="99" t="s">
        <v>2889</v>
      </c>
    </row>
    <row r="740" spans="2:6" x14ac:dyDescent="0.3">
      <c r="B740" s="99" t="s">
        <v>2227</v>
      </c>
      <c r="C740" s="101">
        <v>4050000</v>
      </c>
      <c r="D740" s="133">
        <f t="shared" si="22"/>
        <v>6.7667363946828486E-5</v>
      </c>
      <c r="E740" s="122">
        <f t="shared" si="23"/>
        <v>0.99757433385239691</v>
      </c>
      <c r="F740" s="99" t="s">
        <v>2889</v>
      </c>
    </row>
    <row r="741" spans="2:6" x14ac:dyDescent="0.3">
      <c r="B741" s="99" t="s">
        <v>2313</v>
      </c>
      <c r="C741" s="101">
        <v>4000000</v>
      </c>
      <c r="D741" s="133">
        <f t="shared" si="22"/>
        <v>6.6831964391929376E-5</v>
      </c>
      <c r="E741" s="122">
        <f t="shared" si="23"/>
        <v>0.99764116581678886</v>
      </c>
      <c r="F741" s="99" t="s">
        <v>2889</v>
      </c>
    </row>
    <row r="742" spans="2:6" x14ac:dyDescent="0.3">
      <c r="B742" s="99" t="s">
        <v>2638</v>
      </c>
      <c r="C742" s="101">
        <v>4000000</v>
      </c>
      <c r="D742" s="133">
        <f t="shared" si="22"/>
        <v>6.6831964391929376E-5</v>
      </c>
      <c r="E742" s="122">
        <f t="shared" si="23"/>
        <v>0.9977079977811808</v>
      </c>
      <c r="F742" s="99" t="s">
        <v>2889</v>
      </c>
    </row>
    <row r="743" spans="2:6" x14ac:dyDescent="0.3">
      <c r="B743" s="99" t="s">
        <v>2444</v>
      </c>
      <c r="C743" s="101">
        <v>3800000</v>
      </c>
      <c r="D743" s="133">
        <f t="shared" si="22"/>
        <v>6.3490366172332897E-5</v>
      </c>
      <c r="E743" s="122">
        <f t="shared" si="23"/>
        <v>0.99777148814735317</v>
      </c>
      <c r="F743" s="99" t="s">
        <v>2889</v>
      </c>
    </row>
    <row r="744" spans="2:6" x14ac:dyDescent="0.3">
      <c r="B744" s="99" t="s">
        <v>2344</v>
      </c>
      <c r="C744" s="101">
        <v>3780000</v>
      </c>
      <c r="D744" s="133">
        <f t="shared" si="22"/>
        <v>6.3156206350373261E-5</v>
      </c>
      <c r="E744" s="122">
        <f t="shared" si="23"/>
        <v>0.9978346443537035</v>
      </c>
      <c r="F744" s="99" t="s">
        <v>2889</v>
      </c>
    </row>
    <row r="745" spans="2:6" x14ac:dyDescent="0.3">
      <c r="B745" s="99" t="s">
        <v>2564</v>
      </c>
      <c r="C745" s="101">
        <v>3780000</v>
      </c>
      <c r="D745" s="133">
        <f t="shared" si="22"/>
        <v>6.3156206350373261E-5</v>
      </c>
      <c r="E745" s="122">
        <f t="shared" si="23"/>
        <v>0.99789780056005384</v>
      </c>
      <c r="F745" s="99" t="s">
        <v>2889</v>
      </c>
    </row>
    <row r="746" spans="2:6" x14ac:dyDescent="0.3">
      <c r="B746" s="99" t="s">
        <v>2725</v>
      </c>
      <c r="C746" s="101">
        <v>3750000</v>
      </c>
      <c r="D746" s="133">
        <f t="shared" si="22"/>
        <v>6.2654966617433787E-5</v>
      </c>
      <c r="E746" s="122">
        <f t="shared" si="23"/>
        <v>0.99796045552667123</v>
      </c>
      <c r="F746" s="99" t="s">
        <v>2889</v>
      </c>
    </row>
    <row r="747" spans="2:6" x14ac:dyDescent="0.3">
      <c r="B747" s="99" t="s">
        <v>2254</v>
      </c>
      <c r="C747" s="101">
        <v>3600000</v>
      </c>
      <c r="D747" s="133">
        <f t="shared" si="22"/>
        <v>6.0148767952736437E-5</v>
      </c>
      <c r="E747" s="122">
        <f t="shared" si="23"/>
        <v>0.99802060429462391</v>
      </c>
      <c r="F747" s="99" t="s">
        <v>2889</v>
      </c>
    </row>
    <row r="748" spans="2:6" x14ac:dyDescent="0.3">
      <c r="B748" s="99" t="s">
        <v>2472</v>
      </c>
      <c r="C748" s="101">
        <v>3600000</v>
      </c>
      <c r="D748" s="133">
        <f t="shared" si="22"/>
        <v>6.0148767952736437E-5</v>
      </c>
      <c r="E748" s="122">
        <f t="shared" si="23"/>
        <v>0.9980807530625766</v>
      </c>
      <c r="F748" s="99" t="s">
        <v>2889</v>
      </c>
    </row>
    <row r="749" spans="2:6" x14ac:dyDescent="0.3">
      <c r="B749" s="99" t="s">
        <v>2199</v>
      </c>
      <c r="C749" s="101">
        <v>3500000</v>
      </c>
      <c r="D749" s="133">
        <f t="shared" si="22"/>
        <v>5.8477968842938198E-5</v>
      </c>
      <c r="E749" s="122">
        <f t="shared" si="23"/>
        <v>0.99813923103141955</v>
      </c>
      <c r="F749" s="99" t="s">
        <v>2889</v>
      </c>
    </row>
    <row r="750" spans="2:6" x14ac:dyDescent="0.3">
      <c r="B750" s="99" t="s">
        <v>2674</v>
      </c>
      <c r="C750" s="101">
        <v>3500000</v>
      </c>
      <c r="D750" s="133">
        <f t="shared" si="22"/>
        <v>5.8477968842938198E-5</v>
      </c>
      <c r="E750" s="122">
        <f t="shared" si="23"/>
        <v>0.9981977090002625</v>
      </c>
      <c r="F750" s="99" t="s">
        <v>2889</v>
      </c>
    </row>
    <row r="751" spans="2:6" x14ac:dyDescent="0.3">
      <c r="B751" s="99" t="s">
        <v>1683</v>
      </c>
      <c r="C751" s="101">
        <v>3400000</v>
      </c>
      <c r="D751" s="133">
        <f t="shared" si="22"/>
        <v>5.6807169733139964E-5</v>
      </c>
      <c r="E751" s="122">
        <f t="shared" si="23"/>
        <v>0.99825451616999561</v>
      </c>
      <c r="F751" s="99" t="s">
        <v>2889</v>
      </c>
    </row>
    <row r="752" spans="2:6" x14ac:dyDescent="0.3">
      <c r="B752" s="99" t="s">
        <v>2277</v>
      </c>
      <c r="C752" s="101">
        <v>3400000</v>
      </c>
      <c r="D752" s="133">
        <f t="shared" si="22"/>
        <v>5.6807169733139964E-5</v>
      </c>
      <c r="E752" s="122">
        <f t="shared" si="23"/>
        <v>0.99831132333972872</v>
      </c>
      <c r="F752" s="99" t="s">
        <v>2889</v>
      </c>
    </row>
    <row r="753" spans="2:6" x14ac:dyDescent="0.3">
      <c r="B753" s="99" t="s">
        <v>2368</v>
      </c>
      <c r="C753" s="101">
        <v>3250000</v>
      </c>
      <c r="D753" s="133">
        <f t="shared" si="22"/>
        <v>5.4300971068442615E-5</v>
      </c>
      <c r="E753" s="122">
        <f t="shared" si="23"/>
        <v>0.99836562431079712</v>
      </c>
      <c r="F753" s="99" t="s">
        <v>2889</v>
      </c>
    </row>
    <row r="754" spans="2:6" x14ac:dyDescent="0.3">
      <c r="B754" s="99" t="s">
        <v>2003</v>
      </c>
      <c r="C754" s="101">
        <v>3240000</v>
      </c>
      <c r="D754" s="133">
        <f t="shared" si="22"/>
        <v>5.413389115746279E-5</v>
      </c>
      <c r="E754" s="122">
        <f t="shared" si="23"/>
        <v>0.99841975820195461</v>
      </c>
      <c r="F754" s="99" t="s">
        <v>2889</v>
      </c>
    </row>
    <row r="755" spans="2:6" x14ac:dyDescent="0.3">
      <c r="B755" s="99" t="s">
        <v>2672</v>
      </c>
      <c r="C755" s="101">
        <v>3240000</v>
      </c>
      <c r="D755" s="133">
        <f t="shared" si="22"/>
        <v>5.413389115746279E-5</v>
      </c>
      <c r="E755" s="122">
        <f t="shared" si="23"/>
        <v>0.9984738920931121</v>
      </c>
      <c r="F755" s="99" t="s">
        <v>2889</v>
      </c>
    </row>
    <row r="756" spans="2:6" x14ac:dyDescent="0.3">
      <c r="B756" s="99" t="s">
        <v>2694</v>
      </c>
      <c r="C756" s="101">
        <v>3000000</v>
      </c>
      <c r="D756" s="133">
        <f t="shared" si="22"/>
        <v>5.0123973293947032E-5</v>
      </c>
      <c r="E756" s="122">
        <f t="shared" si="23"/>
        <v>0.99852401606640606</v>
      </c>
      <c r="F756" s="99" t="s">
        <v>2889</v>
      </c>
    </row>
    <row r="757" spans="2:6" x14ac:dyDescent="0.3">
      <c r="B757" s="99" t="s">
        <v>2442</v>
      </c>
      <c r="C757" s="101">
        <v>2975000</v>
      </c>
      <c r="D757" s="133">
        <f t="shared" si="22"/>
        <v>4.9706273516497471E-5</v>
      </c>
      <c r="E757" s="122">
        <f t="shared" si="23"/>
        <v>0.99857372233992259</v>
      </c>
      <c r="F757" s="99" t="s">
        <v>2889</v>
      </c>
    </row>
    <row r="758" spans="2:6" x14ac:dyDescent="0.3">
      <c r="B758" s="99" t="s">
        <v>2428</v>
      </c>
      <c r="C758" s="101">
        <v>2880000</v>
      </c>
      <c r="D758" s="133">
        <f t="shared" si="22"/>
        <v>4.811901436218915E-5</v>
      </c>
      <c r="E758" s="122">
        <f t="shared" si="23"/>
        <v>0.99862184135428478</v>
      </c>
      <c r="F758" s="99" t="s">
        <v>2889</v>
      </c>
    </row>
    <row r="759" spans="2:6" x14ac:dyDescent="0.3">
      <c r="B759" s="99" t="s">
        <v>2561</v>
      </c>
      <c r="C759" s="101">
        <v>2800000</v>
      </c>
      <c r="D759" s="133">
        <f t="shared" si="22"/>
        <v>4.6782375074350559E-5</v>
      </c>
      <c r="E759" s="122">
        <f t="shared" si="23"/>
        <v>0.99866862372935916</v>
      </c>
      <c r="F759" s="99" t="s">
        <v>2889</v>
      </c>
    </row>
    <row r="760" spans="2:6" x14ac:dyDescent="0.3">
      <c r="B760" s="99" t="s">
        <v>2489</v>
      </c>
      <c r="C760" s="101">
        <v>2760000</v>
      </c>
      <c r="D760" s="133">
        <f t="shared" si="22"/>
        <v>4.6114055430431267E-5</v>
      </c>
      <c r="E760" s="122">
        <f t="shared" si="23"/>
        <v>0.99871473778478959</v>
      </c>
      <c r="F760" s="99" t="s">
        <v>2889</v>
      </c>
    </row>
    <row r="761" spans="2:6" x14ac:dyDescent="0.3">
      <c r="B761" s="99" t="s">
        <v>2449</v>
      </c>
      <c r="C761" s="101">
        <v>2640000</v>
      </c>
      <c r="D761" s="133">
        <f t="shared" si="22"/>
        <v>4.4109096498673385E-5</v>
      </c>
      <c r="E761" s="122">
        <f t="shared" si="23"/>
        <v>0.99875884688128824</v>
      </c>
      <c r="F761" s="99" t="s">
        <v>2889</v>
      </c>
    </row>
    <row r="762" spans="2:6" x14ac:dyDescent="0.3">
      <c r="B762" s="99" t="s">
        <v>2145</v>
      </c>
      <c r="C762" s="101">
        <v>2600000</v>
      </c>
      <c r="D762" s="133">
        <f t="shared" si="22"/>
        <v>4.3440776854754093E-5</v>
      </c>
      <c r="E762" s="122">
        <f t="shared" si="23"/>
        <v>0.99880228765814305</v>
      </c>
      <c r="F762" s="99" t="s">
        <v>2889</v>
      </c>
    </row>
    <row r="763" spans="2:6" x14ac:dyDescent="0.3">
      <c r="B763" s="99" t="s">
        <v>2841</v>
      </c>
      <c r="C763" s="101">
        <v>2595000</v>
      </c>
      <c r="D763" s="133">
        <f t="shared" si="22"/>
        <v>4.3357236899264181E-5</v>
      </c>
      <c r="E763" s="122">
        <f t="shared" si="23"/>
        <v>0.99884564489504235</v>
      </c>
      <c r="F763" s="99" t="s">
        <v>2889</v>
      </c>
    </row>
    <row r="764" spans="2:6" x14ac:dyDescent="0.3">
      <c r="B764" s="99" t="s">
        <v>2244</v>
      </c>
      <c r="C764" s="101">
        <v>2520000</v>
      </c>
      <c r="D764" s="133">
        <f t="shared" si="22"/>
        <v>4.2104137566915503E-5</v>
      </c>
      <c r="E764" s="122">
        <f t="shared" si="23"/>
        <v>0.99888774903260924</v>
      </c>
      <c r="F764" s="99" t="s">
        <v>2889</v>
      </c>
    </row>
    <row r="765" spans="2:6" x14ac:dyDescent="0.3">
      <c r="B765" s="99" t="s">
        <v>2419</v>
      </c>
      <c r="C765" s="101">
        <v>2500000</v>
      </c>
      <c r="D765" s="133">
        <f t="shared" si="22"/>
        <v>4.176997774495586E-5</v>
      </c>
      <c r="E765" s="122">
        <f t="shared" si="23"/>
        <v>0.99892951901035421</v>
      </c>
      <c r="F765" s="99" t="s">
        <v>2889</v>
      </c>
    </row>
    <row r="766" spans="2:6" x14ac:dyDescent="0.3">
      <c r="B766" s="99" t="s">
        <v>2571</v>
      </c>
      <c r="C766" s="101">
        <v>2500000</v>
      </c>
      <c r="D766" s="133">
        <f t="shared" si="22"/>
        <v>4.176997774495586E-5</v>
      </c>
      <c r="E766" s="122">
        <f t="shared" si="23"/>
        <v>0.99897128898809917</v>
      </c>
      <c r="F766" s="99" t="s">
        <v>2889</v>
      </c>
    </row>
    <row r="767" spans="2:6" x14ac:dyDescent="0.3">
      <c r="B767" s="99" t="s">
        <v>2730</v>
      </c>
      <c r="C767" s="101">
        <v>2500000</v>
      </c>
      <c r="D767" s="133">
        <f t="shared" si="22"/>
        <v>4.176997774495586E-5</v>
      </c>
      <c r="E767" s="122">
        <f t="shared" si="23"/>
        <v>0.99901305896584414</v>
      </c>
      <c r="F767" s="99" t="s">
        <v>2889</v>
      </c>
    </row>
    <row r="768" spans="2:6" x14ac:dyDescent="0.3">
      <c r="B768" s="99" t="s">
        <v>2748</v>
      </c>
      <c r="C768" s="101">
        <v>2500000</v>
      </c>
      <c r="D768" s="133">
        <f t="shared" si="22"/>
        <v>4.176997774495586E-5</v>
      </c>
      <c r="E768" s="122">
        <f t="shared" si="23"/>
        <v>0.9990548289435891</v>
      </c>
      <c r="F768" s="99" t="s">
        <v>2889</v>
      </c>
    </row>
    <row r="769" spans="2:6" x14ac:dyDescent="0.3">
      <c r="B769" s="99" t="s">
        <v>2322</v>
      </c>
      <c r="C769" s="101">
        <v>2450000</v>
      </c>
      <c r="D769" s="133">
        <f t="shared" si="22"/>
        <v>4.0934578190056744E-5</v>
      </c>
      <c r="E769" s="122">
        <f t="shared" si="23"/>
        <v>0.9990957635217792</v>
      </c>
      <c r="F769" s="99" t="s">
        <v>2889</v>
      </c>
    </row>
    <row r="770" spans="2:6" x14ac:dyDescent="0.3">
      <c r="B770" s="99" t="s">
        <v>2138</v>
      </c>
      <c r="C770" s="101">
        <v>2400000</v>
      </c>
      <c r="D770" s="133">
        <f t="shared" si="22"/>
        <v>4.009917863515762E-5</v>
      </c>
      <c r="E770" s="122">
        <f t="shared" si="23"/>
        <v>0.99913586270041432</v>
      </c>
      <c r="F770" s="99" t="s">
        <v>2889</v>
      </c>
    </row>
    <row r="771" spans="2:6" x14ac:dyDescent="0.3">
      <c r="B771" s="99" t="s">
        <v>2306</v>
      </c>
      <c r="C771" s="101">
        <v>2400000</v>
      </c>
      <c r="D771" s="133">
        <f t="shared" si="22"/>
        <v>4.009917863515762E-5</v>
      </c>
      <c r="E771" s="122">
        <f t="shared" si="23"/>
        <v>0.99917596187904945</v>
      </c>
      <c r="F771" s="99" t="s">
        <v>2889</v>
      </c>
    </row>
    <row r="772" spans="2:6" x14ac:dyDescent="0.3">
      <c r="B772" s="99" t="s">
        <v>2835</v>
      </c>
      <c r="C772" s="101">
        <v>2250000</v>
      </c>
      <c r="D772" s="133">
        <f t="shared" si="22"/>
        <v>3.7592979970460271E-5</v>
      </c>
      <c r="E772" s="122">
        <f t="shared" si="23"/>
        <v>0.99921355485901986</v>
      </c>
      <c r="F772" s="99" t="s">
        <v>2889</v>
      </c>
    </row>
    <row r="773" spans="2:6" x14ac:dyDescent="0.3">
      <c r="B773" s="99" t="s">
        <v>1986</v>
      </c>
      <c r="C773" s="101">
        <v>2200000</v>
      </c>
      <c r="D773" s="133">
        <f t="shared" si="22"/>
        <v>3.6757580415561154E-5</v>
      </c>
      <c r="E773" s="122">
        <f t="shared" si="23"/>
        <v>0.99925031243943541</v>
      </c>
      <c r="F773" s="99" t="s">
        <v>2889</v>
      </c>
    </row>
    <row r="774" spans="2:6" x14ac:dyDescent="0.3">
      <c r="B774" s="99" t="s">
        <v>2283</v>
      </c>
      <c r="C774" s="101">
        <v>2000000</v>
      </c>
      <c r="D774" s="133">
        <f t="shared" ref="D774:D817" si="24">C774/SUM($C$6:$C$817)</f>
        <v>3.3415982195964688E-5</v>
      </c>
      <c r="E774" s="122">
        <f t="shared" si="23"/>
        <v>0.99928372842163138</v>
      </c>
      <c r="F774" s="99" t="s">
        <v>2889</v>
      </c>
    </row>
    <row r="775" spans="2:6" x14ac:dyDescent="0.3">
      <c r="B775" s="99" t="s">
        <v>1037</v>
      </c>
      <c r="C775" s="101">
        <v>1920000</v>
      </c>
      <c r="D775" s="133">
        <f t="shared" si="24"/>
        <v>3.2079342908126098E-5</v>
      </c>
      <c r="E775" s="122">
        <f t="shared" ref="E775:E817" si="25">E774+D775</f>
        <v>0.99931580776453954</v>
      </c>
      <c r="F775" s="99" t="s">
        <v>2889</v>
      </c>
    </row>
    <row r="776" spans="2:6" x14ac:dyDescent="0.3">
      <c r="B776" s="99" t="s">
        <v>2678</v>
      </c>
      <c r="C776" s="101">
        <v>1920000</v>
      </c>
      <c r="D776" s="133">
        <f t="shared" si="24"/>
        <v>3.2079342908126098E-5</v>
      </c>
      <c r="E776" s="122">
        <f t="shared" si="25"/>
        <v>0.99934788710744771</v>
      </c>
      <c r="F776" s="99" t="s">
        <v>2889</v>
      </c>
    </row>
    <row r="777" spans="2:6" x14ac:dyDescent="0.3">
      <c r="B777" s="99" t="s">
        <v>2566</v>
      </c>
      <c r="C777" s="101">
        <v>1750000</v>
      </c>
      <c r="D777" s="133">
        <f t="shared" si="24"/>
        <v>2.9238984421469099E-5</v>
      </c>
      <c r="E777" s="122">
        <f t="shared" si="25"/>
        <v>0.99937712609186913</v>
      </c>
      <c r="F777" s="99" t="s">
        <v>2889</v>
      </c>
    </row>
    <row r="778" spans="2:6" x14ac:dyDescent="0.3">
      <c r="B778" s="99" t="s">
        <v>2764</v>
      </c>
      <c r="C778" s="101">
        <v>1750000</v>
      </c>
      <c r="D778" s="133">
        <f t="shared" si="24"/>
        <v>2.9238984421469099E-5</v>
      </c>
      <c r="E778" s="122">
        <f t="shared" si="25"/>
        <v>0.99940636507629055</v>
      </c>
      <c r="F778" s="99" t="s">
        <v>2889</v>
      </c>
    </row>
    <row r="779" spans="2:6" x14ac:dyDescent="0.3">
      <c r="B779" s="99" t="s">
        <v>2790</v>
      </c>
      <c r="C779" s="101">
        <v>1750000</v>
      </c>
      <c r="D779" s="133">
        <f t="shared" si="24"/>
        <v>2.9238984421469099E-5</v>
      </c>
      <c r="E779" s="122">
        <f t="shared" si="25"/>
        <v>0.99943560406071197</v>
      </c>
      <c r="F779" s="99" t="s">
        <v>2889</v>
      </c>
    </row>
    <row r="780" spans="2:6" x14ac:dyDescent="0.3">
      <c r="B780" s="99" t="s">
        <v>2061</v>
      </c>
      <c r="C780" s="101">
        <v>1560000</v>
      </c>
      <c r="D780" s="133">
        <f t="shared" si="24"/>
        <v>2.6064466112852454E-5</v>
      </c>
      <c r="E780" s="122">
        <f t="shared" si="25"/>
        <v>0.99946166852682483</v>
      </c>
      <c r="F780" s="99" t="s">
        <v>2889</v>
      </c>
    </row>
    <row r="781" spans="2:6" x14ac:dyDescent="0.3">
      <c r="B781" s="99" t="s">
        <v>2737</v>
      </c>
      <c r="C781" s="101">
        <v>1475000</v>
      </c>
      <c r="D781" s="133">
        <f t="shared" si="24"/>
        <v>2.4644286869523954E-5</v>
      </c>
      <c r="E781" s="122">
        <f t="shared" si="25"/>
        <v>0.99948631281369438</v>
      </c>
      <c r="F781" s="99" t="s">
        <v>2889</v>
      </c>
    </row>
    <row r="782" spans="2:6" x14ac:dyDescent="0.3">
      <c r="B782" s="99" t="s">
        <v>2121</v>
      </c>
      <c r="C782" s="101">
        <v>1400000</v>
      </c>
      <c r="D782" s="133">
        <f t="shared" si="24"/>
        <v>2.339118753717528E-5</v>
      </c>
      <c r="E782" s="122">
        <f t="shared" si="25"/>
        <v>0.99950970400123151</v>
      </c>
      <c r="F782" s="99" t="s">
        <v>2889</v>
      </c>
    </row>
    <row r="783" spans="2:6" x14ac:dyDescent="0.3">
      <c r="B783" s="99" t="s">
        <v>2687</v>
      </c>
      <c r="C783" s="101">
        <v>1400000</v>
      </c>
      <c r="D783" s="133">
        <f t="shared" si="24"/>
        <v>2.339118753717528E-5</v>
      </c>
      <c r="E783" s="122">
        <f t="shared" si="25"/>
        <v>0.99953309518876865</v>
      </c>
      <c r="F783" s="99" t="s">
        <v>2889</v>
      </c>
    </row>
    <row r="784" spans="2:6" x14ac:dyDescent="0.3">
      <c r="B784" s="99" t="s">
        <v>2692</v>
      </c>
      <c r="C784" s="101">
        <v>1400000</v>
      </c>
      <c r="D784" s="133">
        <f t="shared" si="24"/>
        <v>2.339118753717528E-5</v>
      </c>
      <c r="E784" s="122">
        <f t="shared" si="25"/>
        <v>0.99955648637630579</v>
      </c>
      <c r="F784" s="99" t="s">
        <v>2889</v>
      </c>
    </row>
    <row r="785" spans="2:6" x14ac:dyDescent="0.3">
      <c r="B785" s="99" t="s">
        <v>2181</v>
      </c>
      <c r="C785" s="101">
        <v>1320000</v>
      </c>
      <c r="D785" s="133">
        <f t="shared" si="24"/>
        <v>2.2054548249336693E-5</v>
      </c>
      <c r="E785" s="122">
        <f t="shared" si="25"/>
        <v>0.99957854092455511</v>
      </c>
      <c r="F785" s="99" t="s">
        <v>2889</v>
      </c>
    </row>
    <row r="786" spans="2:6" x14ac:dyDescent="0.3">
      <c r="B786" s="99" t="s">
        <v>2742</v>
      </c>
      <c r="C786" s="101">
        <v>1250000</v>
      </c>
      <c r="D786" s="133">
        <f t="shared" si="24"/>
        <v>2.088498887247793E-5</v>
      </c>
      <c r="E786" s="122">
        <f t="shared" si="25"/>
        <v>0.99959942591342754</v>
      </c>
      <c r="F786" s="99" t="s">
        <v>2889</v>
      </c>
    </row>
    <row r="787" spans="2:6" x14ac:dyDescent="0.3">
      <c r="B787" s="99" t="s">
        <v>2317</v>
      </c>
      <c r="C787" s="101">
        <v>1225000</v>
      </c>
      <c r="D787" s="133">
        <f t="shared" si="24"/>
        <v>2.0467289095028372E-5</v>
      </c>
      <c r="E787" s="122">
        <f t="shared" si="25"/>
        <v>0.99961989320252254</v>
      </c>
      <c r="F787" s="99" t="s">
        <v>2889</v>
      </c>
    </row>
    <row r="788" spans="2:6" x14ac:dyDescent="0.3">
      <c r="B788" s="99" t="s">
        <v>1554</v>
      </c>
      <c r="C788" s="101">
        <v>1200000</v>
      </c>
      <c r="D788" s="133">
        <f t="shared" si="24"/>
        <v>2.004958931757881E-5</v>
      </c>
      <c r="E788" s="122">
        <f t="shared" si="25"/>
        <v>0.9996399427918401</v>
      </c>
      <c r="F788" s="99" t="s">
        <v>2889</v>
      </c>
    </row>
    <row r="789" spans="2:6" x14ac:dyDescent="0.3">
      <c r="B789" s="99" t="s">
        <v>2388</v>
      </c>
      <c r="C789" s="101">
        <v>1200000</v>
      </c>
      <c r="D789" s="133">
        <f t="shared" si="24"/>
        <v>2.004958931757881E-5</v>
      </c>
      <c r="E789" s="122">
        <f t="shared" si="25"/>
        <v>0.99965999238115766</v>
      </c>
      <c r="F789" s="99" t="s">
        <v>2889</v>
      </c>
    </row>
    <row r="790" spans="2:6" x14ac:dyDescent="0.3">
      <c r="B790" s="99" t="s">
        <v>2526</v>
      </c>
      <c r="C790" s="101">
        <v>1200000</v>
      </c>
      <c r="D790" s="133">
        <f t="shared" si="24"/>
        <v>2.004958931757881E-5</v>
      </c>
      <c r="E790" s="122">
        <f t="shared" si="25"/>
        <v>0.99968004197047522</v>
      </c>
      <c r="F790" s="99" t="s">
        <v>2889</v>
      </c>
    </row>
    <row r="791" spans="2:6" x14ac:dyDescent="0.3">
      <c r="B791" s="99" t="s">
        <v>2615</v>
      </c>
      <c r="C791" s="101">
        <v>1175000</v>
      </c>
      <c r="D791" s="133">
        <f t="shared" si="24"/>
        <v>1.9631889540129252E-5</v>
      </c>
      <c r="E791" s="122">
        <f t="shared" si="25"/>
        <v>0.99969967386001535</v>
      </c>
      <c r="F791" s="99" t="s">
        <v>2889</v>
      </c>
    </row>
    <row r="792" spans="2:6" x14ac:dyDescent="0.3">
      <c r="B792" s="99" t="s">
        <v>2675</v>
      </c>
      <c r="C792" s="101">
        <v>1125000</v>
      </c>
      <c r="D792" s="133">
        <f t="shared" si="24"/>
        <v>1.8796489985230135E-5</v>
      </c>
      <c r="E792" s="122">
        <f t="shared" si="25"/>
        <v>0.99971847035000061</v>
      </c>
      <c r="F792" s="99" t="s">
        <v>2889</v>
      </c>
    </row>
    <row r="793" spans="2:6" x14ac:dyDescent="0.3">
      <c r="B793" s="99" t="s">
        <v>2508</v>
      </c>
      <c r="C793" s="101">
        <v>1100000</v>
      </c>
      <c r="D793" s="133">
        <f t="shared" si="24"/>
        <v>1.8378790207780577E-5</v>
      </c>
      <c r="E793" s="122">
        <f t="shared" si="25"/>
        <v>0.99973684914020844</v>
      </c>
      <c r="F793" s="99" t="s">
        <v>2889</v>
      </c>
    </row>
    <row r="794" spans="2:6" x14ac:dyDescent="0.3">
      <c r="B794" s="99" t="s">
        <v>2555</v>
      </c>
      <c r="C794" s="101">
        <v>1080000</v>
      </c>
      <c r="D794" s="133">
        <f t="shared" si="24"/>
        <v>1.8044630385820931E-5</v>
      </c>
      <c r="E794" s="122">
        <f t="shared" si="25"/>
        <v>0.99975489377059423</v>
      </c>
      <c r="F794" s="99" t="s">
        <v>2889</v>
      </c>
    </row>
    <row r="795" spans="2:6" x14ac:dyDescent="0.3">
      <c r="B795" s="99" t="s">
        <v>2208</v>
      </c>
      <c r="C795" s="101">
        <v>1000000</v>
      </c>
      <c r="D795" s="133">
        <f t="shared" si="24"/>
        <v>1.6707991097982344E-5</v>
      </c>
      <c r="E795" s="122">
        <f t="shared" si="25"/>
        <v>0.99977160176169222</v>
      </c>
      <c r="F795" s="99" t="s">
        <v>2889</v>
      </c>
    </row>
    <row r="796" spans="2:6" x14ac:dyDescent="0.3">
      <c r="B796" s="99" t="s">
        <v>2265</v>
      </c>
      <c r="C796" s="101">
        <v>1000000</v>
      </c>
      <c r="D796" s="133">
        <f t="shared" si="24"/>
        <v>1.6707991097982344E-5</v>
      </c>
      <c r="E796" s="122">
        <f t="shared" si="25"/>
        <v>0.99978830975279021</v>
      </c>
      <c r="F796" s="99" t="s">
        <v>2889</v>
      </c>
    </row>
    <row r="797" spans="2:6" x14ac:dyDescent="0.3">
      <c r="B797" s="99" t="s">
        <v>2357</v>
      </c>
      <c r="C797" s="101">
        <v>1000000</v>
      </c>
      <c r="D797" s="133">
        <f t="shared" si="24"/>
        <v>1.6707991097982344E-5</v>
      </c>
      <c r="E797" s="122">
        <f t="shared" si="25"/>
        <v>0.99980501774388819</v>
      </c>
      <c r="F797" s="99" t="s">
        <v>2889</v>
      </c>
    </row>
    <row r="798" spans="2:6" x14ac:dyDescent="0.3">
      <c r="B798" s="99" t="s">
        <v>2593</v>
      </c>
      <c r="C798" s="101">
        <v>975000</v>
      </c>
      <c r="D798" s="133">
        <f t="shared" si="24"/>
        <v>1.6290291320532786E-5</v>
      </c>
      <c r="E798" s="122">
        <f t="shared" si="25"/>
        <v>0.99982130803520874</v>
      </c>
      <c r="F798" s="99" t="s">
        <v>2889</v>
      </c>
    </row>
    <row r="799" spans="2:6" x14ac:dyDescent="0.3">
      <c r="B799" s="99" t="s">
        <v>2232</v>
      </c>
      <c r="C799" s="101">
        <v>960000</v>
      </c>
      <c r="D799" s="133">
        <f t="shared" si="24"/>
        <v>1.6039671454063049E-5</v>
      </c>
      <c r="E799" s="122">
        <f t="shared" si="25"/>
        <v>0.99983734770666277</v>
      </c>
      <c r="F799" s="99" t="s">
        <v>2889</v>
      </c>
    </row>
    <row r="800" spans="2:6" x14ac:dyDescent="0.3">
      <c r="B800" s="99" t="s">
        <v>2474</v>
      </c>
      <c r="C800" s="101">
        <v>840000</v>
      </c>
      <c r="D800" s="133">
        <f t="shared" si="24"/>
        <v>1.4034712522305168E-5</v>
      </c>
      <c r="E800" s="122">
        <f t="shared" si="25"/>
        <v>0.99985138241918503</v>
      </c>
      <c r="F800" s="99" t="s">
        <v>2889</v>
      </c>
    </row>
    <row r="801" spans="2:6" x14ac:dyDescent="0.3">
      <c r="B801" s="99" t="s">
        <v>2517</v>
      </c>
      <c r="C801" s="101">
        <v>800000</v>
      </c>
      <c r="D801" s="133">
        <f t="shared" si="24"/>
        <v>1.3366392878385875E-5</v>
      </c>
      <c r="E801" s="122">
        <f t="shared" si="25"/>
        <v>0.99986474881206344</v>
      </c>
      <c r="F801" s="99" t="s">
        <v>2889</v>
      </c>
    </row>
    <row r="802" spans="2:6" x14ac:dyDescent="0.3">
      <c r="B802" s="99" t="s">
        <v>2451</v>
      </c>
      <c r="C802" s="101">
        <v>750000</v>
      </c>
      <c r="D802" s="133">
        <f t="shared" si="24"/>
        <v>1.2530993323486758E-5</v>
      </c>
      <c r="E802" s="122">
        <f t="shared" si="25"/>
        <v>0.99987727980538688</v>
      </c>
      <c r="F802" s="99" t="s">
        <v>2889</v>
      </c>
    </row>
    <row r="803" spans="2:6" x14ac:dyDescent="0.3">
      <c r="B803" s="99" t="s">
        <v>2794</v>
      </c>
      <c r="C803" s="101">
        <v>720000</v>
      </c>
      <c r="D803" s="133">
        <f t="shared" si="24"/>
        <v>1.2029753590547287E-5</v>
      </c>
      <c r="E803" s="122">
        <f t="shared" si="25"/>
        <v>0.99988930955897737</v>
      </c>
      <c r="F803" s="99" t="s">
        <v>2889</v>
      </c>
    </row>
    <row r="804" spans="2:6" x14ac:dyDescent="0.3">
      <c r="B804" s="99" t="s">
        <v>2161</v>
      </c>
      <c r="C804" s="101">
        <v>675000</v>
      </c>
      <c r="D804" s="133">
        <f t="shared" si="24"/>
        <v>1.1277893991138082E-5</v>
      </c>
      <c r="E804" s="122">
        <f t="shared" si="25"/>
        <v>0.9999005874529685</v>
      </c>
      <c r="F804" s="99" t="s">
        <v>2889</v>
      </c>
    </row>
    <row r="805" spans="2:6" x14ac:dyDescent="0.3">
      <c r="B805" s="99" t="s">
        <v>2620</v>
      </c>
      <c r="C805" s="101">
        <v>650000</v>
      </c>
      <c r="D805" s="133">
        <f t="shared" si="24"/>
        <v>1.0860194213688523E-5</v>
      </c>
      <c r="E805" s="122">
        <f t="shared" si="25"/>
        <v>0.99991144764718221</v>
      </c>
      <c r="F805" s="99" t="s">
        <v>2889</v>
      </c>
    </row>
    <row r="806" spans="2:6" x14ac:dyDescent="0.3">
      <c r="B806" s="99" t="s">
        <v>2709</v>
      </c>
      <c r="C806" s="101">
        <v>650000</v>
      </c>
      <c r="D806" s="133">
        <f t="shared" si="24"/>
        <v>1.0860194213688523E-5</v>
      </c>
      <c r="E806" s="122">
        <f t="shared" si="25"/>
        <v>0.99992230784139591</v>
      </c>
      <c r="F806" s="99" t="s">
        <v>2889</v>
      </c>
    </row>
    <row r="807" spans="2:6" x14ac:dyDescent="0.3">
      <c r="B807" s="99" t="s">
        <v>2158</v>
      </c>
      <c r="C807" s="101">
        <v>575000</v>
      </c>
      <c r="D807" s="133">
        <f t="shared" si="24"/>
        <v>9.6070948813398468E-6</v>
      </c>
      <c r="E807" s="122">
        <f t="shared" si="25"/>
        <v>0.9999319149362772</v>
      </c>
      <c r="F807" s="99" t="s">
        <v>2889</v>
      </c>
    </row>
    <row r="808" spans="2:6" x14ac:dyDescent="0.3">
      <c r="B808" s="99" t="s">
        <v>2445</v>
      </c>
      <c r="C808" s="101">
        <v>525000</v>
      </c>
      <c r="D808" s="133">
        <f t="shared" si="24"/>
        <v>8.7716953264407303E-6</v>
      </c>
      <c r="E808" s="122">
        <f t="shared" si="25"/>
        <v>0.99994068663160363</v>
      </c>
      <c r="F808" s="99" t="s">
        <v>2889</v>
      </c>
    </row>
    <row r="809" spans="2:6" x14ac:dyDescent="0.3">
      <c r="B809" s="99" t="s">
        <v>1885</v>
      </c>
      <c r="C809" s="101">
        <v>475000</v>
      </c>
      <c r="D809" s="133">
        <f t="shared" si="24"/>
        <v>7.9362957715416121E-6</v>
      </c>
      <c r="E809" s="122">
        <f t="shared" si="25"/>
        <v>0.99994862292737519</v>
      </c>
      <c r="F809" s="99" t="s">
        <v>2889</v>
      </c>
    </row>
    <row r="810" spans="2:6" x14ac:dyDescent="0.3">
      <c r="B810" s="99" t="s">
        <v>2393</v>
      </c>
      <c r="C810" s="101">
        <v>475000</v>
      </c>
      <c r="D810" s="133">
        <f t="shared" si="24"/>
        <v>7.9362957715416121E-6</v>
      </c>
      <c r="E810" s="122">
        <f t="shared" si="25"/>
        <v>0.99995655922314675</v>
      </c>
      <c r="F810" s="99" t="s">
        <v>2889</v>
      </c>
    </row>
    <row r="811" spans="2:6" x14ac:dyDescent="0.3">
      <c r="B811" s="99" t="s">
        <v>2423</v>
      </c>
      <c r="C811" s="101">
        <v>475000</v>
      </c>
      <c r="D811" s="133">
        <f t="shared" si="24"/>
        <v>7.9362957715416121E-6</v>
      </c>
      <c r="E811" s="122">
        <f t="shared" si="25"/>
        <v>0.99996449551891831</v>
      </c>
      <c r="F811" s="99" t="s">
        <v>2889</v>
      </c>
    </row>
    <row r="812" spans="2:6" x14ac:dyDescent="0.3">
      <c r="B812" s="99" t="s">
        <v>2680</v>
      </c>
      <c r="C812" s="101">
        <v>475000</v>
      </c>
      <c r="D812" s="133">
        <f t="shared" si="24"/>
        <v>7.9362957715416121E-6</v>
      </c>
      <c r="E812" s="122">
        <f t="shared" si="25"/>
        <v>0.99997243181468987</v>
      </c>
      <c r="F812" s="99" t="s">
        <v>2889</v>
      </c>
    </row>
    <row r="813" spans="2:6" x14ac:dyDescent="0.3">
      <c r="B813" s="99" t="s">
        <v>2758</v>
      </c>
      <c r="C813" s="101">
        <v>425000</v>
      </c>
      <c r="D813" s="133">
        <f t="shared" si="24"/>
        <v>7.1008962166424956E-6</v>
      </c>
      <c r="E813" s="122">
        <f t="shared" si="25"/>
        <v>0.99997953271090656</v>
      </c>
      <c r="F813" s="99" t="s">
        <v>2889</v>
      </c>
    </row>
    <row r="814" spans="2:6" x14ac:dyDescent="0.3">
      <c r="B814" s="99" t="s">
        <v>2338</v>
      </c>
      <c r="C814" s="101">
        <v>400000</v>
      </c>
      <c r="D814" s="133">
        <f t="shared" si="24"/>
        <v>6.6831964391929373E-6</v>
      </c>
      <c r="E814" s="122">
        <f t="shared" si="25"/>
        <v>0.99998621590734571</v>
      </c>
      <c r="F814" s="99" t="s">
        <v>2889</v>
      </c>
    </row>
    <row r="815" spans="2:6" x14ac:dyDescent="0.3">
      <c r="B815" s="99" t="s">
        <v>1398</v>
      </c>
      <c r="C815" s="101">
        <v>300000</v>
      </c>
      <c r="D815" s="133">
        <f t="shared" si="24"/>
        <v>5.0123973293947025E-6</v>
      </c>
      <c r="E815" s="122">
        <f t="shared" si="25"/>
        <v>0.99999122830467513</v>
      </c>
      <c r="F815" s="99" t="s">
        <v>2889</v>
      </c>
    </row>
    <row r="816" spans="2:6" x14ac:dyDescent="0.3">
      <c r="B816" s="99" t="s">
        <v>2290</v>
      </c>
      <c r="C816" s="101">
        <v>275000</v>
      </c>
      <c r="D816" s="133">
        <f t="shared" si="24"/>
        <v>4.5946975519451443E-6</v>
      </c>
      <c r="E816" s="122">
        <f t="shared" si="25"/>
        <v>0.99999582300222711</v>
      </c>
      <c r="F816" s="99" t="s">
        <v>2889</v>
      </c>
    </row>
    <row r="817" spans="2:6" x14ac:dyDescent="0.3">
      <c r="B817" s="99" t="s">
        <v>100</v>
      </c>
      <c r="C817" s="101">
        <v>250000</v>
      </c>
      <c r="D817" s="133">
        <f t="shared" si="24"/>
        <v>4.176997774495586E-6</v>
      </c>
      <c r="E817" s="122">
        <f t="shared" si="25"/>
        <v>1.0000000000000016</v>
      </c>
      <c r="F817" s="99" t="s">
        <v>2889</v>
      </c>
    </row>
    <row r="818" spans="2:6" x14ac:dyDescent="0.3">
      <c r="B818" s="99"/>
      <c r="C818" s="112"/>
      <c r="D818" s="121"/>
      <c r="E818" s="122"/>
      <c r="F818" s="99"/>
    </row>
    <row r="819" spans="2:6" x14ac:dyDescent="0.3">
      <c r="B819" s="99"/>
      <c r="C819" s="112"/>
      <c r="D819" s="121"/>
      <c r="E819" s="122"/>
      <c r="F819" s="99"/>
    </row>
    <row r="820" spans="2:6" x14ac:dyDescent="0.3">
      <c r="B820" s="99"/>
      <c r="C820" s="112"/>
      <c r="D820" s="121"/>
      <c r="E820" s="122"/>
      <c r="F820" s="99"/>
    </row>
    <row r="821" spans="2:6" x14ac:dyDescent="0.3">
      <c r="B821" s="99"/>
      <c r="C821" s="112"/>
      <c r="D821" s="121"/>
      <c r="E821" s="122"/>
      <c r="F821" s="99"/>
    </row>
    <row r="822" spans="2:6" x14ac:dyDescent="0.3">
      <c r="B822" s="99"/>
      <c r="C822" s="112"/>
      <c r="D822" s="121"/>
      <c r="E822" s="122"/>
      <c r="F822" s="99"/>
    </row>
    <row r="823" spans="2:6" x14ac:dyDescent="0.3">
      <c r="B823" s="99"/>
      <c r="C823" s="112"/>
      <c r="D823" s="121"/>
      <c r="E823" s="122"/>
      <c r="F823" s="99"/>
    </row>
    <row r="824" spans="2:6" x14ac:dyDescent="0.3">
      <c r="B824" s="99"/>
      <c r="C824" s="112"/>
      <c r="D824" s="121"/>
      <c r="E824" s="122"/>
      <c r="F824" s="99"/>
    </row>
    <row r="825" spans="2:6" x14ac:dyDescent="0.3">
      <c r="B825" s="99"/>
      <c r="C825" s="112"/>
      <c r="D825" s="121"/>
      <c r="E825" s="122"/>
      <c r="F825" s="99"/>
    </row>
    <row r="826" spans="2:6" x14ac:dyDescent="0.3">
      <c r="B826" s="99"/>
      <c r="C826" s="112"/>
      <c r="D826" s="121"/>
      <c r="E826" s="122"/>
      <c r="F826" s="99"/>
    </row>
    <row r="827" spans="2:6" x14ac:dyDescent="0.3">
      <c r="B827" s="99"/>
      <c r="C827" s="112"/>
      <c r="D827" s="121"/>
      <c r="E827" s="122"/>
      <c r="F827" s="99"/>
    </row>
    <row r="828" spans="2:6" x14ac:dyDescent="0.3">
      <c r="B828" s="99"/>
      <c r="C828" s="112"/>
      <c r="D828" s="121"/>
      <c r="E828" s="122"/>
      <c r="F828" s="99"/>
    </row>
    <row r="829" spans="2:6" x14ac:dyDescent="0.3">
      <c r="B829" s="99"/>
      <c r="C829" s="112"/>
      <c r="D829" s="121"/>
      <c r="E829" s="122"/>
      <c r="F829" s="99"/>
    </row>
    <row r="830" spans="2:6" x14ac:dyDescent="0.3">
      <c r="B830" s="99"/>
      <c r="C830" s="112"/>
      <c r="D830" s="121"/>
      <c r="E830" s="122"/>
      <c r="F830" s="99"/>
    </row>
    <row r="831" spans="2:6" x14ac:dyDescent="0.3">
      <c r="B831" s="99"/>
      <c r="C831" s="112"/>
      <c r="D831" s="121"/>
      <c r="E831" s="122"/>
      <c r="F831" s="99"/>
    </row>
    <row r="832" spans="2:6" x14ac:dyDescent="0.3">
      <c r="B832" s="99"/>
      <c r="C832" s="112"/>
      <c r="D832" s="121"/>
      <c r="E832" s="122"/>
      <c r="F832" s="99"/>
    </row>
    <row r="833" spans="2:6" x14ac:dyDescent="0.3">
      <c r="B833" s="99"/>
      <c r="C833" s="112"/>
      <c r="D833" s="121"/>
      <c r="E833" s="122"/>
      <c r="F833" s="99"/>
    </row>
    <row r="834" spans="2:6" x14ac:dyDescent="0.3">
      <c r="B834" s="99"/>
      <c r="C834" s="112"/>
      <c r="D834" s="121"/>
      <c r="E834" s="122"/>
      <c r="F834" s="99"/>
    </row>
    <row r="835" spans="2:6" x14ac:dyDescent="0.3">
      <c r="B835" s="99"/>
      <c r="C835" s="112"/>
      <c r="D835" s="121"/>
      <c r="E835" s="122"/>
      <c r="F835" s="99"/>
    </row>
    <row r="836" spans="2:6" x14ac:dyDescent="0.3">
      <c r="B836" s="99"/>
      <c r="C836" s="112"/>
      <c r="D836" s="121"/>
      <c r="E836" s="122"/>
      <c r="F836" s="99"/>
    </row>
    <row r="837" spans="2:6" x14ac:dyDescent="0.3">
      <c r="B837" s="99"/>
      <c r="C837" s="112"/>
      <c r="D837" s="121"/>
      <c r="E837" s="122"/>
      <c r="F837" s="99"/>
    </row>
    <row r="838" spans="2:6" x14ac:dyDescent="0.3">
      <c r="B838" s="99"/>
      <c r="C838" s="112"/>
      <c r="D838" s="121"/>
      <c r="E838" s="122"/>
      <c r="F838" s="99"/>
    </row>
    <row r="839" spans="2:6" x14ac:dyDescent="0.3">
      <c r="B839" s="99"/>
      <c r="C839" s="112"/>
      <c r="D839" s="121"/>
      <c r="E839" s="122"/>
      <c r="F839" s="99"/>
    </row>
    <row r="840" spans="2:6" x14ac:dyDescent="0.3">
      <c r="B840" s="99"/>
      <c r="C840" s="112"/>
      <c r="D840" s="121"/>
      <c r="E840" s="122"/>
      <c r="F840" s="99"/>
    </row>
    <row r="841" spans="2:6" x14ac:dyDescent="0.3">
      <c r="B841" s="99"/>
      <c r="C841" s="112"/>
      <c r="D841" s="121"/>
      <c r="E841" s="122"/>
      <c r="F841" s="99"/>
    </row>
    <row r="842" spans="2:6" x14ac:dyDescent="0.3">
      <c r="B842" s="99"/>
      <c r="C842" s="112"/>
      <c r="D842" s="121"/>
      <c r="E842" s="122"/>
      <c r="F842" s="99"/>
    </row>
    <row r="843" spans="2:6" x14ac:dyDescent="0.3">
      <c r="B843" s="99"/>
      <c r="C843" s="112"/>
      <c r="D843" s="121"/>
      <c r="E843" s="122"/>
      <c r="F843" s="99"/>
    </row>
    <row r="844" spans="2:6" x14ac:dyDescent="0.3">
      <c r="B844" s="99"/>
      <c r="C844" s="112"/>
      <c r="D844" s="121"/>
      <c r="E844" s="122"/>
      <c r="F844" s="99"/>
    </row>
    <row r="845" spans="2:6" x14ac:dyDescent="0.3">
      <c r="B845" s="99"/>
      <c r="C845" s="112"/>
      <c r="D845" s="121"/>
      <c r="E845" s="122"/>
      <c r="F845" s="99"/>
    </row>
    <row r="846" spans="2:6" x14ac:dyDescent="0.3">
      <c r="B846" s="99"/>
      <c r="C846" s="112"/>
      <c r="D846" s="121"/>
      <c r="E846" s="122"/>
      <c r="F846" s="99"/>
    </row>
    <row r="847" spans="2:6" x14ac:dyDescent="0.3">
      <c r="B847" s="99"/>
      <c r="C847" s="112"/>
      <c r="D847" s="121"/>
      <c r="E847" s="122"/>
      <c r="F847" s="99"/>
    </row>
    <row r="848" spans="2:6" x14ac:dyDescent="0.3">
      <c r="B848" s="99"/>
      <c r="C848" s="112"/>
      <c r="D848" s="121"/>
      <c r="E848" s="122"/>
      <c r="F848" s="99"/>
    </row>
    <row r="849" spans="2:6" x14ac:dyDescent="0.3">
      <c r="B849" s="99"/>
      <c r="C849" s="112"/>
      <c r="D849" s="121"/>
      <c r="E849" s="122"/>
      <c r="F849" s="99"/>
    </row>
    <row r="850" spans="2:6" x14ac:dyDescent="0.3">
      <c r="B850" s="99"/>
      <c r="C850" s="112"/>
      <c r="D850" s="121"/>
      <c r="E850" s="122"/>
      <c r="F850" s="99"/>
    </row>
    <row r="851" spans="2:6" x14ac:dyDescent="0.3">
      <c r="B851" s="99"/>
      <c r="C851" s="112"/>
      <c r="D851" s="121"/>
      <c r="E851" s="122"/>
      <c r="F851" s="99"/>
    </row>
    <row r="852" spans="2:6" x14ac:dyDescent="0.3">
      <c r="B852" s="99"/>
      <c r="C852" s="112"/>
      <c r="D852" s="121"/>
      <c r="E852" s="122"/>
      <c r="F852" s="99"/>
    </row>
    <row r="853" spans="2:6" x14ac:dyDescent="0.3">
      <c r="B853" s="99"/>
      <c r="C853" s="112"/>
      <c r="D853" s="121"/>
      <c r="E853" s="122"/>
      <c r="F853" s="99"/>
    </row>
    <row r="854" spans="2:6" x14ac:dyDescent="0.3">
      <c r="B854" s="99"/>
      <c r="C854" s="112"/>
      <c r="D854" s="121"/>
      <c r="E854" s="122"/>
      <c r="F854" s="99"/>
    </row>
    <row r="855" spans="2:6" x14ac:dyDescent="0.3">
      <c r="B855" s="99"/>
      <c r="C855" s="112"/>
      <c r="D855" s="121"/>
      <c r="E855" s="122"/>
      <c r="F855" s="99"/>
    </row>
    <row r="856" spans="2:6" x14ac:dyDescent="0.3">
      <c r="B856" s="99"/>
      <c r="C856" s="112"/>
      <c r="D856" s="121"/>
      <c r="E856" s="122"/>
      <c r="F856" s="99"/>
    </row>
    <row r="857" spans="2:6" x14ac:dyDescent="0.3">
      <c r="B857" s="99"/>
      <c r="C857" s="112"/>
      <c r="D857" s="121"/>
      <c r="E857" s="122"/>
      <c r="F857" s="99"/>
    </row>
    <row r="858" spans="2:6" x14ac:dyDescent="0.3">
      <c r="B858" s="99"/>
      <c r="C858" s="112"/>
      <c r="D858" s="121"/>
      <c r="E858" s="122"/>
      <c r="F858" s="99"/>
    </row>
    <row r="859" spans="2:6" x14ac:dyDescent="0.3">
      <c r="B859" s="99"/>
      <c r="C859" s="112"/>
      <c r="D859" s="121"/>
      <c r="E859" s="122"/>
      <c r="F859" s="99"/>
    </row>
    <row r="860" spans="2:6" x14ac:dyDescent="0.3">
      <c r="B860" s="99"/>
      <c r="C860" s="112"/>
      <c r="D860" s="121"/>
      <c r="E860" s="122"/>
      <c r="F860" s="99"/>
    </row>
    <row r="861" spans="2:6" x14ac:dyDescent="0.3">
      <c r="B861" s="99"/>
      <c r="C861" s="112"/>
      <c r="D861" s="121"/>
      <c r="E861" s="122"/>
      <c r="F861" s="99"/>
    </row>
    <row r="862" spans="2:6" x14ac:dyDescent="0.3">
      <c r="B862" s="99"/>
      <c r="C862" s="112"/>
      <c r="D862" s="121"/>
      <c r="E862" s="122"/>
      <c r="F862" s="99"/>
    </row>
    <row r="863" spans="2:6" x14ac:dyDescent="0.3">
      <c r="B863" s="99"/>
      <c r="C863" s="112"/>
      <c r="D863" s="121"/>
      <c r="E863" s="122"/>
      <c r="F863" s="99"/>
    </row>
    <row r="864" spans="2:6" x14ac:dyDescent="0.3">
      <c r="B864" s="99"/>
      <c r="C864" s="112"/>
      <c r="D864" s="121"/>
      <c r="E864" s="122"/>
      <c r="F864" s="99"/>
    </row>
    <row r="865" spans="2:6" x14ac:dyDescent="0.3">
      <c r="B865" s="99"/>
      <c r="C865" s="112"/>
      <c r="D865" s="121"/>
      <c r="E865" s="122"/>
      <c r="F865" s="99"/>
    </row>
    <row r="866" spans="2:6" x14ac:dyDescent="0.3">
      <c r="B866" s="99"/>
      <c r="C866" s="112"/>
      <c r="D866" s="121"/>
      <c r="E866" s="122"/>
      <c r="F866" s="99"/>
    </row>
    <row r="867" spans="2:6" x14ac:dyDescent="0.3">
      <c r="B867" s="99"/>
      <c r="C867" s="112"/>
      <c r="D867" s="121"/>
      <c r="E867" s="122"/>
      <c r="F867" s="99"/>
    </row>
    <row r="868" spans="2:6" x14ac:dyDescent="0.3">
      <c r="B868" s="99"/>
      <c r="C868" s="112"/>
      <c r="D868" s="121"/>
      <c r="E868" s="122"/>
      <c r="F868" s="99"/>
    </row>
    <row r="869" spans="2:6" x14ac:dyDescent="0.3">
      <c r="B869" s="99"/>
      <c r="C869" s="112"/>
      <c r="D869" s="121"/>
      <c r="E869" s="122"/>
      <c r="F869" s="99"/>
    </row>
    <row r="870" spans="2:6" x14ac:dyDescent="0.3">
      <c r="B870" s="99"/>
      <c r="C870" s="112"/>
      <c r="D870" s="121"/>
      <c r="E870" s="122"/>
      <c r="F870" s="99"/>
    </row>
    <row r="871" spans="2:6" x14ac:dyDescent="0.3">
      <c r="B871" s="99"/>
      <c r="C871" s="112"/>
      <c r="D871" s="121"/>
      <c r="E871" s="122"/>
      <c r="F871" s="99"/>
    </row>
    <row r="872" spans="2:6" x14ac:dyDescent="0.3">
      <c r="B872" s="99"/>
      <c r="C872" s="112"/>
      <c r="D872" s="121"/>
      <c r="E872" s="122"/>
      <c r="F872" s="99"/>
    </row>
    <row r="873" spans="2:6" x14ac:dyDescent="0.3">
      <c r="B873" s="99"/>
      <c r="C873" s="112"/>
      <c r="D873" s="121"/>
      <c r="E873" s="122"/>
      <c r="F873" s="99"/>
    </row>
    <row r="874" spans="2:6" x14ac:dyDescent="0.3">
      <c r="B874" s="99"/>
      <c r="C874" s="112"/>
      <c r="D874" s="121"/>
      <c r="E874" s="122"/>
      <c r="F874" s="99"/>
    </row>
    <row r="875" spans="2:6" x14ac:dyDescent="0.3">
      <c r="B875" s="99"/>
      <c r="C875" s="112"/>
      <c r="D875" s="121"/>
      <c r="E875" s="122"/>
      <c r="F875" s="99"/>
    </row>
    <row r="876" spans="2:6" x14ac:dyDescent="0.3">
      <c r="B876" s="99"/>
      <c r="C876" s="112"/>
      <c r="D876" s="121"/>
      <c r="E876" s="122"/>
      <c r="F876" s="99"/>
    </row>
    <row r="877" spans="2:6" x14ac:dyDescent="0.3">
      <c r="B877" s="99"/>
      <c r="C877" s="112"/>
      <c r="D877" s="121"/>
      <c r="E877" s="122"/>
      <c r="F877" s="99"/>
    </row>
    <row r="878" spans="2:6" x14ac:dyDescent="0.3">
      <c r="B878" s="99"/>
      <c r="C878" s="112"/>
      <c r="D878" s="121"/>
      <c r="E878" s="122"/>
      <c r="F878" s="99"/>
    </row>
    <row r="879" spans="2:6" x14ac:dyDescent="0.3">
      <c r="B879" s="99"/>
      <c r="C879" s="112"/>
      <c r="D879" s="121"/>
      <c r="E879" s="122"/>
      <c r="F879" s="99"/>
    </row>
    <row r="880" spans="2:6" x14ac:dyDescent="0.3">
      <c r="B880" s="99"/>
      <c r="C880" s="112"/>
      <c r="D880" s="121"/>
      <c r="E880" s="122"/>
      <c r="F880" s="99"/>
    </row>
    <row r="881" spans="2:6" x14ac:dyDescent="0.3">
      <c r="B881" s="99"/>
      <c r="C881" s="112"/>
      <c r="D881" s="121"/>
      <c r="E881" s="122"/>
      <c r="F881" s="99"/>
    </row>
    <row r="882" spans="2:6" x14ac:dyDescent="0.3">
      <c r="B882" s="99"/>
      <c r="C882" s="112"/>
      <c r="D882" s="121"/>
      <c r="E882" s="122"/>
      <c r="F882" s="99"/>
    </row>
    <row r="883" spans="2:6" x14ac:dyDescent="0.3">
      <c r="B883" s="99"/>
      <c r="C883" s="112"/>
      <c r="D883" s="121"/>
      <c r="E883" s="122"/>
      <c r="F883" s="99"/>
    </row>
    <row r="884" spans="2:6" x14ac:dyDescent="0.3">
      <c r="B884" s="99"/>
      <c r="C884" s="112"/>
      <c r="D884" s="121"/>
      <c r="E884" s="122"/>
      <c r="F884" s="99"/>
    </row>
    <row r="885" spans="2:6" x14ac:dyDescent="0.3">
      <c r="B885" s="99"/>
      <c r="C885" s="112"/>
      <c r="D885" s="121"/>
      <c r="E885" s="122"/>
      <c r="F885" s="99"/>
    </row>
    <row r="886" spans="2:6" x14ac:dyDescent="0.3">
      <c r="B886" s="99"/>
      <c r="C886" s="112"/>
      <c r="D886" s="121"/>
      <c r="E886" s="122"/>
      <c r="F886" s="99"/>
    </row>
    <row r="887" spans="2:6" x14ac:dyDescent="0.3">
      <c r="B887" s="99"/>
      <c r="C887" s="112"/>
      <c r="D887" s="121"/>
      <c r="E887" s="122"/>
      <c r="F887" s="99"/>
    </row>
    <row r="888" spans="2:6" x14ac:dyDescent="0.3">
      <c r="B888" s="99"/>
      <c r="C888" s="112"/>
      <c r="D888" s="121"/>
      <c r="E888" s="122"/>
      <c r="F888" s="99"/>
    </row>
    <row r="889" spans="2:6" x14ac:dyDescent="0.3">
      <c r="B889" s="99"/>
      <c r="C889" s="112"/>
      <c r="D889" s="121"/>
      <c r="E889" s="122"/>
      <c r="F889" s="99"/>
    </row>
    <row r="890" spans="2:6" x14ac:dyDescent="0.3">
      <c r="B890" s="99"/>
      <c r="C890" s="112"/>
      <c r="D890" s="121"/>
      <c r="E890" s="122"/>
      <c r="F890" s="99"/>
    </row>
    <row r="891" spans="2:6" x14ac:dyDescent="0.3">
      <c r="B891" s="99"/>
      <c r="C891" s="112"/>
      <c r="D891" s="121"/>
      <c r="E891" s="122"/>
      <c r="F891" s="99"/>
    </row>
    <row r="892" spans="2:6" x14ac:dyDescent="0.3">
      <c r="B892" s="99"/>
      <c r="C892" s="112"/>
      <c r="D892" s="121"/>
      <c r="E892" s="122"/>
      <c r="F892" s="99"/>
    </row>
    <row r="893" spans="2:6" x14ac:dyDescent="0.3">
      <c r="B893" s="99"/>
      <c r="C893" s="112"/>
      <c r="D893" s="121"/>
      <c r="E893" s="122"/>
      <c r="F893" s="99"/>
    </row>
    <row r="894" spans="2:6" x14ac:dyDescent="0.3">
      <c r="B894" s="99"/>
      <c r="C894" s="112"/>
      <c r="D894" s="121"/>
      <c r="E894" s="122"/>
      <c r="F894" s="99"/>
    </row>
    <row r="895" spans="2:6" x14ac:dyDescent="0.3">
      <c r="B895" s="99"/>
      <c r="C895" s="112"/>
      <c r="D895" s="121"/>
      <c r="E895" s="122"/>
      <c r="F895" s="99"/>
    </row>
    <row r="896" spans="2:6" x14ac:dyDescent="0.3">
      <c r="B896" s="99"/>
      <c r="C896" s="112"/>
      <c r="D896" s="121"/>
      <c r="E896" s="122"/>
      <c r="F896" s="99"/>
    </row>
    <row r="897" spans="2:6" x14ac:dyDescent="0.3">
      <c r="B897" s="99"/>
      <c r="C897" s="112"/>
      <c r="D897" s="121"/>
      <c r="E897" s="122"/>
      <c r="F897" s="99"/>
    </row>
    <row r="898" spans="2:6" x14ac:dyDescent="0.3">
      <c r="B898" s="99"/>
      <c r="C898" s="112"/>
      <c r="D898" s="121"/>
      <c r="E898" s="122"/>
      <c r="F898" s="99"/>
    </row>
    <row r="899" spans="2:6" x14ac:dyDescent="0.3">
      <c r="B899" s="99"/>
      <c r="C899" s="112"/>
      <c r="D899" s="121"/>
      <c r="E899" s="122"/>
      <c r="F899" s="99"/>
    </row>
    <row r="900" spans="2:6" x14ac:dyDescent="0.3">
      <c r="B900" s="99"/>
      <c r="C900" s="112"/>
      <c r="D900" s="121"/>
      <c r="E900" s="122"/>
      <c r="F900" s="99"/>
    </row>
    <row r="901" spans="2:6" x14ac:dyDescent="0.3">
      <c r="B901" s="99"/>
      <c r="C901" s="112"/>
      <c r="D901" s="121"/>
      <c r="E901" s="122"/>
      <c r="F901" s="99"/>
    </row>
    <row r="902" spans="2:6" x14ac:dyDescent="0.3">
      <c r="B902" s="99"/>
      <c r="C902" s="112"/>
      <c r="D902" s="121"/>
      <c r="E902" s="122"/>
      <c r="F902" s="99"/>
    </row>
    <row r="903" spans="2:6" x14ac:dyDescent="0.3">
      <c r="B903" s="99"/>
      <c r="C903" s="112"/>
      <c r="D903" s="121"/>
      <c r="E903" s="122"/>
      <c r="F903" s="99"/>
    </row>
    <row r="904" spans="2:6" x14ac:dyDescent="0.3">
      <c r="B904" s="99"/>
      <c r="C904" s="112"/>
      <c r="D904" s="121"/>
      <c r="E904" s="122"/>
      <c r="F904" s="99"/>
    </row>
    <row r="905" spans="2:6" x14ac:dyDescent="0.3">
      <c r="B905" s="99"/>
      <c r="C905" s="112"/>
      <c r="D905" s="121"/>
      <c r="E905" s="122"/>
      <c r="F905" s="99"/>
    </row>
    <row r="906" spans="2:6" x14ac:dyDescent="0.3">
      <c r="B906" s="99"/>
      <c r="C906" s="112"/>
      <c r="D906" s="121"/>
      <c r="E906" s="122"/>
      <c r="F906" s="99"/>
    </row>
    <row r="907" spans="2:6" x14ac:dyDescent="0.3">
      <c r="B907" s="99"/>
      <c r="C907" s="112"/>
      <c r="D907" s="121"/>
      <c r="E907" s="122"/>
      <c r="F907" s="99"/>
    </row>
    <row r="908" spans="2:6" x14ac:dyDescent="0.3">
      <c r="B908" s="99"/>
      <c r="C908" s="112"/>
      <c r="D908" s="121"/>
      <c r="E908" s="122"/>
      <c r="F908" s="99"/>
    </row>
    <row r="909" spans="2:6" x14ac:dyDescent="0.3">
      <c r="B909" s="99"/>
      <c r="C909" s="112"/>
      <c r="D909" s="121"/>
      <c r="E909" s="122"/>
      <c r="F909" s="99"/>
    </row>
    <row r="910" spans="2:6" x14ac:dyDescent="0.3">
      <c r="B910" s="99"/>
      <c r="C910" s="112"/>
      <c r="D910" s="121"/>
      <c r="E910" s="122"/>
      <c r="F910" s="99"/>
    </row>
    <row r="911" spans="2:6" x14ac:dyDescent="0.3">
      <c r="B911" s="99"/>
      <c r="C911" s="112"/>
      <c r="D911" s="121"/>
      <c r="E911" s="122"/>
      <c r="F911" s="99"/>
    </row>
    <row r="912" spans="2:6" x14ac:dyDescent="0.3">
      <c r="B912" s="99"/>
      <c r="C912" s="112"/>
      <c r="D912" s="121"/>
      <c r="E912" s="122"/>
      <c r="F912" s="99"/>
    </row>
    <row r="913" spans="2:6" x14ac:dyDescent="0.3">
      <c r="B913" s="99"/>
      <c r="C913" s="112"/>
      <c r="D913" s="121"/>
      <c r="E913" s="122"/>
      <c r="F913" s="99"/>
    </row>
    <row r="914" spans="2:6" x14ac:dyDescent="0.3">
      <c r="B914" s="99"/>
      <c r="C914" s="112"/>
      <c r="D914" s="121"/>
      <c r="E914" s="122"/>
      <c r="F914" s="99"/>
    </row>
    <row r="915" spans="2:6" x14ac:dyDescent="0.3">
      <c r="B915" s="99"/>
      <c r="C915" s="112"/>
      <c r="D915" s="121"/>
      <c r="E915" s="122"/>
      <c r="F915" s="99"/>
    </row>
    <row r="916" spans="2:6" x14ac:dyDescent="0.3">
      <c r="B916" s="99"/>
      <c r="C916" s="112"/>
      <c r="D916" s="121"/>
      <c r="E916" s="122"/>
      <c r="F916" s="99"/>
    </row>
    <row r="917" spans="2:6" x14ac:dyDescent="0.3">
      <c r="B917" s="99"/>
      <c r="C917" s="112"/>
      <c r="D917" s="121"/>
      <c r="E917" s="122"/>
      <c r="F917" s="99"/>
    </row>
    <row r="918" spans="2:6" x14ac:dyDescent="0.3">
      <c r="B918" s="99"/>
      <c r="C918" s="112"/>
      <c r="D918" s="121"/>
      <c r="E918" s="122"/>
      <c r="F918" s="99"/>
    </row>
    <row r="919" spans="2:6" x14ac:dyDescent="0.3">
      <c r="B919" s="99"/>
      <c r="C919" s="112"/>
      <c r="D919" s="121"/>
      <c r="E919" s="122"/>
      <c r="F919" s="99"/>
    </row>
    <row r="920" spans="2:6" x14ac:dyDescent="0.3">
      <c r="B920" s="99"/>
      <c r="C920" s="112"/>
      <c r="D920" s="121"/>
      <c r="E920" s="122"/>
      <c r="F920" s="99"/>
    </row>
    <row r="921" spans="2:6" x14ac:dyDescent="0.3">
      <c r="B921" s="99"/>
      <c r="C921" s="112"/>
      <c r="D921" s="121"/>
      <c r="E921" s="122"/>
      <c r="F921" s="99"/>
    </row>
    <row r="922" spans="2:6" x14ac:dyDescent="0.3">
      <c r="B922" s="99"/>
      <c r="C922" s="112"/>
      <c r="D922" s="121"/>
      <c r="E922" s="122"/>
      <c r="F922" s="99"/>
    </row>
    <row r="923" spans="2:6" x14ac:dyDescent="0.3">
      <c r="B923" s="99"/>
      <c r="C923" s="112"/>
      <c r="D923" s="121"/>
      <c r="E923" s="122"/>
      <c r="F923" s="99"/>
    </row>
    <row r="924" spans="2:6" x14ac:dyDescent="0.3">
      <c r="B924" s="99"/>
      <c r="C924" s="112"/>
      <c r="D924" s="121"/>
      <c r="E924" s="122"/>
      <c r="F924" s="99"/>
    </row>
    <row r="925" spans="2:6" x14ac:dyDescent="0.3">
      <c r="B925" s="99"/>
      <c r="C925" s="112"/>
      <c r="D925" s="121"/>
      <c r="E925" s="122"/>
      <c r="F925" s="99"/>
    </row>
    <row r="926" spans="2:6" x14ac:dyDescent="0.3">
      <c r="B926" s="99"/>
      <c r="C926" s="112"/>
      <c r="D926" s="121"/>
      <c r="E926" s="122"/>
      <c r="F926" s="99"/>
    </row>
    <row r="927" spans="2:6" x14ac:dyDescent="0.3">
      <c r="B927" s="99"/>
      <c r="C927" s="112"/>
      <c r="D927" s="121"/>
      <c r="E927" s="122"/>
      <c r="F927" s="99"/>
    </row>
    <row r="928" spans="2:6" x14ac:dyDescent="0.3">
      <c r="B928" s="99"/>
      <c r="C928" s="112"/>
      <c r="D928" s="121"/>
      <c r="E928" s="122"/>
      <c r="F928" s="99"/>
    </row>
    <row r="929" spans="2:6" x14ac:dyDescent="0.3">
      <c r="B929" s="99"/>
      <c r="C929" s="112"/>
      <c r="D929" s="121"/>
      <c r="E929" s="122"/>
      <c r="F929" s="99"/>
    </row>
    <row r="930" spans="2:6" x14ac:dyDescent="0.3">
      <c r="B930" s="99"/>
      <c r="C930" s="112"/>
      <c r="D930" s="121"/>
      <c r="E930" s="122"/>
      <c r="F930" s="99"/>
    </row>
    <row r="931" spans="2:6" x14ac:dyDescent="0.3">
      <c r="B931" s="99"/>
      <c r="C931" s="112"/>
      <c r="D931" s="121"/>
      <c r="E931" s="122"/>
      <c r="F931" s="99"/>
    </row>
    <row r="932" spans="2:6" x14ac:dyDescent="0.3">
      <c r="B932" s="99"/>
      <c r="C932" s="112"/>
      <c r="D932" s="121"/>
      <c r="E932" s="122"/>
      <c r="F932" s="99"/>
    </row>
    <row r="933" spans="2:6" x14ac:dyDescent="0.3">
      <c r="B933" s="99"/>
      <c r="C933" s="112"/>
      <c r="D933" s="121"/>
      <c r="E933" s="122"/>
      <c r="F933" s="99"/>
    </row>
    <row r="934" spans="2:6" x14ac:dyDescent="0.3">
      <c r="B934" s="99"/>
      <c r="C934" s="112"/>
      <c r="D934" s="121"/>
      <c r="E934" s="122"/>
      <c r="F934" s="99"/>
    </row>
    <row r="935" spans="2:6" x14ac:dyDescent="0.3">
      <c r="B935" s="99"/>
      <c r="C935" s="112"/>
      <c r="D935" s="121"/>
      <c r="E935" s="122"/>
      <c r="F935" s="99"/>
    </row>
    <row r="936" spans="2:6" x14ac:dyDescent="0.3">
      <c r="B936" s="99"/>
      <c r="C936" s="112"/>
      <c r="D936" s="121"/>
      <c r="E936" s="122"/>
      <c r="F936" s="99"/>
    </row>
    <row r="937" spans="2:6" x14ac:dyDescent="0.3">
      <c r="B937" s="99"/>
      <c r="C937" s="112"/>
      <c r="D937" s="121"/>
      <c r="E937" s="122"/>
      <c r="F937" s="99"/>
    </row>
    <row r="938" spans="2:6" x14ac:dyDescent="0.3">
      <c r="B938" s="99"/>
      <c r="C938" s="112"/>
      <c r="D938" s="121"/>
      <c r="E938" s="122"/>
      <c r="F938" s="99"/>
    </row>
    <row r="939" spans="2:6" x14ac:dyDescent="0.3">
      <c r="B939" s="99"/>
      <c r="C939" s="112"/>
      <c r="D939" s="121"/>
      <c r="E939" s="122"/>
      <c r="F939" s="99"/>
    </row>
    <row r="940" spans="2:6" x14ac:dyDescent="0.3">
      <c r="B940" s="99"/>
      <c r="C940" s="112"/>
      <c r="D940" s="121"/>
      <c r="E940" s="122"/>
      <c r="F940" s="99"/>
    </row>
    <row r="941" spans="2:6" x14ac:dyDescent="0.3">
      <c r="B941" s="99"/>
      <c r="C941" s="112"/>
      <c r="D941" s="121"/>
      <c r="E941" s="122"/>
      <c r="F941" s="99"/>
    </row>
    <row r="942" spans="2:6" x14ac:dyDescent="0.3">
      <c r="B942" s="99"/>
      <c r="C942" s="112"/>
      <c r="D942" s="121"/>
      <c r="E942" s="122"/>
      <c r="F942" s="99"/>
    </row>
    <row r="943" spans="2:6" x14ac:dyDescent="0.3">
      <c r="B943" s="99"/>
      <c r="C943" s="112"/>
      <c r="D943" s="121"/>
      <c r="E943" s="122"/>
      <c r="F943" s="99"/>
    </row>
    <row r="944" spans="2:6" x14ac:dyDescent="0.3">
      <c r="B944" s="99"/>
      <c r="C944" s="112"/>
      <c r="D944" s="121"/>
      <c r="E944" s="122"/>
      <c r="F944" s="99"/>
    </row>
    <row r="945" spans="2:6" x14ac:dyDescent="0.3">
      <c r="B945" s="99"/>
      <c r="C945" s="112"/>
      <c r="D945" s="121"/>
      <c r="E945" s="122"/>
      <c r="F945" s="99"/>
    </row>
    <row r="946" spans="2:6" x14ac:dyDescent="0.3">
      <c r="B946" s="99"/>
      <c r="C946" s="112"/>
      <c r="D946" s="121"/>
      <c r="E946" s="122"/>
      <c r="F946" s="99"/>
    </row>
    <row r="947" spans="2:6" x14ac:dyDescent="0.3">
      <c r="B947" s="99"/>
      <c r="C947" s="112"/>
      <c r="D947" s="121"/>
      <c r="E947" s="122"/>
      <c r="F947" s="99"/>
    </row>
    <row r="948" spans="2:6" x14ac:dyDescent="0.3">
      <c r="B948" s="99"/>
      <c r="C948" s="112"/>
      <c r="D948" s="121"/>
      <c r="E948" s="122"/>
      <c r="F948" s="99"/>
    </row>
    <row r="949" spans="2:6" x14ac:dyDescent="0.3">
      <c r="B949" s="99"/>
      <c r="C949" s="112"/>
      <c r="D949" s="121"/>
      <c r="E949" s="122"/>
      <c r="F949" s="99"/>
    </row>
    <row r="950" spans="2:6" x14ac:dyDescent="0.3">
      <c r="B950" s="99"/>
      <c r="C950" s="112"/>
      <c r="D950" s="121"/>
      <c r="E950" s="122"/>
      <c r="F950" s="99"/>
    </row>
    <row r="951" spans="2:6" x14ac:dyDescent="0.3">
      <c r="B951" s="99"/>
      <c r="C951" s="112"/>
      <c r="D951" s="121"/>
      <c r="E951" s="122"/>
      <c r="F951" s="99"/>
    </row>
    <row r="952" spans="2:6" x14ac:dyDescent="0.3">
      <c r="B952" s="99"/>
      <c r="C952" s="112"/>
      <c r="D952" s="121"/>
      <c r="E952" s="122"/>
      <c r="F952" s="99"/>
    </row>
    <row r="953" spans="2:6" x14ac:dyDescent="0.3">
      <c r="B953" s="99"/>
      <c r="C953" s="112"/>
      <c r="D953" s="121"/>
      <c r="E953" s="122"/>
      <c r="F953" s="99"/>
    </row>
    <row r="954" spans="2:6" x14ac:dyDescent="0.3">
      <c r="B954" s="99"/>
      <c r="C954" s="112"/>
      <c r="D954" s="121"/>
      <c r="E954" s="122"/>
      <c r="F954" s="99"/>
    </row>
    <row r="955" spans="2:6" x14ac:dyDescent="0.3">
      <c r="B955" s="99"/>
      <c r="C955" s="112"/>
      <c r="D955" s="121"/>
      <c r="E955" s="122"/>
      <c r="F955" s="99"/>
    </row>
    <row r="956" spans="2:6" x14ac:dyDescent="0.3">
      <c r="B956" s="99"/>
      <c r="C956" s="112"/>
      <c r="D956" s="121"/>
      <c r="E956" s="122"/>
      <c r="F956" s="99"/>
    </row>
    <row r="957" spans="2:6" x14ac:dyDescent="0.3">
      <c r="B957" s="99"/>
      <c r="C957" s="112"/>
      <c r="D957" s="121"/>
      <c r="E957" s="122"/>
      <c r="F957" s="99"/>
    </row>
    <row r="958" spans="2:6" x14ac:dyDescent="0.3">
      <c r="B958" s="99"/>
      <c r="C958" s="112"/>
      <c r="D958" s="121"/>
      <c r="E958" s="122"/>
      <c r="F958" s="99"/>
    </row>
    <row r="959" spans="2:6" x14ac:dyDescent="0.3">
      <c r="B959" s="99"/>
      <c r="C959" s="112"/>
      <c r="D959" s="121"/>
      <c r="E959" s="122"/>
      <c r="F959" s="99"/>
    </row>
    <row r="960" spans="2:6" x14ac:dyDescent="0.3">
      <c r="B960" s="99"/>
      <c r="C960" s="112"/>
      <c r="D960" s="121"/>
      <c r="E960" s="122"/>
      <c r="F960" s="99"/>
    </row>
    <row r="961" spans="2:6" x14ac:dyDescent="0.3">
      <c r="B961" s="99"/>
      <c r="C961" s="112"/>
      <c r="D961" s="121"/>
      <c r="E961" s="122"/>
      <c r="F961" s="99"/>
    </row>
    <row r="962" spans="2:6" x14ac:dyDescent="0.3">
      <c r="B962" s="99"/>
      <c r="C962" s="112"/>
      <c r="D962" s="121"/>
      <c r="E962" s="122"/>
      <c r="F962" s="99"/>
    </row>
    <row r="963" spans="2:6" x14ac:dyDescent="0.3">
      <c r="B963" s="99"/>
      <c r="C963" s="112"/>
      <c r="D963" s="121"/>
      <c r="E963" s="122"/>
      <c r="F963" s="99"/>
    </row>
    <row r="964" spans="2:6" x14ac:dyDescent="0.3">
      <c r="B964" s="99"/>
      <c r="C964" s="112"/>
      <c r="D964" s="121"/>
      <c r="E964" s="122"/>
      <c r="F964" s="99"/>
    </row>
    <row r="965" spans="2:6" x14ac:dyDescent="0.3">
      <c r="B965" s="99"/>
      <c r="C965" s="112"/>
      <c r="D965" s="121"/>
      <c r="E965" s="122"/>
      <c r="F965" s="99"/>
    </row>
    <row r="966" spans="2:6" x14ac:dyDescent="0.3">
      <c r="B966" s="99"/>
      <c r="C966" s="112"/>
      <c r="D966" s="121"/>
      <c r="E966" s="122"/>
      <c r="F966" s="99"/>
    </row>
    <row r="967" spans="2:6" x14ac:dyDescent="0.3">
      <c r="B967" s="99"/>
      <c r="C967" s="112"/>
      <c r="D967" s="121"/>
      <c r="E967" s="122"/>
      <c r="F967" s="99"/>
    </row>
    <row r="968" spans="2:6" x14ac:dyDescent="0.3">
      <c r="B968" s="99"/>
      <c r="C968" s="112"/>
      <c r="D968" s="121"/>
      <c r="E968" s="122"/>
      <c r="F968" s="99"/>
    </row>
    <row r="969" spans="2:6" x14ac:dyDescent="0.3">
      <c r="B969" s="99"/>
      <c r="C969" s="112"/>
      <c r="D969" s="121"/>
      <c r="E969" s="122"/>
      <c r="F969" s="99"/>
    </row>
    <row r="970" spans="2:6" x14ac:dyDescent="0.3">
      <c r="B970" s="99"/>
      <c r="C970" s="112"/>
      <c r="D970" s="121"/>
      <c r="E970" s="122"/>
      <c r="F970" s="99"/>
    </row>
    <row r="971" spans="2:6" x14ac:dyDescent="0.3">
      <c r="B971" s="99"/>
      <c r="C971" s="112"/>
      <c r="D971" s="121"/>
      <c r="E971" s="122"/>
      <c r="F971" s="99"/>
    </row>
    <row r="972" spans="2:6" x14ac:dyDescent="0.3">
      <c r="B972" s="99"/>
      <c r="C972" s="112"/>
      <c r="D972" s="121"/>
      <c r="E972" s="122"/>
      <c r="F972" s="99"/>
    </row>
    <row r="973" spans="2:6" x14ac:dyDescent="0.3">
      <c r="B973" s="99"/>
      <c r="C973" s="112"/>
      <c r="D973" s="121"/>
      <c r="E973" s="122"/>
      <c r="F973" s="99"/>
    </row>
    <row r="974" spans="2:6" x14ac:dyDescent="0.3">
      <c r="B974" s="99"/>
      <c r="C974" s="112"/>
      <c r="D974" s="121"/>
      <c r="E974" s="122"/>
      <c r="F974" s="99"/>
    </row>
    <row r="975" spans="2:6" x14ac:dyDescent="0.3">
      <c r="B975" s="99"/>
      <c r="C975" s="112"/>
      <c r="D975" s="121"/>
      <c r="E975" s="122"/>
      <c r="F975" s="99"/>
    </row>
    <row r="976" spans="2:6" x14ac:dyDescent="0.3">
      <c r="B976" s="99"/>
      <c r="C976" s="112"/>
      <c r="D976" s="121"/>
      <c r="E976" s="122"/>
      <c r="F976" s="99"/>
    </row>
    <row r="977" spans="2:6" x14ac:dyDescent="0.3">
      <c r="B977" s="99"/>
      <c r="C977" s="112"/>
      <c r="D977" s="121"/>
      <c r="E977" s="122"/>
      <c r="F977" s="99"/>
    </row>
    <row r="978" spans="2:6" x14ac:dyDescent="0.3">
      <c r="B978" s="99"/>
      <c r="C978" s="112"/>
      <c r="D978" s="121"/>
      <c r="E978" s="122"/>
      <c r="F978" s="99"/>
    </row>
    <row r="979" spans="2:6" x14ac:dyDescent="0.3">
      <c r="B979" s="99"/>
      <c r="C979" s="112"/>
      <c r="D979" s="121"/>
      <c r="E979" s="122"/>
      <c r="F979" s="99"/>
    </row>
    <row r="980" spans="2:6" x14ac:dyDescent="0.3">
      <c r="B980" s="99"/>
      <c r="C980" s="112"/>
      <c r="D980" s="121"/>
      <c r="E980" s="122"/>
      <c r="F980" s="99"/>
    </row>
    <row r="981" spans="2:6" x14ac:dyDescent="0.3">
      <c r="B981" s="99"/>
      <c r="C981" s="112"/>
      <c r="D981" s="121"/>
      <c r="E981" s="122"/>
      <c r="F981" s="99"/>
    </row>
    <row r="982" spans="2:6" x14ac:dyDescent="0.3">
      <c r="B982" s="99"/>
      <c r="C982" s="112"/>
      <c r="D982" s="121"/>
      <c r="E982" s="122"/>
      <c r="F982" s="99"/>
    </row>
    <row r="983" spans="2:6" x14ac:dyDescent="0.3">
      <c r="B983" s="99"/>
      <c r="C983" s="112"/>
      <c r="D983" s="121"/>
      <c r="E983" s="122"/>
      <c r="F983" s="99"/>
    </row>
    <row r="984" spans="2:6" x14ac:dyDescent="0.3">
      <c r="B984" s="99"/>
      <c r="C984" s="112"/>
      <c r="D984" s="121"/>
      <c r="E984" s="122"/>
      <c r="F984" s="99"/>
    </row>
    <row r="985" spans="2:6" x14ac:dyDescent="0.3">
      <c r="B985" s="99"/>
      <c r="C985" s="112"/>
      <c r="D985" s="121"/>
      <c r="E985" s="122"/>
      <c r="F985" s="99"/>
    </row>
    <row r="986" spans="2:6" x14ac:dyDescent="0.3">
      <c r="B986" s="99"/>
      <c r="C986" s="112"/>
      <c r="D986" s="121"/>
      <c r="E986" s="122"/>
      <c r="F986" s="99"/>
    </row>
    <row r="987" spans="2:6" x14ac:dyDescent="0.3">
      <c r="B987" s="99"/>
      <c r="C987" s="112"/>
      <c r="D987" s="121"/>
      <c r="E987" s="122"/>
      <c r="F987" s="99"/>
    </row>
    <row r="988" spans="2:6" x14ac:dyDescent="0.3">
      <c r="B988" s="99"/>
      <c r="C988" s="112"/>
      <c r="D988" s="121"/>
      <c r="E988" s="122"/>
      <c r="F988" s="99"/>
    </row>
    <row r="989" spans="2:6" x14ac:dyDescent="0.3">
      <c r="B989" s="99"/>
      <c r="C989" s="112"/>
      <c r="D989" s="121"/>
      <c r="E989" s="122"/>
      <c r="F989" s="99"/>
    </row>
    <row r="990" spans="2:6" x14ac:dyDescent="0.3">
      <c r="B990" s="99"/>
      <c r="C990" s="112"/>
      <c r="D990" s="121"/>
      <c r="E990" s="122"/>
      <c r="F990" s="99"/>
    </row>
    <row r="991" spans="2:6" x14ac:dyDescent="0.3">
      <c r="B991" s="99"/>
      <c r="C991" s="112"/>
      <c r="D991" s="121"/>
      <c r="E991" s="122"/>
      <c r="F991" s="99"/>
    </row>
    <row r="992" spans="2:6" x14ac:dyDescent="0.3">
      <c r="B992" s="99"/>
      <c r="C992" s="112"/>
      <c r="D992" s="121"/>
      <c r="E992" s="122"/>
      <c r="F992" s="99"/>
    </row>
    <row r="993" spans="2:6" x14ac:dyDescent="0.3">
      <c r="B993" s="99"/>
      <c r="C993" s="112"/>
      <c r="D993" s="121"/>
      <c r="E993" s="122"/>
      <c r="F993" s="99"/>
    </row>
    <row r="994" spans="2:6" x14ac:dyDescent="0.3">
      <c r="B994" s="99"/>
      <c r="C994" s="112"/>
      <c r="D994" s="121"/>
      <c r="E994" s="122"/>
      <c r="F994" s="99"/>
    </row>
    <row r="995" spans="2:6" x14ac:dyDescent="0.3">
      <c r="B995" s="99"/>
      <c r="C995" s="112"/>
      <c r="D995" s="121"/>
      <c r="E995" s="122"/>
      <c r="F995" s="99"/>
    </row>
    <row r="996" spans="2:6" x14ac:dyDescent="0.3">
      <c r="B996" s="99"/>
      <c r="C996" s="112"/>
      <c r="D996" s="121"/>
      <c r="E996" s="122"/>
      <c r="F996" s="99"/>
    </row>
    <row r="997" spans="2:6" x14ac:dyDescent="0.3">
      <c r="B997" s="99"/>
      <c r="C997" s="112"/>
      <c r="D997" s="121"/>
      <c r="E997" s="122"/>
      <c r="F997" s="99"/>
    </row>
    <row r="998" spans="2:6" x14ac:dyDescent="0.3">
      <c r="B998" s="99"/>
      <c r="C998" s="112"/>
      <c r="D998" s="121"/>
      <c r="E998" s="122"/>
      <c r="F998" s="99"/>
    </row>
    <row r="999" spans="2:6" x14ac:dyDescent="0.3">
      <c r="B999" s="99"/>
      <c r="C999" s="112"/>
      <c r="D999" s="121"/>
      <c r="E999" s="122"/>
      <c r="F999" s="99"/>
    </row>
    <row r="1000" spans="2:6" x14ac:dyDescent="0.3">
      <c r="B1000" s="99"/>
      <c r="C1000" s="112"/>
      <c r="D1000" s="121"/>
      <c r="E1000" s="122"/>
      <c r="F1000" s="99"/>
    </row>
    <row r="1001" spans="2:6" x14ac:dyDescent="0.3">
      <c r="B1001" s="99"/>
      <c r="C1001" s="112"/>
      <c r="D1001" s="121"/>
      <c r="E1001" s="122"/>
      <c r="F1001" s="99"/>
    </row>
    <row r="1002" spans="2:6" x14ac:dyDescent="0.3">
      <c r="B1002" s="99"/>
      <c r="C1002" s="112"/>
      <c r="D1002" s="121"/>
      <c r="E1002" s="122"/>
      <c r="F1002" s="99"/>
    </row>
    <row r="1003" spans="2:6" x14ac:dyDescent="0.3">
      <c r="B1003" s="99"/>
      <c r="C1003" s="112"/>
      <c r="D1003" s="121"/>
      <c r="E1003" s="122"/>
      <c r="F1003" s="99"/>
    </row>
    <row r="1004" spans="2:6" x14ac:dyDescent="0.3">
      <c r="B1004" s="99"/>
      <c r="C1004" s="112"/>
      <c r="D1004" s="121"/>
      <c r="E1004" s="122"/>
      <c r="F1004" s="99"/>
    </row>
    <row r="1005" spans="2:6" x14ac:dyDescent="0.3">
      <c r="B1005" s="99"/>
      <c r="C1005" s="112"/>
      <c r="D1005" s="121"/>
      <c r="E1005" s="122"/>
      <c r="F1005" s="99"/>
    </row>
    <row r="1006" spans="2:6" x14ac:dyDescent="0.3">
      <c r="B1006" s="99"/>
      <c r="C1006" s="112"/>
      <c r="D1006" s="121"/>
      <c r="E1006" s="122"/>
      <c r="F1006" s="99"/>
    </row>
    <row r="1007" spans="2:6" x14ac:dyDescent="0.3">
      <c r="B1007" s="99"/>
      <c r="C1007" s="112"/>
      <c r="D1007" s="121"/>
      <c r="E1007" s="122"/>
      <c r="F1007" s="99"/>
    </row>
    <row r="1008" spans="2:6" x14ac:dyDescent="0.3">
      <c r="B1008" s="99"/>
      <c r="C1008" s="112"/>
      <c r="D1008" s="121"/>
      <c r="E1008" s="122"/>
      <c r="F1008" s="99"/>
    </row>
    <row r="1009" spans="2:6" x14ac:dyDescent="0.3">
      <c r="B1009" s="99"/>
      <c r="C1009" s="112"/>
      <c r="D1009" s="121"/>
      <c r="E1009" s="122"/>
      <c r="F1009" s="99"/>
    </row>
    <row r="1010" spans="2:6" x14ac:dyDescent="0.3">
      <c r="B1010" s="99"/>
      <c r="C1010" s="112"/>
      <c r="D1010" s="121"/>
      <c r="E1010" s="122"/>
      <c r="F1010" s="99"/>
    </row>
    <row r="1011" spans="2:6" x14ac:dyDescent="0.3">
      <c r="B1011" s="99"/>
      <c r="C1011" s="112"/>
      <c r="D1011" s="121"/>
      <c r="E1011" s="122"/>
      <c r="F1011" s="99"/>
    </row>
    <row r="1012" spans="2:6" x14ac:dyDescent="0.3">
      <c r="B1012" s="99"/>
      <c r="C1012" s="112"/>
      <c r="D1012" s="121"/>
      <c r="E1012" s="122"/>
      <c r="F1012" s="99"/>
    </row>
    <row r="1013" spans="2:6" x14ac:dyDescent="0.3">
      <c r="B1013" s="99"/>
      <c r="C1013" s="112"/>
      <c r="D1013" s="121"/>
      <c r="E1013" s="122"/>
      <c r="F1013" s="99"/>
    </row>
    <row r="1014" spans="2:6" x14ac:dyDescent="0.3">
      <c r="B1014" s="99"/>
      <c r="C1014" s="112"/>
      <c r="D1014" s="121"/>
      <c r="E1014" s="122"/>
      <c r="F1014" s="99"/>
    </row>
    <row r="1015" spans="2:6" x14ac:dyDescent="0.3">
      <c r="B1015" s="99"/>
      <c r="C1015" s="112"/>
      <c r="D1015" s="121"/>
      <c r="E1015" s="122"/>
      <c r="F1015" s="99"/>
    </row>
    <row r="1016" spans="2:6" x14ac:dyDescent="0.3">
      <c r="B1016" s="99"/>
      <c r="C1016" s="112"/>
      <c r="D1016" s="121"/>
      <c r="E1016" s="122"/>
      <c r="F1016" s="99"/>
    </row>
    <row r="1017" spans="2:6" x14ac:dyDescent="0.3">
      <c r="B1017" s="99"/>
      <c r="C1017" s="112"/>
      <c r="D1017" s="121"/>
      <c r="E1017" s="122"/>
      <c r="F1017" s="99"/>
    </row>
    <row r="1018" spans="2:6" x14ac:dyDescent="0.3">
      <c r="B1018" s="99"/>
      <c r="C1018" s="112"/>
      <c r="D1018" s="121"/>
      <c r="E1018" s="122"/>
      <c r="F1018" s="99"/>
    </row>
    <row r="1019" spans="2:6" x14ac:dyDescent="0.3">
      <c r="B1019" s="99"/>
      <c r="C1019" s="112"/>
      <c r="D1019" s="121"/>
      <c r="E1019" s="122"/>
      <c r="F1019" s="99"/>
    </row>
    <row r="1020" spans="2:6" x14ac:dyDescent="0.3">
      <c r="B1020" s="99"/>
      <c r="C1020" s="112"/>
      <c r="D1020" s="121"/>
      <c r="E1020" s="122"/>
      <c r="F1020" s="99"/>
    </row>
    <row r="1021" spans="2:6" x14ac:dyDescent="0.3">
      <c r="B1021" s="99"/>
      <c r="C1021" s="112"/>
      <c r="D1021" s="121"/>
      <c r="E1021" s="122"/>
      <c r="F1021" s="99"/>
    </row>
    <row r="1022" spans="2:6" x14ac:dyDescent="0.3">
      <c r="B1022" s="99"/>
      <c r="C1022" s="112"/>
      <c r="D1022" s="121"/>
      <c r="E1022" s="122"/>
      <c r="F1022" s="99"/>
    </row>
    <row r="1023" spans="2:6" x14ac:dyDescent="0.3">
      <c r="B1023" s="99"/>
      <c r="C1023" s="112"/>
      <c r="D1023" s="121"/>
      <c r="E1023" s="122"/>
      <c r="F1023" s="99"/>
    </row>
    <row r="1024" spans="2:6" x14ac:dyDescent="0.3">
      <c r="B1024" s="99"/>
      <c r="C1024" s="112"/>
      <c r="D1024" s="121"/>
      <c r="E1024" s="122"/>
      <c r="F1024" s="99"/>
    </row>
    <row r="1025" spans="2:6" x14ac:dyDescent="0.3">
      <c r="B1025" s="99"/>
      <c r="C1025" s="112"/>
      <c r="D1025" s="121"/>
      <c r="E1025" s="122"/>
      <c r="F1025" s="99"/>
    </row>
    <row r="1026" spans="2:6" x14ac:dyDescent="0.3">
      <c r="B1026" s="99"/>
      <c r="C1026" s="112"/>
      <c r="D1026" s="121"/>
      <c r="E1026" s="122"/>
      <c r="F1026" s="99"/>
    </row>
    <row r="1027" spans="2:6" x14ac:dyDescent="0.3">
      <c r="B1027" s="99"/>
      <c r="C1027" s="112"/>
      <c r="D1027" s="121"/>
      <c r="E1027" s="122"/>
      <c r="F1027" s="99"/>
    </row>
    <row r="1028" spans="2:6" x14ac:dyDescent="0.3">
      <c r="B1028" s="99"/>
      <c r="C1028" s="112"/>
      <c r="D1028" s="121"/>
      <c r="E1028" s="122"/>
      <c r="F1028" s="99"/>
    </row>
    <row r="1029" spans="2:6" x14ac:dyDescent="0.3">
      <c r="B1029" s="99"/>
      <c r="C1029" s="112"/>
      <c r="D1029" s="121"/>
      <c r="E1029" s="122"/>
      <c r="F1029" s="99"/>
    </row>
    <row r="1030" spans="2:6" x14ac:dyDescent="0.3">
      <c r="B1030" s="99"/>
      <c r="C1030" s="112"/>
      <c r="D1030" s="121"/>
      <c r="E1030" s="122"/>
      <c r="F1030" s="99"/>
    </row>
    <row r="1031" spans="2:6" x14ac:dyDescent="0.3">
      <c r="B1031" s="99"/>
      <c r="C1031" s="112"/>
      <c r="D1031" s="121"/>
      <c r="E1031" s="122"/>
      <c r="F1031" s="99"/>
    </row>
    <row r="1032" spans="2:6" x14ac:dyDescent="0.3">
      <c r="B1032" s="99"/>
      <c r="C1032" s="112"/>
      <c r="D1032" s="121"/>
      <c r="E1032" s="122"/>
      <c r="F1032" s="99"/>
    </row>
    <row r="1033" spans="2:6" x14ac:dyDescent="0.3">
      <c r="B1033" s="99"/>
      <c r="C1033" s="112"/>
      <c r="D1033" s="121"/>
      <c r="E1033" s="122"/>
      <c r="F1033" s="99"/>
    </row>
    <row r="1034" spans="2:6" x14ac:dyDescent="0.3">
      <c r="B1034" s="99"/>
      <c r="C1034" s="112"/>
      <c r="D1034" s="121"/>
      <c r="E1034" s="122"/>
      <c r="F1034" s="99"/>
    </row>
    <row r="1035" spans="2:6" x14ac:dyDescent="0.3">
      <c r="B1035" s="99"/>
      <c r="C1035" s="112"/>
      <c r="D1035" s="121"/>
      <c r="E1035" s="122"/>
      <c r="F1035" s="99"/>
    </row>
    <row r="1036" spans="2:6" x14ac:dyDescent="0.3">
      <c r="B1036" s="99"/>
      <c r="C1036" s="112"/>
      <c r="D1036" s="121"/>
      <c r="E1036" s="122"/>
      <c r="F1036" s="99"/>
    </row>
    <row r="1037" spans="2:6" x14ac:dyDescent="0.3">
      <c r="B1037" s="99"/>
      <c r="C1037" s="112"/>
      <c r="D1037" s="121"/>
      <c r="E1037" s="122"/>
      <c r="F1037" s="99"/>
    </row>
    <row r="1038" spans="2:6" x14ac:dyDescent="0.3">
      <c r="B1038" s="99"/>
      <c r="C1038" s="112"/>
      <c r="D1038" s="121"/>
      <c r="E1038" s="122"/>
      <c r="F1038" s="99"/>
    </row>
    <row r="1039" spans="2:6" x14ac:dyDescent="0.3">
      <c r="B1039" s="99"/>
      <c r="C1039" s="112"/>
      <c r="D1039" s="121"/>
      <c r="E1039" s="122"/>
      <c r="F1039" s="99"/>
    </row>
    <row r="1040" spans="2:6" x14ac:dyDescent="0.3">
      <c r="B1040" s="99"/>
      <c r="C1040" s="112"/>
      <c r="D1040" s="121"/>
      <c r="E1040" s="122"/>
      <c r="F1040" s="99"/>
    </row>
    <row r="1041" spans="2:6" x14ac:dyDescent="0.3">
      <c r="B1041" s="99"/>
      <c r="C1041" s="112"/>
      <c r="D1041" s="121"/>
      <c r="E1041" s="122"/>
      <c r="F1041" s="99"/>
    </row>
    <row r="1042" spans="2:6" x14ac:dyDescent="0.3">
      <c r="B1042" s="99"/>
      <c r="C1042" s="112"/>
      <c r="D1042" s="121"/>
      <c r="E1042" s="122"/>
      <c r="F1042" s="99"/>
    </row>
    <row r="1043" spans="2:6" x14ac:dyDescent="0.3">
      <c r="B1043" s="99"/>
      <c r="C1043" s="112"/>
      <c r="D1043" s="121"/>
      <c r="E1043" s="122"/>
      <c r="F1043" s="99"/>
    </row>
    <row r="1044" spans="2:6" x14ac:dyDescent="0.3">
      <c r="B1044" s="99"/>
      <c r="C1044" s="112"/>
      <c r="D1044" s="121"/>
      <c r="E1044" s="122"/>
      <c r="F1044" s="99"/>
    </row>
    <row r="1045" spans="2:6" x14ac:dyDescent="0.3">
      <c r="B1045" s="99"/>
      <c r="C1045" s="112"/>
      <c r="D1045" s="121"/>
      <c r="E1045" s="122"/>
      <c r="F1045" s="99"/>
    </row>
    <row r="1046" spans="2:6" x14ac:dyDescent="0.3">
      <c r="B1046" s="99"/>
      <c r="C1046" s="112"/>
      <c r="D1046" s="121"/>
      <c r="E1046" s="122"/>
      <c r="F1046" s="99"/>
    </row>
    <row r="1047" spans="2:6" x14ac:dyDescent="0.3">
      <c r="B1047" s="99"/>
      <c r="C1047" s="112"/>
      <c r="D1047" s="121"/>
      <c r="E1047" s="122"/>
      <c r="F1047" s="99"/>
    </row>
    <row r="1048" spans="2:6" x14ac:dyDescent="0.3">
      <c r="B1048" s="99"/>
      <c r="C1048" s="112"/>
      <c r="D1048" s="121"/>
      <c r="E1048" s="122"/>
      <c r="F1048" s="99"/>
    </row>
    <row r="1049" spans="2:6" x14ac:dyDescent="0.3">
      <c r="B1049" s="99"/>
      <c r="C1049" s="112"/>
      <c r="D1049" s="121"/>
      <c r="E1049" s="122"/>
      <c r="F1049" s="99"/>
    </row>
    <row r="1050" spans="2:6" x14ac:dyDescent="0.3">
      <c r="B1050" s="99"/>
      <c r="C1050" s="112"/>
      <c r="D1050" s="121"/>
      <c r="E1050" s="122"/>
      <c r="F1050" s="99"/>
    </row>
    <row r="1051" spans="2:6" x14ac:dyDescent="0.3">
      <c r="B1051" s="99"/>
      <c r="C1051" s="112"/>
      <c r="D1051" s="121"/>
      <c r="E1051" s="122"/>
      <c r="F1051" s="99"/>
    </row>
    <row r="1052" spans="2:6" x14ac:dyDescent="0.3">
      <c r="B1052" s="99"/>
      <c r="C1052" s="112"/>
      <c r="D1052" s="121"/>
      <c r="E1052" s="122"/>
      <c r="F1052" s="99"/>
    </row>
    <row r="1053" spans="2:6" x14ac:dyDescent="0.3">
      <c r="B1053" s="99"/>
      <c r="C1053" s="112"/>
      <c r="D1053" s="121"/>
      <c r="E1053" s="122"/>
      <c r="F1053" s="99"/>
    </row>
    <row r="1054" spans="2:6" x14ac:dyDescent="0.3">
      <c r="B1054" s="99"/>
      <c r="C1054" s="112"/>
      <c r="D1054" s="121"/>
      <c r="E1054" s="122"/>
      <c r="F1054" s="99"/>
    </row>
    <row r="1055" spans="2:6" x14ac:dyDescent="0.3">
      <c r="B1055" s="99"/>
      <c r="C1055" s="112"/>
      <c r="D1055" s="121"/>
      <c r="E1055" s="122"/>
      <c r="F1055" s="99"/>
    </row>
    <row r="1056" spans="2:6" x14ac:dyDescent="0.3">
      <c r="B1056" s="99"/>
      <c r="C1056" s="112"/>
      <c r="D1056" s="121"/>
      <c r="E1056" s="122"/>
      <c r="F1056" s="99"/>
    </row>
    <row r="1057" spans="2:6" x14ac:dyDescent="0.3">
      <c r="B1057" s="99"/>
      <c r="C1057" s="112"/>
      <c r="D1057" s="121"/>
      <c r="E1057" s="122"/>
      <c r="F1057" s="99"/>
    </row>
    <row r="1058" spans="2:6" x14ac:dyDescent="0.3">
      <c r="B1058" s="99"/>
      <c r="C1058" s="112"/>
      <c r="D1058" s="121"/>
      <c r="E1058" s="122"/>
      <c r="F1058" s="99"/>
    </row>
    <row r="1059" spans="2:6" x14ac:dyDescent="0.3">
      <c r="B1059" s="99"/>
      <c r="C1059" s="112"/>
      <c r="D1059" s="121"/>
      <c r="E1059" s="122"/>
      <c r="F1059" s="99"/>
    </row>
    <row r="1060" spans="2:6" x14ac:dyDescent="0.3">
      <c r="B1060" s="99"/>
      <c r="C1060" s="112"/>
      <c r="D1060" s="121"/>
      <c r="E1060" s="122"/>
      <c r="F1060" s="99"/>
    </row>
    <row r="1061" spans="2:6" x14ac:dyDescent="0.3">
      <c r="B1061" s="99"/>
      <c r="C1061" s="112"/>
      <c r="D1061" s="121"/>
      <c r="E1061" s="122"/>
      <c r="F1061" s="99"/>
    </row>
    <row r="1062" spans="2:6" x14ac:dyDescent="0.3">
      <c r="B1062" s="99"/>
      <c r="C1062" s="112"/>
      <c r="D1062" s="121"/>
      <c r="E1062" s="122"/>
      <c r="F1062" s="99"/>
    </row>
    <row r="1063" spans="2:6" x14ac:dyDescent="0.3">
      <c r="B1063" s="99"/>
      <c r="C1063" s="112"/>
      <c r="D1063" s="121"/>
      <c r="E1063" s="122"/>
      <c r="F1063" s="99"/>
    </row>
    <row r="1064" spans="2:6" x14ac:dyDescent="0.3">
      <c r="B1064" s="99"/>
      <c r="C1064" s="112"/>
      <c r="D1064" s="121"/>
      <c r="E1064" s="122"/>
      <c r="F1064" s="99"/>
    </row>
    <row r="1065" spans="2:6" x14ac:dyDescent="0.3">
      <c r="B1065" s="99"/>
      <c r="C1065" s="112"/>
      <c r="D1065" s="121"/>
      <c r="E1065" s="122"/>
      <c r="F1065" s="99"/>
    </row>
    <row r="1066" spans="2:6" x14ac:dyDescent="0.3">
      <c r="B1066" s="99"/>
      <c r="C1066" s="112"/>
      <c r="D1066" s="121"/>
      <c r="E1066" s="122"/>
      <c r="F1066" s="99"/>
    </row>
    <row r="1067" spans="2:6" x14ac:dyDescent="0.3">
      <c r="B1067" s="99"/>
      <c r="C1067" s="112"/>
      <c r="D1067" s="121"/>
      <c r="E1067" s="122"/>
      <c r="F1067" s="99"/>
    </row>
    <row r="1068" spans="2:6" x14ac:dyDescent="0.3">
      <c r="B1068" s="99"/>
      <c r="C1068" s="112"/>
      <c r="D1068" s="121"/>
      <c r="E1068" s="122"/>
      <c r="F1068" s="99"/>
    </row>
    <row r="1069" spans="2:6" x14ac:dyDescent="0.3">
      <c r="B1069" s="99"/>
      <c r="C1069" s="112"/>
      <c r="D1069" s="121"/>
      <c r="E1069" s="122"/>
      <c r="F1069" s="99"/>
    </row>
    <row r="1070" spans="2:6" x14ac:dyDescent="0.3">
      <c r="B1070" s="99"/>
      <c r="C1070" s="112"/>
      <c r="D1070" s="121"/>
      <c r="E1070" s="122"/>
      <c r="F1070" s="99"/>
    </row>
    <row r="1071" spans="2:6" x14ac:dyDescent="0.3">
      <c r="B1071" s="99"/>
      <c r="C1071" s="112"/>
      <c r="D1071" s="121"/>
      <c r="E1071" s="122"/>
      <c r="F1071" s="99"/>
    </row>
    <row r="1072" spans="2:6" x14ac:dyDescent="0.3">
      <c r="B1072" s="99"/>
      <c r="C1072" s="112"/>
      <c r="D1072" s="121"/>
      <c r="E1072" s="122"/>
      <c r="F1072" s="99"/>
    </row>
    <row r="1073" spans="2:6" x14ac:dyDescent="0.3">
      <c r="B1073" s="99"/>
      <c r="C1073" s="112"/>
      <c r="D1073" s="121"/>
      <c r="E1073" s="122"/>
      <c r="F1073" s="99"/>
    </row>
    <row r="1074" spans="2:6" x14ac:dyDescent="0.3">
      <c r="B1074" s="99"/>
      <c r="C1074" s="112"/>
      <c r="D1074" s="121"/>
      <c r="E1074" s="122"/>
      <c r="F1074" s="99"/>
    </row>
    <row r="1075" spans="2:6" x14ac:dyDescent="0.3">
      <c r="B1075" s="99"/>
      <c r="C1075" s="112"/>
      <c r="D1075" s="121"/>
      <c r="E1075" s="122"/>
      <c r="F1075" s="99"/>
    </row>
    <row r="1076" spans="2:6" x14ac:dyDescent="0.3">
      <c r="B1076" s="99"/>
      <c r="C1076" s="112"/>
      <c r="D1076" s="121"/>
      <c r="E1076" s="122"/>
      <c r="F1076" s="99"/>
    </row>
    <row r="1077" spans="2:6" x14ac:dyDescent="0.3">
      <c r="B1077" s="99"/>
      <c r="C1077" s="112"/>
      <c r="D1077" s="121"/>
      <c r="E1077" s="122"/>
      <c r="F1077" s="99"/>
    </row>
    <row r="1078" spans="2:6" x14ac:dyDescent="0.3">
      <c r="B1078" s="99"/>
      <c r="C1078" s="112"/>
      <c r="D1078" s="121"/>
      <c r="E1078" s="122"/>
      <c r="F1078" s="99"/>
    </row>
    <row r="1079" spans="2:6" x14ac:dyDescent="0.3">
      <c r="B1079" s="99"/>
      <c r="C1079" s="112"/>
      <c r="D1079" s="121"/>
      <c r="E1079" s="122"/>
      <c r="F1079" s="99"/>
    </row>
    <row r="1080" spans="2:6" x14ac:dyDescent="0.3">
      <c r="B1080" s="99"/>
      <c r="C1080" s="112"/>
      <c r="D1080" s="121"/>
      <c r="E1080" s="122"/>
      <c r="F1080" s="99"/>
    </row>
    <row r="1081" spans="2:6" x14ac:dyDescent="0.3">
      <c r="B1081" s="99"/>
      <c r="C1081" s="112"/>
      <c r="D1081" s="121"/>
      <c r="E1081" s="122"/>
      <c r="F1081" s="99"/>
    </row>
    <row r="1082" spans="2:6" x14ac:dyDescent="0.3">
      <c r="B1082" s="99"/>
      <c r="C1082" s="112"/>
      <c r="D1082" s="121"/>
      <c r="E1082" s="122"/>
      <c r="F1082" s="99"/>
    </row>
    <row r="1083" spans="2:6" x14ac:dyDescent="0.3">
      <c r="B1083" s="99"/>
      <c r="C1083" s="112"/>
      <c r="D1083" s="121"/>
      <c r="E1083" s="122"/>
      <c r="F1083" s="99"/>
    </row>
    <row r="1084" spans="2:6" x14ac:dyDescent="0.3">
      <c r="B1084" s="99"/>
      <c r="C1084" s="112"/>
      <c r="D1084" s="121"/>
      <c r="E1084" s="122"/>
      <c r="F1084" s="99"/>
    </row>
    <row r="1085" spans="2:6" x14ac:dyDescent="0.3">
      <c r="B1085" s="99"/>
      <c r="C1085" s="112"/>
      <c r="D1085" s="121"/>
      <c r="E1085" s="122"/>
      <c r="F1085" s="99"/>
    </row>
    <row r="1086" spans="2:6" x14ac:dyDescent="0.3">
      <c r="B1086" s="99"/>
      <c r="C1086" s="112"/>
      <c r="D1086" s="121"/>
      <c r="E1086" s="122"/>
      <c r="F1086" s="99"/>
    </row>
    <row r="1087" spans="2:6" x14ac:dyDescent="0.3">
      <c r="B1087" s="99"/>
      <c r="C1087" s="112"/>
      <c r="D1087" s="121"/>
      <c r="E1087" s="122"/>
      <c r="F1087" s="99"/>
    </row>
    <row r="1088" spans="2:6" x14ac:dyDescent="0.3">
      <c r="B1088" s="99"/>
      <c r="C1088" s="112"/>
      <c r="D1088" s="121"/>
      <c r="E1088" s="122"/>
      <c r="F1088" s="99"/>
    </row>
    <row r="1089" spans="2:6" x14ac:dyDescent="0.3">
      <c r="B1089" s="99"/>
      <c r="C1089" s="112"/>
      <c r="D1089" s="121"/>
      <c r="E1089" s="122"/>
      <c r="F1089" s="99"/>
    </row>
    <row r="1090" spans="2:6" x14ac:dyDescent="0.3">
      <c r="B1090" s="99"/>
      <c r="C1090" s="112"/>
      <c r="D1090" s="121"/>
      <c r="E1090" s="122"/>
      <c r="F1090" s="99"/>
    </row>
    <row r="1091" spans="2:6" x14ac:dyDescent="0.3">
      <c r="B1091" s="99"/>
      <c r="C1091" s="112"/>
      <c r="D1091" s="121"/>
      <c r="E1091" s="122"/>
      <c r="F1091" s="99"/>
    </row>
    <row r="1092" spans="2:6" x14ac:dyDescent="0.3">
      <c r="B1092" s="99"/>
      <c r="C1092" s="112"/>
      <c r="D1092" s="121"/>
      <c r="E1092" s="122"/>
      <c r="F1092" s="99"/>
    </row>
    <row r="1093" spans="2:6" x14ac:dyDescent="0.3">
      <c r="B1093" s="99"/>
      <c r="C1093" s="112"/>
      <c r="D1093" s="121"/>
      <c r="E1093" s="122"/>
      <c r="F1093" s="99"/>
    </row>
    <row r="1094" spans="2:6" x14ac:dyDescent="0.3">
      <c r="B1094" s="99"/>
      <c r="C1094" s="112"/>
      <c r="D1094" s="121"/>
      <c r="E1094" s="122"/>
      <c r="F1094" s="99"/>
    </row>
    <row r="1095" spans="2:6" x14ac:dyDescent="0.3">
      <c r="B1095" s="99"/>
      <c r="C1095" s="112"/>
      <c r="D1095" s="121"/>
      <c r="E1095" s="122"/>
      <c r="F1095" s="99"/>
    </row>
    <row r="1096" spans="2:6" x14ac:dyDescent="0.3">
      <c r="B1096" s="99"/>
      <c r="C1096" s="112"/>
      <c r="D1096" s="121"/>
      <c r="E1096" s="122"/>
      <c r="F1096" s="99"/>
    </row>
    <row r="1097" spans="2:6" x14ac:dyDescent="0.3">
      <c r="B1097" s="99"/>
      <c r="C1097" s="112"/>
      <c r="D1097" s="121"/>
      <c r="E1097" s="122"/>
      <c r="F1097" s="99"/>
    </row>
    <row r="1098" spans="2:6" x14ac:dyDescent="0.3">
      <c r="B1098" s="99"/>
      <c r="C1098" s="112"/>
      <c r="D1098" s="121"/>
      <c r="E1098" s="122"/>
      <c r="F1098" s="99"/>
    </row>
    <row r="1099" spans="2:6" x14ac:dyDescent="0.3">
      <c r="B1099" s="99"/>
      <c r="C1099" s="112"/>
      <c r="D1099" s="121"/>
      <c r="E1099" s="122"/>
      <c r="F1099" s="99"/>
    </row>
    <row r="1100" spans="2:6" x14ac:dyDescent="0.3">
      <c r="B1100" s="99"/>
      <c r="C1100" s="112"/>
      <c r="D1100" s="121"/>
      <c r="E1100" s="122"/>
      <c r="F1100" s="99"/>
    </row>
    <row r="1101" spans="2:6" x14ac:dyDescent="0.3">
      <c r="B1101" s="99"/>
      <c r="C1101" s="112"/>
      <c r="D1101" s="121"/>
      <c r="E1101" s="122"/>
      <c r="F1101" s="99"/>
    </row>
    <row r="1102" spans="2:6" x14ac:dyDescent="0.3">
      <c r="B1102" s="99"/>
      <c r="C1102" s="112"/>
      <c r="D1102" s="121"/>
      <c r="E1102" s="122"/>
      <c r="F1102" s="99"/>
    </row>
    <row r="1103" spans="2:6" x14ac:dyDescent="0.3">
      <c r="B1103" s="99"/>
      <c r="C1103" s="112"/>
      <c r="D1103" s="121"/>
      <c r="E1103" s="122"/>
      <c r="F1103" s="99"/>
    </row>
    <row r="1104" spans="2:6" x14ac:dyDescent="0.3">
      <c r="B1104" s="99"/>
      <c r="C1104" s="112"/>
      <c r="D1104" s="121"/>
      <c r="E1104" s="122"/>
      <c r="F1104" s="99"/>
    </row>
    <row r="1105" spans="2:6" x14ac:dyDescent="0.3">
      <c r="B1105" s="99"/>
      <c r="C1105" s="112"/>
      <c r="D1105" s="121"/>
      <c r="E1105" s="122"/>
      <c r="F1105" s="99"/>
    </row>
    <row r="1106" spans="2:6" x14ac:dyDescent="0.3">
      <c r="B1106" s="99"/>
      <c r="C1106" s="112"/>
      <c r="D1106" s="121"/>
      <c r="E1106" s="122"/>
      <c r="F1106" s="99"/>
    </row>
    <row r="1107" spans="2:6" x14ac:dyDescent="0.3">
      <c r="B1107" s="99"/>
      <c r="C1107" s="112"/>
      <c r="D1107" s="121"/>
      <c r="E1107" s="122"/>
      <c r="F1107" s="99"/>
    </row>
    <row r="1108" spans="2:6" x14ac:dyDescent="0.3">
      <c r="B1108" s="99"/>
      <c r="C1108" s="112"/>
      <c r="D1108" s="121"/>
      <c r="E1108" s="122"/>
      <c r="F1108" s="99"/>
    </row>
    <row r="1109" spans="2:6" x14ac:dyDescent="0.3">
      <c r="B1109" s="99"/>
      <c r="C1109" s="112"/>
      <c r="D1109" s="121"/>
      <c r="E1109" s="122"/>
      <c r="F1109" s="99"/>
    </row>
    <row r="1110" spans="2:6" x14ac:dyDescent="0.3">
      <c r="B1110" s="99"/>
      <c r="C1110" s="112"/>
      <c r="D1110" s="121"/>
      <c r="E1110" s="122"/>
      <c r="F1110" s="99"/>
    </row>
    <row r="1111" spans="2:6" x14ac:dyDescent="0.3">
      <c r="B1111" s="99"/>
      <c r="C1111" s="112"/>
      <c r="D1111" s="121"/>
      <c r="E1111" s="122"/>
      <c r="F1111" s="99"/>
    </row>
    <row r="1112" spans="2:6" x14ac:dyDescent="0.3">
      <c r="B1112" s="99"/>
      <c r="C1112" s="112"/>
      <c r="D1112" s="121"/>
      <c r="E1112" s="122"/>
      <c r="F1112" s="99"/>
    </row>
    <row r="1113" spans="2:6" x14ac:dyDescent="0.3">
      <c r="B1113" s="99"/>
      <c r="C1113" s="112"/>
      <c r="D1113" s="121"/>
      <c r="E1113" s="122"/>
      <c r="F1113" s="99"/>
    </row>
    <row r="1114" spans="2:6" x14ac:dyDescent="0.3">
      <c r="B1114" s="99"/>
      <c r="C1114" s="112"/>
      <c r="D1114" s="121"/>
      <c r="E1114" s="122"/>
      <c r="F1114" s="99"/>
    </row>
    <row r="1115" spans="2:6" x14ac:dyDescent="0.3">
      <c r="B1115" s="99"/>
      <c r="C1115" s="112"/>
      <c r="D1115" s="121"/>
      <c r="E1115" s="122"/>
      <c r="F1115" s="99"/>
    </row>
    <row r="1116" spans="2:6" x14ac:dyDescent="0.3">
      <c r="B1116" s="99"/>
      <c r="C1116" s="112"/>
      <c r="D1116" s="121"/>
      <c r="E1116" s="122"/>
      <c r="F1116" s="99"/>
    </row>
    <row r="1117" spans="2:6" x14ac:dyDescent="0.3">
      <c r="B1117" s="99"/>
      <c r="C1117" s="112"/>
      <c r="D1117" s="121"/>
      <c r="E1117" s="122"/>
      <c r="F1117" s="99"/>
    </row>
    <row r="1118" spans="2:6" x14ac:dyDescent="0.3">
      <c r="B1118" s="99"/>
      <c r="C1118" s="112"/>
      <c r="D1118" s="121"/>
      <c r="E1118" s="122"/>
      <c r="F1118" s="99"/>
    </row>
    <row r="1119" spans="2:6" x14ac:dyDescent="0.3">
      <c r="B1119" s="99"/>
      <c r="C1119" s="112"/>
      <c r="D1119" s="121"/>
      <c r="E1119" s="122"/>
      <c r="F1119" s="99"/>
    </row>
    <row r="1120" spans="2:6" x14ac:dyDescent="0.3">
      <c r="B1120" s="99"/>
      <c r="C1120" s="112"/>
      <c r="D1120" s="121"/>
      <c r="E1120" s="122"/>
      <c r="F1120" s="99"/>
    </row>
    <row r="1121" spans="2:6" x14ac:dyDescent="0.3">
      <c r="B1121" s="99"/>
      <c r="C1121" s="112"/>
      <c r="D1121" s="121"/>
      <c r="E1121" s="122"/>
      <c r="F1121" s="99"/>
    </row>
    <row r="1122" spans="2:6" x14ac:dyDescent="0.3">
      <c r="B1122" s="99"/>
      <c r="C1122" s="112"/>
      <c r="D1122" s="121"/>
      <c r="E1122" s="122"/>
      <c r="F1122" s="99"/>
    </row>
    <row r="1123" spans="2:6" x14ac:dyDescent="0.3">
      <c r="B1123" s="99"/>
      <c r="C1123" s="112"/>
      <c r="D1123" s="121"/>
      <c r="E1123" s="122"/>
      <c r="F1123" s="99"/>
    </row>
    <row r="1124" spans="2:6" x14ac:dyDescent="0.3">
      <c r="B1124" s="99"/>
      <c r="C1124" s="112"/>
      <c r="D1124" s="121"/>
      <c r="E1124" s="122"/>
      <c r="F1124" s="99"/>
    </row>
    <row r="1125" spans="2:6" x14ac:dyDescent="0.3">
      <c r="B1125" s="99"/>
      <c r="C1125" s="112"/>
      <c r="D1125" s="121"/>
      <c r="E1125" s="122"/>
      <c r="F1125" s="99"/>
    </row>
    <row r="1126" spans="2:6" x14ac:dyDescent="0.3">
      <c r="B1126" s="99"/>
      <c r="C1126" s="112"/>
      <c r="D1126" s="121"/>
      <c r="E1126" s="122"/>
      <c r="F1126" s="99"/>
    </row>
    <row r="1127" spans="2:6" x14ac:dyDescent="0.3">
      <c r="B1127" s="99"/>
      <c r="C1127" s="112"/>
      <c r="D1127" s="121"/>
      <c r="E1127" s="122"/>
      <c r="F1127" s="99"/>
    </row>
    <row r="1128" spans="2:6" x14ac:dyDescent="0.3">
      <c r="B1128" s="99"/>
      <c r="C1128" s="112"/>
      <c r="D1128" s="121"/>
      <c r="E1128" s="122"/>
      <c r="F1128" s="99"/>
    </row>
    <row r="1129" spans="2:6" x14ac:dyDescent="0.3">
      <c r="B1129" s="99"/>
      <c r="C1129" s="112"/>
      <c r="D1129" s="121"/>
      <c r="E1129" s="122"/>
      <c r="F1129" s="99"/>
    </row>
    <row r="1130" spans="2:6" x14ac:dyDescent="0.3">
      <c r="B1130" s="99"/>
      <c r="C1130" s="112"/>
      <c r="D1130" s="121"/>
      <c r="E1130" s="122"/>
      <c r="F1130" s="99"/>
    </row>
    <row r="1131" spans="2:6" x14ac:dyDescent="0.3">
      <c r="B1131" s="99"/>
      <c r="C1131" s="112"/>
      <c r="D1131" s="121"/>
      <c r="E1131" s="122"/>
      <c r="F1131" s="99"/>
    </row>
    <row r="1132" spans="2:6" x14ac:dyDescent="0.3">
      <c r="B1132" s="99"/>
      <c r="C1132" s="112"/>
      <c r="D1132" s="121"/>
      <c r="E1132" s="122"/>
      <c r="F1132" s="99"/>
    </row>
    <row r="1133" spans="2:6" x14ac:dyDescent="0.3">
      <c r="B1133" s="99"/>
      <c r="C1133" s="112"/>
      <c r="D1133" s="121"/>
      <c r="E1133" s="122"/>
      <c r="F1133" s="99"/>
    </row>
    <row r="1134" spans="2:6" x14ac:dyDescent="0.3">
      <c r="B1134" s="99"/>
      <c r="C1134" s="112"/>
      <c r="D1134" s="121"/>
      <c r="E1134" s="122"/>
      <c r="F1134" s="99"/>
    </row>
    <row r="1135" spans="2:6" x14ac:dyDescent="0.3">
      <c r="B1135" s="99"/>
      <c r="C1135" s="112"/>
      <c r="D1135" s="121"/>
      <c r="E1135" s="122"/>
      <c r="F1135" s="99"/>
    </row>
    <row r="1136" spans="2:6" x14ac:dyDescent="0.3">
      <c r="B1136" s="99"/>
      <c r="C1136" s="112"/>
      <c r="D1136" s="121"/>
      <c r="E1136" s="122"/>
      <c r="F1136" s="99"/>
    </row>
    <row r="1137" spans="2:6" x14ac:dyDescent="0.3">
      <c r="B1137" s="99"/>
      <c r="C1137" s="112"/>
      <c r="D1137" s="121"/>
      <c r="E1137" s="122"/>
      <c r="F1137" s="99"/>
    </row>
    <row r="1138" spans="2:6" x14ac:dyDescent="0.3">
      <c r="B1138" s="99"/>
      <c r="C1138" s="112"/>
      <c r="D1138" s="121"/>
      <c r="E1138" s="122"/>
      <c r="F1138" s="99"/>
    </row>
    <row r="1139" spans="2:6" x14ac:dyDescent="0.3">
      <c r="B1139" s="99"/>
      <c r="C1139" s="112"/>
      <c r="D1139" s="121"/>
      <c r="E1139" s="122"/>
      <c r="F1139" s="99"/>
    </row>
    <row r="1140" spans="2:6" x14ac:dyDescent="0.3">
      <c r="B1140" s="99"/>
      <c r="C1140" s="112"/>
      <c r="D1140" s="121"/>
      <c r="E1140" s="122"/>
      <c r="F1140" s="99"/>
    </row>
    <row r="1141" spans="2:6" x14ac:dyDescent="0.3">
      <c r="B1141" s="99"/>
      <c r="C1141" s="112"/>
      <c r="D1141" s="121"/>
      <c r="E1141" s="122"/>
      <c r="F1141" s="99"/>
    </row>
    <row r="1142" spans="2:6" x14ac:dyDescent="0.3">
      <c r="B1142" s="99"/>
      <c r="C1142" s="112"/>
      <c r="D1142" s="121"/>
      <c r="E1142" s="122"/>
      <c r="F1142" s="99"/>
    </row>
    <row r="1143" spans="2:6" x14ac:dyDescent="0.3">
      <c r="B1143" s="99"/>
      <c r="C1143" s="112"/>
      <c r="D1143" s="121"/>
      <c r="E1143" s="122"/>
      <c r="F1143" s="99"/>
    </row>
    <row r="1144" spans="2:6" x14ac:dyDescent="0.3">
      <c r="B1144" s="99"/>
      <c r="C1144" s="112"/>
      <c r="D1144" s="121"/>
      <c r="E1144" s="122"/>
      <c r="F1144" s="99"/>
    </row>
    <row r="1145" spans="2:6" x14ac:dyDescent="0.3">
      <c r="B1145" s="99"/>
      <c r="C1145" s="112"/>
      <c r="D1145" s="121"/>
      <c r="E1145" s="122"/>
      <c r="F1145" s="99"/>
    </row>
    <row r="1146" spans="2:6" x14ac:dyDescent="0.3">
      <c r="B1146" s="99"/>
      <c r="C1146" s="112"/>
      <c r="D1146" s="121"/>
      <c r="E1146" s="122"/>
      <c r="F1146" s="99"/>
    </row>
    <row r="1147" spans="2:6" x14ac:dyDescent="0.3">
      <c r="B1147" s="99"/>
      <c r="C1147" s="112"/>
      <c r="D1147" s="121"/>
      <c r="E1147" s="122"/>
      <c r="F1147" s="99"/>
    </row>
    <row r="1148" spans="2:6" x14ac:dyDescent="0.3">
      <c r="B1148" s="99"/>
      <c r="C1148" s="112"/>
      <c r="D1148" s="121"/>
      <c r="E1148" s="122"/>
      <c r="F1148" s="99"/>
    </row>
    <row r="1149" spans="2:6" x14ac:dyDescent="0.3">
      <c r="B1149" s="99"/>
      <c r="C1149" s="112"/>
      <c r="D1149" s="121"/>
      <c r="E1149" s="122"/>
      <c r="F1149" s="99"/>
    </row>
    <row r="1150" spans="2:6" x14ac:dyDescent="0.3">
      <c r="B1150" s="99"/>
      <c r="C1150" s="112"/>
      <c r="D1150" s="121"/>
      <c r="E1150" s="122"/>
      <c r="F1150" s="99"/>
    </row>
    <row r="1151" spans="2:6" x14ac:dyDescent="0.3">
      <c r="B1151" s="99"/>
      <c r="C1151" s="112"/>
      <c r="D1151" s="121"/>
      <c r="E1151" s="122"/>
      <c r="F1151" s="99"/>
    </row>
    <row r="1152" spans="2:6" x14ac:dyDescent="0.3">
      <c r="B1152" s="99"/>
      <c r="C1152" s="112"/>
      <c r="D1152" s="121"/>
      <c r="E1152" s="122"/>
      <c r="F1152" s="99"/>
    </row>
    <row r="1153" spans="2:6" x14ac:dyDescent="0.3">
      <c r="B1153" s="99"/>
      <c r="C1153" s="112"/>
      <c r="D1153" s="121"/>
      <c r="E1153" s="122"/>
      <c r="F1153" s="99"/>
    </row>
    <row r="1154" spans="2:6" x14ac:dyDescent="0.3">
      <c r="B1154" s="99"/>
      <c r="C1154" s="112"/>
      <c r="D1154" s="121"/>
      <c r="E1154" s="122"/>
      <c r="F1154" s="99"/>
    </row>
    <row r="1155" spans="2:6" x14ac:dyDescent="0.3">
      <c r="B1155" s="99"/>
      <c r="C1155" s="112"/>
      <c r="D1155" s="121"/>
      <c r="E1155" s="122"/>
      <c r="F1155" s="99"/>
    </row>
    <row r="1156" spans="2:6" x14ac:dyDescent="0.3">
      <c r="B1156" s="99"/>
      <c r="C1156" s="112"/>
      <c r="D1156" s="121"/>
      <c r="E1156" s="122"/>
      <c r="F1156" s="99"/>
    </row>
    <row r="1157" spans="2:6" x14ac:dyDescent="0.3">
      <c r="B1157" s="99"/>
      <c r="C1157" s="112"/>
      <c r="D1157" s="121"/>
      <c r="E1157" s="122"/>
      <c r="F1157" s="99"/>
    </row>
    <row r="1158" spans="2:6" x14ac:dyDescent="0.3">
      <c r="B1158" s="99"/>
      <c r="C1158" s="112"/>
      <c r="D1158" s="121"/>
      <c r="E1158" s="122"/>
      <c r="F1158" s="99"/>
    </row>
    <row r="1159" spans="2:6" x14ac:dyDescent="0.3">
      <c r="B1159" s="99"/>
      <c r="C1159" s="112"/>
      <c r="D1159" s="121"/>
      <c r="E1159" s="122"/>
      <c r="F1159" s="99"/>
    </row>
    <row r="1160" spans="2:6" x14ac:dyDescent="0.3">
      <c r="B1160" s="99"/>
      <c r="C1160" s="112"/>
      <c r="D1160" s="121"/>
      <c r="E1160" s="122"/>
      <c r="F1160" s="99"/>
    </row>
    <row r="1161" spans="2:6" x14ac:dyDescent="0.3">
      <c r="B1161" s="99"/>
      <c r="C1161" s="112"/>
      <c r="D1161" s="121"/>
      <c r="E1161" s="122"/>
      <c r="F1161" s="99"/>
    </row>
    <row r="1162" spans="2:6" x14ac:dyDescent="0.3">
      <c r="B1162" s="99"/>
      <c r="C1162" s="112"/>
      <c r="D1162" s="121"/>
      <c r="E1162" s="122"/>
      <c r="F1162" s="99"/>
    </row>
    <row r="1163" spans="2:6" x14ac:dyDescent="0.3">
      <c r="B1163" s="99"/>
      <c r="C1163" s="112"/>
      <c r="D1163" s="121"/>
      <c r="E1163" s="122"/>
      <c r="F1163" s="99"/>
    </row>
    <row r="1164" spans="2:6" x14ac:dyDescent="0.3">
      <c r="B1164" s="99"/>
      <c r="C1164" s="112"/>
      <c r="D1164" s="121"/>
      <c r="E1164" s="122"/>
      <c r="F1164" s="99"/>
    </row>
    <row r="1165" spans="2:6" x14ac:dyDescent="0.3">
      <c r="B1165" s="99"/>
      <c r="C1165" s="112"/>
      <c r="D1165" s="121"/>
      <c r="E1165" s="122"/>
      <c r="F1165" s="99"/>
    </row>
    <row r="1166" spans="2:6" x14ac:dyDescent="0.3">
      <c r="B1166" s="99"/>
      <c r="C1166" s="112"/>
      <c r="D1166" s="121"/>
      <c r="E1166" s="122"/>
      <c r="F1166" s="99"/>
    </row>
    <row r="1167" spans="2:6" x14ac:dyDescent="0.3">
      <c r="B1167" s="99"/>
      <c r="C1167" s="112"/>
      <c r="D1167" s="121"/>
      <c r="E1167" s="122"/>
      <c r="F1167" s="99"/>
    </row>
    <row r="1168" spans="2:6" x14ac:dyDescent="0.3">
      <c r="B1168" s="99"/>
      <c r="C1168" s="112"/>
      <c r="D1168" s="121"/>
      <c r="E1168" s="122"/>
      <c r="F1168" s="99"/>
    </row>
    <row r="1169" spans="2:6" x14ac:dyDescent="0.3">
      <c r="B1169" s="99"/>
      <c r="C1169" s="112"/>
      <c r="D1169" s="121"/>
      <c r="E1169" s="122"/>
      <c r="F1169" s="99"/>
    </row>
    <row r="1170" spans="2:6" x14ac:dyDescent="0.3">
      <c r="B1170" s="99"/>
      <c r="C1170" s="112"/>
      <c r="D1170" s="121"/>
      <c r="E1170" s="122"/>
      <c r="F1170" s="99"/>
    </row>
    <row r="1171" spans="2:6" x14ac:dyDescent="0.3">
      <c r="B1171" s="99"/>
      <c r="C1171" s="112"/>
      <c r="D1171" s="121"/>
      <c r="E1171" s="122"/>
      <c r="F1171" s="99"/>
    </row>
    <row r="1172" spans="2:6" x14ac:dyDescent="0.3">
      <c r="B1172" s="99"/>
      <c r="C1172" s="112"/>
      <c r="D1172" s="121"/>
      <c r="E1172" s="122"/>
      <c r="F1172" s="99"/>
    </row>
    <row r="1173" spans="2:6" x14ac:dyDescent="0.3">
      <c r="B1173" s="99"/>
      <c r="C1173" s="112"/>
      <c r="D1173" s="121"/>
      <c r="E1173" s="122"/>
      <c r="F1173" s="99"/>
    </row>
    <row r="1174" spans="2:6" x14ac:dyDescent="0.3">
      <c r="B1174" s="99"/>
      <c r="C1174" s="112"/>
      <c r="D1174" s="121"/>
      <c r="E1174" s="122"/>
      <c r="F1174" s="99"/>
    </row>
    <row r="1175" spans="2:6" x14ac:dyDescent="0.3">
      <c r="B1175" s="99"/>
      <c r="C1175" s="112"/>
      <c r="D1175" s="121"/>
      <c r="E1175" s="122"/>
      <c r="F1175" s="99"/>
    </row>
    <row r="1176" spans="2:6" x14ac:dyDescent="0.3">
      <c r="B1176" s="99"/>
      <c r="C1176" s="112"/>
      <c r="D1176" s="121"/>
      <c r="E1176" s="122"/>
      <c r="F1176" s="99"/>
    </row>
    <row r="1177" spans="2:6" x14ac:dyDescent="0.3">
      <c r="B1177" s="99"/>
      <c r="C1177" s="112"/>
      <c r="D1177" s="121"/>
      <c r="E1177" s="122"/>
      <c r="F1177" s="99"/>
    </row>
    <row r="1178" spans="2:6" x14ac:dyDescent="0.3">
      <c r="B1178" s="99"/>
      <c r="C1178" s="112"/>
      <c r="D1178" s="121"/>
      <c r="E1178" s="122"/>
      <c r="F1178" s="99"/>
    </row>
    <row r="1179" spans="2:6" x14ac:dyDescent="0.3">
      <c r="B1179" s="99"/>
      <c r="C1179" s="112"/>
      <c r="D1179" s="121"/>
      <c r="E1179" s="122"/>
      <c r="F1179" s="99"/>
    </row>
    <row r="1180" spans="2:6" x14ac:dyDescent="0.3">
      <c r="B1180" s="99"/>
      <c r="C1180" s="112"/>
      <c r="D1180" s="121"/>
      <c r="E1180" s="122"/>
      <c r="F1180" s="99"/>
    </row>
    <row r="1181" spans="2:6" x14ac:dyDescent="0.3">
      <c r="B1181" s="99"/>
      <c r="C1181" s="112"/>
      <c r="D1181" s="121"/>
      <c r="E1181" s="122"/>
      <c r="F1181" s="99"/>
    </row>
    <row r="1182" spans="2:6" x14ac:dyDescent="0.3">
      <c r="B1182" s="99"/>
      <c r="C1182" s="112"/>
      <c r="D1182" s="121"/>
      <c r="E1182" s="122"/>
      <c r="F1182" s="99"/>
    </row>
    <row r="1183" spans="2:6" x14ac:dyDescent="0.3">
      <c r="B1183" s="99"/>
      <c r="C1183" s="112"/>
      <c r="D1183" s="121"/>
      <c r="E1183" s="122"/>
      <c r="F1183" s="99"/>
    </row>
    <row r="1184" spans="2:6" x14ac:dyDescent="0.3">
      <c r="B1184" s="99"/>
      <c r="C1184" s="112"/>
      <c r="D1184" s="121"/>
      <c r="E1184" s="122"/>
      <c r="F1184" s="99"/>
    </row>
    <row r="1185" spans="2:6" x14ac:dyDescent="0.3">
      <c r="B1185" s="99"/>
      <c r="C1185" s="112"/>
      <c r="D1185" s="121"/>
      <c r="E1185" s="122"/>
      <c r="F1185" s="99"/>
    </row>
    <row r="1186" spans="2:6" x14ac:dyDescent="0.3">
      <c r="B1186" s="99"/>
      <c r="C1186" s="112"/>
      <c r="D1186" s="121"/>
      <c r="E1186" s="122"/>
      <c r="F1186" s="99"/>
    </row>
    <row r="1187" spans="2:6" x14ac:dyDescent="0.3">
      <c r="B1187" s="99"/>
      <c r="C1187" s="112"/>
      <c r="D1187" s="121"/>
      <c r="E1187" s="122"/>
      <c r="F1187" s="99"/>
    </row>
    <row r="1188" spans="2:6" x14ac:dyDescent="0.3">
      <c r="B1188" s="99"/>
      <c r="C1188" s="112"/>
      <c r="D1188" s="121"/>
      <c r="E1188" s="122"/>
      <c r="F1188" s="99"/>
    </row>
    <row r="1189" spans="2:6" x14ac:dyDescent="0.3">
      <c r="B1189" s="99"/>
      <c r="C1189" s="112"/>
      <c r="D1189" s="121"/>
      <c r="E1189" s="122"/>
      <c r="F1189" s="99"/>
    </row>
    <row r="1190" spans="2:6" x14ac:dyDescent="0.3">
      <c r="B1190" s="99"/>
      <c r="C1190" s="112"/>
      <c r="D1190" s="121"/>
      <c r="E1190" s="122"/>
      <c r="F1190" s="99"/>
    </row>
    <row r="1191" spans="2:6" x14ac:dyDescent="0.3">
      <c r="B1191" s="99"/>
      <c r="C1191" s="112"/>
      <c r="D1191" s="121"/>
      <c r="E1191" s="122"/>
      <c r="F1191" s="99"/>
    </row>
    <row r="1192" spans="2:6" x14ac:dyDescent="0.3">
      <c r="B1192" s="99"/>
      <c r="C1192" s="112"/>
      <c r="D1192" s="121"/>
      <c r="E1192" s="122"/>
      <c r="F1192" s="99"/>
    </row>
    <row r="1193" spans="2:6" x14ac:dyDescent="0.3">
      <c r="B1193" s="99"/>
      <c r="C1193" s="112"/>
      <c r="D1193" s="121"/>
      <c r="E1193" s="122"/>
      <c r="F1193" s="99"/>
    </row>
    <row r="1194" spans="2:6" x14ac:dyDescent="0.3">
      <c r="B1194" s="99"/>
      <c r="C1194" s="112"/>
      <c r="D1194" s="121"/>
      <c r="E1194" s="122"/>
      <c r="F1194" s="99"/>
    </row>
    <row r="1195" spans="2:6" x14ac:dyDescent="0.3">
      <c r="B1195" s="99"/>
      <c r="C1195" s="112"/>
      <c r="D1195" s="121"/>
      <c r="E1195" s="122"/>
      <c r="F1195" s="99"/>
    </row>
    <row r="1196" spans="2:6" x14ac:dyDescent="0.3">
      <c r="B1196" s="99"/>
      <c r="C1196" s="112"/>
      <c r="D1196" s="121"/>
      <c r="E1196" s="122"/>
      <c r="F1196" s="99"/>
    </row>
    <row r="1197" spans="2:6" x14ac:dyDescent="0.3">
      <c r="B1197" s="99"/>
      <c r="C1197" s="112"/>
      <c r="D1197" s="121"/>
      <c r="E1197" s="122"/>
      <c r="F1197" s="99"/>
    </row>
    <row r="1198" spans="2:6" x14ac:dyDescent="0.3">
      <c r="B1198" s="99"/>
      <c r="C1198" s="112"/>
      <c r="D1198" s="121"/>
      <c r="E1198" s="122"/>
      <c r="F1198" s="99"/>
    </row>
    <row r="1199" spans="2:6" x14ac:dyDescent="0.3">
      <c r="B1199" s="99"/>
      <c r="C1199" s="112"/>
      <c r="D1199" s="121"/>
      <c r="E1199" s="122"/>
      <c r="F1199" s="99"/>
    </row>
    <row r="1200" spans="2:6" x14ac:dyDescent="0.3">
      <c r="B1200" s="99"/>
      <c r="C1200" s="112"/>
      <c r="D1200" s="121"/>
      <c r="E1200" s="122"/>
      <c r="F1200" s="99"/>
    </row>
    <row r="1201" spans="2:6" x14ac:dyDescent="0.3">
      <c r="B1201" s="99"/>
      <c r="C1201" s="112"/>
      <c r="D1201" s="121"/>
      <c r="E1201" s="122"/>
      <c r="F1201" s="99"/>
    </row>
    <row r="1202" spans="2:6" x14ac:dyDescent="0.3">
      <c r="B1202" s="99"/>
      <c r="C1202" s="112"/>
      <c r="D1202" s="121"/>
      <c r="E1202" s="122"/>
      <c r="F1202" s="99"/>
    </row>
    <row r="1203" spans="2:6" x14ac:dyDescent="0.3">
      <c r="B1203" s="99"/>
      <c r="C1203" s="112"/>
      <c r="D1203" s="121"/>
      <c r="E1203" s="122"/>
      <c r="F1203" s="99"/>
    </row>
    <row r="1204" spans="2:6" x14ac:dyDescent="0.3">
      <c r="B1204" s="99"/>
      <c r="C1204" s="112"/>
      <c r="D1204" s="121"/>
      <c r="E1204" s="122"/>
      <c r="F1204" s="99"/>
    </row>
    <row r="1205" spans="2:6" x14ac:dyDescent="0.3">
      <c r="B1205" s="99"/>
      <c r="C1205" s="112"/>
      <c r="D1205" s="121"/>
      <c r="E1205" s="122"/>
      <c r="F1205" s="99"/>
    </row>
    <row r="1206" spans="2:6" x14ac:dyDescent="0.3">
      <c r="B1206" s="99"/>
      <c r="C1206" s="112"/>
      <c r="D1206" s="121"/>
      <c r="E1206" s="122"/>
      <c r="F1206" s="99"/>
    </row>
    <row r="1207" spans="2:6" x14ac:dyDescent="0.3">
      <c r="B1207" s="99"/>
      <c r="C1207" s="112"/>
      <c r="D1207" s="121"/>
      <c r="E1207" s="122"/>
      <c r="F1207" s="99"/>
    </row>
    <row r="1208" spans="2:6" x14ac:dyDescent="0.3">
      <c r="B1208" s="99"/>
      <c r="C1208" s="112"/>
      <c r="D1208" s="121"/>
      <c r="E1208" s="122"/>
      <c r="F1208" s="99"/>
    </row>
    <row r="1209" spans="2:6" x14ac:dyDescent="0.3">
      <c r="B1209" s="99"/>
      <c r="C1209" s="112"/>
      <c r="D1209" s="121"/>
      <c r="E1209" s="122"/>
      <c r="F1209" s="99"/>
    </row>
    <row r="1210" spans="2:6" x14ac:dyDescent="0.3">
      <c r="B1210" s="99"/>
      <c r="C1210" s="112"/>
      <c r="D1210" s="121"/>
      <c r="E1210" s="122"/>
      <c r="F1210" s="99"/>
    </row>
    <row r="1211" spans="2:6" x14ac:dyDescent="0.3">
      <c r="B1211" s="99"/>
      <c r="C1211" s="112"/>
      <c r="D1211" s="121"/>
      <c r="E1211" s="122"/>
      <c r="F1211" s="99"/>
    </row>
    <row r="1212" spans="2:6" x14ac:dyDescent="0.3">
      <c r="B1212" s="99"/>
      <c r="C1212" s="112"/>
      <c r="D1212" s="121"/>
      <c r="E1212" s="122"/>
      <c r="F1212" s="99"/>
    </row>
    <row r="1213" spans="2:6" x14ac:dyDescent="0.3">
      <c r="B1213" s="99"/>
      <c r="C1213" s="112"/>
      <c r="D1213" s="121"/>
      <c r="E1213" s="122"/>
      <c r="F1213" s="99"/>
    </row>
    <row r="1214" spans="2:6" x14ac:dyDescent="0.3">
      <c r="B1214" s="99"/>
      <c r="C1214" s="112"/>
      <c r="D1214" s="121"/>
      <c r="E1214" s="122"/>
      <c r="F1214" s="99"/>
    </row>
    <row r="1215" spans="2:6" x14ac:dyDescent="0.3">
      <c r="B1215" s="99"/>
      <c r="C1215" s="112"/>
      <c r="D1215" s="121"/>
      <c r="E1215" s="122"/>
      <c r="F1215" s="99"/>
    </row>
    <row r="1216" spans="2:6" x14ac:dyDescent="0.3">
      <c r="B1216" s="99"/>
      <c r="C1216" s="112"/>
      <c r="D1216" s="121"/>
      <c r="E1216" s="122"/>
      <c r="F1216" s="99"/>
    </row>
    <row r="1217" spans="2:6" x14ac:dyDescent="0.3">
      <c r="B1217" s="99"/>
      <c r="C1217" s="112"/>
      <c r="D1217" s="121"/>
      <c r="E1217" s="122"/>
      <c r="F1217" s="99"/>
    </row>
    <row r="1218" spans="2:6" x14ac:dyDescent="0.3">
      <c r="B1218" s="99"/>
      <c r="C1218" s="112"/>
      <c r="D1218" s="121"/>
      <c r="E1218" s="122"/>
      <c r="F1218" s="99"/>
    </row>
    <row r="1219" spans="2:6" x14ac:dyDescent="0.3">
      <c r="B1219" s="99"/>
      <c r="C1219" s="112"/>
      <c r="D1219" s="121"/>
      <c r="E1219" s="122"/>
      <c r="F1219" s="99"/>
    </row>
    <row r="1220" spans="2:6" x14ac:dyDescent="0.3">
      <c r="B1220" s="99"/>
      <c r="C1220" s="112"/>
      <c r="D1220" s="121"/>
      <c r="E1220" s="122"/>
      <c r="F1220" s="99"/>
    </row>
    <row r="1221" spans="2:6" x14ac:dyDescent="0.3">
      <c r="B1221" s="99"/>
      <c r="C1221" s="112"/>
      <c r="D1221" s="121"/>
      <c r="E1221" s="122"/>
      <c r="F1221" s="99"/>
    </row>
    <row r="1222" spans="2:6" x14ac:dyDescent="0.3">
      <c r="B1222" s="99"/>
      <c r="C1222" s="112"/>
      <c r="D1222" s="121"/>
      <c r="E1222" s="122"/>
      <c r="F1222" s="99"/>
    </row>
    <row r="1223" spans="2:6" x14ac:dyDescent="0.3">
      <c r="B1223" s="99"/>
      <c r="C1223" s="112"/>
      <c r="D1223" s="121"/>
      <c r="E1223" s="122"/>
      <c r="F1223" s="99"/>
    </row>
    <row r="1224" spans="2:6" x14ac:dyDescent="0.3">
      <c r="B1224" s="99"/>
      <c r="C1224" s="112"/>
      <c r="D1224" s="121"/>
      <c r="E1224" s="122"/>
      <c r="F1224" s="99"/>
    </row>
    <row r="1225" spans="2:6" x14ac:dyDescent="0.3">
      <c r="B1225" s="99"/>
      <c r="C1225" s="112"/>
      <c r="D1225" s="121"/>
      <c r="E1225" s="122"/>
      <c r="F1225" s="99"/>
    </row>
    <row r="1226" spans="2:6" x14ac:dyDescent="0.3">
      <c r="B1226" s="99"/>
      <c r="C1226" s="112"/>
      <c r="D1226" s="121"/>
      <c r="E1226" s="122"/>
      <c r="F1226" s="99"/>
    </row>
    <row r="1227" spans="2:6" x14ac:dyDescent="0.3">
      <c r="B1227" s="99"/>
      <c r="C1227" s="112"/>
      <c r="D1227" s="121"/>
      <c r="E1227" s="122"/>
      <c r="F1227" s="99"/>
    </row>
    <row r="1228" spans="2:6" x14ac:dyDescent="0.3">
      <c r="B1228" s="99"/>
      <c r="C1228" s="112"/>
      <c r="D1228" s="121"/>
      <c r="E1228" s="122"/>
      <c r="F1228" s="99"/>
    </row>
    <row r="1229" spans="2:6" x14ac:dyDescent="0.3">
      <c r="B1229" s="99"/>
      <c r="C1229" s="112"/>
      <c r="D1229" s="121"/>
      <c r="E1229" s="122"/>
      <c r="F1229" s="99"/>
    </row>
    <row r="1230" spans="2:6" x14ac:dyDescent="0.3">
      <c r="B1230" s="99"/>
      <c r="C1230" s="112"/>
      <c r="D1230" s="121"/>
      <c r="E1230" s="122"/>
      <c r="F1230" s="99"/>
    </row>
    <row r="1231" spans="2:6" x14ac:dyDescent="0.3">
      <c r="B1231" s="99"/>
      <c r="C1231" s="112"/>
      <c r="D1231" s="121"/>
      <c r="E1231" s="122"/>
      <c r="F1231" s="99"/>
    </row>
    <row r="1232" spans="2:6" x14ac:dyDescent="0.3">
      <c r="B1232" s="99"/>
      <c r="C1232" s="112"/>
      <c r="D1232" s="121"/>
      <c r="E1232" s="122"/>
      <c r="F1232" s="99"/>
    </row>
    <row r="1233" spans="2:6" x14ac:dyDescent="0.3">
      <c r="B1233" s="99"/>
      <c r="C1233" s="112"/>
      <c r="D1233" s="121"/>
      <c r="E1233" s="122"/>
      <c r="F1233" s="99"/>
    </row>
    <row r="1234" spans="2:6" x14ac:dyDescent="0.3">
      <c r="B1234" s="99"/>
      <c r="C1234" s="112"/>
      <c r="D1234" s="121"/>
      <c r="E1234" s="122"/>
      <c r="F1234" s="99"/>
    </row>
    <row r="1235" spans="2:6" x14ac:dyDescent="0.3">
      <c r="B1235" s="99"/>
      <c r="C1235" s="112"/>
      <c r="D1235" s="121"/>
      <c r="E1235" s="122"/>
      <c r="F1235" s="99"/>
    </row>
    <row r="1236" spans="2:6" x14ac:dyDescent="0.3">
      <c r="B1236" s="99"/>
      <c r="C1236" s="112"/>
      <c r="D1236" s="121"/>
      <c r="E1236" s="122"/>
      <c r="F1236" s="99"/>
    </row>
    <row r="1237" spans="2:6" x14ac:dyDescent="0.3">
      <c r="B1237" s="99"/>
      <c r="C1237" s="112"/>
      <c r="D1237" s="121"/>
      <c r="E1237" s="122"/>
      <c r="F1237" s="99"/>
    </row>
    <row r="1238" spans="2:6" x14ac:dyDescent="0.3">
      <c r="B1238" s="99"/>
      <c r="C1238" s="112"/>
      <c r="D1238" s="121"/>
      <c r="E1238" s="122"/>
      <c r="F1238" s="99"/>
    </row>
    <row r="1239" spans="2:6" x14ac:dyDescent="0.3">
      <c r="B1239" s="99"/>
      <c r="C1239" s="112"/>
      <c r="D1239" s="121"/>
      <c r="E1239" s="122"/>
      <c r="F1239" s="99"/>
    </row>
    <row r="1240" spans="2:6" x14ac:dyDescent="0.3">
      <c r="B1240" s="99"/>
      <c r="C1240" s="112"/>
      <c r="D1240" s="121"/>
      <c r="E1240" s="122"/>
      <c r="F1240" s="99"/>
    </row>
    <row r="1241" spans="2:6" x14ac:dyDescent="0.3">
      <c r="B1241" s="99"/>
      <c r="C1241" s="112"/>
      <c r="D1241" s="121"/>
      <c r="E1241" s="122"/>
      <c r="F1241" s="99"/>
    </row>
    <row r="1242" spans="2:6" x14ac:dyDescent="0.3">
      <c r="B1242" s="99"/>
      <c r="C1242" s="112"/>
      <c r="D1242" s="121"/>
      <c r="E1242" s="122"/>
      <c r="F1242" s="99"/>
    </row>
    <row r="1243" spans="2:6" x14ac:dyDescent="0.3">
      <c r="B1243" s="99"/>
      <c r="C1243" s="112"/>
      <c r="D1243" s="121"/>
      <c r="E1243" s="122"/>
      <c r="F1243" s="99"/>
    </row>
    <row r="1244" spans="2:6" x14ac:dyDescent="0.3">
      <c r="B1244" s="99"/>
      <c r="C1244" s="112"/>
      <c r="D1244" s="121"/>
      <c r="E1244" s="122"/>
      <c r="F1244" s="99"/>
    </row>
    <row r="1245" spans="2:6" x14ac:dyDescent="0.3">
      <c r="B1245" s="99"/>
      <c r="C1245" s="112"/>
      <c r="D1245" s="121"/>
      <c r="E1245" s="122"/>
      <c r="F1245" s="99"/>
    </row>
    <row r="1246" spans="2:6" x14ac:dyDescent="0.3">
      <c r="B1246" s="99"/>
      <c r="C1246" s="112"/>
      <c r="D1246" s="121"/>
      <c r="E1246" s="122"/>
      <c r="F1246" s="99"/>
    </row>
    <row r="1247" spans="2:6" x14ac:dyDescent="0.3">
      <c r="B1247" s="99"/>
      <c r="C1247" s="112"/>
      <c r="D1247" s="121"/>
      <c r="E1247" s="122"/>
      <c r="F1247" s="99"/>
    </row>
    <row r="1248" spans="2:6" x14ac:dyDescent="0.3">
      <c r="B1248" s="99"/>
      <c r="C1248" s="112"/>
      <c r="D1248" s="121"/>
      <c r="E1248" s="122"/>
      <c r="F1248" s="99"/>
    </row>
    <row r="1249" spans="2:6" x14ac:dyDescent="0.3">
      <c r="B1249" s="99"/>
      <c r="C1249" s="112"/>
      <c r="D1249" s="121"/>
      <c r="E1249" s="122"/>
      <c r="F1249" s="99"/>
    </row>
    <row r="1250" spans="2:6" x14ac:dyDescent="0.3">
      <c r="B1250" s="99"/>
      <c r="C1250" s="112"/>
      <c r="D1250" s="121"/>
      <c r="E1250" s="122"/>
      <c r="F1250" s="99"/>
    </row>
    <row r="1251" spans="2:6" x14ac:dyDescent="0.3">
      <c r="B1251" s="99"/>
      <c r="C1251" s="112"/>
      <c r="D1251" s="121"/>
      <c r="E1251" s="122"/>
      <c r="F1251" s="99"/>
    </row>
    <row r="1252" spans="2:6" x14ac:dyDescent="0.3">
      <c r="B1252" s="99"/>
      <c r="C1252" s="112"/>
      <c r="D1252" s="121"/>
      <c r="E1252" s="122"/>
      <c r="F1252" s="99"/>
    </row>
    <row r="1253" spans="2:6" x14ac:dyDescent="0.3">
      <c r="B1253" s="99"/>
      <c r="C1253" s="112"/>
      <c r="D1253" s="121"/>
      <c r="E1253" s="122"/>
      <c r="F1253" s="99"/>
    </row>
    <row r="1254" spans="2:6" x14ac:dyDescent="0.3">
      <c r="B1254" s="99"/>
      <c r="C1254" s="112"/>
      <c r="D1254" s="121"/>
      <c r="E1254" s="122"/>
      <c r="F1254" s="99"/>
    </row>
    <row r="1255" spans="2:6" x14ac:dyDescent="0.3">
      <c r="B1255" s="99"/>
      <c r="C1255" s="112"/>
      <c r="D1255" s="121"/>
      <c r="E1255" s="122"/>
      <c r="F1255" s="99"/>
    </row>
    <row r="1256" spans="2:6" x14ac:dyDescent="0.3">
      <c r="B1256" s="99"/>
      <c r="C1256" s="112"/>
      <c r="D1256" s="121"/>
      <c r="E1256" s="122"/>
      <c r="F1256" s="99"/>
    </row>
    <row r="1257" spans="2:6" x14ac:dyDescent="0.3">
      <c r="B1257" s="99"/>
      <c r="C1257" s="112"/>
      <c r="D1257" s="121"/>
      <c r="E1257" s="122"/>
      <c r="F1257" s="99"/>
    </row>
    <row r="1258" spans="2:6" x14ac:dyDescent="0.3">
      <c r="B1258" s="99"/>
      <c r="C1258" s="112"/>
      <c r="D1258" s="121"/>
      <c r="E1258" s="122"/>
      <c r="F1258" s="99"/>
    </row>
    <row r="1259" spans="2:6" x14ac:dyDescent="0.3">
      <c r="B1259" s="99"/>
      <c r="C1259" s="112"/>
      <c r="D1259" s="121"/>
      <c r="E1259" s="122"/>
      <c r="F1259" s="99"/>
    </row>
    <row r="1260" spans="2:6" x14ac:dyDescent="0.3">
      <c r="B1260" s="99"/>
      <c r="C1260" s="112"/>
      <c r="D1260" s="121"/>
      <c r="E1260" s="122"/>
      <c r="F1260" s="99"/>
    </row>
    <row r="1261" spans="2:6" x14ac:dyDescent="0.3">
      <c r="B1261" s="99"/>
      <c r="C1261" s="112"/>
      <c r="D1261" s="121"/>
      <c r="E1261" s="122"/>
      <c r="F1261" s="99"/>
    </row>
    <row r="1262" spans="2:6" x14ac:dyDescent="0.3">
      <c r="B1262" s="99"/>
      <c r="C1262" s="112"/>
      <c r="D1262" s="121"/>
      <c r="E1262" s="122"/>
      <c r="F1262" s="99"/>
    </row>
    <row r="1263" spans="2:6" x14ac:dyDescent="0.3">
      <c r="B1263" s="99"/>
      <c r="C1263" s="112"/>
      <c r="D1263" s="121"/>
      <c r="E1263" s="122"/>
      <c r="F1263" s="99"/>
    </row>
    <row r="1264" spans="2:6" x14ac:dyDescent="0.3">
      <c r="B1264" s="99"/>
      <c r="C1264" s="112"/>
      <c r="D1264" s="121"/>
      <c r="E1264" s="122"/>
      <c r="F1264" s="99"/>
    </row>
    <row r="1265" spans="2:6" x14ac:dyDescent="0.3">
      <c r="B1265" s="99"/>
      <c r="C1265" s="112"/>
      <c r="D1265" s="121"/>
      <c r="E1265" s="122"/>
      <c r="F1265" s="99"/>
    </row>
    <row r="1266" spans="2:6" x14ac:dyDescent="0.3">
      <c r="B1266" s="99"/>
      <c r="C1266" s="112"/>
      <c r="D1266" s="121"/>
      <c r="E1266" s="122"/>
      <c r="F1266" s="99"/>
    </row>
    <row r="1267" spans="2:6" x14ac:dyDescent="0.3">
      <c r="B1267" s="99"/>
      <c r="C1267" s="112"/>
      <c r="D1267" s="121"/>
      <c r="E1267" s="122"/>
      <c r="F1267" s="99"/>
    </row>
    <row r="1268" spans="2:6" x14ac:dyDescent="0.3">
      <c r="B1268" s="99"/>
      <c r="C1268" s="112"/>
      <c r="D1268" s="121"/>
      <c r="E1268" s="122"/>
      <c r="F1268" s="99"/>
    </row>
    <row r="1269" spans="2:6" x14ac:dyDescent="0.3">
      <c r="B1269" s="99"/>
      <c r="C1269" s="112"/>
      <c r="D1269" s="121"/>
      <c r="E1269" s="122"/>
      <c r="F1269" s="99"/>
    </row>
    <row r="1270" spans="2:6" x14ac:dyDescent="0.3">
      <c r="B1270" s="99"/>
      <c r="C1270" s="112"/>
      <c r="D1270" s="121"/>
      <c r="E1270" s="122"/>
      <c r="F1270" s="99"/>
    </row>
    <row r="1271" spans="2:6" x14ac:dyDescent="0.3">
      <c r="B1271" s="99"/>
      <c r="C1271" s="112"/>
      <c r="D1271" s="121"/>
      <c r="E1271" s="122"/>
      <c r="F1271" s="99"/>
    </row>
    <row r="1272" spans="2:6" x14ac:dyDescent="0.3">
      <c r="B1272" s="99"/>
      <c r="C1272" s="112"/>
      <c r="D1272" s="121"/>
      <c r="E1272" s="122"/>
      <c r="F1272" s="99"/>
    </row>
    <row r="1273" spans="2:6" x14ac:dyDescent="0.3">
      <c r="B1273" s="99"/>
      <c r="C1273" s="112"/>
      <c r="D1273" s="121"/>
      <c r="E1273" s="122"/>
      <c r="F1273" s="99"/>
    </row>
    <row r="1274" spans="2:6" x14ac:dyDescent="0.3">
      <c r="B1274" s="99"/>
      <c r="C1274" s="112"/>
      <c r="D1274" s="121"/>
      <c r="E1274" s="122"/>
      <c r="F1274" s="99"/>
    </row>
    <row r="1275" spans="2:6" x14ac:dyDescent="0.3">
      <c r="B1275" s="99"/>
      <c r="C1275" s="112"/>
      <c r="D1275" s="121"/>
      <c r="E1275" s="122"/>
      <c r="F1275" s="99"/>
    </row>
    <row r="1276" spans="2:6" x14ac:dyDescent="0.3">
      <c r="B1276" s="99"/>
      <c r="C1276" s="112"/>
      <c r="D1276" s="121"/>
      <c r="E1276" s="122"/>
      <c r="F1276" s="99"/>
    </row>
    <row r="1277" spans="2:6" x14ac:dyDescent="0.3">
      <c r="B1277" s="99"/>
      <c r="C1277" s="112"/>
      <c r="D1277" s="121"/>
      <c r="E1277" s="122"/>
      <c r="F1277" s="99"/>
    </row>
    <row r="1278" spans="2:6" x14ac:dyDescent="0.3">
      <c r="B1278" s="99"/>
      <c r="C1278" s="112"/>
      <c r="D1278" s="121"/>
      <c r="E1278" s="122"/>
      <c r="F1278" s="99"/>
    </row>
    <row r="1279" spans="2:6" x14ac:dyDescent="0.3">
      <c r="B1279" s="99"/>
      <c r="C1279" s="112"/>
      <c r="D1279" s="121"/>
      <c r="E1279" s="122"/>
      <c r="F1279" s="99"/>
    </row>
    <row r="1280" spans="2:6" x14ac:dyDescent="0.3">
      <c r="B1280" s="99"/>
      <c r="C1280" s="112"/>
      <c r="D1280" s="121"/>
      <c r="E1280" s="122"/>
      <c r="F1280" s="99"/>
    </row>
    <row r="1281" spans="2:6" x14ac:dyDescent="0.3">
      <c r="B1281" s="99"/>
      <c r="C1281" s="112"/>
      <c r="D1281" s="121"/>
      <c r="E1281" s="122"/>
      <c r="F1281" s="99"/>
    </row>
    <row r="1282" spans="2:6" x14ac:dyDescent="0.3">
      <c r="B1282" s="99"/>
      <c r="C1282" s="112"/>
      <c r="D1282" s="121"/>
      <c r="E1282" s="122"/>
      <c r="F1282" s="99"/>
    </row>
    <row r="1283" spans="2:6" x14ac:dyDescent="0.3">
      <c r="B1283" s="99"/>
      <c r="C1283" s="112"/>
      <c r="D1283" s="121"/>
      <c r="E1283" s="122"/>
      <c r="F1283" s="99"/>
    </row>
    <row r="1284" spans="2:6" x14ac:dyDescent="0.3">
      <c r="B1284" s="99"/>
      <c r="C1284" s="112"/>
      <c r="D1284" s="121"/>
      <c r="E1284" s="122"/>
      <c r="F1284" s="99"/>
    </row>
    <row r="1285" spans="2:6" x14ac:dyDescent="0.3">
      <c r="B1285" s="99"/>
      <c r="C1285" s="112"/>
      <c r="D1285" s="121"/>
      <c r="E1285" s="122"/>
      <c r="F1285" s="99"/>
    </row>
    <row r="1286" spans="2:6" x14ac:dyDescent="0.3">
      <c r="B1286" s="99"/>
      <c r="C1286" s="112"/>
      <c r="D1286" s="121"/>
      <c r="E1286" s="122"/>
      <c r="F1286" s="99"/>
    </row>
    <row r="1287" spans="2:6" x14ac:dyDescent="0.3">
      <c r="B1287" s="99"/>
      <c r="C1287" s="112"/>
      <c r="D1287" s="121"/>
      <c r="E1287" s="122"/>
      <c r="F1287" s="99"/>
    </row>
    <row r="1288" spans="2:6" x14ac:dyDescent="0.3">
      <c r="B1288" s="99"/>
      <c r="C1288" s="112"/>
      <c r="D1288" s="121"/>
      <c r="E1288" s="122"/>
      <c r="F1288" s="99"/>
    </row>
    <row r="1289" spans="2:6" x14ac:dyDescent="0.3">
      <c r="B1289" s="99"/>
      <c r="C1289" s="112"/>
      <c r="D1289" s="121"/>
      <c r="E1289" s="122"/>
      <c r="F1289" s="99"/>
    </row>
    <row r="1290" spans="2:6" x14ac:dyDescent="0.3">
      <c r="B1290" s="99"/>
      <c r="C1290" s="112"/>
      <c r="D1290" s="121"/>
      <c r="E1290" s="122"/>
      <c r="F1290" s="99"/>
    </row>
    <row r="1291" spans="2:6" x14ac:dyDescent="0.3">
      <c r="B1291" s="99"/>
      <c r="C1291" s="112"/>
      <c r="D1291" s="121"/>
      <c r="E1291" s="122"/>
      <c r="F1291" s="99"/>
    </row>
    <row r="1292" spans="2:6" x14ac:dyDescent="0.3">
      <c r="B1292" s="99"/>
      <c r="C1292" s="112"/>
      <c r="D1292" s="121"/>
      <c r="E1292" s="122"/>
      <c r="F1292" s="99"/>
    </row>
    <row r="1293" spans="2:6" x14ac:dyDescent="0.3">
      <c r="B1293" s="99"/>
      <c r="C1293" s="112"/>
      <c r="D1293" s="121"/>
      <c r="E1293" s="122"/>
      <c r="F1293" s="99"/>
    </row>
    <row r="1294" spans="2:6" x14ac:dyDescent="0.3">
      <c r="B1294" s="99"/>
      <c r="C1294" s="112"/>
      <c r="D1294" s="121"/>
      <c r="E1294" s="122"/>
      <c r="F1294" s="99"/>
    </row>
    <row r="1295" spans="2:6" x14ac:dyDescent="0.3">
      <c r="B1295" s="99"/>
      <c r="C1295" s="112"/>
      <c r="D1295" s="121"/>
      <c r="E1295" s="122"/>
      <c r="F1295" s="99"/>
    </row>
    <row r="1296" spans="2:6" x14ac:dyDescent="0.3">
      <c r="B1296" s="99"/>
      <c r="C1296" s="112"/>
      <c r="D1296" s="121"/>
      <c r="E1296" s="122"/>
      <c r="F1296" s="99"/>
    </row>
    <row r="1297" spans="2:6" x14ac:dyDescent="0.3">
      <c r="B1297" s="99"/>
      <c r="C1297" s="112"/>
      <c r="D1297" s="121"/>
      <c r="E1297" s="122"/>
      <c r="F1297" s="99"/>
    </row>
    <row r="1298" spans="2:6" x14ac:dyDescent="0.3">
      <c r="B1298" s="99"/>
      <c r="C1298" s="112"/>
      <c r="D1298" s="121"/>
      <c r="E1298" s="122"/>
      <c r="F1298" s="99"/>
    </row>
    <row r="1299" spans="2:6" x14ac:dyDescent="0.3">
      <c r="B1299" s="99"/>
      <c r="C1299" s="112"/>
      <c r="D1299" s="121"/>
      <c r="E1299" s="122"/>
      <c r="F1299" s="99"/>
    </row>
    <row r="1300" spans="2:6" x14ac:dyDescent="0.3">
      <c r="B1300" s="99"/>
      <c r="C1300" s="112"/>
      <c r="D1300" s="121"/>
      <c r="E1300" s="122"/>
      <c r="F1300" s="99"/>
    </row>
    <row r="1301" spans="2:6" x14ac:dyDescent="0.3">
      <c r="B1301" s="99"/>
      <c r="C1301" s="112"/>
      <c r="D1301" s="121"/>
      <c r="E1301" s="122"/>
      <c r="F1301" s="99"/>
    </row>
    <row r="1302" spans="2:6" x14ac:dyDescent="0.3">
      <c r="B1302" s="99"/>
      <c r="C1302" s="112"/>
      <c r="D1302" s="121"/>
      <c r="E1302" s="122"/>
      <c r="F1302" s="99"/>
    </row>
    <row r="1303" spans="2:6" x14ac:dyDescent="0.3">
      <c r="B1303" s="99"/>
      <c r="C1303" s="112"/>
      <c r="D1303" s="121"/>
      <c r="E1303" s="122"/>
      <c r="F1303" s="99"/>
    </row>
    <row r="1304" spans="2:6" x14ac:dyDescent="0.3">
      <c r="B1304" s="99"/>
      <c r="C1304" s="112"/>
      <c r="D1304" s="121"/>
      <c r="E1304" s="122"/>
      <c r="F1304" s="99"/>
    </row>
    <row r="1305" spans="2:6" x14ac:dyDescent="0.3">
      <c r="B1305" s="99"/>
      <c r="C1305" s="112"/>
      <c r="D1305" s="121"/>
      <c r="E1305" s="122"/>
      <c r="F1305" s="99"/>
    </row>
    <row r="1306" spans="2:6" x14ac:dyDescent="0.3">
      <c r="B1306" s="99"/>
      <c r="C1306" s="112"/>
      <c r="D1306" s="121"/>
      <c r="E1306" s="122"/>
      <c r="F1306" s="99"/>
    </row>
    <row r="1307" spans="2:6" x14ac:dyDescent="0.3">
      <c r="B1307" s="99"/>
      <c r="C1307" s="112"/>
      <c r="D1307" s="121"/>
      <c r="E1307" s="122"/>
      <c r="F1307" s="99"/>
    </row>
    <row r="1308" spans="2:6" x14ac:dyDescent="0.3">
      <c r="B1308" s="99"/>
      <c r="C1308" s="112"/>
      <c r="D1308" s="121"/>
      <c r="E1308" s="122"/>
      <c r="F1308" s="99"/>
    </row>
    <row r="1309" spans="2:6" x14ac:dyDescent="0.3">
      <c r="B1309" s="99"/>
      <c r="C1309" s="112"/>
      <c r="D1309" s="121"/>
      <c r="E1309" s="122"/>
      <c r="F1309" s="99"/>
    </row>
    <row r="1310" spans="2:6" x14ac:dyDescent="0.3">
      <c r="B1310" s="99"/>
      <c r="C1310" s="112"/>
      <c r="D1310" s="121"/>
      <c r="E1310" s="122"/>
      <c r="F1310" s="99"/>
    </row>
    <row r="1311" spans="2:6" x14ac:dyDescent="0.3">
      <c r="B1311" s="99"/>
      <c r="C1311" s="112"/>
      <c r="D1311" s="121"/>
      <c r="E1311" s="122"/>
      <c r="F1311" s="99"/>
    </row>
    <row r="1312" spans="2:6" x14ac:dyDescent="0.3">
      <c r="B1312" s="99"/>
      <c r="C1312" s="112"/>
      <c r="D1312" s="121"/>
      <c r="E1312" s="122"/>
      <c r="F1312" s="99"/>
    </row>
    <row r="1313" spans="2:6" x14ac:dyDescent="0.3">
      <c r="B1313" s="99"/>
      <c r="C1313" s="112"/>
      <c r="D1313" s="121"/>
      <c r="E1313" s="122"/>
      <c r="F1313" s="99"/>
    </row>
    <row r="1314" spans="2:6" x14ac:dyDescent="0.3">
      <c r="B1314" s="99"/>
      <c r="C1314" s="112"/>
      <c r="D1314" s="121"/>
      <c r="E1314" s="122"/>
      <c r="F1314" s="99"/>
    </row>
    <row r="1315" spans="2:6" x14ac:dyDescent="0.3">
      <c r="B1315" s="99"/>
      <c r="C1315" s="112"/>
      <c r="D1315" s="121"/>
      <c r="E1315" s="122"/>
      <c r="F1315" s="99"/>
    </row>
    <row r="1316" spans="2:6" x14ac:dyDescent="0.3">
      <c r="B1316" s="99"/>
      <c r="C1316" s="112"/>
      <c r="D1316" s="121"/>
      <c r="E1316" s="122"/>
      <c r="F1316" s="99"/>
    </row>
    <row r="1317" spans="2:6" x14ac:dyDescent="0.3">
      <c r="B1317" s="99"/>
      <c r="C1317" s="112"/>
      <c r="D1317" s="121"/>
      <c r="E1317" s="122"/>
      <c r="F1317" s="99"/>
    </row>
    <row r="1318" spans="2:6" x14ac:dyDescent="0.3">
      <c r="B1318" s="99"/>
      <c r="C1318" s="112"/>
      <c r="D1318" s="121"/>
      <c r="E1318" s="122"/>
      <c r="F1318" s="99"/>
    </row>
    <row r="1319" spans="2:6" x14ac:dyDescent="0.3">
      <c r="B1319" s="99"/>
      <c r="C1319" s="112"/>
      <c r="D1319" s="121"/>
      <c r="E1319" s="122"/>
      <c r="F1319" s="99"/>
    </row>
    <row r="1320" spans="2:6" x14ac:dyDescent="0.3">
      <c r="B1320" s="99"/>
      <c r="C1320" s="112"/>
      <c r="D1320" s="121"/>
      <c r="E1320" s="122"/>
      <c r="F1320" s="99"/>
    </row>
    <row r="1321" spans="2:6" x14ac:dyDescent="0.3">
      <c r="B1321" s="99"/>
      <c r="C1321" s="112"/>
      <c r="D1321" s="121"/>
      <c r="E1321" s="122"/>
      <c r="F1321" s="99"/>
    </row>
    <row r="1322" spans="2:6" x14ac:dyDescent="0.3">
      <c r="B1322" s="99"/>
      <c r="C1322" s="112"/>
      <c r="D1322" s="121"/>
      <c r="E1322" s="122"/>
      <c r="F1322" s="99"/>
    </row>
    <row r="1323" spans="2:6" x14ac:dyDescent="0.3">
      <c r="B1323" s="99"/>
      <c r="C1323" s="112"/>
      <c r="D1323" s="121"/>
      <c r="E1323" s="122"/>
      <c r="F1323" s="99"/>
    </row>
    <row r="1324" spans="2:6" x14ac:dyDescent="0.3">
      <c r="B1324" s="99"/>
      <c r="C1324" s="112"/>
      <c r="D1324" s="121"/>
      <c r="E1324" s="122"/>
      <c r="F1324" s="99"/>
    </row>
    <row r="1325" spans="2:6" x14ac:dyDescent="0.3">
      <c r="B1325" s="99"/>
      <c r="C1325" s="112"/>
      <c r="D1325" s="121"/>
      <c r="E1325" s="122"/>
      <c r="F1325" s="99"/>
    </row>
    <row r="1326" spans="2:6" x14ac:dyDescent="0.3">
      <c r="B1326" s="99"/>
      <c r="C1326" s="112"/>
      <c r="D1326" s="121"/>
      <c r="E1326" s="122"/>
      <c r="F1326" s="99"/>
    </row>
    <row r="1327" spans="2:6" x14ac:dyDescent="0.3">
      <c r="B1327" s="99"/>
      <c r="C1327" s="112"/>
      <c r="D1327" s="121"/>
      <c r="E1327" s="122"/>
      <c r="F1327" s="99"/>
    </row>
    <row r="1328" spans="2:6" x14ac:dyDescent="0.3">
      <c r="B1328" s="99"/>
      <c r="C1328" s="112"/>
      <c r="D1328" s="121"/>
      <c r="E1328" s="122"/>
      <c r="F1328" s="99"/>
    </row>
    <row r="1329" spans="2:6" x14ac:dyDescent="0.3">
      <c r="B1329" s="99"/>
      <c r="C1329" s="112"/>
      <c r="D1329" s="121"/>
      <c r="E1329" s="122"/>
      <c r="F1329" s="99"/>
    </row>
    <row r="1330" spans="2:6" x14ac:dyDescent="0.3">
      <c r="B1330" s="99"/>
      <c r="C1330" s="112"/>
      <c r="D1330" s="121"/>
      <c r="E1330" s="122"/>
      <c r="F1330" s="99"/>
    </row>
    <row r="1331" spans="2:6" x14ac:dyDescent="0.3">
      <c r="B1331" s="99"/>
      <c r="C1331" s="112"/>
      <c r="D1331" s="121"/>
      <c r="E1331" s="122"/>
      <c r="F1331" s="99"/>
    </row>
    <row r="1332" spans="2:6" x14ac:dyDescent="0.3">
      <c r="B1332" s="99"/>
      <c r="C1332" s="112"/>
      <c r="D1332" s="121"/>
      <c r="E1332" s="122"/>
      <c r="F1332" s="99"/>
    </row>
    <row r="1333" spans="2:6" x14ac:dyDescent="0.3">
      <c r="B1333" s="99"/>
      <c r="C1333" s="112"/>
      <c r="D1333" s="121"/>
      <c r="E1333" s="122"/>
      <c r="F1333" s="99"/>
    </row>
    <row r="1334" spans="2:6" x14ac:dyDescent="0.3">
      <c r="B1334" s="99"/>
      <c r="C1334" s="112"/>
      <c r="D1334" s="121"/>
      <c r="E1334" s="122"/>
      <c r="F1334" s="99"/>
    </row>
    <row r="1335" spans="2:6" x14ac:dyDescent="0.3">
      <c r="B1335" s="99"/>
      <c r="C1335" s="112"/>
      <c r="D1335" s="121"/>
      <c r="E1335" s="122"/>
      <c r="F1335" s="99"/>
    </row>
    <row r="1336" spans="2:6" x14ac:dyDescent="0.3">
      <c r="B1336" s="99"/>
      <c r="C1336" s="112"/>
      <c r="D1336" s="121"/>
      <c r="E1336" s="122"/>
      <c r="F1336" s="99"/>
    </row>
    <row r="1337" spans="2:6" x14ac:dyDescent="0.3">
      <c r="B1337" s="99"/>
      <c r="C1337" s="112"/>
      <c r="D1337" s="121"/>
      <c r="E1337" s="122"/>
      <c r="F1337" s="99"/>
    </row>
    <row r="1338" spans="2:6" x14ac:dyDescent="0.3">
      <c r="B1338" s="99"/>
      <c r="C1338" s="112"/>
      <c r="D1338" s="121"/>
      <c r="E1338" s="122"/>
      <c r="F1338" s="99"/>
    </row>
    <row r="1339" spans="2:6" x14ac:dyDescent="0.3">
      <c r="B1339" s="99"/>
      <c r="C1339" s="112"/>
      <c r="D1339" s="121"/>
      <c r="E1339" s="122"/>
      <c r="F1339" s="99"/>
    </row>
    <row r="1340" spans="2:6" x14ac:dyDescent="0.3">
      <c r="B1340" s="99"/>
      <c r="C1340" s="112"/>
      <c r="D1340" s="121"/>
      <c r="E1340" s="122"/>
      <c r="F1340" s="99"/>
    </row>
    <row r="1341" spans="2:6" x14ac:dyDescent="0.3">
      <c r="B1341" s="99"/>
      <c r="C1341" s="112"/>
      <c r="D1341" s="121"/>
      <c r="E1341" s="122"/>
      <c r="F1341" s="99"/>
    </row>
    <row r="1342" spans="2:6" x14ac:dyDescent="0.3">
      <c r="B1342" s="99"/>
      <c r="C1342" s="112"/>
      <c r="D1342" s="121"/>
      <c r="E1342" s="122"/>
      <c r="F1342" s="99"/>
    </row>
    <row r="1343" spans="2:6" x14ac:dyDescent="0.3">
      <c r="B1343" s="99"/>
      <c r="C1343" s="112"/>
      <c r="D1343" s="121"/>
      <c r="E1343" s="122"/>
      <c r="F1343" s="99"/>
    </row>
    <row r="1344" spans="2:6" x14ac:dyDescent="0.3">
      <c r="B1344" s="99"/>
      <c r="C1344" s="112"/>
      <c r="D1344" s="121"/>
      <c r="E1344" s="122"/>
      <c r="F1344" s="99"/>
    </row>
    <row r="1345" spans="2:6" x14ac:dyDescent="0.3">
      <c r="B1345" s="99"/>
      <c r="C1345" s="112"/>
      <c r="D1345" s="121"/>
      <c r="E1345" s="122"/>
      <c r="F1345" s="99"/>
    </row>
    <row r="1346" spans="2:6" x14ac:dyDescent="0.3">
      <c r="B1346" s="99"/>
      <c r="C1346" s="112"/>
      <c r="D1346" s="121"/>
      <c r="E1346" s="122"/>
      <c r="F1346" s="99"/>
    </row>
    <row r="1347" spans="2:6" x14ac:dyDescent="0.3">
      <c r="B1347" s="99"/>
      <c r="C1347" s="112"/>
      <c r="D1347" s="121"/>
      <c r="E1347" s="122"/>
      <c r="F1347" s="99"/>
    </row>
    <row r="1348" spans="2:6" x14ac:dyDescent="0.3">
      <c r="B1348" s="99"/>
      <c r="C1348" s="112"/>
      <c r="D1348" s="121"/>
      <c r="E1348" s="122"/>
      <c r="F1348" s="99"/>
    </row>
    <row r="1349" spans="2:6" x14ac:dyDescent="0.3">
      <c r="B1349" s="99"/>
      <c r="C1349" s="112"/>
      <c r="D1349" s="121"/>
      <c r="E1349" s="122"/>
      <c r="F1349" s="99"/>
    </row>
    <row r="1350" spans="2:6" x14ac:dyDescent="0.3">
      <c r="B1350" s="99"/>
      <c r="C1350" s="112"/>
      <c r="D1350" s="121"/>
      <c r="E1350" s="122"/>
      <c r="F1350" s="99"/>
    </row>
    <row r="1351" spans="2:6" x14ac:dyDescent="0.3">
      <c r="B1351" s="99"/>
      <c r="C1351" s="112"/>
      <c r="D1351" s="121"/>
      <c r="E1351" s="122"/>
      <c r="F1351" s="99"/>
    </row>
    <row r="1352" spans="2:6" x14ac:dyDescent="0.3">
      <c r="B1352" s="99"/>
      <c r="C1352" s="112"/>
      <c r="D1352" s="121"/>
      <c r="E1352" s="122"/>
      <c r="F1352" s="99"/>
    </row>
    <row r="1353" spans="2:6" x14ac:dyDescent="0.3">
      <c r="B1353" s="99"/>
      <c r="C1353" s="112"/>
      <c r="D1353" s="121"/>
      <c r="E1353" s="122"/>
      <c r="F1353" s="99"/>
    </row>
    <row r="1354" spans="2:6" x14ac:dyDescent="0.3">
      <c r="B1354" s="99"/>
      <c r="C1354" s="112"/>
      <c r="D1354" s="121"/>
      <c r="E1354" s="122"/>
      <c r="F1354" s="99"/>
    </row>
    <row r="1355" spans="2:6" x14ac:dyDescent="0.3">
      <c r="B1355" s="99"/>
      <c r="C1355" s="112"/>
      <c r="D1355" s="121"/>
      <c r="E1355" s="122"/>
      <c r="F1355" s="99"/>
    </row>
    <row r="1356" spans="2:6" x14ac:dyDescent="0.3">
      <c r="B1356" s="99"/>
      <c r="C1356" s="112"/>
      <c r="D1356" s="121"/>
      <c r="E1356" s="122"/>
      <c r="F1356" s="99"/>
    </row>
    <row r="1357" spans="2:6" x14ac:dyDescent="0.3">
      <c r="B1357" s="99"/>
      <c r="C1357" s="112"/>
      <c r="D1357" s="121"/>
      <c r="E1357" s="122"/>
      <c r="F1357" s="99"/>
    </row>
    <row r="1358" spans="2:6" x14ac:dyDescent="0.3">
      <c r="B1358" s="99"/>
      <c r="C1358" s="112"/>
      <c r="D1358" s="121"/>
      <c r="E1358" s="122"/>
      <c r="F1358" s="99"/>
    </row>
    <row r="1359" spans="2:6" x14ac:dyDescent="0.3">
      <c r="B1359" s="99"/>
      <c r="C1359" s="112"/>
      <c r="D1359" s="121"/>
      <c r="E1359" s="122"/>
      <c r="F1359" s="99"/>
    </row>
    <row r="1360" spans="2:6" x14ac:dyDescent="0.3">
      <c r="B1360" s="99"/>
      <c r="C1360" s="112"/>
      <c r="D1360" s="121"/>
      <c r="E1360" s="122"/>
      <c r="F1360" s="99"/>
    </row>
    <row r="1361" spans="2:6" x14ac:dyDescent="0.3">
      <c r="B1361" s="99"/>
      <c r="C1361" s="112"/>
      <c r="D1361" s="121"/>
      <c r="E1361" s="122"/>
      <c r="F1361" s="99"/>
    </row>
    <row r="1362" spans="2:6" x14ac:dyDescent="0.3">
      <c r="B1362" s="99"/>
      <c r="C1362" s="112"/>
      <c r="D1362" s="121"/>
      <c r="E1362" s="122"/>
      <c r="F1362" s="99"/>
    </row>
    <row r="1363" spans="2:6" x14ac:dyDescent="0.3">
      <c r="B1363" s="99"/>
      <c r="C1363" s="112"/>
      <c r="D1363" s="121"/>
      <c r="E1363" s="122"/>
      <c r="F1363" s="99"/>
    </row>
    <row r="1364" spans="2:6" x14ac:dyDescent="0.3">
      <c r="B1364" s="99"/>
      <c r="C1364" s="112"/>
      <c r="D1364" s="121"/>
      <c r="E1364" s="122"/>
      <c r="F1364" s="99"/>
    </row>
    <row r="1365" spans="2:6" x14ac:dyDescent="0.3">
      <c r="B1365" s="99"/>
      <c r="C1365" s="112"/>
      <c r="D1365" s="121"/>
      <c r="E1365" s="122"/>
      <c r="F1365" s="99"/>
    </row>
    <row r="1366" spans="2:6" x14ac:dyDescent="0.3">
      <c r="B1366" s="99"/>
      <c r="C1366" s="112"/>
      <c r="D1366" s="121"/>
      <c r="E1366" s="122"/>
      <c r="F1366" s="99"/>
    </row>
    <row r="1367" spans="2:6" x14ac:dyDescent="0.3">
      <c r="B1367" s="99"/>
      <c r="C1367" s="112"/>
      <c r="D1367" s="121"/>
      <c r="E1367" s="122"/>
      <c r="F1367" s="99"/>
    </row>
    <row r="1368" spans="2:6" x14ac:dyDescent="0.3">
      <c r="B1368" s="99"/>
      <c r="C1368" s="112"/>
      <c r="D1368" s="121"/>
      <c r="E1368" s="122"/>
      <c r="F1368" s="99"/>
    </row>
    <row r="1369" spans="2:6" x14ac:dyDescent="0.3">
      <c r="B1369" s="99"/>
      <c r="C1369" s="112"/>
      <c r="D1369" s="121"/>
      <c r="E1369" s="122"/>
      <c r="F1369" s="99"/>
    </row>
    <row r="1370" spans="2:6" x14ac:dyDescent="0.3">
      <c r="B1370" s="99"/>
      <c r="C1370" s="112"/>
      <c r="D1370" s="121"/>
      <c r="E1370" s="122"/>
      <c r="F1370" s="99"/>
    </row>
    <row r="1371" spans="2:6" x14ac:dyDescent="0.3">
      <c r="B1371" s="99"/>
      <c r="C1371" s="112"/>
      <c r="D1371" s="121"/>
      <c r="E1371" s="122"/>
      <c r="F1371" s="99"/>
    </row>
    <row r="1372" spans="2:6" x14ac:dyDescent="0.3">
      <c r="B1372" s="99"/>
      <c r="C1372" s="112"/>
      <c r="D1372" s="121"/>
      <c r="E1372" s="122"/>
      <c r="F1372" s="99"/>
    </row>
    <row r="1373" spans="2:6" x14ac:dyDescent="0.3">
      <c r="B1373" s="99"/>
      <c r="C1373" s="112"/>
      <c r="D1373" s="121"/>
      <c r="E1373" s="122"/>
      <c r="F1373" s="99"/>
    </row>
    <row r="1374" spans="2:6" x14ac:dyDescent="0.3">
      <c r="B1374" s="99"/>
      <c r="C1374" s="112"/>
      <c r="D1374" s="121"/>
      <c r="E1374" s="122"/>
      <c r="F1374" s="99"/>
    </row>
    <row r="1375" spans="2:6" x14ac:dyDescent="0.3">
      <c r="B1375" s="99"/>
      <c r="C1375" s="112"/>
      <c r="D1375" s="121"/>
      <c r="E1375" s="122"/>
      <c r="F1375" s="99"/>
    </row>
    <row r="1376" spans="2:6" x14ac:dyDescent="0.3">
      <c r="B1376" s="99"/>
      <c r="C1376" s="112"/>
      <c r="D1376" s="121"/>
      <c r="E1376" s="122"/>
      <c r="F1376" s="99"/>
    </row>
    <row r="1377" spans="2:6" x14ac:dyDescent="0.3">
      <c r="B1377" s="99"/>
      <c r="C1377" s="112"/>
      <c r="D1377" s="121"/>
      <c r="E1377" s="122"/>
      <c r="F1377" s="99"/>
    </row>
    <row r="1378" spans="2:6" x14ac:dyDescent="0.3">
      <c r="B1378" s="99"/>
      <c r="C1378" s="112"/>
      <c r="D1378" s="121"/>
      <c r="E1378" s="122"/>
      <c r="F1378" s="99"/>
    </row>
    <row r="1379" spans="2:6" x14ac:dyDescent="0.3">
      <c r="B1379" s="99"/>
      <c r="C1379" s="112"/>
      <c r="D1379" s="121"/>
      <c r="E1379" s="122"/>
      <c r="F1379" s="99"/>
    </row>
    <row r="1380" spans="2:6" x14ac:dyDescent="0.3">
      <c r="B1380" s="99"/>
      <c r="C1380" s="112"/>
      <c r="D1380" s="121"/>
      <c r="E1380" s="122"/>
      <c r="F1380" s="99"/>
    </row>
    <row r="1381" spans="2:6" x14ac:dyDescent="0.3">
      <c r="B1381" s="99"/>
      <c r="C1381" s="112"/>
      <c r="D1381" s="121"/>
      <c r="E1381" s="122"/>
      <c r="F1381" s="99"/>
    </row>
    <row r="1382" spans="2:6" x14ac:dyDescent="0.3">
      <c r="B1382" s="99"/>
      <c r="C1382" s="112"/>
      <c r="D1382" s="121"/>
      <c r="E1382" s="122"/>
      <c r="F1382" s="99"/>
    </row>
    <row r="1383" spans="2:6" x14ac:dyDescent="0.3">
      <c r="B1383" s="99"/>
      <c r="C1383" s="112"/>
      <c r="D1383" s="121"/>
      <c r="E1383" s="122"/>
      <c r="F1383" s="99"/>
    </row>
    <row r="1384" spans="2:6" x14ac:dyDescent="0.3">
      <c r="B1384" s="99"/>
      <c r="C1384" s="112"/>
      <c r="D1384" s="121"/>
      <c r="E1384" s="122"/>
      <c r="F1384" s="99"/>
    </row>
    <row r="1385" spans="2:6" x14ac:dyDescent="0.3">
      <c r="B1385" s="99"/>
      <c r="C1385" s="112"/>
      <c r="D1385" s="121"/>
      <c r="E1385" s="122"/>
      <c r="F1385" s="99"/>
    </row>
    <row r="1386" spans="2:6" x14ac:dyDescent="0.3">
      <c r="B1386" s="99"/>
      <c r="C1386" s="112"/>
      <c r="D1386" s="121"/>
      <c r="E1386" s="122"/>
      <c r="F1386" s="99"/>
    </row>
    <row r="1387" spans="2:6" x14ac:dyDescent="0.3">
      <c r="B1387" s="99"/>
      <c r="C1387" s="112"/>
      <c r="D1387" s="121"/>
      <c r="E1387" s="122"/>
      <c r="F1387" s="99"/>
    </row>
    <row r="1388" spans="2:6" x14ac:dyDescent="0.3">
      <c r="B1388" s="99"/>
      <c r="C1388" s="112"/>
      <c r="D1388" s="121"/>
      <c r="E1388" s="122"/>
      <c r="F1388" s="99"/>
    </row>
    <row r="1389" spans="2:6" x14ac:dyDescent="0.3">
      <c r="B1389" s="99"/>
      <c r="C1389" s="112"/>
      <c r="D1389" s="121"/>
      <c r="E1389" s="122"/>
      <c r="F1389" s="99"/>
    </row>
    <row r="1390" spans="2:6" x14ac:dyDescent="0.3">
      <c r="B1390" s="99"/>
      <c r="C1390" s="112"/>
      <c r="D1390" s="121"/>
      <c r="E1390" s="122"/>
      <c r="F1390" s="99"/>
    </row>
    <row r="1391" spans="2:6" x14ac:dyDescent="0.3">
      <c r="B1391" s="99"/>
      <c r="C1391" s="112"/>
      <c r="D1391" s="121"/>
      <c r="E1391" s="122"/>
      <c r="F1391" s="99"/>
    </row>
    <row r="1392" spans="2:6" x14ac:dyDescent="0.3">
      <c r="B1392" s="99"/>
      <c r="C1392" s="112"/>
      <c r="D1392" s="121"/>
      <c r="E1392" s="122"/>
      <c r="F1392" s="99"/>
    </row>
    <row r="1393" spans="2:6" x14ac:dyDescent="0.3">
      <c r="B1393" s="99"/>
      <c r="C1393" s="112"/>
      <c r="D1393" s="121"/>
      <c r="E1393" s="122"/>
      <c r="F1393" s="99"/>
    </row>
    <row r="1394" spans="2:6" x14ac:dyDescent="0.3">
      <c r="B1394" s="99"/>
      <c r="C1394" s="112"/>
      <c r="D1394" s="121"/>
      <c r="E1394" s="122"/>
      <c r="F1394" s="99"/>
    </row>
    <row r="1395" spans="2:6" x14ac:dyDescent="0.3">
      <c r="B1395" s="99"/>
      <c r="C1395" s="112"/>
      <c r="D1395" s="121"/>
      <c r="E1395" s="122"/>
      <c r="F1395" s="99"/>
    </row>
    <row r="1396" spans="2:6" x14ac:dyDescent="0.3">
      <c r="B1396" s="99"/>
      <c r="C1396" s="112"/>
      <c r="D1396" s="121"/>
      <c r="E1396" s="122"/>
      <c r="F1396" s="99"/>
    </row>
    <row r="1397" spans="2:6" x14ac:dyDescent="0.3">
      <c r="B1397" s="99"/>
      <c r="C1397" s="112"/>
      <c r="D1397" s="121"/>
      <c r="E1397" s="122"/>
      <c r="F1397" s="99"/>
    </row>
    <row r="1398" spans="2:6" x14ac:dyDescent="0.3">
      <c r="B1398" s="99"/>
      <c r="C1398" s="112"/>
      <c r="D1398" s="121"/>
      <c r="E1398" s="122"/>
      <c r="F1398" s="99"/>
    </row>
    <row r="1399" spans="2:6" x14ac:dyDescent="0.3">
      <c r="B1399" s="99"/>
      <c r="C1399" s="112"/>
      <c r="D1399" s="121"/>
      <c r="E1399" s="122"/>
      <c r="F1399" s="99"/>
    </row>
    <row r="1400" spans="2:6" x14ac:dyDescent="0.3">
      <c r="B1400" s="99"/>
      <c r="C1400" s="112"/>
      <c r="D1400" s="121"/>
      <c r="E1400" s="122"/>
      <c r="F1400" s="99"/>
    </row>
    <row r="1401" spans="2:6" x14ac:dyDescent="0.3">
      <c r="B1401" s="99"/>
      <c r="C1401" s="112"/>
      <c r="D1401" s="121"/>
      <c r="E1401" s="122"/>
      <c r="F1401" s="99"/>
    </row>
    <row r="1402" spans="2:6" x14ac:dyDescent="0.3">
      <c r="B1402" s="99"/>
      <c r="C1402" s="112"/>
      <c r="D1402" s="121"/>
      <c r="E1402" s="122"/>
      <c r="F1402" s="99"/>
    </row>
    <row r="1403" spans="2:6" x14ac:dyDescent="0.3">
      <c r="B1403" s="99"/>
      <c r="C1403" s="112"/>
      <c r="D1403" s="121"/>
      <c r="E1403" s="122"/>
      <c r="F1403" s="99"/>
    </row>
    <row r="1404" spans="2:6" x14ac:dyDescent="0.3">
      <c r="B1404" s="99"/>
      <c r="C1404" s="112"/>
      <c r="D1404" s="121"/>
      <c r="E1404" s="122"/>
      <c r="F1404" s="99"/>
    </row>
    <row r="1405" spans="2:6" x14ac:dyDescent="0.3">
      <c r="B1405" s="99"/>
      <c r="C1405" s="112"/>
      <c r="D1405" s="121"/>
      <c r="E1405" s="122"/>
      <c r="F1405" s="99"/>
    </row>
    <row r="1406" spans="2:6" x14ac:dyDescent="0.3">
      <c r="B1406" s="99"/>
      <c r="C1406" s="112"/>
      <c r="D1406" s="121"/>
      <c r="E1406" s="122"/>
      <c r="F1406" s="99"/>
    </row>
    <row r="1407" spans="2:6" x14ac:dyDescent="0.3">
      <c r="B1407" s="99"/>
      <c r="C1407" s="112"/>
      <c r="D1407" s="121"/>
      <c r="E1407" s="122"/>
      <c r="F1407" s="99"/>
    </row>
    <row r="1408" spans="2:6" x14ac:dyDescent="0.3">
      <c r="B1408" s="99"/>
      <c r="C1408" s="112"/>
      <c r="D1408" s="121"/>
      <c r="E1408" s="122"/>
      <c r="F1408" s="99"/>
    </row>
    <row r="1409" spans="2:6" x14ac:dyDescent="0.3">
      <c r="B1409" s="99"/>
      <c r="C1409" s="112"/>
      <c r="D1409" s="121"/>
      <c r="E1409" s="122"/>
      <c r="F1409" s="99"/>
    </row>
    <row r="1410" spans="2:6" x14ac:dyDescent="0.3">
      <c r="B1410" s="99"/>
      <c r="C1410" s="112"/>
      <c r="D1410" s="121"/>
      <c r="E1410" s="122"/>
      <c r="F1410" s="99"/>
    </row>
    <row r="1411" spans="2:6" x14ac:dyDescent="0.3">
      <c r="B1411" s="99"/>
      <c r="C1411" s="112"/>
      <c r="D1411" s="121"/>
      <c r="E1411" s="122"/>
      <c r="F1411" s="99"/>
    </row>
    <row r="1412" spans="2:6" x14ac:dyDescent="0.3">
      <c r="B1412" s="99"/>
      <c r="C1412" s="112"/>
      <c r="D1412" s="121"/>
      <c r="E1412" s="122"/>
      <c r="F1412" s="99"/>
    </row>
    <row r="1413" spans="2:6" x14ac:dyDescent="0.3">
      <c r="B1413" s="99"/>
      <c r="C1413" s="112"/>
      <c r="D1413" s="121"/>
      <c r="E1413" s="122"/>
      <c r="F1413" s="99"/>
    </row>
    <row r="1414" spans="2:6" x14ac:dyDescent="0.3">
      <c r="B1414" s="99"/>
      <c r="C1414" s="112"/>
      <c r="D1414" s="121"/>
      <c r="E1414" s="122"/>
      <c r="F1414" s="99"/>
    </row>
    <row r="1415" spans="2:6" x14ac:dyDescent="0.3">
      <c r="B1415" s="99"/>
      <c r="C1415" s="112"/>
      <c r="D1415" s="121"/>
      <c r="E1415" s="122"/>
      <c r="F1415" s="99"/>
    </row>
    <row r="1416" spans="2:6" x14ac:dyDescent="0.3">
      <c r="B1416" s="99"/>
      <c r="C1416" s="112"/>
      <c r="D1416" s="121"/>
      <c r="E1416" s="122"/>
      <c r="F1416" s="99"/>
    </row>
    <row r="1417" spans="2:6" x14ac:dyDescent="0.3">
      <c r="B1417" s="99"/>
      <c r="C1417" s="112"/>
      <c r="D1417" s="121"/>
      <c r="E1417" s="122"/>
      <c r="F1417" s="99"/>
    </row>
    <row r="1418" spans="2:6" x14ac:dyDescent="0.3">
      <c r="B1418" s="99"/>
      <c r="C1418" s="112"/>
      <c r="D1418" s="121"/>
      <c r="E1418" s="122"/>
      <c r="F1418" s="99"/>
    </row>
    <row r="1419" spans="2:6" x14ac:dyDescent="0.3">
      <c r="B1419" s="99"/>
      <c r="C1419" s="112"/>
      <c r="D1419" s="121"/>
      <c r="E1419" s="122"/>
      <c r="F1419" s="99"/>
    </row>
    <row r="1420" spans="2:6" x14ac:dyDescent="0.3">
      <c r="B1420" s="99"/>
      <c r="C1420" s="112"/>
      <c r="D1420" s="121"/>
      <c r="E1420" s="122"/>
      <c r="F1420" s="99"/>
    </row>
    <row r="1421" spans="2:6" x14ac:dyDescent="0.3">
      <c r="B1421" s="99"/>
      <c r="C1421" s="112"/>
      <c r="D1421" s="121"/>
      <c r="E1421" s="122"/>
      <c r="F1421" s="99"/>
    </row>
    <row r="1422" spans="2:6" x14ac:dyDescent="0.3">
      <c r="B1422" s="99"/>
      <c r="C1422" s="112"/>
      <c r="D1422" s="121"/>
      <c r="E1422" s="122"/>
      <c r="F1422" s="99"/>
    </row>
    <row r="1423" spans="2:6" x14ac:dyDescent="0.3">
      <c r="B1423" s="99"/>
      <c r="C1423" s="112"/>
      <c r="D1423" s="121"/>
      <c r="E1423" s="122"/>
      <c r="F1423" s="99"/>
    </row>
    <row r="1424" spans="2:6" x14ac:dyDescent="0.3">
      <c r="B1424" s="99"/>
      <c r="C1424" s="112"/>
      <c r="D1424" s="121"/>
      <c r="E1424" s="122"/>
      <c r="F1424" s="99"/>
    </row>
    <row r="1425" spans="2:6" x14ac:dyDescent="0.3">
      <c r="B1425" s="99"/>
      <c r="C1425" s="112"/>
      <c r="D1425" s="121"/>
      <c r="E1425" s="122"/>
      <c r="F1425" s="99"/>
    </row>
    <row r="1426" spans="2:6" x14ac:dyDescent="0.3">
      <c r="B1426" s="99"/>
      <c r="C1426" s="112"/>
      <c r="D1426" s="121"/>
      <c r="E1426" s="122"/>
      <c r="F1426" s="99"/>
    </row>
    <row r="1427" spans="2:6" x14ac:dyDescent="0.3">
      <c r="B1427" s="99"/>
      <c r="C1427" s="112"/>
      <c r="D1427" s="121"/>
      <c r="E1427" s="122"/>
      <c r="F1427" s="99"/>
    </row>
    <row r="1428" spans="2:6" x14ac:dyDescent="0.3">
      <c r="B1428" s="99"/>
      <c r="C1428" s="112"/>
      <c r="D1428" s="121"/>
      <c r="E1428" s="122"/>
      <c r="F1428" s="99"/>
    </row>
    <row r="1429" spans="2:6" x14ac:dyDescent="0.3">
      <c r="B1429" s="99"/>
      <c r="C1429" s="112"/>
      <c r="D1429" s="121"/>
      <c r="E1429" s="122"/>
      <c r="F1429" s="99"/>
    </row>
    <row r="1430" spans="2:6" x14ac:dyDescent="0.3">
      <c r="B1430" s="99"/>
      <c r="C1430" s="112"/>
      <c r="D1430" s="121"/>
      <c r="E1430" s="122"/>
      <c r="F1430" s="99"/>
    </row>
    <row r="1431" spans="2:6" x14ac:dyDescent="0.3">
      <c r="B1431" s="99"/>
      <c r="C1431" s="112"/>
      <c r="D1431" s="121"/>
      <c r="E1431" s="122"/>
      <c r="F1431" s="99"/>
    </row>
    <row r="1432" spans="2:6" x14ac:dyDescent="0.3">
      <c r="B1432" s="99"/>
      <c r="C1432" s="112"/>
      <c r="D1432" s="121"/>
      <c r="E1432" s="122"/>
      <c r="F1432" s="99"/>
    </row>
    <row r="1433" spans="2:6" x14ac:dyDescent="0.3">
      <c r="B1433" s="99"/>
      <c r="C1433" s="112"/>
      <c r="D1433" s="121"/>
      <c r="E1433" s="122"/>
      <c r="F1433" s="99"/>
    </row>
    <row r="1434" spans="2:6" x14ac:dyDescent="0.3">
      <c r="B1434" s="99"/>
      <c r="C1434" s="112"/>
      <c r="D1434" s="121"/>
      <c r="E1434" s="122"/>
      <c r="F1434" s="99"/>
    </row>
    <row r="1435" spans="2:6" x14ac:dyDescent="0.3">
      <c r="B1435" s="99"/>
      <c r="C1435" s="112"/>
      <c r="D1435" s="121"/>
      <c r="E1435" s="122"/>
      <c r="F1435" s="99"/>
    </row>
    <row r="1436" spans="2:6" x14ac:dyDescent="0.3">
      <c r="B1436" s="99"/>
      <c r="C1436" s="112"/>
      <c r="D1436" s="121"/>
      <c r="E1436" s="122"/>
      <c r="F1436" s="99"/>
    </row>
    <row r="1437" spans="2:6" x14ac:dyDescent="0.3">
      <c r="B1437" s="99"/>
      <c r="C1437" s="112"/>
      <c r="D1437" s="121"/>
      <c r="E1437" s="122"/>
      <c r="F1437" s="99"/>
    </row>
    <row r="1438" spans="2:6" x14ac:dyDescent="0.3">
      <c r="B1438" s="99"/>
      <c r="C1438" s="112"/>
      <c r="D1438" s="121"/>
      <c r="E1438" s="122"/>
      <c r="F1438" s="99"/>
    </row>
    <row r="1439" spans="2:6" x14ac:dyDescent="0.3">
      <c r="B1439" s="99"/>
      <c r="C1439" s="112"/>
      <c r="D1439" s="121"/>
      <c r="E1439" s="122"/>
      <c r="F1439" s="99"/>
    </row>
    <row r="1440" spans="2:6" x14ac:dyDescent="0.3">
      <c r="B1440" s="99"/>
      <c r="C1440" s="112"/>
      <c r="D1440" s="121"/>
      <c r="E1440" s="122"/>
      <c r="F1440" s="99"/>
    </row>
    <row r="1441" spans="2:6" x14ac:dyDescent="0.3">
      <c r="B1441" s="99"/>
      <c r="C1441" s="112"/>
      <c r="D1441" s="121"/>
      <c r="E1441" s="122"/>
      <c r="F1441" s="99"/>
    </row>
    <row r="1442" spans="2:6" x14ac:dyDescent="0.3">
      <c r="B1442" s="99"/>
      <c r="C1442" s="112"/>
      <c r="D1442" s="121"/>
      <c r="E1442" s="122"/>
      <c r="F1442" s="99"/>
    </row>
    <row r="1443" spans="2:6" x14ac:dyDescent="0.3">
      <c r="B1443" s="99"/>
      <c r="C1443" s="112"/>
      <c r="D1443" s="121"/>
      <c r="E1443" s="122"/>
      <c r="F1443" s="99"/>
    </row>
    <row r="1444" spans="2:6" x14ac:dyDescent="0.3">
      <c r="B1444" s="99"/>
      <c r="C1444" s="112"/>
      <c r="D1444" s="121"/>
      <c r="E1444" s="122"/>
      <c r="F1444" s="99"/>
    </row>
    <row r="1445" spans="2:6" x14ac:dyDescent="0.3">
      <c r="B1445" s="99"/>
      <c r="C1445" s="112"/>
      <c r="D1445" s="121"/>
      <c r="E1445" s="122"/>
      <c r="F1445" s="99"/>
    </row>
    <row r="1446" spans="2:6" x14ac:dyDescent="0.3">
      <c r="B1446" s="99"/>
      <c r="C1446" s="112"/>
      <c r="D1446" s="121"/>
      <c r="E1446" s="122"/>
      <c r="F1446" s="99"/>
    </row>
    <row r="1447" spans="2:6" x14ac:dyDescent="0.3">
      <c r="B1447" s="99"/>
      <c r="C1447" s="112"/>
      <c r="D1447" s="121"/>
      <c r="E1447" s="122"/>
      <c r="F1447" s="99"/>
    </row>
    <row r="1448" spans="2:6" x14ac:dyDescent="0.3">
      <c r="B1448" s="99"/>
      <c r="C1448" s="112"/>
      <c r="D1448" s="121"/>
      <c r="E1448" s="122"/>
      <c r="F1448" s="99"/>
    </row>
    <row r="1449" spans="2:6" x14ac:dyDescent="0.3">
      <c r="B1449" s="99"/>
      <c r="C1449" s="112"/>
      <c r="D1449" s="121"/>
      <c r="E1449" s="122"/>
      <c r="F1449" s="99"/>
    </row>
    <row r="1450" spans="2:6" x14ac:dyDescent="0.3">
      <c r="B1450" s="99"/>
      <c r="C1450" s="112"/>
      <c r="D1450" s="121"/>
      <c r="E1450" s="122"/>
      <c r="F1450" s="99"/>
    </row>
    <row r="1451" spans="2:6" x14ac:dyDescent="0.3">
      <c r="B1451" s="99"/>
      <c r="C1451" s="112"/>
      <c r="D1451" s="121"/>
      <c r="E1451" s="122"/>
      <c r="F1451" s="99"/>
    </row>
    <row r="1452" spans="2:6" x14ac:dyDescent="0.3">
      <c r="B1452" s="99"/>
      <c r="C1452" s="112"/>
      <c r="D1452" s="121"/>
      <c r="E1452" s="122"/>
      <c r="F1452" s="99"/>
    </row>
    <row r="1453" spans="2:6" x14ac:dyDescent="0.3">
      <c r="B1453" s="99"/>
      <c r="C1453" s="112"/>
      <c r="D1453" s="121"/>
      <c r="E1453" s="122"/>
      <c r="F1453" s="99"/>
    </row>
    <row r="1454" spans="2:6" x14ac:dyDescent="0.3">
      <c r="B1454" s="99"/>
      <c r="C1454" s="112"/>
      <c r="D1454" s="121"/>
      <c r="E1454" s="122"/>
      <c r="F1454" s="99"/>
    </row>
    <row r="1455" spans="2:6" x14ac:dyDescent="0.3">
      <c r="B1455" s="99"/>
      <c r="C1455" s="112"/>
      <c r="D1455" s="121"/>
      <c r="E1455" s="122"/>
      <c r="F1455" s="99"/>
    </row>
    <row r="1456" spans="2:6" x14ac:dyDescent="0.3">
      <c r="B1456" s="99"/>
      <c r="C1456" s="112"/>
      <c r="D1456" s="121"/>
      <c r="E1456" s="122"/>
      <c r="F1456" s="99"/>
    </row>
    <row r="1457" spans="2:6" x14ac:dyDescent="0.3">
      <c r="B1457" s="99"/>
      <c r="C1457" s="112"/>
      <c r="D1457" s="121"/>
      <c r="E1457" s="122"/>
      <c r="F1457" s="99"/>
    </row>
    <row r="1458" spans="2:6" x14ac:dyDescent="0.3">
      <c r="B1458" s="99"/>
      <c r="C1458" s="112"/>
      <c r="D1458" s="121"/>
      <c r="E1458" s="122"/>
      <c r="F1458" s="99"/>
    </row>
    <row r="1459" spans="2:6" x14ac:dyDescent="0.3">
      <c r="B1459" s="99"/>
      <c r="C1459" s="112"/>
      <c r="D1459" s="121"/>
      <c r="E1459" s="122"/>
      <c r="F1459" s="99"/>
    </row>
    <row r="1460" spans="2:6" x14ac:dyDescent="0.3">
      <c r="B1460" s="99"/>
      <c r="C1460" s="112"/>
      <c r="D1460" s="121"/>
      <c r="E1460" s="122"/>
      <c r="F1460" s="99"/>
    </row>
    <row r="1461" spans="2:6" x14ac:dyDescent="0.3">
      <c r="B1461" s="99"/>
      <c r="C1461" s="112"/>
      <c r="D1461" s="121"/>
      <c r="E1461" s="122"/>
      <c r="F1461" s="99"/>
    </row>
    <row r="1462" spans="2:6" x14ac:dyDescent="0.3">
      <c r="B1462" s="99"/>
      <c r="C1462" s="112"/>
      <c r="D1462" s="121"/>
      <c r="E1462" s="122"/>
      <c r="F1462" s="99"/>
    </row>
    <row r="1463" spans="2:6" x14ac:dyDescent="0.3">
      <c r="B1463" s="99"/>
      <c r="C1463" s="112"/>
      <c r="D1463" s="121"/>
      <c r="E1463" s="122"/>
      <c r="F1463" s="99"/>
    </row>
    <row r="1464" spans="2:6" x14ac:dyDescent="0.3">
      <c r="B1464" s="99"/>
      <c r="C1464" s="112"/>
      <c r="D1464" s="121"/>
      <c r="E1464" s="122"/>
      <c r="F1464" s="99"/>
    </row>
    <row r="1465" spans="2:6" x14ac:dyDescent="0.3">
      <c r="B1465" s="99"/>
      <c r="C1465" s="112"/>
      <c r="D1465" s="121"/>
      <c r="E1465" s="122"/>
      <c r="F1465" s="99"/>
    </row>
    <row r="1466" spans="2:6" x14ac:dyDescent="0.3">
      <c r="B1466" s="99"/>
      <c r="C1466" s="112"/>
      <c r="D1466" s="121"/>
      <c r="E1466" s="122"/>
      <c r="F1466" s="99"/>
    </row>
    <row r="1467" spans="2:6" x14ac:dyDescent="0.3">
      <c r="B1467" s="99"/>
      <c r="C1467" s="112"/>
      <c r="D1467" s="121"/>
      <c r="E1467" s="122"/>
      <c r="F1467" s="99"/>
    </row>
    <row r="1468" spans="2:6" x14ac:dyDescent="0.3">
      <c r="B1468" s="99"/>
      <c r="C1468" s="112"/>
      <c r="D1468" s="121"/>
      <c r="E1468" s="122"/>
      <c r="F1468" s="99"/>
    </row>
    <row r="1469" spans="2:6" x14ac:dyDescent="0.3">
      <c r="B1469" s="99"/>
      <c r="C1469" s="112"/>
      <c r="D1469" s="121"/>
      <c r="E1469" s="122"/>
      <c r="F1469" s="99"/>
    </row>
    <row r="1470" spans="2:6" x14ac:dyDescent="0.3">
      <c r="B1470" s="99"/>
      <c r="C1470" s="112"/>
      <c r="D1470" s="121"/>
      <c r="E1470" s="122"/>
      <c r="F1470" s="99"/>
    </row>
    <row r="1471" spans="2:6" x14ac:dyDescent="0.3">
      <c r="B1471" s="99"/>
      <c r="C1471" s="112"/>
      <c r="D1471" s="121"/>
      <c r="E1471" s="122"/>
      <c r="F1471" s="99"/>
    </row>
    <row r="1472" spans="2:6" x14ac:dyDescent="0.3">
      <c r="B1472" s="99"/>
      <c r="C1472" s="112"/>
      <c r="D1472" s="121"/>
      <c r="E1472" s="122"/>
      <c r="F1472" s="99"/>
    </row>
    <row r="1473" spans="2:6" x14ac:dyDescent="0.3">
      <c r="B1473" s="99"/>
      <c r="C1473" s="112"/>
      <c r="D1473" s="121"/>
      <c r="E1473" s="122"/>
      <c r="F1473" s="99"/>
    </row>
    <row r="1474" spans="2:6" x14ac:dyDescent="0.3">
      <c r="B1474" s="99"/>
      <c r="C1474" s="112"/>
      <c r="D1474" s="121"/>
      <c r="E1474" s="122"/>
      <c r="F1474" s="99"/>
    </row>
    <row r="1475" spans="2:6" x14ac:dyDescent="0.3">
      <c r="B1475" s="99"/>
      <c r="C1475" s="112"/>
      <c r="D1475" s="121"/>
      <c r="E1475" s="122"/>
      <c r="F1475" s="99"/>
    </row>
    <row r="1476" spans="2:6" x14ac:dyDescent="0.3">
      <c r="B1476" s="99"/>
      <c r="C1476" s="112"/>
      <c r="D1476" s="121"/>
      <c r="E1476" s="122"/>
      <c r="F1476" s="99"/>
    </row>
    <row r="1477" spans="2:6" x14ac:dyDescent="0.3">
      <c r="B1477" s="99"/>
      <c r="C1477" s="112"/>
      <c r="D1477" s="121"/>
      <c r="E1477" s="122"/>
      <c r="F1477" s="99"/>
    </row>
    <row r="1478" spans="2:6" x14ac:dyDescent="0.3">
      <c r="B1478" s="99"/>
      <c r="C1478" s="112"/>
      <c r="D1478" s="121"/>
      <c r="E1478" s="122"/>
      <c r="F1478" s="99"/>
    </row>
    <row r="1479" spans="2:6" x14ac:dyDescent="0.3">
      <c r="B1479" s="99"/>
      <c r="C1479" s="112"/>
      <c r="D1479" s="121"/>
      <c r="E1479" s="122"/>
      <c r="F1479" s="99"/>
    </row>
    <row r="1480" spans="2:6" x14ac:dyDescent="0.3">
      <c r="B1480" s="99"/>
      <c r="C1480" s="112"/>
      <c r="D1480" s="121"/>
      <c r="E1480" s="122"/>
      <c r="F1480" s="99"/>
    </row>
    <row r="1481" spans="2:6" x14ac:dyDescent="0.3">
      <c r="B1481" s="99"/>
      <c r="C1481" s="112"/>
      <c r="D1481" s="121"/>
      <c r="E1481" s="122"/>
      <c r="F1481" s="99"/>
    </row>
    <row r="1482" spans="2:6" x14ac:dyDescent="0.3">
      <c r="B1482" s="99"/>
      <c r="C1482" s="112"/>
      <c r="D1482" s="121"/>
      <c r="E1482" s="122"/>
      <c r="F1482" s="99"/>
    </row>
    <row r="1483" spans="2:6" x14ac:dyDescent="0.3">
      <c r="B1483" s="99"/>
      <c r="C1483" s="112"/>
      <c r="D1483" s="121"/>
      <c r="E1483" s="122"/>
      <c r="F1483" s="99"/>
    </row>
    <row r="1484" spans="2:6" x14ac:dyDescent="0.3">
      <c r="B1484" s="99"/>
      <c r="C1484" s="112"/>
      <c r="D1484" s="121"/>
      <c r="E1484" s="122"/>
      <c r="F1484" s="99"/>
    </row>
    <row r="1485" spans="2:6" x14ac:dyDescent="0.3">
      <c r="B1485" s="99"/>
      <c r="C1485" s="112"/>
      <c r="D1485" s="121"/>
      <c r="E1485" s="122"/>
      <c r="F1485" s="99"/>
    </row>
    <row r="1486" spans="2:6" x14ac:dyDescent="0.3">
      <c r="B1486" s="99"/>
      <c r="C1486" s="112"/>
      <c r="D1486" s="121"/>
      <c r="E1486" s="122"/>
      <c r="F1486" s="99"/>
    </row>
    <row r="1487" spans="2:6" x14ac:dyDescent="0.3">
      <c r="B1487" s="99"/>
      <c r="C1487" s="112"/>
      <c r="D1487" s="121"/>
      <c r="E1487" s="122"/>
      <c r="F1487" s="99"/>
    </row>
    <row r="1488" spans="2:6" x14ac:dyDescent="0.3">
      <c r="B1488" s="99"/>
      <c r="C1488" s="112"/>
      <c r="D1488" s="121"/>
      <c r="E1488" s="122"/>
      <c r="F1488" s="99"/>
    </row>
    <row r="1489" spans="2:6" x14ac:dyDescent="0.3">
      <c r="B1489" s="99"/>
      <c r="C1489" s="112"/>
      <c r="D1489" s="121"/>
      <c r="E1489" s="122"/>
      <c r="F1489" s="99"/>
    </row>
    <row r="1490" spans="2:6" x14ac:dyDescent="0.3">
      <c r="B1490" s="99"/>
      <c r="C1490" s="112"/>
      <c r="D1490" s="121"/>
      <c r="E1490" s="122"/>
      <c r="F1490" s="99"/>
    </row>
    <row r="1491" spans="2:6" x14ac:dyDescent="0.3">
      <c r="B1491" s="99"/>
      <c r="C1491" s="112"/>
      <c r="D1491" s="121"/>
      <c r="E1491" s="122"/>
      <c r="F1491" s="99"/>
    </row>
    <row r="1492" spans="2:6" x14ac:dyDescent="0.3">
      <c r="B1492" s="99"/>
      <c r="C1492" s="112"/>
      <c r="D1492" s="121"/>
      <c r="E1492" s="122"/>
      <c r="F1492" s="99"/>
    </row>
    <row r="1493" spans="2:6" x14ac:dyDescent="0.3">
      <c r="B1493" s="99"/>
      <c r="C1493" s="112"/>
      <c r="D1493" s="121"/>
      <c r="E1493" s="122"/>
      <c r="F1493" s="99"/>
    </row>
    <row r="1494" spans="2:6" x14ac:dyDescent="0.3">
      <c r="B1494" s="99"/>
      <c r="C1494" s="112"/>
      <c r="D1494" s="121"/>
      <c r="E1494" s="122"/>
      <c r="F1494" s="99"/>
    </row>
    <row r="1495" spans="2:6" x14ac:dyDescent="0.3">
      <c r="B1495" s="99"/>
      <c r="C1495" s="112"/>
      <c r="D1495" s="121"/>
      <c r="E1495" s="122"/>
      <c r="F1495" s="99"/>
    </row>
    <row r="1496" spans="2:6" x14ac:dyDescent="0.3">
      <c r="B1496" s="99"/>
      <c r="C1496" s="112"/>
      <c r="D1496" s="121"/>
      <c r="E1496" s="122"/>
      <c r="F1496" s="99"/>
    </row>
    <row r="1497" spans="2:6" x14ac:dyDescent="0.3">
      <c r="B1497" s="99"/>
      <c r="C1497" s="112"/>
      <c r="D1497" s="121"/>
      <c r="E1497" s="122"/>
      <c r="F1497" s="99"/>
    </row>
    <row r="1498" spans="2:6" x14ac:dyDescent="0.3">
      <c r="B1498" s="99"/>
      <c r="C1498" s="112"/>
      <c r="D1498" s="121"/>
      <c r="E1498" s="122"/>
      <c r="F1498" s="99"/>
    </row>
    <row r="1499" spans="2:6" x14ac:dyDescent="0.3">
      <c r="B1499" s="99"/>
      <c r="C1499" s="112"/>
      <c r="D1499" s="121"/>
      <c r="E1499" s="122"/>
      <c r="F1499" s="99"/>
    </row>
    <row r="1500" spans="2:6" x14ac:dyDescent="0.3">
      <c r="B1500" s="99"/>
      <c r="C1500" s="112"/>
      <c r="D1500" s="121"/>
      <c r="E1500" s="122"/>
      <c r="F1500" s="99"/>
    </row>
    <row r="1501" spans="2:6" x14ac:dyDescent="0.3">
      <c r="B1501" s="99"/>
      <c r="C1501" s="112"/>
      <c r="D1501" s="121"/>
      <c r="E1501" s="122"/>
      <c r="F1501" s="99"/>
    </row>
    <row r="1502" spans="2:6" x14ac:dyDescent="0.3">
      <c r="B1502" s="99"/>
      <c r="C1502" s="112"/>
      <c r="D1502" s="121"/>
      <c r="E1502" s="122"/>
      <c r="F1502" s="99"/>
    </row>
    <row r="1503" spans="2:6" x14ac:dyDescent="0.3">
      <c r="B1503" s="99"/>
      <c r="C1503" s="112"/>
      <c r="D1503" s="121"/>
      <c r="E1503" s="122"/>
      <c r="F1503" s="99"/>
    </row>
    <row r="1504" spans="2:6" x14ac:dyDescent="0.3">
      <c r="B1504" s="99"/>
      <c r="C1504" s="112"/>
      <c r="D1504" s="121"/>
      <c r="E1504" s="122"/>
      <c r="F1504" s="99"/>
    </row>
    <row r="1505" spans="2:6" x14ac:dyDescent="0.3">
      <c r="B1505" s="99"/>
      <c r="C1505" s="112"/>
      <c r="D1505" s="121"/>
      <c r="E1505" s="122"/>
      <c r="F1505" s="99"/>
    </row>
    <row r="1506" spans="2:6" x14ac:dyDescent="0.3">
      <c r="B1506" s="99"/>
      <c r="C1506" s="112"/>
      <c r="D1506" s="121"/>
      <c r="E1506" s="122"/>
      <c r="F1506" s="99"/>
    </row>
    <row r="1507" spans="2:6" x14ac:dyDescent="0.3">
      <c r="B1507" s="99"/>
      <c r="C1507" s="112"/>
      <c r="D1507" s="121"/>
      <c r="E1507" s="122"/>
      <c r="F1507" s="99"/>
    </row>
    <row r="1508" spans="2:6" x14ac:dyDescent="0.3">
      <c r="B1508" s="99"/>
      <c r="C1508" s="112"/>
      <c r="D1508" s="121"/>
      <c r="E1508" s="122"/>
      <c r="F1508" s="99"/>
    </row>
    <row r="1509" spans="2:6" x14ac:dyDescent="0.3">
      <c r="B1509" s="99"/>
      <c r="C1509" s="112"/>
      <c r="D1509" s="121"/>
      <c r="E1509" s="122"/>
      <c r="F1509" s="99"/>
    </row>
    <row r="1510" spans="2:6" x14ac:dyDescent="0.3">
      <c r="B1510" s="99"/>
      <c r="C1510" s="112"/>
      <c r="D1510" s="121"/>
      <c r="E1510" s="122"/>
      <c r="F1510" s="99"/>
    </row>
    <row r="1511" spans="2:6" x14ac:dyDescent="0.3">
      <c r="B1511" s="99"/>
      <c r="C1511" s="112"/>
      <c r="D1511" s="121"/>
      <c r="E1511" s="122"/>
      <c r="F1511" s="99"/>
    </row>
    <row r="1512" spans="2:6" x14ac:dyDescent="0.3">
      <c r="B1512" s="99"/>
      <c r="C1512" s="112"/>
      <c r="D1512" s="121"/>
      <c r="E1512" s="122"/>
      <c r="F1512" s="99"/>
    </row>
    <row r="1513" spans="2:6" x14ac:dyDescent="0.3">
      <c r="B1513" s="99"/>
      <c r="C1513" s="112"/>
      <c r="D1513" s="121"/>
      <c r="E1513" s="122"/>
      <c r="F1513" s="99"/>
    </row>
    <row r="1514" spans="2:6" x14ac:dyDescent="0.3">
      <c r="B1514" s="99"/>
      <c r="C1514" s="112"/>
      <c r="D1514" s="121"/>
      <c r="E1514" s="122"/>
      <c r="F1514" s="99"/>
    </row>
    <row r="1515" spans="2:6" x14ac:dyDescent="0.3">
      <c r="B1515" s="99"/>
      <c r="C1515" s="112"/>
      <c r="D1515" s="121"/>
      <c r="E1515" s="122"/>
      <c r="F1515" s="99"/>
    </row>
    <row r="1516" spans="2:6" x14ac:dyDescent="0.3">
      <c r="B1516" s="99"/>
      <c r="C1516" s="112"/>
      <c r="D1516" s="121"/>
      <c r="E1516" s="122"/>
      <c r="F1516" s="99"/>
    </row>
    <row r="1517" spans="2:6" x14ac:dyDescent="0.3">
      <c r="B1517" s="99"/>
      <c r="C1517" s="112"/>
      <c r="D1517" s="121"/>
      <c r="E1517" s="122"/>
      <c r="F1517" s="99"/>
    </row>
    <row r="1518" spans="2:6" x14ac:dyDescent="0.3">
      <c r="B1518" s="99"/>
      <c r="C1518" s="112"/>
      <c r="D1518" s="121"/>
      <c r="E1518" s="122"/>
      <c r="F1518" s="99"/>
    </row>
    <row r="1519" spans="2:6" x14ac:dyDescent="0.3">
      <c r="B1519" s="99"/>
      <c r="C1519" s="112"/>
      <c r="D1519" s="121"/>
      <c r="E1519" s="122"/>
      <c r="F1519" s="99"/>
    </row>
    <row r="1520" spans="2:6" x14ac:dyDescent="0.3">
      <c r="B1520" s="99"/>
      <c r="C1520" s="112"/>
      <c r="D1520" s="121"/>
      <c r="E1520" s="122"/>
      <c r="F1520" s="99"/>
    </row>
    <row r="1521" spans="2:6" x14ac:dyDescent="0.3">
      <c r="B1521" s="99"/>
      <c r="C1521" s="112"/>
      <c r="D1521" s="121"/>
      <c r="E1521" s="122"/>
      <c r="F1521" s="99"/>
    </row>
    <row r="1522" spans="2:6" x14ac:dyDescent="0.3">
      <c r="B1522" s="99"/>
      <c r="C1522" s="112"/>
      <c r="D1522" s="121"/>
      <c r="E1522" s="122"/>
      <c r="F1522" s="99"/>
    </row>
    <row r="1523" spans="2:6" x14ac:dyDescent="0.3">
      <c r="B1523" s="99"/>
      <c r="C1523" s="112"/>
      <c r="D1523" s="121"/>
      <c r="E1523" s="122"/>
      <c r="F1523" s="99"/>
    </row>
    <row r="1524" spans="2:6" x14ac:dyDescent="0.3">
      <c r="B1524" s="99"/>
      <c r="C1524" s="112"/>
      <c r="D1524" s="121"/>
      <c r="E1524" s="122"/>
      <c r="F1524" s="99"/>
    </row>
    <row r="1525" spans="2:6" x14ac:dyDescent="0.3">
      <c r="B1525" s="99"/>
      <c r="C1525" s="112"/>
      <c r="D1525" s="121"/>
      <c r="E1525" s="122"/>
      <c r="F1525" s="99"/>
    </row>
    <row r="1526" spans="2:6" x14ac:dyDescent="0.3">
      <c r="B1526" s="99"/>
      <c r="C1526" s="112"/>
      <c r="D1526" s="121"/>
      <c r="E1526" s="122"/>
      <c r="F1526" s="99"/>
    </row>
    <row r="1527" spans="2:6" x14ac:dyDescent="0.3">
      <c r="B1527" s="99"/>
      <c r="C1527" s="112"/>
      <c r="D1527" s="121"/>
      <c r="E1527" s="122"/>
      <c r="F1527" s="99"/>
    </row>
    <row r="1528" spans="2:6" x14ac:dyDescent="0.3">
      <c r="B1528" s="99"/>
      <c r="C1528" s="112"/>
      <c r="D1528" s="121"/>
      <c r="E1528" s="122"/>
      <c r="F1528" s="99"/>
    </row>
    <row r="1529" spans="2:6" x14ac:dyDescent="0.3">
      <c r="B1529" s="99"/>
      <c r="C1529" s="112"/>
      <c r="D1529" s="121"/>
      <c r="E1529" s="122"/>
      <c r="F1529" s="99"/>
    </row>
    <row r="1530" spans="2:6" x14ac:dyDescent="0.3">
      <c r="B1530" s="99"/>
      <c r="C1530" s="112"/>
      <c r="D1530" s="121"/>
      <c r="E1530" s="122"/>
      <c r="F1530" s="99"/>
    </row>
    <row r="1531" spans="2:6" x14ac:dyDescent="0.3">
      <c r="B1531" s="99"/>
      <c r="C1531" s="112"/>
      <c r="D1531" s="121"/>
      <c r="E1531" s="122"/>
      <c r="F1531" s="99"/>
    </row>
    <row r="1532" spans="2:6" x14ac:dyDescent="0.3">
      <c r="B1532" s="99"/>
      <c r="C1532" s="112"/>
      <c r="D1532" s="121"/>
      <c r="E1532" s="122"/>
      <c r="F1532" s="99"/>
    </row>
    <row r="1533" spans="2:6" x14ac:dyDescent="0.3">
      <c r="B1533" s="99"/>
      <c r="C1533" s="112"/>
      <c r="D1533" s="121"/>
      <c r="E1533" s="122"/>
      <c r="F1533" s="99"/>
    </row>
    <row r="1534" spans="2:6" x14ac:dyDescent="0.3">
      <c r="B1534" s="99"/>
      <c r="C1534" s="112"/>
      <c r="D1534" s="121"/>
      <c r="E1534" s="122"/>
      <c r="F1534" s="99"/>
    </row>
    <row r="1535" spans="2:6" x14ac:dyDescent="0.3">
      <c r="B1535" s="99"/>
      <c r="C1535" s="112"/>
      <c r="D1535" s="121"/>
      <c r="E1535" s="122"/>
      <c r="F1535" s="99"/>
    </row>
    <row r="1536" spans="2:6" x14ac:dyDescent="0.3">
      <c r="B1536" s="99"/>
      <c r="C1536" s="112"/>
      <c r="D1536" s="121"/>
      <c r="E1536" s="122"/>
      <c r="F1536" s="99"/>
    </row>
    <row r="1537" spans="2:6" x14ac:dyDescent="0.3">
      <c r="B1537" s="99"/>
      <c r="C1537" s="112"/>
      <c r="D1537" s="121"/>
      <c r="E1537" s="122"/>
      <c r="F1537" s="99"/>
    </row>
    <row r="1538" spans="2:6" x14ac:dyDescent="0.3">
      <c r="B1538" s="99"/>
      <c r="C1538" s="112"/>
      <c r="D1538" s="121"/>
      <c r="E1538" s="122"/>
      <c r="F1538" s="99"/>
    </row>
    <row r="1539" spans="2:6" x14ac:dyDescent="0.3">
      <c r="B1539" s="99"/>
      <c r="C1539" s="112"/>
      <c r="D1539" s="121"/>
      <c r="E1539" s="122"/>
      <c r="F1539" s="99"/>
    </row>
    <row r="1540" spans="2:6" x14ac:dyDescent="0.3">
      <c r="B1540" s="99"/>
      <c r="C1540" s="112"/>
      <c r="D1540" s="121"/>
      <c r="E1540" s="122"/>
      <c r="F1540" s="99"/>
    </row>
    <row r="1541" spans="2:6" x14ac:dyDescent="0.3">
      <c r="B1541" s="99"/>
      <c r="C1541" s="112"/>
      <c r="D1541" s="121"/>
      <c r="E1541" s="122"/>
      <c r="F1541" s="99"/>
    </row>
    <row r="1542" spans="2:6" x14ac:dyDescent="0.3">
      <c r="B1542" s="99"/>
      <c r="C1542" s="112"/>
      <c r="D1542" s="121"/>
      <c r="E1542" s="122"/>
      <c r="F1542" s="99"/>
    </row>
    <row r="1543" spans="2:6" x14ac:dyDescent="0.3">
      <c r="B1543" s="99"/>
      <c r="C1543" s="112"/>
      <c r="D1543" s="121"/>
      <c r="E1543" s="122"/>
      <c r="F1543" s="99"/>
    </row>
    <row r="1544" spans="2:6" x14ac:dyDescent="0.3">
      <c r="B1544" s="99"/>
      <c r="C1544" s="112"/>
      <c r="D1544" s="121"/>
      <c r="E1544" s="122"/>
      <c r="F1544" s="99"/>
    </row>
    <row r="1545" spans="2:6" x14ac:dyDescent="0.3">
      <c r="B1545" s="99"/>
      <c r="C1545" s="112"/>
      <c r="D1545" s="121"/>
      <c r="E1545" s="122"/>
      <c r="F1545" s="99"/>
    </row>
    <row r="1546" spans="2:6" x14ac:dyDescent="0.3">
      <c r="B1546" s="99"/>
      <c r="C1546" s="112"/>
      <c r="D1546" s="121"/>
      <c r="E1546" s="122"/>
      <c r="F1546" s="99"/>
    </row>
    <row r="1547" spans="2:6" x14ac:dyDescent="0.3">
      <c r="B1547" s="99"/>
      <c r="C1547" s="112"/>
      <c r="D1547" s="121"/>
      <c r="E1547" s="122"/>
      <c r="F1547" s="99"/>
    </row>
    <row r="1548" spans="2:6" x14ac:dyDescent="0.3">
      <c r="B1548" s="99"/>
      <c r="C1548" s="112"/>
      <c r="D1548" s="121"/>
      <c r="E1548" s="122"/>
      <c r="F1548" s="99"/>
    </row>
    <row r="1549" spans="2:6" x14ac:dyDescent="0.3">
      <c r="B1549" s="99"/>
      <c r="C1549" s="112"/>
      <c r="D1549" s="121"/>
      <c r="E1549" s="122"/>
      <c r="F1549" s="99"/>
    </row>
    <row r="1550" spans="2:6" x14ac:dyDescent="0.3">
      <c r="B1550" s="99"/>
      <c r="C1550" s="112"/>
      <c r="D1550" s="121"/>
      <c r="E1550" s="122"/>
      <c r="F1550" s="99"/>
    </row>
    <row r="1551" spans="2:6" x14ac:dyDescent="0.3">
      <c r="B1551" s="99"/>
      <c r="C1551" s="112"/>
      <c r="D1551" s="121"/>
      <c r="E1551" s="122"/>
      <c r="F1551" s="99"/>
    </row>
    <row r="1552" spans="2:6" x14ac:dyDescent="0.3">
      <c r="B1552" s="99"/>
      <c r="C1552" s="112"/>
      <c r="D1552" s="121"/>
      <c r="E1552" s="122"/>
      <c r="F1552" s="99"/>
    </row>
    <row r="1553" spans="2:6" x14ac:dyDescent="0.3">
      <c r="B1553" s="99"/>
      <c r="C1553" s="112"/>
      <c r="D1553" s="121"/>
      <c r="E1553" s="122"/>
      <c r="F1553" s="99"/>
    </row>
    <row r="1554" spans="2:6" x14ac:dyDescent="0.3">
      <c r="B1554" s="99"/>
      <c r="C1554" s="112"/>
      <c r="D1554" s="121"/>
      <c r="E1554" s="122"/>
      <c r="F1554" s="99"/>
    </row>
    <row r="1555" spans="2:6" x14ac:dyDescent="0.3">
      <c r="B1555" s="99"/>
      <c r="C1555" s="112"/>
      <c r="D1555" s="121"/>
      <c r="E1555" s="122"/>
      <c r="F1555" s="99"/>
    </row>
    <row r="1556" spans="2:6" x14ac:dyDescent="0.3">
      <c r="B1556" s="99"/>
      <c r="C1556" s="112"/>
      <c r="D1556" s="121"/>
      <c r="E1556" s="122"/>
      <c r="F1556" s="99"/>
    </row>
    <row r="1557" spans="2:6" x14ac:dyDescent="0.3">
      <c r="B1557" s="99"/>
      <c r="C1557" s="112"/>
      <c r="D1557" s="121"/>
      <c r="E1557" s="122"/>
      <c r="F1557" s="99"/>
    </row>
    <row r="1558" spans="2:6" x14ac:dyDescent="0.3">
      <c r="B1558" s="99"/>
      <c r="C1558" s="112"/>
      <c r="D1558" s="121"/>
      <c r="E1558" s="122"/>
      <c r="F1558" s="99"/>
    </row>
    <row r="1559" spans="2:6" x14ac:dyDescent="0.3">
      <c r="B1559" s="99"/>
      <c r="C1559" s="112"/>
      <c r="D1559" s="121"/>
      <c r="E1559" s="122"/>
      <c r="F1559" s="99"/>
    </row>
    <row r="1560" spans="2:6" x14ac:dyDescent="0.3">
      <c r="B1560" s="99"/>
      <c r="C1560" s="112"/>
      <c r="D1560" s="121"/>
      <c r="E1560" s="122"/>
      <c r="F1560" s="99"/>
    </row>
    <row r="1561" spans="2:6" x14ac:dyDescent="0.3">
      <c r="B1561" s="99"/>
      <c r="C1561" s="112"/>
      <c r="D1561" s="121"/>
      <c r="E1561" s="122"/>
      <c r="F1561" s="99"/>
    </row>
    <row r="1562" spans="2:6" x14ac:dyDescent="0.3">
      <c r="B1562" s="99"/>
      <c r="C1562" s="112"/>
      <c r="D1562" s="121"/>
      <c r="E1562" s="122"/>
      <c r="F1562" s="99"/>
    </row>
    <row r="1563" spans="2:6" x14ac:dyDescent="0.3">
      <c r="B1563" s="99"/>
      <c r="C1563" s="112"/>
      <c r="D1563" s="121"/>
      <c r="E1563" s="122"/>
      <c r="F1563" s="99"/>
    </row>
    <row r="1564" spans="2:6" x14ac:dyDescent="0.3">
      <c r="B1564" s="99"/>
      <c r="C1564" s="112"/>
      <c r="D1564" s="121"/>
      <c r="E1564" s="122"/>
      <c r="F1564" s="99"/>
    </row>
    <row r="1565" spans="2:6" x14ac:dyDescent="0.3">
      <c r="B1565" s="99"/>
      <c r="C1565" s="112"/>
      <c r="D1565" s="121"/>
      <c r="E1565" s="122"/>
      <c r="F1565" s="99"/>
    </row>
    <row r="1566" spans="2:6" x14ac:dyDescent="0.3">
      <c r="B1566" s="99"/>
      <c r="C1566" s="112"/>
      <c r="D1566" s="121"/>
      <c r="E1566" s="122"/>
      <c r="F1566" s="99"/>
    </row>
    <row r="1567" spans="2:6" x14ac:dyDescent="0.3">
      <c r="B1567" s="99"/>
      <c r="C1567" s="112"/>
      <c r="D1567" s="121"/>
      <c r="E1567" s="122"/>
      <c r="F1567" s="99"/>
    </row>
    <row r="1568" spans="2:6" x14ac:dyDescent="0.3">
      <c r="B1568" s="99"/>
      <c r="C1568" s="112"/>
      <c r="D1568" s="121"/>
      <c r="E1568" s="122"/>
      <c r="F1568" s="99"/>
    </row>
    <row r="1569" spans="2:6" x14ac:dyDescent="0.3">
      <c r="B1569" s="99"/>
      <c r="C1569" s="112"/>
      <c r="D1569" s="121"/>
      <c r="E1569" s="122"/>
      <c r="F1569" s="99"/>
    </row>
    <row r="1570" spans="2:6" x14ac:dyDescent="0.3">
      <c r="B1570" s="99"/>
      <c r="C1570" s="112"/>
      <c r="D1570" s="121"/>
      <c r="E1570" s="122"/>
      <c r="F1570" s="99"/>
    </row>
    <row r="1571" spans="2:6" x14ac:dyDescent="0.3">
      <c r="B1571" s="99"/>
      <c r="C1571" s="112"/>
      <c r="D1571" s="121"/>
      <c r="E1571" s="122"/>
      <c r="F1571" s="99"/>
    </row>
    <row r="1572" spans="2:6" x14ac:dyDescent="0.3">
      <c r="B1572" s="99"/>
      <c r="C1572" s="112"/>
      <c r="D1572" s="121"/>
      <c r="E1572" s="122"/>
      <c r="F1572" s="99"/>
    </row>
    <row r="1573" spans="2:6" x14ac:dyDescent="0.3">
      <c r="B1573" s="99"/>
      <c r="C1573" s="112"/>
      <c r="D1573" s="121"/>
      <c r="E1573" s="122"/>
      <c r="F1573" s="99"/>
    </row>
    <row r="1574" spans="2:6" x14ac:dyDescent="0.3">
      <c r="B1574" s="99"/>
      <c r="C1574" s="112"/>
      <c r="D1574" s="121"/>
      <c r="E1574" s="122"/>
      <c r="F1574" s="99"/>
    </row>
    <row r="1575" spans="2:6" x14ac:dyDescent="0.3">
      <c r="B1575" s="99"/>
      <c r="C1575" s="112"/>
      <c r="D1575" s="121"/>
      <c r="E1575" s="122"/>
      <c r="F1575" s="99"/>
    </row>
    <row r="1576" spans="2:6" x14ac:dyDescent="0.3">
      <c r="B1576" s="99"/>
      <c r="C1576" s="112"/>
      <c r="D1576" s="121"/>
      <c r="E1576" s="122"/>
      <c r="F1576" s="99"/>
    </row>
    <row r="1577" spans="2:6" x14ac:dyDescent="0.3">
      <c r="B1577" s="99"/>
      <c r="C1577" s="112"/>
      <c r="D1577" s="121"/>
      <c r="E1577" s="122"/>
      <c r="F1577" s="99"/>
    </row>
    <row r="1578" spans="2:6" x14ac:dyDescent="0.3">
      <c r="B1578" s="99"/>
      <c r="C1578" s="112"/>
      <c r="D1578" s="121"/>
      <c r="E1578" s="122"/>
      <c r="F1578" s="99"/>
    </row>
    <row r="1579" spans="2:6" x14ac:dyDescent="0.3">
      <c r="B1579" s="99"/>
      <c r="C1579" s="112"/>
      <c r="D1579" s="121"/>
      <c r="E1579" s="122"/>
      <c r="F1579" s="99"/>
    </row>
    <row r="1580" spans="2:6" x14ac:dyDescent="0.3">
      <c r="B1580" s="99"/>
      <c r="C1580" s="112"/>
      <c r="D1580" s="121"/>
      <c r="E1580" s="122"/>
      <c r="F1580" s="99"/>
    </row>
    <row r="1581" spans="2:6" x14ac:dyDescent="0.3">
      <c r="B1581" s="99"/>
      <c r="C1581" s="112"/>
      <c r="D1581" s="121"/>
      <c r="E1581" s="122"/>
      <c r="F1581" s="99"/>
    </row>
    <row r="1582" spans="2:6" x14ac:dyDescent="0.3">
      <c r="B1582" s="99"/>
      <c r="C1582" s="112"/>
      <c r="D1582" s="121"/>
      <c r="E1582" s="122"/>
      <c r="F1582" s="99"/>
    </row>
    <row r="1583" spans="2:6" x14ac:dyDescent="0.3">
      <c r="B1583" s="99"/>
      <c r="C1583" s="112"/>
      <c r="D1583" s="121"/>
      <c r="E1583" s="122"/>
      <c r="F1583" s="99"/>
    </row>
    <row r="1584" spans="2:6" x14ac:dyDescent="0.3">
      <c r="B1584" s="99"/>
      <c r="C1584" s="112"/>
      <c r="D1584" s="121"/>
      <c r="E1584" s="122"/>
      <c r="F1584" s="99"/>
    </row>
    <row r="1585" spans="2:6" x14ac:dyDescent="0.3">
      <c r="B1585" s="99"/>
      <c r="C1585" s="112"/>
      <c r="D1585" s="121"/>
      <c r="E1585" s="122"/>
      <c r="F1585" s="99"/>
    </row>
    <row r="1586" spans="2:6" x14ac:dyDescent="0.3">
      <c r="B1586" s="99"/>
      <c r="C1586" s="112"/>
      <c r="D1586" s="121"/>
      <c r="E1586" s="122"/>
      <c r="F1586" s="99"/>
    </row>
    <row r="1587" spans="2:6" x14ac:dyDescent="0.3">
      <c r="B1587" s="99"/>
      <c r="C1587" s="112"/>
      <c r="D1587" s="121"/>
      <c r="E1587" s="122"/>
      <c r="F1587" s="99"/>
    </row>
    <row r="1588" spans="2:6" x14ac:dyDescent="0.3">
      <c r="B1588" s="99"/>
      <c r="C1588" s="112"/>
      <c r="D1588" s="121"/>
      <c r="E1588" s="122"/>
      <c r="F1588" s="99"/>
    </row>
    <row r="1589" spans="2:6" x14ac:dyDescent="0.3">
      <c r="B1589" s="99"/>
      <c r="C1589" s="112"/>
      <c r="D1589" s="121"/>
      <c r="E1589" s="122"/>
      <c r="F1589" s="99"/>
    </row>
    <row r="1590" spans="2:6" x14ac:dyDescent="0.3">
      <c r="B1590" s="99"/>
      <c r="C1590" s="112"/>
      <c r="D1590" s="121"/>
      <c r="E1590" s="122"/>
      <c r="F1590" s="99"/>
    </row>
    <row r="1591" spans="2:6" x14ac:dyDescent="0.3">
      <c r="B1591" s="99"/>
      <c r="C1591" s="112"/>
      <c r="D1591" s="121"/>
      <c r="E1591" s="122"/>
      <c r="F1591" s="99"/>
    </row>
    <row r="1592" spans="2:6" x14ac:dyDescent="0.3">
      <c r="B1592" s="99"/>
      <c r="C1592" s="112"/>
      <c r="D1592" s="121"/>
      <c r="E1592" s="122"/>
      <c r="F1592" s="99"/>
    </row>
    <row r="1593" spans="2:6" x14ac:dyDescent="0.3">
      <c r="B1593" s="99"/>
      <c r="C1593" s="112"/>
      <c r="D1593" s="121"/>
      <c r="E1593" s="122"/>
      <c r="F1593" s="99"/>
    </row>
    <row r="1594" spans="2:6" x14ac:dyDescent="0.3">
      <c r="B1594" s="99"/>
      <c r="C1594" s="112"/>
      <c r="D1594" s="121"/>
      <c r="E1594" s="122"/>
      <c r="F1594" s="99"/>
    </row>
    <row r="1595" spans="2:6" x14ac:dyDescent="0.3">
      <c r="B1595" s="99"/>
      <c r="C1595" s="112"/>
      <c r="D1595" s="121"/>
      <c r="E1595" s="122"/>
      <c r="F1595" s="99"/>
    </row>
    <row r="1596" spans="2:6" x14ac:dyDescent="0.3">
      <c r="B1596" s="99"/>
      <c r="C1596" s="112"/>
      <c r="D1596" s="121"/>
      <c r="E1596" s="122"/>
      <c r="F1596" s="99"/>
    </row>
    <row r="1597" spans="2:6" x14ac:dyDescent="0.3">
      <c r="B1597" s="99"/>
      <c r="C1597" s="112"/>
      <c r="D1597" s="121"/>
      <c r="E1597" s="122"/>
      <c r="F1597" s="99"/>
    </row>
    <row r="1598" spans="2:6" x14ac:dyDescent="0.3">
      <c r="B1598" s="99"/>
      <c r="C1598" s="112"/>
      <c r="D1598" s="121"/>
      <c r="E1598" s="122"/>
      <c r="F1598" s="99"/>
    </row>
    <row r="1599" spans="2:6" x14ac:dyDescent="0.3">
      <c r="B1599" s="99"/>
      <c r="C1599" s="112"/>
      <c r="D1599" s="121"/>
      <c r="E1599" s="122"/>
      <c r="F1599" s="99"/>
    </row>
    <row r="1600" spans="2:6" x14ac:dyDescent="0.3">
      <c r="B1600" s="99"/>
      <c r="C1600" s="112"/>
      <c r="D1600" s="121"/>
      <c r="E1600" s="122"/>
      <c r="F1600" s="99"/>
    </row>
    <row r="1601" spans="2:6" x14ac:dyDescent="0.3">
      <c r="B1601" s="99"/>
      <c r="C1601" s="112"/>
      <c r="D1601" s="121"/>
      <c r="E1601" s="122"/>
      <c r="F1601" s="99"/>
    </row>
    <row r="1602" spans="2:6" x14ac:dyDescent="0.3">
      <c r="B1602" s="99"/>
      <c r="C1602" s="112"/>
      <c r="D1602" s="121"/>
      <c r="E1602" s="122"/>
      <c r="F1602" s="99"/>
    </row>
    <row r="1603" spans="2:6" x14ac:dyDescent="0.3">
      <c r="B1603" s="99"/>
      <c r="C1603" s="112"/>
      <c r="D1603" s="121"/>
      <c r="E1603" s="122"/>
      <c r="F1603" s="99"/>
    </row>
    <row r="1604" spans="2:6" x14ac:dyDescent="0.3">
      <c r="B1604" s="99"/>
      <c r="C1604" s="112"/>
      <c r="D1604" s="121"/>
      <c r="E1604" s="122"/>
      <c r="F1604" s="99"/>
    </row>
    <row r="1605" spans="2:6" x14ac:dyDescent="0.3">
      <c r="B1605" s="99"/>
      <c r="C1605" s="112"/>
      <c r="D1605" s="121"/>
      <c r="E1605" s="122"/>
      <c r="F1605" s="99"/>
    </row>
    <row r="1606" spans="2:6" x14ac:dyDescent="0.3">
      <c r="B1606" s="99"/>
      <c r="C1606" s="112"/>
      <c r="D1606" s="121"/>
      <c r="E1606" s="122"/>
      <c r="F1606" s="99"/>
    </row>
    <row r="1607" spans="2:6" x14ac:dyDescent="0.3">
      <c r="B1607" s="99"/>
      <c r="C1607" s="112"/>
      <c r="D1607" s="121"/>
      <c r="E1607" s="122"/>
      <c r="F1607" s="99"/>
    </row>
    <row r="1608" spans="2:6" x14ac:dyDescent="0.3">
      <c r="B1608" s="99"/>
      <c r="C1608" s="112"/>
      <c r="D1608" s="121"/>
      <c r="E1608" s="122"/>
      <c r="F1608" s="99"/>
    </row>
    <row r="1609" spans="2:6" x14ac:dyDescent="0.3">
      <c r="B1609" s="99"/>
      <c r="C1609" s="112"/>
      <c r="D1609" s="121"/>
      <c r="E1609" s="122"/>
      <c r="F1609" s="99"/>
    </row>
    <row r="1610" spans="2:6" x14ac:dyDescent="0.3">
      <c r="B1610" s="99"/>
      <c r="C1610" s="112"/>
      <c r="D1610" s="121"/>
      <c r="E1610" s="122"/>
      <c r="F1610" s="99"/>
    </row>
    <row r="1611" spans="2:6" x14ac:dyDescent="0.3">
      <c r="B1611" s="99"/>
      <c r="C1611" s="112"/>
      <c r="D1611" s="121"/>
      <c r="E1611" s="122"/>
      <c r="F1611" s="99"/>
    </row>
    <row r="1612" spans="2:6" x14ac:dyDescent="0.3">
      <c r="B1612" s="99"/>
      <c r="C1612" s="112"/>
      <c r="D1612" s="121"/>
      <c r="E1612" s="122"/>
      <c r="F1612" s="99"/>
    </row>
    <row r="1613" spans="2:6" x14ac:dyDescent="0.3">
      <c r="B1613" s="99"/>
      <c r="C1613" s="112"/>
      <c r="D1613" s="121"/>
      <c r="E1613" s="122"/>
      <c r="F1613" s="99"/>
    </row>
    <row r="1614" spans="2:6" x14ac:dyDescent="0.3">
      <c r="B1614" s="99"/>
      <c r="C1614" s="112"/>
      <c r="D1614" s="121"/>
      <c r="E1614" s="122"/>
      <c r="F1614" s="99"/>
    </row>
    <row r="1615" spans="2:6" x14ac:dyDescent="0.3">
      <c r="B1615" s="99"/>
      <c r="C1615" s="112"/>
      <c r="D1615" s="121"/>
      <c r="E1615" s="122"/>
      <c r="F1615" s="99"/>
    </row>
    <row r="1616" spans="2:6" x14ac:dyDescent="0.3">
      <c r="B1616" s="99"/>
      <c r="C1616" s="112"/>
      <c r="D1616" s="121"/>
      <c r="E1616" s="122"/>
      <c r="F1616" s="99"/>
    </row>
    <row r="1617" spans="2:6" x14ac:dyDescent="0.3">
      <c r="B1617" s="99"/>
      <c r="C1617" s="112"/>
      <c r="D1617" s="121"/>
      <c r="E1617" s="122"/>
      <c r="F1617" s="99"/>
    </row>
    <row r="1618" spans="2:6" x14ac:dyDescent="0.3">
      <c r="B1618" s="99"/>
      <c r="C1618" s="112"/>
      <c r="D1618" s="121"/>
      <c r="E1618" s="122"/>
      <c r="F1618" s="99"/>
    </row>
    <row r="1619" spans="2:6" x14ac:dyDescent="0.3">
      <c r="B1619" s="99"/>
      <c r="C1619" s="112"/>
      <c r="D1619" s="121"/>
      <c r="E1619" s="122"/>
      <c r="F1619" s="99"/>
    </row>
    <row r="1620" spans="2:6" x14ac:dyDescent="0.3">
      <c r="B1620" s="99"/>
      <c r="C1620" s="112"/>
      <c r="D1620" s="121"/>
      <c r="E1620" s="122"/>
      <c r="F1620" s="99"/>
    </row>
    <row r="1621" spans="2:6" x14ac:dyDescent="0.3">
      <c r="B1621" s="99"/>
      <c r="C1621" s="112"/>
      <c r="D1621" s="121"/>
      <c r="E1621" s="122"/>
      <c r="F1621" s="99"/>
    </row>
    <row r="1622" spans="2:6" x14ac:dyDescent="0.3">
      <c r="B1622" s="99"/>
      <c r="C1622" s="112"/>
      <c r="D1622" s="121"/>
      <c r="E1622" s="122"/>
      <c r="F1622" s="99"/>
    </row>
    <row r="1623" spans="2:6" x14ac:dyDescent="0.3">
      <c r="B1623" s="99"/>
      <c r="C1623" s="112"/>
      <c r="D1623" s="121"/>
      <c r="E1623" s="122"/>
      <c r="F1623" s="99"/>
    </row>
    <row r="1624" spans="2:6" x14ac:dyDescent="0.3">
      <c r="B1624" s="99"/>
      <c r="C1624" s="112"/>
      <c r="D1624" s="121"/>
      <c r="E1624" s="122"/>
      <c r="F1624" s="99"/>
    </row>
    <row r="1625" spans="2:6" x14ac:dyDescent="0.3">
      <c r="B1625" s="99"/>
      <c r="C1625" s="112"/>
      <c r="D1625" s="121"/>
      <c r="E1625" s="122"/>
      <c r="F1625" s="99"/>
    </row>
    <row r="1626" spans="2:6" x14ac:dyDescent="0.3">
      <c r="B1626" s="99"/>
      <c r="C1626" s="112"/>
      <c r="D1626" s="121"/>
      <c r="E1626" s="122"/>
      <c r="F1626" s="99"/>
    </row>
    <row r="1627" spans="2:6" x14ac:dyDescent="0.3">
      <c r="B1627" s="99"/>
      <c r="C1627" s="112"/>
      <c r="D1627" s="121"/>
      <c r="E1627" s="122"/>
      <c r="F1627" s="99"/>
    </row>
    <row r="1628" spans="2:6" x14ac:dyDescent="0.3">
      <c r="B1628" s="99"/>
      <c r="C1628" s="112"/>
      <c r="D1628" s="121"/>
      <c r="E1628" s="122"/>
      <c r="F1628" s="99"/>
    </row>
    <row r="1629" spans="2:6" x14ac:dyDescent="0.3">
      <c r="B1629" s="99"/>
      <c r="C1629" s="112"/>
      <c r="D1629" s="121"/>
      <c r="E1629" s="122"/>
      <c r="F1629" s="99"/>
    </row>
    <row r="1630" spans="2:6" x14ac:dyDescent="0.3">
      <c r="B1630" s="99"/>
      <c r="C1630" s="112"/>
      <c r="D1630" s="121"/>
      <c r="E1630" s="122"/>
      <c r="F1630" s="99"/>
    </row>
    <row r="1631" spans="2:6" x14ac:dyDescent="0.3">
      <c r="B1631" s="99"/>
      <c r="C1631" s="112"/>
      <c r="D1631" s="121"/>
      <c r="E1631" s="122"/>
      <c r="F1631" s="99"/>
    </row>
    <row r="1632" spans="2:6" x14ac:dyDescent="0.3">
      <c r="B1632" s="99"/>
      <c r="C1632" s="112"/>
      <c r="D1632" s="121"/>
      <c r="E1632" s="122"/>
      <c r="F1632" s="99"/>
    </row>
    <row r="1633" spans="2:6" x14ac:dyDescent="0.3">
      <c r="B1633" s="99"/>
      <c r="C1633" s="112"/>
      <c r="D1633" s="121"/>
      <c r="E1633" s="122"/>
      <c r="F1633" s="99"/>
    </row>
    <row r="1634" spans="2:6" x14ac:dyDescent="0.3">
      <c r="B1634" s="99"/>
      <c r="C1634" s="112"/>
      <c r="D1634" s="121"/>
      <c r="E1634" s="122"/>
      <c r="F1634" s="99"/>
    </row>
    <row r="1635" spans="2:6" x14ac:dyDescent="0.3">
      <c r="B1635" s="99"/>
      <c r="C1635" s="112"/>
      <c r="D1635" s="121"/>
      <c r="E1635" s="122"/>
      <c r="F1635" s="99"/>
    </row>
    <row r="1636" spans="2:6" x14ac:dyDescent="0.3">
      <c r="B1636" s="99"/>
      <c r="C1636" s="112"/>
      <c r="D1636" s="121"/>
      <c r="E1636" s="122"/>
      <c r="F1636" s="99"/>
    </row>
    <row r="1637" spans="2:6" x14ac:dyDescent="0.3">
      <c r="B1637" s="99"/>
      <c r="C1637" s="112"/>
      <c r="D1637" s="121"/>
      <c r="E1637" s="122"/>
      <c r="F1637" s="99"/>
    </row>
    <row r="1638" spans="2:6" x14ac:dyDescent="0.3">
      <c r="B1638" s="99"/>
      <c r="C1638" s="112"/>
      <c r="D1638" s="121"/>
      <c r="E1638" s="122"/>
      <c r="F1638" s="99"/>
    </row>
    <row r="1639" spans="2:6" x14ac:dyDescent="0.3">
      <c r="B1639" s="99"/>
      <c r="C1639" s="112"/>
      <c r="D1639" s="121"/>
      <c r="E1639" s="122"/>
      <c r="F1639" s="99"/>
    </row>
    <row r="1640" spans="2:6" x14ac:dyDescent="0.3">
      <c r="B1640" s="99"/>
      <c r="C1640" s="112"/>
      <c r="D1640" s="121"/>
      <c r="E1640" s="122"/>
      <c r="F1640" s="99"/>
    </row>
    <row r="1641" spans="2:6" x14ac:dyDescent="0.3">
      <c r="B1641" s="99"/>
      <c r="C1641" s="112"/>
      <c r="D1641" s="121"/>
      <c r="E1641" s="122"/>
      <c r="F1641" s="99"/>
    </row>
    <row r="1642" spans="2:6" x14ac:dyDescent="0.3">
      <c r="B1642" s="99"/>
      <c r="C1642" s="112"/>
      <c r="D1642" s="121"/>
      <c r="E1642" s="122"/>
      <c r="F1642" s="99"/>
    </row>
    <row r="1643" spans="2:6" x14ac:dyDescent="0.3">
      <c r="B1643" s="99"/>
      <c r="C1643" s="112"/>
      <c r="D1643" s="121"/>
      <c r="E1643" s="122"/>
      <c r="F1643" s="99"/>
    </row>
    <row r="1644" spans="2:6" x14ac:dyDescent="0.3">
      <c r="B1644" s="99"/>
      <c r="C1644" s="112"/>
      <c r="D1644" s="121"/>
      <c r="E1644" s="122"/>
      <c r="F1644" s="99"/>
    </row>
    <row r="1645" spans="2:6" x14ac:dyDescent="0.3">
      <c r="B1645" s="99"/>
      <c r="C1645" s="112"/>
      <c r="D1645" s="121"/>
      <c r="E1645" s="122"/>
      <c r="F1645" s="99"/>
    </row>
    <row r="1646" spans="2:6" x14ac:dyDescent="0.3">
      <c r="B1646" s="99"/>
      <c r="C1646" s="112"/>
      <c r="D1646" s="121"/>
      <c r="E1646" s="122"/>
      <c r="F1646" s="99"/>
    </row>
    <row r="1647" spans="2:6" x14ac:dyDescent="0.3">
      <c r="B1647" s="99"/>
      <c r="C1647" s="112"/>
      <c r="D1647" s="121"/>
      <c r="E1647" s="122"/>
      <c r="F1647" s="99"/>
    </row>
    <row r="1648" spans="2:6" x14ac:dyDescent="0.3">
      <c r="B1648" s="99"/>
      <c r="C1648" s="112"/>
      <c r="D1648" s="121"/>
      <c r="E1648" s="122"/>
      <c r="F1648" s="99"/>
    </row>
    <row r="1649" spans="2:6" x14ac:dyDescent="0.3">
      <c r="B1649" s="99"/>
      <c r="C1649" s="112"/>
      <c r="D1649" s="121"/>
      <c r="E1649" s="122"/>
      <c r="F1649" s="99"/>
    </row>
    <row r="1650" spans="2:6" x14ac:dyDescent="0.3">
      <c r="B1650" s="99"/>
      <c r="C1650" s="112"/>
      <c r="D1650" s="121"/>
      <c r="E1650" s="122"/>
      <c r="F1650" s="99"/>
    </row>
    <row r="1651" spans="2:6" x14ac:dyDescent="0.3">
      <c r="B1651" s="99"/>
      <c r="C1651" s="112"/>
      <c r="D1651" s="121"/>
      <c r="E1651" s="122"/>
      <c r="F1651" s="99"/>
    </row>
    <row r="1652" spans="2:6" x14ac:dyDescent="0.3">
      <c r="B1652" s="99"/>
      <c r="C1652" s="112"/>
      <c r="D1652" s="121"/>
      <c r="E1652" s="122"/>
      <c r="F1652" s="99"/>
    </row>
    <row r="1653" spans="2:6" x14ac:dyDescent="0.3">
      <c r="B1653" s="99"/>
      <c r="C1653" s="112"/>
      <c r="D1653" s="121"/>
      <c r="E1653" s="122"/>
      <c r="F1653" s="99"/>
    </row>
    <row r="1654" spans="2:6" x14ac:dyDescent="0.3">
      <c r="B1654" s="99"/>
      <c r="C1654" s="112"/>
      <c r="D1654" s="121"/>
      <c r="E1654" s="122"/>
      <c r="F1654" s="99"/>
    </row>
    <row r="1655" spans="2:6" x14ac:dyDescent="0.3">
      <c r="B1655" s="99"/>
      <c r="C1655" s="112"/>
      <c r="D1655" s="121"/>
      <c r="E1655" s="122"/>
      <c r="F1655" s="99"/>
    </row>
    <row r="1656" spans="2:6" x14ac:dyDescent="0.3">
      <c r="B1656" s="99"/>
      <c r="C1656" s="112"/>
      <c r="D1656" s="121"/>
      <c r="E1656" s="122"/>
      <c r="F1656" s="99"/>
    </row>
    <row r="1657" spans="2:6" x14ac:dyDescent="0.3">
      <c r="B1657" s="99"/>
      <c r="C1657" s="112"/>
      <c r="D1657" s="121"/>
      <c r="E1657" s="122"/>
      <c r="F1657" s="99"/>
    </row>
    <row r="1658" spans="2:6" x14ac:dyDescent="0.3">
      <c r="B1658" s="99"/>
      <c r="C1658" s="112"/>
      <c r="D1658" s="121"/>
      <c r="E1658" s="122"/>
      <c r="F1658" s="99"/>
    </row>
    <row r="1659" spans="2:6" x14ac:dyDescent="0.3">
      <c r="B1659" s="99"/>
      <c r="C1659" s="112"/>
      <c r="D1659" s="121"/>
      <c r="E1659" s="122"/>
      <c r="F1659" s="99"/>
    </row>
    <row r="1660" spans="2:6" x14ac:dyDescent="0.3">
      <c r="B1660" s="99"/>
      <c r="C1660" s="112"/>
      <c r="D1660" s="121"/>
      <c r="E1660" s="122"/>
      <c r="F1660" s="99"/>
    </row>
    <row r="1661" spans="2:6" x14ac:dyDescent="0.3">
      <c r="B1661" s="99"/>
      <c r="C1661" s="112"/>
      <c r="D1661" s="121"/>
      <c r="E1661" s="122"/>
      <c r="F1661" s="99"/>
    </row>
    <row r="1662" spans="2:6" x14ac:dyDescent="0.3">
      <c r="B1662" s="99"/>
      <c r="C1662" s="112"/>
      <c r="D1662" s="121"/>
      <c r="E1662" s="122"/>
      <c r="F1662" s="99"/>
    </row>
    <row r="1663" spans="2:6" x14ac:dyDescent="0.3">
      <c r="B1663" s="99"/>
      <c r="C1663" s="112"/>
      <c r="D1663" s="121"/>
      <c r="E1663" s="122"/>
      <c r="F1663" s="99"/>
    </row>
    <row r="1664" spans="2:6" x14ac:dyDescent="0.3">
      <c r="B1664" s="99"/>
      <c r="C1664" s="112"/>
      <c r="D1664" s="121"/>
      <c r="E1664" s="122"/>
      <c r="F1664" s="99"/>
    </row>
    <row r="1665" spans="2:6" x14ac:dyDescent="0.3">
      <c r="B1665" s="99"/>
      <c r="C1665" s="112"/>
      <c r="D1665" s="121"/>
      <c r="E1665" s="122"/>
      <c r="F1665" s="99"/>
    </row>
    <row r="1666" spans="2:6" x14ac:dyDescent="0.3">
      <c r="B1666" s="99"/>
      <c r="C1666" s="112"/>
      <c r="D1666" s="121"/>
      <c r="E1666" s="122"/>
      <c r="F1666" s="99"/>
    </row>
    <row r="1667" spans="2:6" x14ac:dyDescent="0.3">
      <c r="B1667" s="99"/>
      <c r="C1667" s="112"/>
      <c r="D1667" s="121"/>
      <c r="E1667" s="122"/>
      <c r="F1667" s="99"/>
    </row>
    <row r="1668" spans="2:6" x14ac:dyDescent="0.3">
      <c r="B1668" s="99"/>
      <c r="C1668" s="112"/>
      <c r="D1668" s="121"/>
      <c r="E1668" s="122"/>
      <c r="F1668" s="99"/>
    </row>
    <row r="1669" spans="2:6" x14ac:dyDescent="0.3">
      <c r="B1669" s="99"/>
      <c r="C1669" s="112"/>
      <c r="D1669" s="121"/>
      <c r="E1669" s="122"/>
      <c r="F1669" s="99"/>
    </row>
    <row r="1670" spans="2:6" x14ac:dyDescent="0.3">
      <c r="B1670" s="99"/>
      <c r="C1670" s="112"/>
      <c r="D1670" s="121"/>
      <c r="E1670" s="122"/>
      <c r="F1670" s="99"/>
    </row>
    <row r="1671" spans="2:6" x14ac:dyDescent="0.3">
      <c r="B1671" s="99"/>
      <c r="C1671" s="112"/>
      <c r="D1671" s="121"/>
      <c r="E1671" s="122"/>
      <c r="F1671" s="99"/>
    </row>
    <row r="1672" spans="2:6" x14ac:dyDescent="0.3">
      <c r="B1672" s="99"/>
      <c r="C1672" s="112"/>
      <c r="D1672" s="121"/>
      <c r="E1672" s="122"/>
      <c r="F1672" s="99"/>
    </row>
    <row r="1673" spans="2:6" x14ac:dyDescent="0.3">
      <c r="B1673" s="99"/>
      <c r="C1673" s="112"/>
      <c r="D1673" s="121"/>
      <c r="E1673" s="122"/>
      <c r="F1673" s="99"/>
    </row>
    <row r="1674" spans="2:6" x14ac:dyDescent="0.3">
      <c r="B1674" s="99"/>
      <c r="C1674" s="112"/>
      <c r="D1674" s="121"/>
      <c r="E1674" s="122"/>
      <c r="F1674" s="99"/>
    </row>
    <row r="1675" spans="2:6" x14ac:dyDescent="0.3">
      <c r="B1675" s="99"/>
      <c r="C1675" s="112"/>
      <c r="D1675" s="121"/>
      <c r="E1675" s="122"/>
      <c r="F1675" s="99"/>
    </row>
    <row r="1676" spans="2:6" x14ac:dyDescent="0.3">
      <c r="B1676" s="99"/>
      <c r="C1676" s="112"/>
      <c r="D1676" s="121"/>
      <c r="E1676" s="122"/>
      <c r="F1676" s="99"/>
    </row>
    <row r="1677" spans="2:6" x14ac:dyDescent="0.3">
      <c r="B1677" s="99"/>
      <c r="C1677" s="112"/>
      <c r="D1677" s="121"/>
      <c r="E1677" s="122"/>
      <c r="F1677" s="99"/>
    </row>
    <row r="1678" spans="2:6" x14ac:dyDescent="0.3">
      <c r="B1678" s="99"/>
      <c r="C1678" s="112"/>
      <c r="D1678" s="121"/>
      <c r="E1678" s="122"/>
      <c r="F1678" s="99"/>
    </row>
    <row r="1679" spans="2:6" x14ac:dyDescent="0.3">
      <c r="B1679" s="99"/>
      <c r="C1679" s="112"/>
      <c r="D1679" s="121"/>
      <c r="E1679" s="122"/>
      <c r="F1679" s="99"/>
    </row>
    <row r="1680" spans="2:6" x14ac:dyDescent="0.3">
      <c r="B1680" s="99"/>
      <c r="C1680" s="112"/>
      <c r="D1680" s="121"/>
      <c r="E1680" s="122"/>
      <c r="F1680" s="99"/>
    </row>
    <row r="1681" spans="2:6" x14ac:dyDescent="0.3">
      <c r="B1681" s="99"/>
      <c r="C1681" s="112"/>
      <c r="D1681" s="121"/>
      <c r="E1681" s="122"/>
      <c r="F1681" s="99"/>
    </row>
    <row r="1682" spans="2:6" x14ac:dyDescent="0.3">
      <c r="B1682" s="99"/>
      <c r="C1682" s="112"/>
      <c r="D1682" s="121"/>
      <c r="E1682" s="122"/>
      <c r="F1682" s="99"/>
    </row>
    <row r="1683" spans="2:6" x14ac:dyDescent="0.3">
      <c r="B1683" s="99"/>
      <c r="C1683" s="112"/>
      <c r="D1683" s="121"/>
      <c r="E1683" s="122"/>
      <c r="F1683" s="99"/>
    </row>
    <row r="1684" spans="2:6" x14ac:dyDescent="0.3">
      <c r="B1684" s="99"/>
      <c r="C1684" s="112"/>
      <c r="D1684" s="121"/>
      <c r="E1684" s="122"/>
      <c r="F1684" s="99"/>
    </row>
    <row r="1685" spans="2:6" x14ac:dyDescent="0.3">
      <c r="B1685" s="99"/>
      <c r="C1685" s="112"/>
      <c r="D1685" s="121"/>
      <c r="E1685" s="122"/>
      <c r="F1685" s="99"/>
    </row>
    <row r="1686" spans="2:6" x14ac:dyDescent="0.3">
      <c r="B1686" s="99"/>
      <c r="C1686" s="112"/>
      <c r="D1686" s="121"/>
      <c r="E1686" s="122"/>
      <c r="F1686" s="99"/>
    </row>
    <row r="1687" spans="2:6" x14ac:dyDescent="0.3">
      <c r="B1687" s="99"/>
      <c r="C1687" s="112"/>
      <c r="D1687" s="121"/>
      <c r="E1687" s="122"/>
      <c r="F1687" s="99"/>
    </row>
    <row r="1688" spans="2:6" x14ac:dyDescent="0.3">
      <c r="B1688" s="99"/>
      <c r="C1688" s="112"/>
      <c r="D1688" s="121"/>
      <c r="E1688" s="122"/>
      <c r="F1688" s="99"/>
    </row>
    <row r="1689" spans="2:6" x14ac:dyDescent="0.3">
      <c r="B1689" s="99"/>
      <c r="C1689" s="112"/>
      <c r="D1689" s="121"/>
      <c r="E1689" s="122"/>
      <c r="F1689" s="99"/>
    </row>
    <row r="1690" spans="2:6" x14ac:dyDescent="0.3">
      <c r="B1690" s="99"/>
      <c r="C1690" s="112"/>
      <c r="D1690" s="121"/>
      <c r="E1690" s="122"/>
      <c r="F1690" s="99"/>
    </row>
    <row r="1691" spans="2:6" x14ac:dyDescent="0.3">
      <c r="B1691" s="99"/>
      <c r="C1691" s="112"/>
      <c r="D1691" s="121"/>
      <c r="E1691" s="122"/>
      <c r="F1691" s="99"/>
    </row>
    <row r="1692" spans="2:6" x14ac:dyDescent="0.3">
      <c r="B1692" s="99"/>
      <c r="C1692" s="112"/>
      <c r="D1692" s="121"/>
      <c r="E1692" s="122"/>
      <c r="F1692" s="99"/>
    </row>
    <row r="1693" spans="2:6" x14ac:dyDescent="0.3">
      <c r="B1693" s="99"/>
      <c r="C1693" s="112"/>
      <c r="D1693" s="121"/>
      <c r="E1693" s="122"/>
      <c r="F1693" s="99"/>
    </row>
    <row r="1694" spans="2:6" x14ac:dyDescent="0.3">
      <c r="B1694" s="99"/>
      <c r="C1694" s="112"/>
      <c r="D1694" s="121"/>
      <c r="E1694" s="122"/>
      <c r="F1694" s="99"/>
    </row>
    <row r="1695" spans="2:6" x14ac:dyDescent="0.3">
      <c r="B1695" s="99"/>
      <c r="C1695" s="112"/>
      <c r="D1695" s="121"/>
      <c r="E1695" s="122"/>
      <c r="F1695" s="99"/>
    </row>
    <row r="1696" spans="2:6" x14ac:dyDescent="0.3">
      <c r="B1696" s="99"/>
      <c r="C1696" s="112"/>
      <c r="D1696" s="121"/>
      <c r="E1696" s="122"/>
      <c r="F1696" s="99"/>
    </row>
    <row r="1697" spans="2:6" x14ac:dyDescent="0.3">
      <c r="B1697" s="99"/>
      <c r="C1697" s="112"/>
      <c r="D1697" s="121"/>
      <c r="E1697" s="122"/>
      <c r="F1697" s="99"/>
    </row>
    <row r="1698" spans="2:6" x14ac:dyDescent="0.3">
      <c r="B1698" s="99"/>
      <c r="C1698" s="112"/>
      <c r="D1698" s="121"/>
      <c r="E1698" s="122"/>
      <c r="F1698" s="99"/>
    </row>
    <row r="1699" spans="2:6" x14ac:dyDescent="0.3">
      <c r="B1699" s="99"/>
      <c r="C1699" s="112"/>
      <c r="D1699" s="121"/>
      <c r="E1699" s="122"/>
      <c r="F1699" s="99"/>
    </row>
    <row r="1700" spans="2:6" x14ac:dyDescent="0.3">
      <c r="B1700" s="99"/>
      <c r="C1700" s="112"/>
      <c r="D1700" s="121"/>
      <c r="E1700" s="122"/>
      <c r="F1700" s="99"/>
    </row>
    <row r="1701" spans="2:6" x14ac:dyDescent="0.3">
      <c r="B1701" s="99"/>
      <c r="C1701" s="112"/>
      <c r="D1701" s="121"/>
      <c r="E1701" s="122"/>
      <c r="F1701" s="99"/>
    </row>
    <row r="1702" spans="2:6" x14ac:dyDescent="0.3">
      <c r="B1702" s="99"/>
      <c r="C1702" s="112"/>
      <c r="D1702" s="121"/>
      <c r="E1702" s="122"/>
      <c r="F1702" s="99"/>
    </row>
    <row r="1703" spans="2:6" x14ac:dyDescent="0.3">
      <c r="B1703" s="99"/>
      <c r="C1703" s="112"/>
      <c r="D1703" s="121"/>
      <c r="E1703" s="122"/>
      <c r="F1703" s="99"/>
    </row>
    <row r="1704" spans="2:6" x14ac:dyDescent="0.3">
      <c r="B1704" s="99"/>
      <c r="C1704" s="112"/>
      <c r="D1704" s="121"/>
      <c r="E1704" s="122"/>
      <c r="F1704" s="99"/>
    </row>
    <row r="1705" spans="2:6" x14ac:dyDescent="0.3">
      <c r="B1705" s="99"/>
      <c r="C1705" s="112"/>
      <c r="D1705" s="121"/>
      <c r="E1705" s="122"/>
      <c r="F1705" s="99"/>
    </row>
    <row r="1706" spans="2:6" x14ac:dyDescent="0.3">
      <c r="B1706" s="99"/>
      <c r="C1706" s="112"/>
      <c r="D1706" s="121"/>
      <c r="E1706" s="122"/>
      <c r="F1706" s="99"/>
    </row>
    <row r="1707" spans="2:6" x14ac:dyDescent="0.3">
      <c r="B1707" s="99"/>
      <c r="C1707" s="112"/>
      <c r="D1707" s="121"/>
      <c r="E1707" s="122"/>
      <c r="F1707" s="99"/>
    </row>
    <row r="1708" spans="2:6" x14ac:dyDescent="0.3">
      <c r="B1708" s="99"/>
      <c r="C1708" s="112"/>
      <c r="D1708" s="121"/>
      <c r="E1708" s="122"/>
      <c r="F1708" s="99"/>
    </row>
    <row r="1709" spans="2:6" x14ac:dyDescent="0.3">
      <c r="B1709" s="99"/>
      <c r="C1709" s="112"/>
      <c r="D1709" s="121"/>
      <c r="E1709" s="122"/>
      <c r="F1709" s="99"/>
    </row>
    <row r="1710" spans="2:6" x14ac:dyDescent="0.3">
      <c r="B1710" s="99"/>
      <c r="C1710" s="112"/>
      <c r="D1710" s="121"/>
      <c r="E1710" s="122"/>
      <c r="F1710" s="99"/>
    </row>
    <row r="1711" spans="2:6" x14ac:dyDescent="0.3">
      <c r="B1711" s="99"/>
      <c r="C1711" s="112"/>
      <c r="D1711" s="121"/>
      <c r="E1711" s="122"/>
      <c r="F1711" s="99"/>
    </row>
    <row r="1712" spans="2:6" x14ac:dyDescent="0.3">
      <c r="B1712" s="99"/>
      <c r="C1712" s="112"/>
      <c r="D1712" s="121"/>
      <c r="E1712" s="122"/>
      <c r="F1712" s="99"/>
    </row>
    <row r="1713" spans="2:6" x14ac:dyDescent="0.3">
      <c r="B1713" s="99"/>
      <c r="C1713" s="112"/>
      <c r="D1713" s="121"/>
      <c r="E1713" s="122"/>
      <c r="F1713" s="99"/>
    </row>
    <row r="1714" spans="2:6" x14ac:dyDescent="0.3">
      <c r="B1714" s="99"/>
      <c r="C1714" s="112"/>
      <c r="D1714" s="121"/>
      <c r="E1714" s="122"/>
      <c r="F1714" s="99"/>
    </row>
    <row r="1715" spans="2:6" x14ac:dyDescent="0.3">
      <c r="B1715" s="99"/>
      <c r="C1715" s="112"/>
      <c r="D1715" s="121"/>
      <c r="E1715" s="122"/>
      <c r="F1715" s="99"/>
    </row>
    <row r="1716" spans="2:6" x14ac:dyDescent="0.3">
      <c r="B1716" s="99"/>
      <c r="C1716" s="112"/>
      <c r="D1716" s="121"/>
      <c r="E1716" s="122"/>
      <c r="F1716" s="99"/>
    </row>
    <row r="1717" spans="2:6" x14ac:dyDescent="0.3">
      <c r="B1717" s="99"/>
      <c r="C1717" s="112"/>
      <c r="D1717" s="121"/>
      <c r="E1717" s="122"/>
      <c r="F1717" s="99"/>
    </row>
    <row r="1718" spans="2:6" x14ac:dyDescent="0.3">
      <c r="B1718" s="99"/>
      <c r="C1718" s="112"/>
      <c r="D1718" s="121"/>
      <c r="E1718" s="122"/>
      <c r="F1718" s="99"/>
    </row>
    <row r="1719" spans="2:6" x14ac:dyDescent="0.3">
      <c r="B1719" s="99"/>
      <c r="C1719" s="112"/>
      <c r="D1719" s="121"/>
      <c r="E1719" s="122"/>
      <c r="F1719" s="99"/>
    </row>
    <row r="1720" spans="2:6" x14ac:dyDescent="0.3">
      <c r="B1720" s="99"/>
      <c r="C1720" s="112"/>
      <c r="D1720" s="121"/>
      <c r="E1720" s="122"/>
      <c r="F1720" s="99"/>
    </row>
    <row r="1721" spans="2:6" x14ac:dyDescent="0.3">
      <c r="B1721" s="99"/>
      <c r="C1721" s="112"/>
      <c r="D1721" s="121"/>
      <c r="E1721" s="122"/>
      <c r="F1721" s="99"/>
    </row>
    <row r="1722" spans="2:6" x14ac:dyDescent="0.3">
      <c r="B1722" s="99"/>
      <c r="C1722" s="112"/>
      <c r="D1722" s="121"/>
      <c r="E1722" s="122"/>
      <c r="F1722" s="99"/>
    </row>
    <row r="1723" spans="2:6" x14ac:dyDescent="0.3">
      <c r="B1723" s="99"/>
      <c r="C1723" s="112"/>
      <c r="D1723" s="121"/>
      <c r="E1723" s="122"/>
      <c r="F1723" s="99"/>
    </row>
    <row r="1724" spans="2:6" x14ac:dyDescent="0.3">
      <c r="B1724" s="99"/>
      <c r="C1724" s="112"/>
      <c r="D1724" s="121"/>
      <c r="E1724" s="122"/>
      <c r="F1724" s="99"/>
    </row>
    <row r="1725" spans="2:6" x14ac:dyDescent="0.3">
      <c r="B1725" s="99"/>
      <c r="C1725" s="112"/>
      <c r="D1725" s="121"/>
      <c r="E1725" s="122"/>
      <c r="F1725" s="99"/>
    </row>
    <row r="1726" spans="2:6" x14ac:dyDescent="0.3">
      <c r="B1726" s="99"/>
      <c r="C1726" s="112"/>
      <c r="D1726" s="121"/>
      <c r="E1726" s="122"/>
      <c r="F1726" s="99"/>
    </row>
    <row r="1727" spans="2:6" x14ac:dyDescent="0.3">
      <c r="B1727" s="99"/>
      <c r="C1727" s="112"/>
      <c r="D1727" s="121"/>
      <c r="E1727" s="122"/>
      <c r="F1727" s="99"/>
    </row>
    <row r="1728" spans="2:6" x14ac:dyDescent="0.3">
      <c r="B1728" s="99"/>
      <c r="C1728" s="112"/>
      <c r="D1728" s="121"/>
      <c r="E1728" s="122"/>
      <c r="F1728" s="99"/>
    </row>
    <row r="1729" spans="2:6" x14ac:dyDescent="0.3">
      <c r="B1729" s="99"/>
      <c r="C1729" s="112"/>
      <c r="D1729" s="121"/>
      <c r="E1729" s="122"/>
      <c r="F1729" s="99"/>
    </row>
    <row r="1730" spans="2:6" x14ac:dyDescent="0.3">
      <c r="B1730" s="99"/>
      <c r="C1730" s="112"/>
      <c r="D1730" s="121"/>
      <c r="E1730" s="122"/>
      <c r="F1730" s="99"/>
    </row>
    <row r="1731" spans="2:6" x14ac:dyDescent="0.3">
      <c r="B1731" s="99"/>
      <c r="C1731" s="112"/>
      <c r="D1731" s="121"/>
      <c r="E1731" s="122"/>
      <c r="F1731" s="99"/>
    </row>
    <row r="1732" spans="2:6" x14ac:dyDescent="0.3">
      <c r="B1732" s="99"/>
      <c r="C1732" s="112"/>
      <c r="D1732" s="121"/>
      <c r="E1732" s="122"/>
      <c r="F1732" s="99"/>
    </row>
    <row r="1733" spans="2:6" x14ac:dyDescent="0.3">
      <c r="B1733" s="99"/>
      <c r="C1733" s="112"/>
      <c r="D1733" s="121"/>
      <c r="E1733" s="122"/>
      <c r="F1733" s="99"/>
    </row>
    <row r="1734" spans="2:6" x14ac:dyDescent="0.3">
      <c r="B1734" s="99"/>
      <c r="C1734" s="112"/>
      <c r="D1734" s="121"/>
      <c r="E1734" s="122"/>
      <c r="F1734" s="99"/>
    </row>
    <row r="1735" spans="2:6" x14ac:dyDescent="0.3">
      <c r="B1735" s="99"/>
      <c r="C1735" s="112"/>
      <c r="D1735" s="121"/>
      <c r="E1735" s="122"/>
      <c r="F1735" s="99"/>
    </row>
    <row r="1736" spans="2:6" x14ac:dyDescent="0.3">
      <c r="B1736" s="99"/>
      <c r="C1736" s="112"/>
      <c r="D1736" s="121"/>
      <c r="E1736" s="122"/>
      <c r="F1736" s="99"/>
    </row>
    <row r="1737" spans="2:6" x14ac:dyDescent="0.3">
      <c r="B1737" s="99"/>
      <c r="C1737" s="112"/>
      <c r="D1737" s="121"/>
      <c r="E1737" s="122"/>
      <c r="F1737" s="99"/>
    </row>
    <row r="1738" spans="2:6" x14ac:dyDescent="0.3">
      <c r="B1738" s="99"/>
      <c r="C1738" s="112"/>
      <c r="D1738" s="121"/>
      <c r="E1738" s="122"/>
      <c r="F1738" s="99"/>
    </row>
    <row r="1739" spans="2:6" x14ac:dyDescent="0.3">
      <c r="B1739" s="99"/>
      <c r="C1739" s="112"/>
      <c r="D1739" s="121"/>
      <c r="E1739" s="122"/>
      <c r="F1739" s="99"/>
    </row>
    <row r="1740" spans="2:6" x14ac:dyDescent="0.3">
      <c r="B1740" s="99"/>
      <c r="C1740" s="112"/>
      <c r="D1740" s="121"/>
      <c r="E1740" s="122"/>
      <c r="F1740" s="99"/>
    </row>
    <row r="1741" spans="2:6" x14ac:dyDescent="0.3">
      <c r="B1741" s="99"/>
      <c r="C1741" s="112"/>
      <c r="D1741" s="121"/>
      <c r="E1741" s="122"/>
      <c r="F1741" s="99"/>
    </row>
    <row r="1742" spans="2:6" x14ac:dyDescent="0.3">
      <c r="B1742" s="99"/>
      <c r="C1742" s="112"/>
      <c r="D1742" s="121"/>
      <c r="E1742" s="122"/>
      <c r="F1742" s="99"/>
    </row>
    <row r="1743" spans="2:6" x14ac:dyDescent="0.3">
      <c r="B1743" s="99"/>
      <c r="C1743" s="112"/>
      <c r="D1743" s="121"/>
      <c r="E1743" s="122"/>
      <c r="F1743" s="99"/>
    </row>
    <row r="1744" spans="2:6" x14ac:dyDescent="0.3">
      <c r="B1744" s="99"/>
      <c r="C1744" s="112"/>
      <c r="D1744" s="121"/>
      <c r="E1744" s="122"/>
      <c r="F1744" s="99"/>
    </row>
    <row r="1745" spans="2:6" x14ac:dyDescent="0.3">
      <c r="B1745" s="99"/>
      <c r="C1745" s="112"/>
      <c r="D1745" s="121"/>
      <c r="E1745" s="122"/>
      <c r="F1745" s="99"/>
    </row>
    <row r="1746" spans="2:6" x14ac:dyDescent="0.3">
      <c r="B1746" s="99"/>
      <c r="C1746" s="112"/>
      <c r="D1746" s="121"/>
      <c r="E1746" s="122"/>
      <c r="F1746" s="99"/>
    </row>
    <row r="1747" spans="2:6" x14ac:dyDescent="0.3">
      <c r="B1747" s="99"/>
      <c r="C1747" s="112"/>
      <c r="D1747" s="121"/>
      <c r="E1747" s="122"/>
      <c r="F1747" s="99"/>
    </row>
    <row r="1748" spans="2:6" x14ac:dyDescent="0.3">
      <c r="B1748" s="99"/>
      <c r="C1748" s="112"/>
      <c r="D1748" s="121"/>
      <c r="E1748" s="122"/>
      <c r="F1748" s="99"/>
    </row>
    <row r="1749" spans="2:6" x14ac:dyDescent="0.3">
      <c r="B1749" s="99"/>
      <c r="C1749" s="112"/>
      <c r="D1749" s="121"/>
      <c r="E1749" s="122"/>
      <c r="F1749" s="99"/>
    </row>
    <row r="1750" spans="2:6" x14ac:dyDescent="0.3">
      <c r="B1750" s="99"/>
      <c r="C1750" s="112"/>
      <c r="D1750" s="121"/>
      <c r="E1750" s="122"/>
      <c r="F1750" s="99"/>
    </row>
    <row r="1751" spans="2:6" x14ac:dyDescent="0.3">
      <c r="B1751" s="99"/>
      <c r="C1751" s="112"/>
      <c r="D1751" s="121"/>
      <c r="E1751" s="122"/>
      <c r="F1751" s="99"/>
    </row>
    <row r="1752" spans="2:6" x14ac:dyDescent="0.3">
      <c r="B1752" s="99"/>
      <c r="C1752" s="112"/>
      <c r="D1752" s="121"/>
      <c r="E1752" s="122"/>
      <c r="F1752" s="99"/>
    </row>
    <row r="1753" spans="2:6" x14ac:dyDescent="0.3">
      <c r="B1753" s="99"/>
      <c r="C1753" s="112"/>
      <c r="D1753" s="121"/>
      <c r="E1753" s="122"/>
      <c r="F1753" s="99"/>
    </row>
    <row r="1754" spans="2:6" x14ac:dyDescent="0.3">
      <c r="B1754" s="99"/>
      <c r="C1754" s="112"/>
      <c r="D1754" s="121"/>
      <c r="E1754" s="122"/>
      <c r="F1754" s="99"/>
    </row>
    <row r="1755" spans="2:6" x14ac:dyDescent="0.3">
      <c r="B1755" s="99"/>
      <c r="C1755" s="112"/>
      <c r="D1755" s="121"/>
      <c r="E1755" s="122"/>
      <c r="F1755" s="99"/>
    </row>
    <row r="1756" spans="2:6" x14ac:dyDescent="0.3">
      <c r="B1756" s="99"/>
      <c r="C1756" s="112"/>
      <c r="D1756" s="121"/>
      <c r="E1756" s="122"/>
      <c r="F1756" s="99"/>
    </row>
    <row r="1757" spans="2:6" x14ac:dyDescent="0.3">
      <c r="B1757" s="99"/>
      <c r="C1757" s="112"/>
      <c r="D1757" s="121"/>
      <c r="E1757" s="122"/>
      <c r="F1757" s="99"/>
    </row>
    <row r="1758" spans="2:6" x14ac:dyDescent="0.3">
      <c r="B1758" s="99"/>
      <c r="C1758" s="112"/>
      <c r="D1758" s="121"/>
      <c r="E1758" s="122"/>
      <c r="F1758" s="99"/>
    </row>
    <row r="1759" spans="2:6" x14ac:dyDescent="0.3">
      <c r="B1759" s="99"/>
      <c r="C1759" s="112"/>
      <c r="D1759" s="121"/>
      <c r="E1759" s="122"/>
      <c r="F1759" s="99"/>
    </row>
    <row r="1760" spans="2:6" x14ac:dyDescent="0.3">
      <c r="B1760" s="99"/>
      <c r="C1760" s="112"/>
      <c r="D1760" s="121"/>
      <c r="E1760" s="122"/>
      <c r="F1760" s="99"/>
    </row>
    <row r="1761" spans="2:6" x14ac:dyDescent="0.3">
      <c r="B1761" s="99"/>
      <c r="C1761" s="112"/>
      <c r="D1761" s="121"/>
      <c r="E1761" s="122"/>
      <c r="F1761" s="99"/>
    </row>
    <row r="1762" spans="2:6" x14ac:dyDescent="0.3">
      <c r="B1762" s="99"/>
      <c r="C1762" s="112"/>
      <c r="D1762" s="121"/>
      <c r="E1762" s="122"/>
      <c r="F1762" s="99"/>
    </row>
    <row r="1763" spans="2:6" x14ac:dyDescent="0.3">
      <c r="B1763" s="99"/>
      <c r="C1763" s="112"/>
      <c r="D1763" s="121"/>
      <c r="E1763" s="122"/>
      <c r="F1763" s="99"/>
    </row>
    <row r="1764" spans="2:6" x14ac:dyDescent="0.3">
      <c r="B1764" s="99"/>
      <c r="C1764" s="112"/>
      <c r="D1764" s="121"/>
      <c r="E1764" s="122"/>
      <c r="F1764" s="99"/>
    </row>
    <row r="1765" spans="2:6" x14ac:dyDescent="0.3">
      <c r="B1765" s="99"/>
      <c r="C1765" s="112"/>
      <c r="D1765" s="121"/>
      <c r="E1765" s="122"/>
      <c r="F1765" s="99"/>
    </row>
    <row r="1766" spans="2:6" x14ac:dyDescent="0.3">
      <c r="B1766" s="99"/>
      <c r="C1766" s="112"/>
      <c r="D1766" s="121"/>
      <c r="E1766" s="122"/>
      <c r="F1766" s="99"/>
    </row>
    <row r="1767" spans="2:6" x14ac:dyDescent="0.3">
      <c r="B1767" s="99"/>
      <c r="C1767" s="112"/>
      <c r="D1767" s="121"/>
      <c r="E1767" s="122"/>
      <c r="F1767" s="99"/>
    </row>
    <row r="1768" spans="2:6" x14ac:dyDescent="0.3">
      <c r="B1768" s="99"/>
      <c r="C1768" s="112"/>
      <c r="D1768" s="121"/>
      <c r="E1768" s="122"/>
      <c r="F1768" s="99"/>
    </row>
    <row r="1769" spans="2:6" x14ac:dyDescent="0.3">
      <c r="B1769" s="99"/>
      <c r="C1769" s="112"/>
      <c r="D1769" s="121"/>
      <c r="E1769" s="122"/>
      <c r="F1769" s="99"/>
    </row>
    <row r="1770" spans="2:6" x14ac:dyDescent="0.3">
      <c r="B1770" s="99"/>
      <c r="C1770" s="112"/>
      <c r="D1770" s="121"/>
      <c r="E1770" s="122"/>
      <c r="F1770" s="99"/>
    </row>
    <row r="1771" spans="2:6" x14ac:dyDescent="0.3">
      <c r="B1771" s="99"/>
      <c r="C1771" s="112"/>
      <c r="D1771" s="121"/>
      <c r="E1771" s="122"/>
      <c r="F1771" s="99"/>
    </row>
    <row r="1772" spans="2:6" x14ac:dyDescent="0.3">
      <c r="B1772" s="99"/>
      <c r="C1772" s="112"/>
      <c r="D1772" s="121"/>
      <c r="E1772" s="122"/>
      <c r="F1772" s="99"/>
    </row>
    <row r="1773" spans="2:6" x14ac:dyDescent="0.3">
      <c r="B1773" s="99"/>
      <c r="C1773" s="112"/>
      <c r="D1773" s="121"/>
      <c r="E1773" s="122"/>
      <c r="F1773" s="99"/>
    </row>
    <row r="1774" spans="2:6" x14ac:dyDescent="0.3">
      <c r="B1774" s="99"/>
      <c r="C1774" s="112"/>
      <c r="D1774" s="121"/>
      <c r="E1774" s="122"/>
      <c r="F1774" s="99"/>
    </row>
    <row r="1775" spans="2:6" x14ac:dyDescent="0.3">
      <c r="B1775" s="99"/>
      <c r="C1775" s="112"/>
      <c r="D1775" s="121"/>
      <c r="E1775" s="122"/>
      <c r="F1775" s="99"/>
    </row>
    <row r="1776" spans="2:6" x14ac:dyDescent="0.3">
      <c r="B1776" s="99"/>
      <c r="C1776" s="112"/>
      <c r="D1776" s="121"/>
      <c r="E1776" s="122"/>
      <c r="F1776" s="99"/>
    </row>
    <row r="1777" spans="2:6" x14ac:dyDescent="0.3">
      <c r="B1777" s="99"/>
      <c r="C1777" s="112"/>
      <c r="D1777" s="121"/>
      <c r="E1777" s="122"/>
      <c r="F1777" s="99"/>
    </row>
    <row r="1778" spans="2:6" x14ac:dyDescent="0.3">
      <c r="B1778" s="99"/>
      <c r="C1778" s="112"/>
      <c r="D1778" s="121"/>
      <c r="E1778" s="122"/>
      <c r="F1778" s="99"/>
    </row>
    <row r="1779" spans="2:6" x14ac:dyDescent="0.3">
      <c r="B1779" s="99"/>
      <c r="C1779" s="112"/>
      <c r="D1779" s="121"/>
      <c r="E1779" s="122"/>
      <c r="F1779" s="99"/>
    </row>
    <row r="1780" spans="2:6" x14ac:dyDescent="0.3">
      <c r="B1780" s="99"/>
      <c r="C1780" s="112"/>
      <c r="D1780" s="121"/>
      <c r="E1780" s="122"/>
      <c r="F1780" s="99"/>
    </row>
    <row r="1781" spans="2:6" x14ac:dyDescent="0.3">
      <c r="B1781" s="99"/>
      <c r="C1781" s="112"/>
      <c r="D1781" s="121"/>
      <c r="E1781" s="122"/>
      <c r="F1781" s="99"/>
    </row>
    <row r="1782" spans="2:6" x14ac:dyDescent="0.3">
      <c r="B1782" s="99"/>
      <c r="C1782" s="112"/>
      <c r="D1782" s="121"/>
      <c r="E1782" s="122"/>
      <c r="F1782" s="99"/>
    </row>
    <row r="1783" spans="2:6" x14ac:dyDescent="0.3">
      <c r="B1783" s="99"/>
      <c r="C1783" s="112"/>
      <c r="D1783" s="121"/>
      <c r="E1783" s="122"/>
      <c r="F1783" s="99"/>
    </row>
    <row r="1784" spans="2:6" x14ac:dyDescent="0.3">
      <c r="B1784" s="99"/>
      <c r="C1784" s="112"/>
      <c r="D1784" s="121"/>
      <c r="E1784" s="122"/>
      <c r="F1784" s="99"/>
    </row>
    <row r="1785" spans="2:6" x14ac:dyDescent="0.3">
      <c r="B1785" s="99"/>
      <c r="C1785" s="112"/>
      <c r="D1785" s="121"/>
      <c r="E1785" s="122"/>
      <c r="F1785" s="99"/>
    </row>
    <row r="1786" spans="2:6" x14ac:dyDescent="0.3">
      <c r="B1786" s="99"/>
      <c r="C1786" s="112"/>
      <c r="D1786" s="121"/>
      <c r="E1786" s="122"/>
      <c r="F1786" s="99"/>
    </row>
    <row r="1787" spans="2:6" x14ac:dyDescent="0.3">
      <c r="B1787" s="99"/>
      <c r="C1787" s="112"/>
      <c r="D1787" s="121"/>
      <c r="E1787" s="122"/>
      <c r="F1787" s="99"/>
    </row>
    <row r="1788" spans="2:6" x14ac:dyDescent="0.3">
      <c r="B1788" s="99"/>
      <c r="C1788" s="112"/>
      <c r="D1788" s="121"/>
      <c r="E1788" s="122"/>
      <c r="F1788" s="99"/>
    </row>
    <row r="1789" spans="2:6" x14ac:dyDescent="0.3">
      <c r="B1789" s="99"/>
      <c r="C1789" s="112"/>
      <c r="D1789" s="121"/>
      <c r="E1789" s="122"/>
      <c r="F1789" s="99"/>
    </row>
    <row r="1790" spans="2:6" x14ac:dyDescent="0.3">
      <c r="B1790" s="99"/>
      <c r="C1790" s="112"/>
      <c r="D1790" s="121"/>
      <c r="E1790" s="122"/>
      <c r="F1790" s="99"/>
    </row>
    <row r="1791" spans="2:6" x14ac:dyDescent="0.3">
      <c r="B1791" s="99"/>
      <c r="C1791" s="112"/>
      <c r="D1791" s="121"/>
      <c r="E1791" s="122"/>
      <c r="F1791" s="99"/>
    </row>
    <row r="1792" spans="2:6" x14ac:dyDescent="0.3">
      <c r="B1792" s="99"/>
      <c r="C1792" s="112"/>
      <c r="D1792" s="121"/>
      <c r="E1792" s="122"/>
      <c r="F1792" s="99"/>
    </row>
    <row r="1793" spans="2:6" x14ac:dyDescent="0.3">
      <c r="B1793" s="99"/>
      <c r="C1793" s="112"/>
      <c r="D1793" s="121"/>
      <c r="E1793" s="122"/>
      <c r="F1793" s="99"/>
    </row>
    <row r="1794" spans="2:6" x14ac:dyDescent="0.3">
      <c r="B1794" s="99"/>
      <c r="C1794" s="112"/>
      <c r="D1794" s="121"/>
      <c r="E1794" s="122"/>
      <c r="F1794" s="99"/>
    </row>
    <row r="1795" spans="2:6" x14ac:dyDescent="0.3">
      <c r="B1795" s="99"/>
      <c r="C1795" s="112"/>
      <c r="D1795" s="121"/>
      <c r="E1795" s="122"/>
      <c r="F1795" s="99"/>
    </row>
    <row r="1796" spans="2:6" x14ac:dyDescent="0.3">
      <c r="B1796" s="99"/>
      <c r="C1796" s="112"/>
      <c r="D1796" s="121"/>
      <c r="E1796" s="122"/>
      <c r="F1796" s="99"/>
    </row>
    <row r="1797" spans="2:6" x14ac:dyDescent="0.3">
      <c r="B1797" s="99"/>
      <c r="C1797" s="112"/>
      <c r="D1797" s="121"/>
      <c r="E1797" s="122"/>
      <c r="F1797" s="99"/>
    </row>
    <row r="1798" spans="2:6" x14ac:dyDescent="0.3">
      <c r="B1798" s="99"/>
      <c r="C1798" s="112"/>
      <c r="D1798" s="121"/>
      <c r="E1798" s="122"/>
      <c r="F1798" s="99"/>
    </row>
    <row r="1799" spans="2:6" x14ac:dyDescent="0.3">
      <c r="B1799" s="99"/>
      <c r="C1799" s="112"/>
      <c r="D1799" s="121"/>
      <c r="E1799" s="122"/>
      <c r="F1799" s="99"/>
    </row>
    <row r="1800" spans="2:6" x14ac:dyDescent="0.3">
      <c r="B1800" s="99"/>
      <c r="C1800" s="112"/>
      <c r="D1800" s="121"/>
      <c r="E1800" s="122"/>
      <c r="F1800" s="99"/>
    </row>
    <row r="1801" spans="2:6" x14ac:dyDescent="0.3">
      <c r="B1801" s="99"/>
      <c r="C1801" s="112"/>
      <c r="D1801" s="121"/>
      <c r="E1801" s="122"/>
      <c r="F1801" s="99"/>
    </row>
    <row r="1802" spans="2:6" x14ac:dyDescent="0.3">
      <c r="B1802" s="99"/>
      <c r="C1802" s="112"/>
      <c r="D1802" s="121"/>
      <c r="E1802" s="122"/>
      <c r="F1802" s="99"/>
    </row>
    <row r="1803" spans="2:6" x14ac:dyDescent="0.3">
      <c r="B1803" s="99"/>
      <c r="C1803" s="112"/>
      <c r="D1803" s="121"/>
      <c r="E1803" s="122"/>
      <c r="F1803" s="99"/>
    </row>
    <row r="1804" spans="2:6" x14ac:dyDescent="0.3">
      <c r="B1804" s="99"/>
      <c r="C1804" s="112"/>
      <c r="D1804" s="121"/>
      <c r="E1804" s="122"/>
      <c r="F1804" s="99"/>
    </row>
    <row r="1805" spans="2:6" x14ac:dyDescent="0.3">
      <c r="B1805" s="99"/>
      <c r="C1805" s="112"/>
      <c r="D1805" s="121"/>
      <c r="E1805" s="122"/>
      <c r="F1805" s="99"/>
    </row>
    <row r="1806" spans="2:6" x14ac:dyDescent="0.3">
      <c r="B1806" s="99"/>
      <c r="C1806" s="112"/>
      <c r="D1806" s="121"/>
      <c r="E1806" s="122"/>
      <c r="F1806" s="99"/>
    </row>
    <row r="1807" spans="2:6" x14ac:dyDescent="0.3">
      <c r="B1807" s="99"/>
      <c r="C1807" s="112"/>
      <c r="D1807" s="121"/>
      <c r="E1807" s="122"/>
      <c r="F1807" s="99"/>
    </row>
    <row r="1808" spans="2:6" x14ac:dyDescent="0.3">
      <c r="B1808" s="99"/>
      <c r="C1808" s="112"/>
      <c r="D1808" s="121"/>
      <c r="E1808" s="122"/>
      <c r="F1808" s="99"/>
    </row>
    <row r="1809" spans="2:6" x14ac:dyDescent="0.3">
      <c r="B1809" s="99"/>
      <c r="C1809" s="112"/>
      <c r="D1809" s="121"/>
      <c r="E1809" s="122"/>
      <c r="F1809" s="99"/>
    </row>
    <row r="1810" spans="2:6" x14ac:dyDescent="0.3">
      <c r="B1810" s="99"/>
      <c r="C1810" s="112"/>
      <c r="D1810" s="121"/>
      <c r="E1810" s="122"/>
      <c r="F1810" s="99"/>
    </row>
    <row r="1811" spans="2:6" x14ac:dyDescent="0.3">
      <c r="B1811" s="99"/>
      <c r="C1811" s="112"/>
      <c r="D1811" s="121"/>
      <c r="E1811" s="122"/>
      <c r="F1811" s="99"/>
    </row>
    <row r="1812" spans="2:6" x14ac:dyDescent="0.3">
      <c r="B1812" s="99"/>
      <c r="C1812" s="112"/>
      <c r="D1812" s="121"/>
      <c r="E1812" s="122"/>
      <c r="F1812" s="99"/>
    </row>
    <row r="1813" spans="2:6" x14ac:dyDescent="0.3">
      <c r="B1813" s="99"/>
      <c r="C1813" s="112"/>
      <c r="D1813" s="121"/>
      <c r="E1813" s="122"/>
      <c r="F1813" s="99"/>
    </row>
    <row r="1814" spans="2:6" x14ac:dyDescent="0.3">
      <c r="B1814" s="99"/>
      <c r="C1814" s="112"/>
      <c r="D1814" s="121"/>
      <c r="E1814" s="122"/>
      <c r="F1814" s="99"/>
    </row>
    <row r="1815" spans="2:6" x14ac:dyDescent="0.3">
      <c r="B1815" s="99"/>
      <c r="C1815" s="112"/>
      <c r="D1815" s="121"/>
      <c r="E1815" s="122"/>
      <c r="F1815" s="99"/>
    </row>
    <row r="1816" spans="2:6" x14ac:dyDescent="0.3">
      <c r="B1816" s="99"/>
      <c r="C1816" s="112"/>
      <c r="D1816" s="121"/>
      <c r="E1816" s="122"/>
      <c r="F1816" s="99"/>
    </row>
    <row r="1817" spans="2:6" x14ac:dyDescent="0.3">
      <c r="B1817" s="99"/>
      <c r="C1817" s="112"/>
      <c r="D1817" s="121"/>
      <c r="E1817" s="122"/>
      <c r="F1817" s="99"/>
    </row>
    <row r="1818" spans="2:6" x14ac:dyDescent="0.3">
      <c r="B1818" s="99"/>
      <c r="C1818" s="112"/>
      <c r="D1818" s="121"/>
      <c r="E1818" s="122"/>
      <c r="F1818" s="99"/>
    </row>
    <row r="1819" spans="2:6" x14ac:dyDescent="0.3">
      <c r="B1819" s="99"/>
      <c r="C1819" s="112"/>
      <c r="D1819" s="121"/>
      <c r="E1819" s="122"/>
      <c r="F1819" s="99"/>
    </row>
    <row r="1820" spans="2:6" x14ac:dyDescent="0.3">
      <c r="B1820" s="99"/>
      <c r="C1820" s="112"/>
      <c r="D1820" s="121"/>
      <c r="E1820" s="122"/>
      <c r="F1820" s="99"/>
    </row>
    <row r="1821" spans="2:6" x14ac:dyDescent="0.3">
      <c r="B1821" s="99"/>
      <c r="C1821" s="112"/>
      <c r="D1821" s="121"/>
      <c r="E1821" s="122"/>
      <c r="F1821" s="99"/>
    </row>
    <row r="1822" spans="2:6" x14ac:dyDescent="0.3">
      <c r="B1822" s="99"/>
      <c r="C1822" s="112"/>
      <c r="D1822" s="121"/>
      <c r="E1822" s="122"/>
      <c r="F1822" s="99"/>
    </row>
    <row r="1823" spans="2:6" x14ac:dyDescent="0.3">
      <c r="B1823" s="99"/>
      <c r="C1823" s="112"/>
      <c r="D1823" s="121"/>
      <c r="E1823" s="122"/>
      <c r="F1823" s="99"/>
    </row>
    <row r="1824" spans="2:6" x14ac:dyDescent="0.3">
      <c r="B1824" s="99"/>
      <c r="C1824" s="112"/>
      <c r="D1824" s="121"/>
      <c r="E1824" s="122"/>
      <c r="F1824" s="99"/>
    </row>
    <row r="1825" spans="2:6" x14ac:dyDescent="0.3">
      <c r="B1825" s="99"/>
      <c r="C1825" s="112"/>
      <c r="D1825" s="121"/>
      <c r="E1825" s="122"/>
      <c r="F1825" s="99"/>
    </row>
    <row r="1826" spans="2:6" x14ac:dyDescent="0.3">
      <c r="B1826" s="99"/>
      <c r="C1826" s="112"/>
      <c r="D1826" s="121"/>
      <c r="E1826" s="122"/>
      <c r="F1826" s="99"/>
    </row>
    <row r="1827" spans="2:6" x14ac:dyDescent="0.3">
      <c r="B1827" s="99"/>
      <c r="C1827" s="112"/>
      <c r="D1827" s="121"/>
      <c r="E1827" s="122"/>
      <c r="F1827" s="99"/>
    </row>
    <row r="1828" spans="2:6" x14ac:dyDescent="0.3">
      <c r="B1828" s="99"/>
      <c r="C1828" s="112"/>
      <c r="D1828" s="121"/>
      <c r="E1828" s="122"/>
      <c r="F1828" s="99"/>
    </row>
    <row r="1829" spans="2:6" x14ac:dyDescent="0.3">
      <c r="B1829" s="99"/>
      <c r="C1829" s="112"/>
      <c r="D1829" s="121"/>
      <c r="E1829" s="122"/>
      <c r="F1829" s="99"/>
    </row>
    <row r="1830" spans="2:6" x14ac:dyDescent="0.3">
      <c r="B1830" s="99"/>
      <c r="C1830" s="112"/>
      <c r="D1830" s="121"/>
      <c r="E1830" s="122"/>
      <c r="F1830" s="99"/>
    </row>
    <row r="1831" spans="2:6" x14ac:dyDescent="0.3">
      <c r="B1831" s="99"/>
      <c r="C1831" s="112"/>
      <c r="D1831" s="121"/>
      <c r="E1831" s="122"/>
      <c r="F1831" s="99"/>
    </row>
    <row r="1832" spans="2:6" x14ac:dyDescent="0.3">
      <c r="B1832" s="99"/>
      <c r="C1832" s="112"/>
      <c r="D1832" s="121"/>
      <c r="E1832" s="122"/>
      <c r="F1832" s="99"/>
    </row>
    <row r="1833" spans="2:6" x14ac:dyDescent="0.3">
      <c r="B1833" s="99"/>
      <c r="C1833" s="112"/>
      <c r="D1833" s="121"/>
      <c r="E1833" s="122"/>
      <c r="F1833" s="99"/>
    </row>
    <row r="1834" spans="2:6" x14ac:dyDescent="0.3">
      <c r="B1834" s="99"/>
      <c r="C1834" s="112"/>
      <c r="D1834" s="121"/>
      <c r="E1834" s="122"/>
      <c r="F1834" s="99"/>
    </row>
    <row r="1835" spans="2:6" x14ac:dyDescent="0.3">
      <c r="B1835" s="99"/>
      <c r="C1835" s="112"/>
      <c r="D1835" s="121"/>
      <c r="E1835" s="122"/>
      <c r="F1835" s="99"/>
    </row>
    <row r="1836" spans="2:6" x14ac:dyDescent="0.3">
      <c r="B1836" s="99"/>
      <c r="C1836" s="112"/>
      <c r="D1836" s="121"/>
      <c r="E1836" s="122"/>
      <c r="F1836" s="99"/>
    </row>
    <row r="1837" spans="2:6" x14ac:dyDescent="0.3">
      <c r="B1837" s="99"/>
      <c r="C1837" s="112"/>
      <c r="D1837" s="121"/>
      <c r="E1837" s="122"/>
      <c r="F1837" s="99"/>
    </row>
    <row r="1838" spans="2:6" x14ac:dyDescent="0.3">
      <c r="B1838" s="99"/>
      <c r="C1838" s="112"/>
      <c r="D1838" s="121"/>
      <c r="E1838" s="122"/>
      <c r="F1838" s="99"/>
    </row>
    <row r="1839" spans="2:6" x14ac:dyDescent="0.3">
      <c r="B1839" s="99"/>
      <c r="C1839" s="112"/>
      <c r="D1839" s="121"/>
      <c r="E1839" s="122"/>
      <c r="F1839" s="99"/>
    </row>
    <row r="1840" spans="2:6" x14ac:dyDescent="0.3">
      <c r="B1840" s="99"/>
      <c r="C1840" s="112"/>
      <c r="D1840" s="121"/>
      <c r="E1840" s="122"/>
      <c r="F1840" s="99"/>
    </row>
    <row r="1841" spans="2:6" x14ac:dyDescent="0.3">
      <c r="B1841" s="99"/>
      <c r="C1841" s="112"/>
      <c r="D1841" s="121"/>
      <c r="E1841" s="122"/>
      <c r="F1841" s="99"/>
    </row>
    <row r="1842" spans="2:6" x14ac:dyDescent="0.3">
      <c r="B1842" s="99"/>
      <c r="C1842" s="112"/>
      <c r="D1842" s="121"/>
      <c r="E1842" s="122"/>
      <c r="F1842" s="99"/>
    </row>
    <row r="1843" spans="2:6" x14ac:dyDescent="0.3">
      <c r="B1843" s="99"/>
      <c r="C1843" s="112"/>
      <c r="D1843" s="121"/>
      <c r="E1843" s="122"/>
      <c r="F1843" s="99"/>
    </row>
    <row r="1844" spans="2:6" x14ac:dyDescent="0.3">
      <c r="B1844" s="99"/>
      <c r="C1844" s="112"/>
      <c r="D1844" s="121"/>
      <c r="E1844" s="122"/>
      <c r="F1844" s="99"/>
    </row>
    <row r="1845" spans="2:6" x14ac:dyDescent="0.3">
      <c r="B1845" s="99"/>
      <c r="C1845" s="112"/>
      <c r="D1845" s="121"/>
      <c r="E1845" s="122"/>
      <c r="F1845" s="99"/>
    </row>
    <row r="1846" spans="2:6" x14ac:dyDescent="0.3">
      <c r="B1846" s="99"/>
      <c r="C1846" s="112"/>
      <c r="D1846" s="121"/>
      <c r="E1846" s="122"/>
      <c r="F1846" s="99"/>
    </row>
    <row r="1847" spans="2:6" x14ac:dyDescent="0.3">
      <c r="B1847" s="99"/>
      <c r="C1847" s="112"/>
      <c r="D1847" s="121"/>
      <c r="E1847" s="122"/>
      <c r="F1847" s="99"/>
    </row>
    <row r="1848" spans="2:6" x14ac:dyDescent="0.3">
      <c r="B1848" s="99"/>
      <c r="C1848" s="112"/>
      <c r="D1848" s="121"/>
      <c r="E1848" s="122"/>
      <c r="F1848" s="99"/>
    </row>
    <row r="1849" spans="2:6" x14ac:dyDescent="0.3">
      <c r="B1849" s="99"/>
      <c r="C1849" s="112"/>
      <c r="D1849" s="121"/>
      <c r="E1849" s="122"/>
      <c r="F1849" s="99"/>
    </row>
    <row r="1850" spans="2:6" x14ac:dyDescent="0.3">
      <c r="B1850" s="99"/>
      <c r="C1850" s="112"/>
      <c r="D1850" s="121"/>
      <c r="E1850" s="122"/>
      <c r="F1850" s="99"/>
    </row>
    <row r="1851" spans="2:6" x14ac:dyDescent="0.3">
      <c r="B1851" s="99"/>
      <c r="C1851" s="112"/>
      <c r="D1851" s="121"/>
      <c r="E1851" s="122"/>
      <c r="F1851" s="99"/>
    </row>
    <row r="1852" spans="2:6" x14ac:dyDescent="0.3">
      <c r="B1852" s="99"/>
      <c r="C1852" s="112"/>
      <c r="D1852" s="121"/>
      <c r="E1852" s="122"/>
      <c r="F1852" s="99"/>
    </row>
    <row r="1853" spans="2:6" x14ac:dyDescent="0.3">
      <c r="B1853" s="99"/>
      <c r="C1853" s="112"/>
      <c r="D1853" s="121"/>
      <c r="E1853" s="122"/>
      <c r="F1853" s="99"/>
    </row>
    <row r="1854" spans="2:6" x14ac:dyDescent="0.3">
      <c r="B1854" s="99"/>
      <c r="C1854" s="112"/>
      <c r="D1854" s="121"/>
      <c r="E1854" s="122"/>
      <c r="F1854" s="99"/>
    </row>
    <row r="1855" spans="2:6" x14ac:dyDescent="0.3">
      <c r="B1855" s="99"/>
      <c r="C1855" s="112"/>
      <c r="D1855" s="121"/>
      <c r="E1855" s="122"/>
      <c r="F1855" s="99"/>
    </row>
    <row r="1856" spans="2:6" x14ac:dyDescent="0.3">
      <c r="B1856" s="99"/>
      <c r="C1856" s="112"/>
      <c r="D1856" s="121"/>
      <c r="E1856" s="122"/>
      <c r="F1856" s="99"/>
    </row>
    <row r="1857" spans="2:6" x14ac:dyDescent="0.3">
      <c r="B1857" s="99"/>
      <c r="C1857" s="112"/>
      <c r="D1857" s="121"/>
      <c r="E1857" s="122"/>
      <c r="F1857" s="99"/>
    </row>
    <row r="1858" spans="2:6" x14ac:dyDescent="0.3">
      <c r="B1858" s="99"/>
      <c r="C1858" s="112"/>
      <c r="D1858" s="121"/>
      <c r="E1858" s="122"/>
      <c r="F1858" s="99"/>
    </row>
    <row r="1859" spans="2:6" x14ac:dyDescent="0.3">
      <c r="B1859" s="99"/>
      <c r="C1859" s="112"/>
      <c r="D1859" s="121"/>
      <c r="E1859" s="122"/>
      <c r="F1859" s="99"/>
    </row>
    <row r="1860" spans="2:6" x14ac:dyDescent="0.3">
      <c r="B1860" s="99"/>
      <c r="C1860" s="112"/>
      <c r="D1860" s="121"/>
      <c r="E1860" s="122"/>
      <c r="F1860" s="99"/>
    </row>
    <row r="1861" spans="2:6" x14ac:dyDescent="0.3">
      <c r="B1861" s="99"/>
      <c r="C1861" s="112"/>
      <c r="D1861" s="121"/>
      <c r="E1861" s="122"/>
      <c r="F1861" s="99"/>
    </row>
    <row r="1862" spans="2:6" x14ac:dyDescent="0.3">
      <c r="B1862" s="99"/>
      <c r="C1862" s="112"/>
      <c r="D1862" s="121"/>
      <c r="E1862" s="122"/>
      <c r="F1862" s="99"/>
    </row>
    <row r="1863" spans="2:6" x14ac:dyDescent="0.3">
      <c r="B1863" s="99"/>
      <c r="C1863" s="112"/>
      <c r="D1863" s="121"/>
      <c r="E1863" s="122"/>
      <c r="F1863" s="99"/>
    </row>
    <row r="1864" spans="2:6" x14ac:dyDescent="0.3">
      <c r="B1864" s="99"/>
      <c r="C1864" s="112"/>
      <c r="D1864" s="121"/>
      <c r="E1864" s="122"/>
      <c r="F1864" s="99"/>
    </row>
    <row r="1865" spans="2:6" x14ac:dyDescent="0.3">
      <c r="B1865" s="99"/>
      <c r="C1865" s="112"/>
      <c r="D1865" s="121"/>
      <c r="E1865" s="122"/>
      <c r="F1865" s="99"/>
    </row>
    <row r="1866" spans="2:6" x14ac:dyDescent="0.3">
      <c r="B1866" s="99"/>
      <c r="C1866" s="112"/>
      <c r="D1866" s="121"/>
      <c r="E1866" s="122"/>
      <c r="F1866" s="99"/>
    </row>
    <row r="1867" spans="2:6" x14ac:dyDescent="0.3">
      <c r="B1867" s="99"/>
      <c r="C1867" s="112"/>
      <c r="D1867" s="121"/>
      <c r="E1867" s="122"/>
      <c r="F1867" s="99"/>
    </row>
    <row r="1868" spans="2:6" x14ac:dyDescent="0.3">
      <c r="B1868" s="99"/>
      <c r="C1868" s="112"/>
      <c r="D1868" s="121"/>
      <c r="E1868" s="122"/>
      <c r="F1868" s="99"/>
    </row>
    <row r="1869" spans="2:6" x14ac:dyDescent="0.3">
      <c r="B1869" s="99"/>
      <c r="C1869" s="112"/>
      <c r="D1869" s="121"/>
      <c r="E1869" s="122"/>
      <c r="F1869" s="99"/>
    </row>
    <row r="1870" spans="2:6" x14ac:dyDescent="0.3">
      <c r="B1870" s="99"/>
      <c r="C1870" s="112"/>
      <c r="D1870" s="121"/>
      <c r="E1870" s="122"/>
      <c r="F1870" s="99"/>
    </row>
    <row r="1871" spans="2:6" x14ac:dyDescent="0.3">
      <c r="B1871" s="99"/>
      <c r="C1871" s="112"/>
      <c r="D1871" s="121"/>
      <c r="E1871" s="122"/>
      <c r="F1871" s="99"/>
    </row>
    <row r="1872" spans="2:6" x14ac:dyDescent="0.3">
      <c r="B1872" s="99"/>
      <c r="C1872" s="112"/>
      <c r="D1872" s="121"/>
      <c r="E1872" s="122"/>
      <c r="F1872" s="99"/>
    </row>
    <row r="1873" spans="2:6" x14ac:dyDescent="0.3">
      <c r="B1873" s="99"/>
      <c r="C1873" s="112"/>
      <c r="D1873" s="121"/>
      <c r="E1873" s="122"/>
      <c r="F1873" s="99"/>
    </row>
    <row r="1874" spans="2:6" x14ac:dyDescent="0.3">
      <c r="B1874" s="99"/>
      <c r="C1874" s="112"/>
      <c r="D1874" s="121"/>
      <c r="E1874" s="122"/>
      <c r="F1874" s="99"/>
    </row>
    <row r="1875" spans="2:6" x14ac:dyDescent="0.3">
      <c r="B1875" s="99"/>
      <c r="C1875" s="112"/>
      <c r="D1875" s="121"/>
      <c r="E1875" s="122"/>
      <c r="F1875" s="99"/>
    </row>
    <row r="1876" spans="2:6" x14ac:dyDescent="0.3">
      <c r="B1876" s="99"/>
      <c r="C1876" s="112"/>
      <c r="D1876" s="121"/>
      <c r="E1876" s="122"/>
      <c r="F1876" s="99"/>
    </row>
    <row r="1877" spans="2:6" x14ac:dyDescent="0.3">
      <c r="B1877" s="99"/>
      <c r="C1877" s="112"/>
      <c r="D1877" s="121"/>
      <c r="E1877" s="122"/>
      <c r="F1877" s="99"/>
    </row>
    <row r="1878" spans="2:6" x14ac:dyDescent="0.3">
      <c r="B1878" s="99"/>
      <c r="C1878" s="112"/>
      <c r="D1878" s="121"/>
      <c r="E1878" s="122"/>
      <c r="F1878" s="99"/>
    </row>
    <row r="1879" spans="2:6" x14ac:dyDescent="0.3">
      <c r="B1879" s="99"/>
      <c r="C1879" s="112"/>
      <c r="D1879" s="121"/>
      <c r="E1879" s="122"/>
      <c r="F1879" s="99"/>
    </row>
    <row r="1880" spans="2:6" x14ac:dyDescent="0.3">
      <c r="B1880" s="99"/>
      <c r="C1880" s="112"/>
      <c r="D1880" s="121"/>
      <c r="E1880" s="122"/>
      <c r="F1880" s="99"/>
    </row>
    <row r="1881" spans="2:6" x14ac:dyDescent="0.3">
      <c r="B1881" s="99"/>
      <c r="C1881" s="112"/>
      <c r="D1881" s="121"/>
      <c r="E1881" s="122"/>
      <c r="F1881" s="99"/>
    </row>
    <row r="1882" spans="2:6" x14ac:dyDescent="0.3">
      <c r="B1882" s="99"/>
      <c r="C1882" s="112"/>
      <c r="D1882" s="121"/>
      <c r="E1882" s="122"/>
      <c r="F1882" s="99"/>
    </row>
    <row r="1883" spans="2:6" x14ac:dyDescent="0.3">
      <c r="B1883" s="99"/>
      <c r="C1883" s="112"/>
      <c r="D1883" s="121"/>
      <c r="E1883" s="122"/>
      <c r="F1883" s="99"/>
    </row>
    <row r="1884" spans="2:6" x14ac:dyDescent="0.3">
      <c r="B1884" s="99"/>
      <c r="C1884" s="112"/>
      <c r="D1884" s="121"/>
      <c r="E1884" s="122"/>
      <c r="F1884" s="99"/>
    </row>
    <row r="1885" spans="2:6" x14ac:dyDescent="0.3">
      <c r="B1885" s="99"/>
      <c r="C1885" s="112"/>
      <c r="D1885" s="121"/>
      <c r="E1885" s="122"/>
      <c r="F1885" s="99"/>
    </row>
    <row r="1886" spans="2:6" x14ac:dyDescent="0.3">
      <c r="B1886" s="99"/>
      <c r="C1886" s="112"/>
      <c r="D1886" s="121"/>
      <c r="E1886" s="122"/>
      <c r="F1886" s="99"/>
    </row>
    <row r="1887" spans="2:6" x14ac:dyDescent="0.3">
      <c r="B1887" s="99"/>
      <c r="C1887" s="112"/>
      <c r="D1887" s="121"/>
      <c r="E1887" s="122"/>
      <c r="F1887" s="99"/>
    </row>
    <row r="1888" spans="2:6" x14ac:dyDescent="0.3">
      <c r="B1888" s="99"/>
      <c r="C1888" s="112"/>
      <c r="D1888" s="121"/>
      <c r="E1888" s="122"/>
      <c r="F1888" s="99"/>
    </row>
    <row r="1889" spans="2:6" x14ac:dyDescent="0.3">
      <c r="B1889" s="99"/>
      <c r="C1889" s="112"/>
      <c r="D1889" s="121"/>
      <c r="E1889" s="122"/>
      <c r="F1889" s="99"/>
    </row>
    <row r="1890" spans="2:6" x14ac:dyDescent="0.3">
      <c r="B1890" s="99"/>
      <c r="C1890" s="112"/>
      <c r="D1890" s="121"/>
      <c r="E1890" s="122"/>
      <c r="F1890" s="99"/>
    </row>
    <row r="1891" spans="2:6" x14ac:dyDescent="0.3">
      <c r="B1891" s="99"/>
      <c r="C1891" s="112"/>
      <c r="D1891" s="121"/>
      <c r="E1891" s="122"/>
      <c r="F1891" s="99"/>
    </row>
    <row r="1892" spans="2:6" x14ac:dyDescent="0.3">
      <c r="B1892" s="99"/>
      <c r="C1892" s="112"/>
      <c r="D1892" s="121"/>
      <c r="E1892" s="122"/>
      <c r="F1892" s="99"/>
    </row>
    <row r="1893" spans="2:6" x14ac:dyDescent="0.3">
      <c r="B1893" s="99"/>
      <c r="C1893" s="112"/>
      <c r="D1893" s="121"/>
      <c r="E1893" s="122"/>
      <c r="F1893" s="99"/>
    </row>
    <row r="1894" spans="2:6" x14ac:dyDescent="0.3">
      <c r="B1894" s="99"/>
      <c r="C1894" s="112"/>
      <c r="D1894" s="121"/>
      <c r="E1894" s="122"/>
      <c r="F1894" s="99"/>
    </row>
    <row r="1895" spans="2:6" x14ac:dyDescent="0.3">
      <c r="B1895" s="99"/>
      <c r="C1895" s="112"/>
      <c r="D1895" s="121"/>
      <c r="E1895" s="122"/>
      <c r="F1895" s="99"/>
    </row>
    <row r="1896" spans="2:6" x14ac:dyDescent="0.3">
      <c r="B1896" s="99"/>
      <c r="C1896" s="112"/>
      <c r="D1896" s="121"/>
      <c r="E1896" s="122"/>
      <c r="F1896" s="99"/>
    </row>
    <row r="1897" spans="2:6" x14ac:dyDescent="0.3">
      <c r="B1897" s="99"/>
      <c r="C1897" s="112"/>
      <c r="D1897" s="121"/>
      <c r="E1897" s="122"/>
      <c r="F1897" s="99"/>
    </row>
    <row r="1898" spans="2:6" x14ac:dyDescent="0.3">
      <c r="B1898" s="99"/>
      <c r="C1898" s="112"/>
      <c r="D1898" s="121"/>
      <c r="E1898" s="122"/>
      <c r="F1898" s="99"/>
    </row>
    <row r="1899" spans="2:6" x14ac:dyDescent="0.3">
      <c r="B1899" s="99"/>
      <c r="C1899" s="112"/>
      <c r="D1899" s="121"/>
      <c r="E1899" s="122"/>
      <c r="F1899" s="99"/>
    </row>
    <row r="1900" spans="2:6" x14ac:dyDescent="0.3">
      <c r="B1900" s="99"/>
      <c r="C1900" s="112"/>
      <c r="D1900" s="121"/>
      <c r="E1900" s="122"/>
      <c r="F1900" s="99"/>
    </row>
    <row r="1901" spans="2:6" x14ac:dyDescent="0.3">
      <c r="B1901" s="99"/>
      <c r="C1901" s="112"/>
      <c r="D1901" s="121"/>
      <c r="E1901" s="122"/>
      <c r="F1901" s="99"/>
    </row>
    <row r="1902" spans="2:6" x14ac:dyDescent="0.3">
      <c r="B1902" s="99"/>
      <c r="C1902" s="112"/>
      <c r="D1902" s="121"/>
      <c r="E1902" s="122"/>
      <c r="F1902" s="99"/>
    </row>
    <row r="1903" spans="2:6" x14ac:dyDescent="0.3">
      <c r="B1903" s="99"/>
      <c r="C1903" s="112"/>
      <c r="D1903" s="121"/>
      <c r="E1903" s="122"/>
      <c r="F1903" s="99"/>
    </row>
    <row r="1904" spans="2:6" x14ac:dyDescent="0.3">
      <c r="B1904" s="99"/>
      <c r="C1904" s="112"/>
      <c r="D1904" s="121"/>
      <c r="E1904" s="122"/>
      <c r="F1904" s="99"/>
    </row>
    <row r="1905" spans="2:6" x14ac:dyDescent="0.3">
      <c r="B1905" s="99"/>
      <c r="C1905" s="112"/>
      <c r="D1905" s="121"/>
      <c r="E1905" s="122"/>
      <c r="F1905" s="99"/>
    </row>
    <row r="1906" spans="2:6" x14ac:dyDescent="0.3">
      <c r="B1906" s="99"/>
      <c r="C1906" s="112"/>
      <c r="D1906" s="121"/>
      <c r="E1906" s="122"/>
      <c r="F1906" s="99"/>
    </row>
    <row r="1907" spans="2:6" x14ac:dyDescent="0.3">
      <c r="B1907" s="99"/>
      <c r="C1907" s="112"/>
      <c r="D1907" s="121"/>
      <c r="E1907" s="122"/>
      <c r="F1907" s="99"/>
    </row>
    <row r="1908" spans="2:6" x14ac:dyDescent="0.3">
      <c r="B1908" s="99"/>
      <c r="C1908" s="112"/>
      <c r="D1908" s="121"/>
      <c r="E1908" s="122"/>
      <c r="F1908" s="99"/>
    </row>
    <row r="1909" spans="2:6" x14ac:dyDescent="0.3">
      <c r="B1909" s="99"/>
      <c r="C1909" s="112"/>
      <c r="D1909" s="121"/>
      <c r="E1909" s="122"/>
      <c r="F1909" s="99"/>
    </row>
    <row r="1910" spans="2:6" x14ac:dyDescent="0.3">
      <c r="B1910" s="99"/>
      <c r="C1910" s="112"/>
      <c r="D1910" s="121"/>
      <c r="E1910" s="122"/>
      <c r="F1910" s="99"/>
    </row>
    <row r="1911" spans="2:6" x14ac:dyDescent="0.3">
      <c r="B1911" s="99"/>
      <c r="C1911" s="112"/>
      <c r="D1911" s="121"/>
      <c r="E1911" s="122"/>
      <c r="F1911" s="99"/>
    </row>
    <row r="1912" spans="2:6" x14ac:dyDescent="0.3">
      <c r="B1912" s="99"/>
      <c r="C1912" s="112"/>
      <c r="D1912" s="121"/>
      <c r="E1912" s="122"/>
      <c r="F1912" s="99"/>
    </row>
    <row r="1913" spans="2:6" x14ac:dyDescent="0.3">
      <c r="B1913" s="99"/>
      <c r="C1913" s="112"/>
      <c r="D1913" s="121"/>
      <c r="E1913" s="122"/>
      <c r="F1913" s="99"/>
    </row>
    <row r="1914" spans="2:6" x14ac:dyDescent="0.3">
      <c r="B1914" s="99"/>
      <c r="C1914" s="112"/>
      <c r="D1914" s="121"/>
      <c r="E1914" s="122"/>
      <c r="F1914" s="99"/>
    </row>
    <row r="1915" spans="2:6" x14ac:dyDescent="0.3">
      <c r="B1915" s="99"/>
      <c r="C1915" s="112"/>
      <c r="D1915" s="121"/>
      <c r="E1915" s="122"/>
      <c r="F1915" s="99"/>
    </row>
    <row r="1916" spans="2:6" x14ac:dyDescent="0.3">
      <c r="B1916" s="99"/>
      <c r="C1916" s="112"/>
      <c r="D1916" s="121"/>
      <c r="E1916" s="122"/>
      <c r="F1916" s="99"/>
    </row>
    <row r="1917" spans="2:6" x14ac:dyDescent="0.3">
      <c r="B1917" s="99"/>
      <c r="C1917" s="112"/>
      <c r="D1917" s="121"/>
      <c r="E1917" s="122"/>
      <c r="F1917" s="99"/>
    </row>
    <row r="1918" spans="2:6" x14ac:dyDescent="0.3">
      <c r="B1918" s="99"/>
      <c r="C1918" s="112"/>
      <c r="D1918" s="121"/>
      <c r="E1918" s="122"/>
      <c r="F1918" s="99"/>
    </row>
    <row r="1919" spans="2:6" x14ac:dyDescent="0.3">
      <c r="B1919" s="99"/>
      <c r="C1919" s="112"/>
      <c r="D1919" s="121"/>
      <c r="E1919" s="122"/>
      <c r="F1919" s="99"/>
    </row>
    <row r="1920" spans="2:6" x14ac:dyDescent="0.3">
      <c r="B1920" s="99"/>
      <c r="C1920" s="112"/>
      <c r="D1920" s="121"/>
      <c r="E1920" s="122"/>
      <c r="F1920" s="99"/>
    </row>
    <row r="1921" spans="2:6" x14ac:dyDescent="0.3">
      <c r="B1921" s="99"/>
      <c r="C1921" s="112"/>
      <c r="D1921" s="121"/>
      <c r="E1921" s="122"/>
      <c r="F1921" s="99"/>
    </row>
    <row r="1922" spans="2:6" x14ac:dyDescent="0.3">
      <c r="B1922" s="99"/>
      <c r="C1922" s="112"/>
      <c r="D1922" s="121"/>
      <c r="E1922" s="122"/>
      <c r="F1922" s="99"/>
    </row>
    <row r="1923" spans="2:6" x14ac:dyDescent="0.3">
      <c r="B1923" s="99"/>
      <c r="C1923" s="112"/>
      <c r="D1923" s="121"/>
      <c r="E1923" s="122"/>
      <c r="F1923" s="99"/>
    </row>
    <row r="1924" spans="2:6" x14ac:dyDescent="0.3">
      <c r="B1924" s="99"/>
      <c r="C1924" s="112"/>
      <c r="D1924" s="121"/>
      <c r="E1924" s="122"/>
      <c r="F1924" s="99"/>
    </row>
    <row r="1925" spans="2:6" x14ac:dyDescent="0.3">
      <c r="B1925" s="99"/>
      <c r="C1925" s="112"/>
      <c r="D1925" s="121"/>
      <c r="E1925" s="122"/>
      <c r="F1925" s="99"/>
    </row>
    <row r="1926" spans="2:6" x14ac:dyDescent="0.3">
      <c r="B1926" s="99"/>
      <c r="C1926" s="112"/>
      <c r="D1926" s="121"/>
      <c r="E1926" s="122"/>
      <c r="F1926" s="99"/>
    </row>
    <row r="1927" spans="2:6" x14ac:dyDescent="0.3">
      <c r="B1927" s="99"/>
      <c r="C1927" s="112"/>
      <c r="D1927" s="121"/>
      <c r="E1927" s="122"/>
      <c r="F1927" s="99"/>
    </row>
    <row r="1928" spans="2:6" x14ac:dyDescent="0.3">
      <c r="B1928" s="99"/>
      <c r="C1928" s="112"/>
      <c r="D1928" s="121"/>
      <c r="E1928" s="122"/>
      <c r="F1928" s="99"/>
    </row>
    <row r="1929" spans="2:6" x14ac:dyDescent="0.3">
      <c r="B1929" s="99"/>
      <c r="C1929" s="112"/>
      <c r="D1929" s="121"/>
      <c r="E1929" s="122"/>
      <c r="F1929" s="99"/>
    </row>
    <row r="1930" spans="2:6" x14ac:dyDescent="0.3">
      <c r="B1930" s="99"/>
      <c r="C1930" s="112"/>
      <c r="D1930" s="121"/>
      <c r="E1930" s="122"/>
      <c r="F1930" s="99"/>
    </row>
    <row r="1931" spans="2:6" x14ac:dyDescent="0.3">
      <c r="B1931" s="99"/>
      <c r="C1931" s="112"/>
      <c r="D1931" s="121"/>
      <c r="E1931" s="122"/>
      <c r="F1931" s="99"/>
    </row>
    <row r="1932" spans="2:6" x14ac:dyDescent="0.3">
      <c r="B1932" s="99"/>
      <c r="C1932" s="112"/>
      <c r="D1932" s="121"/>
      <c r="E1932" s="122"/>
      <c r="F1932" s="99"/>
    </row>
    <row r="1933" spans="2:6" x14ac:dyDescent="0.3">
      <c r="B1933" s="99"/>
      <c r="C1933" s="112"/>
      <c r="D1933" s="121"/>
      <c r="E1933" s="122"/>
      <c r="F1933" s="99"/>
    </row>
    <row r="1934" spans="2:6" x14ac:dyDescent="0.3">
      <c r="B1934" s="99"/>
      <c r="C1934" s="112"/>
      <c r="D1934" s="121"/>
      <c r="E1934" s="122"/>
      <c r="F1934" s="99"/>
    </row>
    <row r="1935" spans="2:6" x14ac:dyDescent="0.3">
      <c r="B1935" s="99"/>
      <c r="C1935" s="112"/>
      <c r="D1935" s="121"/>
      <c r="E1935" s="122"/>
      <c r="F1935" s="99"/>
    </row>
    <row r="1936" spans="2:6" x14ac:dyDescent="0.3">
      <c r="B1936" s="99"/>
      <c r="C1936" s="112"/>
      <c r="D1936" s="121"/>
      <c r="E1936" s="122"/>
      <c r="F1936" s="99"/>
    </row>
    <row r="1937" spans="2:6" x14ac:dyDescent="0.3">
      <c r="B1937" s="99"/>
      <c r="C1937" s="112"/>
      <c r="D1937" s="121"/>
      <c r="E1937" s="122"/>
      <c r="F1937" s="99"/>
    </row>
    <row r="1938" spans="2:6" x14ac:dyDescent="0.3">
      <c r="B1938" s="99"/>
      <c r="C1938" s="112"/>
      <c r="D1938" s="121"/>
      <c r="E1938" s="122"/>
      <c r="F1938" s="99"/>
    </row>
    <row r="1939" spans="2:6" x14ac:dyDescent="0.3">
      <c r="B1939" s="99"/>
      <c r="C1939" s="112"/>
      <c r="D1939" s="121"/>
      <c r="E1939" s="122"/>
      <c r="F1939" s="99"/>
    </row>
    <row r="1940" spans="2:6" x14ac:dyDescent="0.3">
      <c r="B1940" s="99"/>
      <c r="C1940" s="112"/>
      <c r="D1940" s="121"/>
      <c r="E1940" s="122"/>
      <c r="F1940" s="99"/>
    </row>
    <row r="1941" spans="2:6" x14ac:dyDescent="0.3">
      <c r="B1941" s="99"/>
      <c r="C1941" s="112"/>
      <c r="D1941" s="121"/>
      <c r="E1941" s="122"/>
      <c r="F1941" s="99"/>
    </row>
    <row r="1942" spans="2:6" x14ac:dyDescent="0.3">
      <c r="B1942" s="99"/>
      <c r="C1942" s="112"/>
      <c r="D1942" s="121"/>
      <c r="E1942" s="122"/>
      <c r="F1942" s="99"/>
    </row>
    <row r="1943" spans="2:6" x14ac:dyDescent="0.3">
      <c r="B1943" s="99"/>
      <c r="C1943" s="112"/>
      <c r="D1943" s="121"/>
      <c r="E1943" s="122"/>
      <c r="F1943" s="99"/>
    </row>
    <row r="1944" spans="2:6" x14ac:dyDescent="0.3">
      <c r="B1944" s="99"/>
      <c r="C1944" s="112"/>
      <c r="D1944" s="121"/>
      <c r="E1944" s="122"/>
      <c r="F1944" s="99"/>
    </row>
    <row r="1945" spans="2:6" x14ac:dyDescent="0.3">
      <c r="B1945" s="99"/>
      <c r="C1945" s="112"/>
      <c r="D1945" s="121"/>
      <c r="E1945" s="122"/>
      <c r="F1945" s="99"/>
    </row>
    <row r="1946" spans="2:6" x14ac:dyDescent="0.3">
      <c r="B1946" s="99"/>
      <c r="C1946" s="112"/>
      <c r="D1946" s="121"/>
      <c r="E1946" s="122"/>
      <c r="F1946" s="99"/>
    </row>
    <row r="1947" spans="2:6" x14ac:dyDescent="0.3">
      <c r="B1947" s="99"/>
      <c r="C1947" s="112"/>
      <c r="D1947" s="121"/>
      <c r="E1947" s="122"/>
      <c r="F1947" s="99"/>
    </row>
    <row r="1948" spans="2:6" x14ac:dyDescent="0.3">
      <c r="B1948" s="99"/>
      <c r="C1948" s="112"/>
      <c r="D1948" s="121"/>
      <c r="E1948" s="122"/>
      <c r="F1948" s="99"/>
    </row>
    <row r="1949" spans="2:6" x14ac:dyDescent="0.3">
      <c r="B1949" s="99"/>
      <c r="C1949" s="112"/>
      <c r="D1949" s="121"/>
      <c r="E1949" s="122"/>
      <c r="F1949" s="99"/>
    </row>
    <row r="1950" spans="2:6" x14ac:dyDescent="0.3">
      <c r="B1950" s="99"/>
      <c r="C1950" s="112"/>
      <c r="D1950" s="121"/>
      <c r="E1950" s="122"/>
      <c r="F1950" s="99"/>
    </row>
    <row r="1951" spans="2:6" x14ac:dyDescent="0.3">
      <c r="B1951" s="99"/>
      <c r="C1951" s="112"/>
      <c r="D1951" s="121"/>
      <c r="E1951" s="122"/>
      <c r="F1951" s="99"/>
    </row>
    <row r="1952" spans="2:6" x14ac:dyDescent="0.3">
      <c r="B1952" s="99"/>
      <c r="C1952" s="112"/>
      <c r="D1952" s="121"/>
      <c r="E1952" s="122"/>
      <c r="F1952" s="99"/>
    </row>
    <row r="1953" spans="2:6" x14ac:dyDescent="0.3">
      <c r="B1953" s="99"/>
      <c r="C1953" s="112"/>
      <c r="D1953" s="121"/>
      <c r="E1953" s="122"/>
      <c r="F1953" s="99"/>
    </row>
    <row r="1954" spans="2:6" x14ac:dyDescent="0.3">
      <c r="B1954" s="99"/>
      <c r="C1954" s="112"/>
      <c r="D1954" s="121"/>
      <c r="E1954" s="122"/>
      <c r="F1954" s="99"/>
    </row>
    <row r="1955" spans="2:6" x14ac:dyDescent="0.3">
      <c r="B1955" s="99"/>
      <c r="C1955" s="112"/>
      <c r="D1955" s="121"/>
      <c r="E1955" s="122"/>
      <c r="F1955" s="99"/>
    </row>
    <row r="1956" spans="2:6" x14ac:dyDescent="0.3">
      <c r="B1956" s="99"/>
      <c r="C1956" s="112"/>
      <c r="D1956" s="121"/>
      <c r="E1956" s="122"/>
      <c r="F1956" s="99"/>
    </row>
    <row r="1957" spans="2:6" x14ac:dyDescent="0.3">
      <c r="B1957" s="99"/>
      <c r="C1957" s="112"/>
      <c r="D1957" s="121"/>
      <c r="E1957" s="122"/>
      <c r="F1957" s="99"/>
    </row>
    <row r="1958" spans="2:6" x14ac:dyDescent="0.3">
      <c r="B1958" s="99"/>
      <c r="C1958" s="112"/>
      <c r="D1958" s="121"/>
      <c r="E1958" s="122"/>
      <c r="F1958" s="99"/>
    </row>
    <row r="1959" spans="2:6" x14ac:dyDescent="0.3">
      <c r="B1959" s="99"/>
      <c r="C1959" s="112"/>
      <c r="D1959" s="121"/>
      <c r="E1959" s="122"/>
      <c r="F1959" s="99"/>
    </row>
    <row r="1960" spans="2:6" x14ac:dyDescent="0.3">
      <c r="B1960" s="99"/>
      <c r="C1960" s="112"/>
      <c r="D1960" s="121"/>
      <c r="E1960" s="122"/>
      <c r="F1960" s="99"/>
    </row>
    <row r="1961" spans="2:6" x14ac:dyDescent="0.3">
      <c r="B1961" s="99"/>
      <c r="C1961" s="112"/>
      <c r="D1961" s="121"/>
      <c r="E1961" s="122"/>
      <c r="F1961" s="99"/>
    </row>
    <row r="1962" spans="2:6" x14ac:dyDescent="0.3">
      <c r="B1962" s="99"/>
      <c r="C1962" s="112"/>
      <c r="D1962" s="121"/>
      <c r="E1962" s="122"/>
      <c r="F1962" s="99"/>
    </row>
    <row r="1963" spans="2:6" x14ac:dyDescent="0.3">
      <c r="B1963" s="99"/>
      <c r="C1963" s="112"/>
      <c r="D1963" s="121"/>
      <c r="E1963" s="122"/>
      <c r="F1963" s="99"/>
    </row>
    <row r="1964" spans="2:6" x14ac:dyDescent="0.3">
      <c r="B1964" s="99"/>
      <c r="C1964" s="112"/>
      <c r="D1964" s="121"/>
      <c r="E1964" s="122"/>
      <c r="F1964" s="99"/>
    </row>
    <row r="1965" spans="2:6" x14ac:dyDescent="0.3">
      <c r="B1965" s="99"/>
      <c r="C1965" s="112"/>
      <c r="D1965" s="121"/>
      <c r="E1965" s="122"/>
      <c r="F1965" s="99"/>
    </row>
    <row r="1966" spans="2:6" x14ac:dyDescent="0.3">
      <c r="B1966" s="99"/>
      <c r="C1966" s="112"/>
      <c r="D1966" s="121"/>
      <c r="E1966" s="122"/>
      <c r="F1966" s="99"/>
    </row>
    <row r="1967" spans="2:6" x14ac:dyDescent="0.3">
      <c r="B1967" s="99"/>
      <c r="C1967" s="112"/>
      <c r="D1967" s="121"/>
      <c r="E1967" s="122"/>
      <c r="F1967" s="99"/>
    </row>
    <row r="1968" spans="2:6" x14ac:dyDescent="0.3">
      <c r="B1968" s="99"/>
      <c r="C1968" s="112"/>
      <c r="D1968" s="121"/>
      <c r="E1968" s="122"/>
      <c r="F1968" s="99"/>
    </row>
    <row r="1969" spans="2:6" x14ac:dyDescent="0.3">
      <c r="B1969" s="99"/>
      <c r="C1969" s="112"/>
      <c r="D1969" s="121"/>
      <c r="E1969" s="122"/>
      <c r="F1969" s="99"/>
    </row>
    <row r="1970" spans="2:6" x14ac:dyDescent="0.3">
      <c r="B1970" s="99"/>
      <c r="C1970" s="112"/>
      <c r="D1970" s="121"/>
      <c r="E1970" s="122"/>
      <c r="F1970" s="99"/>
    </row>
    <row r="1971" spans="2:6" x14ac:dyDescent="0.3">
      <c r="B1971" s="99"/>
      <c r="C1971" s="112"/>
      <c r="D1971" s="121"/>
      <c r="E1971" s="122"/>
      <c r="F1971" s="99"/>
    </row>
    <row r="1972" spans="2:6" x14ac:dyDescent="0.3">
      <c r="B1972" s="99"/>
      <c r="C1972" s="112"/>
      <c r="D1972" s="121"/>
      <c r="E1972" s="122"/>
      <c r="F1972" s="99"/>
    </row>
    <row r="1973" spans="2:6" x14ac:dyDescent="0.3">
      <c r="B1973" s="99"/>
      <c r="C1973" s="112"/>
      <c r="D1973" s="121"/>
      <c r="E1973" s="122"/>
      <c r="F1973" s="99"/>
    </row>
    <row r="1974" spans="2:6" x14ac:dyDescent="0.3">
      <c r="B1974" s="99"/>
      <c r="C1974" s="112"/>
      <c r="D1974" s="121"/>
      <c r="E1974" s="122"/>
      <c r="F1974" s="99"/>
    </row>
    <row r="1975" spans="2:6" x14ac:dyDescent="0.3">
      <c r="B1975" s="99"/>
      <c r="C1975" s="112"/>
      <c r="D1975" s="121"/>
      <c r="E1975" s="122"/>
      <c r="F1975" s="99"/>
    </row>
    <row r="1976" spans="2:6" x14ac:dyDescent="0.3">
      <c r="B1976" s="99"/>
      <c r="C1976" s="112"/>
      <c r="D1976" s="121"/>
      <c r="E1976" s="122"/>
      <c r="F1976" s="99"/>
    </row>
    <row r="1977" spans="2:6" x14ac:dyDescent="0.3">
      <c r="B1977" s="99"/>
      <c r="C1977" s="112"/>
      <c r="D1977" s="121"/>
      <c r="E1977" s="122"/>
      <c r="F1977" s="99"/>
    </row>
    <row r="1978" spans="2:6" x14ac:dyDescent="0.3">
      <c r="B1978" s="99"/>
      <c r="C1978" s="112"/>
      <c r="D1978" s="121"/>
      <c r="E1978" s="122"/>
      <c r="F1978" s="99"/>
    </row>
    <row r="1979" spans="2:6" x14ac:dyDescent="0.3">
      <c r="B1979" s="99"/>
      <c r="C1979" s="112"/>
      <c r="D1979" s="121"/>
      <c r="E1979" s="122"/>
      <c r="F1979" s="99"/>
    </row>
    <row r="1980" spans="2:6" x14ac:dyDescent="0.3">
      <c r="B1980" s="99"/>
      <c r="C1980" s="112"/>
      <c r="D1980" s="121"/>
      <c r="E1980" s="122"/>
      <c r="F1980" s="99"/>
    </row>
    <row r="1981" spans="2:6" x14ac:dyDescent="0.3">
      <c r="B1981" s="99"/>
      <c r="C1981" s="112"/>
      <c r="D1981" s="121"/>
      <c r="E1981" s="122"/>
      <c r="F1981" s="99"/>
    </row>
    <row r="1982" spans="2:6" x14ac:dyDescent="0.3">
      <c r="B1982" s="99"/>
      <c r="C1982" s="112"/>
      <c r="D1982" s="121"/>
      <c r="E1982" s="122"/>
      <c r="F1982" s="99"/>
    </row>
    <row r="1983" spans="2:6" x14ac:dyDescent="0.3">
      <c r="B1983" s="99"/>
      <c r="C1983" s="112"/>
      <c r="D1983" s="121"/>
      <c r="E1983" s="122"/>
      <c r="F1983" s="99"/>
    </row>
    <row r="1984" spans="2:6" x14ac:dyDescent="0.3">
      <c r="B1984" s="99"/>
      <c r="C1984" s="112"/>
      <c r="D1984" s="121"/>
      <c r="E1984" s="122"/>
      <c r="F1984" s="99"/>
    </row>
    <row r="1985" spans="2:6" x14ac:dyDescent="0.3">
      <c r="B1985" s="99"/>
      <c r="C1985" s="112"/>
      <c r="D1985" s="121"/>
      <c r="E1985" s="122"/>
      <c r="F1985" s="99"/>
    </row>
    <row r="1986" spans="2:6" x14ac:dyDescent="0.3">
      <c r="B1986" s="99"/>
      <c r="C1986" s="112"/>
      <c r="D1986" s="121"/>
      <c r="E1986" s="122"/>
      <c r="F1986" s="99"/>
    </row>
    <row r="1987" spans="2:6" x14ac:dyDescent="0.3">
      <c r="B1987" s="99"/>
      <c r="C1987" s="112"/>
      <c r="D1987" s="121"/>
      <c r="E1987" s="122"/>
      <c r="F1987" s="99"/>
    </row>
    <row r="1988" spans="2:6" x14ac:dyDescent="0.3">
      <c r="B1988" s="99"/>
      <c r="C1988" s="112"/>
      <c r="D1988" s="121"/>
      <c r="E1988" s="122"/>
      <c r="F1988" s="99"/>
    </row>
    <row r="1989" spans="2:6" x14ac:dyDescent="0.3">
      <c r="B1989" s="99"/>
      <c r="C1989" s="112"/>
      <c r="D1989" s="121"/>
      <c r="E1989" s="122"/>
      <c r="F1989" s="99"/>
    </row>
    <row r="1990" spans="2:6" x14ac:dyDescent="0.3">
      <c r="B1990" s="99"/>
      <c r="C1990" s="112"/>
      <c r="D1990" s="121"/>
      <c r="E1990" s="122"/>
      <c r="F1990" s="99"/>
    </row>
    <row r="1991" spans="2:6" x14ac:dyDescent="0.3">
      <c r="B1991" s="99"/>
      <c r="C1991" s="112"/>
      <c r="D1991" s="121"/>
      <c r="E1991" s="122"/>
      <c r="F1991" s="99"/>
    </row>
    <row r="1992" spans="2:6" x14ac:dyDescent="0.3">
      <c r="B1992" s="99"/>
      <c r="C1992" s="112"/>
      <c r="D1992" s="121"/>
      <c r="E1992" s="122"/>
      <c r="F1992" s="99"/>
    </row>
    <row r="1993" spans="2:6" x14ac:dyDescent="0.3">
      <c r="B1993" s="99"/>
      <c r="C1993" s="112"/>
      <c r="D1993" s="121"/>
      <c r="E1993" s="122"/>
      <c r="F1993" s="99"/>
    </row>
    <row r="1994" spans="2:6" x14ac:dyDescent="0.3">
      <c r="B1994" s="99"/>
      <c r="C1994" s="112"/>
      <c r="D1994" s="121"/>
      <c r="E1994" s="122"/>
      <c r="F1994" s="99"/>
    </row>
    <row r="1995" spans="2:6" x14ac:dyDescent="0.3">
      <c r="B1995" s="99"/>
      <c r="C1995" s="112"/>
      <c r="D1995" s="121"/>
      <c r="E1995" s="122"/>
      <c r="F1995" s="99"/>
    </row>
    <row r="1996" spans="2:6" x14ac:dyDescent="0.3">
      <c r="B1996" s="99"/>
      <c r="C1996" s="112"/>
      <c r="D1996" s="121"/>
      <c r="E1996" s="122"/>
      <c r="F1996" s="99"/>
    </row>
    <row r="1997" spans="2:6" x14ac:dyDescent="0.3">
      <c r="B1997" s="99"/>
      <c r="C1997" s="112"/>
      <c r="D1997" s="121"/>
      <c r="E1997" s="122"/>
      <c r="F1997" s="99"/>
    </row>
    <row r="1998" spans="2:6" x14ac:dyDescent="0.3">
      <c r="B1998" s="99"/>
      <c r="C1998" s="112"/>
      <c r="D1998" s="121"/>
      <c r="E1998" s="122"/>
      <c r="F1998" s="99"/>
    </row>
    <row r="1999" spans="2:6" x14ac:dyDescent="0.3">
      <c r="B1999" s="99"/>
      <c r="C1999" s="112"/>
      <c r="D1999" s="121"/>
      <c r="E1999" s="122"/>
      <c r="F1999" s="99"/>
    </row>
    <row r="2000" spans="2:6" x14ac:dyDescent="0.3">
      <c r="B2000" s="99"/>
      <c r="C2000" s="112"/>
      <c r="D2000" s="121"/>
      <c r="E2000" s="122"/>
      <c r="F2000" s="99"/>
    </row>
    <row r="2001" spans="2:6" x14ac:dyDescent="0.3">
      <c r="B2001" s="99"/>
      <c r="C2001" s="112"/>
      <c r="D2001" s="121"/>
      <c r="E2001" s="122"/>
      <c r="F2001" s="99"/>
    </row>
    <row r="2002" spans="2:6" x14ac:dyDescent="0.3">
      <c r="B2002" s="99"/>
      <c r="C2002" s="112"/>
      <c r="D2002" s="121"/>
      <c r="E2002" s="122"/>
      <c r="F2002" s="99"/>
    </row>
    <row r="2003" spans="2:6" x14ac:dyDescent="0.3">
      <c r="B2003" s="99"/>
      <c r="C2003" s="112"/>
      <c r="D2003" s="121"/>
      <c r="E2003" s="122"/>
      <c r="F2003" s="99"/>
    </row>
    <row r="2004" spans="2:6" x14ac:dyDescent="0.3">
      <c r="B2004" s="99"/>
      <c r="C2004" s="112"/>
      <c r="D2004" s="121"/>
      <c r="E2004" s="122"/>
      <c r="F2004" s="99"/>
    </row>
    <row r="2005" spans="2:6" x14ac:dyDescent="0.3">
      <c r="B2005" s="99"/>
      <c r="C2005" s="112"/>
      <c r="D2005" s="121"/>
      <c r="E2005" s="122"/>
      <c r="F2005" s="99"/>
    </row>
  </sheetData>
  <sortState xmlns:xlrd2="http://schemas.microsoft.com/office/spreadsheetml/2017/richdata2" ref="B6:C2005">
    <sortCondition descending="1" ref="C6:C2005"/>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8D78-8F03-42E2-A338-4B41F7B48DCF}">
  <sheetPr>
    <tabColor theme="1" tint="4.9989318521683403E-2"/>
  </sheetPr>
  <dimension ref="A1:FR30"/>
  <sheetViews>
    <sheetView showGridLines="0" zoomScale="70" zoomScaleNormal="70" workbookViewId="0">
      <selection activeCell="L7" sqref="L7"/>
    </sheetView>
  </sheetViews>
  <sheetFormatPr defaultColWidth="8.77734375" defaultRowHeight="14.4" x14ac:dyDescent="0.3"/>
  <cols>
    <col min="1" max="1" width="2.21875" style="41" customWidth="1"/>
    <col min="2" max="2" width="14.21875" style="41" bestFit="1" customWidth="1"/>
    <col min="3" max="3" width="19.77734375" style="41" bestFit="1" customWidth="1"/>
    <col min="4" max="4" width="10" style="41" bestFit="1" customWidth="1"/>
    <col min="5" max="6" width="3.6640625" style="41" customWidth="1"/>
    <col min="7" max="7" width="26.109375" style="41" bestFit="1" customWidth="1"/>
    <col min="8" max="8" width="14.88671875" style="41" bestFit="1" customWidth="1"/>
    <col min="9" max="9" width="10" style="41" bestFit="1" customWidth="1"/>
    <col min="10" max="11" width="13.88671875" style="41" bestFit="1" customWidth="1"/>
    <col min="12" max="12" width="26.109375" style="41" bestFit="1" customWidth="1"/>
    <col min="13" max="13" width="19.77734375" style="41" bestFit="1" customWidth="1"/>
    <col min="14" max="14" width="13.77734375" style="41" bestFit="1" customWidth="1"/>
    <col min="15" max="15" width="19.33203125" style="41" bestFit="1" customWidth="1"/>
    <col min="16" max="16" width="9.44140625" style="41" bestFit="1" customWidth="1"/>
    <col min="17" max="17" width="13.88671875" style="41" bestFit="1" customWidth="1"/>
    <col min="18" max="19" width="12.21875" style="41" bestFit="1" customWidth="1"/>
    <col min="20" max="20" width="13.88671875" style="41" bestFit="1" customWidth="1"/>
    <col min="21" max="22" width="12.21875" style="41" bestFit="1" customWidth="1"/>
    <col min="23" max="27" width="13.88671875" style="41" bestFit="1" customWidth="1"/>
    <col min="28" max="30" width="12.21875" style="41" bestFit="1" customWidth="1"/>
    <col min="31" max="32" width="13.88671875" style="41" bestFit="1" customWidth="1"/>
    <col min="33" max="34" width="12.21875" style="41" bestFit="1" customWidth="1"/>
    <col min="35" max="35" width="13.88671875" style="41" bestFit="1" customWidth="1"/>
    <col min="36" max="37" width="12.21875" style="41" bestFit="1" customWidth="1"/>
    <col min="38" max="38" width="13.88671875" style="41" bestFit="1" customWidth="1"/>
    <col min="39" max="39" width="12.21875" style="41" bestFit="1" customWidth="1"/>
    <col min="40" max="40" width="13.88671875" style="41" bestFit="1" customWidth="1"/>
    <col min="41" max="41" width="12.21875" style="41" bestFit="1" customWidth="1"/>
    <col min="42" max="44" width="13.88671875" style="41" bestFit="1" customWidth="1"/>
    <col min="45" max="50" width="12.21875" style="41" bestFit="1" customWidth="1"/>
    <col min="51" max="52" width="11.21875" style="41" bestFit="1" customWidth="1"/>
    <col min="53" max="53" width="12.21875" style="41" bestFit="1" customWidth="1"/>
    <col min="54" max="55" width="11.21875" style="41" bestFit="1" customWidth="1"/>
    <col min="56" max="56" width="12.21875" style="41" bestFit="1" customWidth="1"/>
    <col min="57" max="57" width="11.21875" style="41" bestFit="1" customWidth="1"/>
    <col min="58" max="58" width="12.21875" style="41" bestFit="1" customWidth="1"/>
    <col min="59" max="59" width="13.88671875" style="41" bestFit="1" customWidth="1"/>
    <col min="60" max="60" width="11.21875" style="41" bestFit="1" customWidth="1"/>
    <col min="61" max="64" width="12.21875" style="41" bestFit="1" customWidth="1"/>
    <col min="65" max="65" width="10.21875" style="41" bestFit="1" customWidth="1"/>
    <col min="66" max="66" width="13.88671875" style="41" bestFit="1" customWidth="1"/>
    <col min="67" max="67" width="11.21875" style="41" bestFit="1" customWidth="1"/>
    <col min="68" max="68" width="13.88671875" style="41" bestFit="1" customWidth="1"/>
    <col min="69" max="69" width="12.21875" style="41" bestFit="1" customWidth="1"/>
    <col min="70" max="70" width="11.21875" style="41" bestFit="1" customWidth="1"/>
    <col min="71" max="71" width="12.21875" style="41" bestFit="1" customWidth="1"/>
    <col min="72" max="72" width="11.21875" style="41" bestFit="1" customWidth="1"/>
    <col min="73" max="77" width="12.21875" style="41" bestFit="1" customWidth="1"/>
    <col min="78" max="78" width="11.21875" style="41" bestFit="1" customWidth="1"/>
    <col min="79" max="81" width="12.21875" style="41" bestFit="1" customWidth="1"/>
    <col min="82" max="82" width="13.88671875" style="41" bestFit="1" customWidth="1"/>
    <col min="83" max="84" width="12.21875" style="41" bestFit="1" customWidth="1"/>
    <col min="85" max="86" width="11.21875" style="41" bestFit="1" customWidth="1"/>
    <col min="87" max="87" width="12.21875" style="41" bestFit="1" customWidth="1"/>
    <col min="88" max="92" width="11.21875" style="41" bestFit="1" customWidth="1"/>
    <col min="93" max="93" width="13.88671875" style="41" bestFit="1" customWidth="1"/>
    <col min="94" max="94" width="12.21875" style="41" bestFit="1" customWidth="1"/>
    <col min="95" max="95" width="11.21875" style="41" bestFit="1" customWidth="1"/>
    <col min="96" max="97" width="12.21875" style="41" bestFit="1" customWidth="1"/>
    <col min="98" max="99" width="11.21875" style="41" bestFit="1" customWidth="1"/>
    <col min="100" max="100" width="10.21875" style="41" bestFit="1" customWidth="1"/>
    <col min="101" max="103" width="11.21875" style="41" bestFit="1" customWidth="1"/>
    <col min="104" max="104" width="10.21875" style="41" bestFit="1" customWidth="1"/>
    <col min="105" max="109" width="11.21875" style="41" bestFit="1" customWidth="1"/>
    <col min="110" max="110" width="10.21875" style="41" bestFit="1" customWidth="1"/>
    <col min="111" max="115" width="11.21875" style="41" bestFit="1" customWidth="1"/>
    <col min="116" max="116" width="12.21875" style="41" bestFit="1" customWidth="1"/>
    <col min="117" max="117" width="11.21875" style="41" bestFit="1" customWidth="1"/>
    <col min="118" max="118" width="12.21875" style="41" bestFit="1" customWidth="1"/>
    <col min="119" max="119" width="11.21875" style="41" bestFit="1" customWidth="1"/>
    <col min="120" max="120" width="10.21875" style="41" bestFit="1" customWidth="1"/>
    <col min="121" max="129" width="11.21875" style="41" bestFit="1" customWidth="1"/>
    <col min="130" max="130" width="12.21875" style="41" bestFit="1" customWidth="1"/>
    <col min="131" max="134" width="11.21875" style="41" bestFit="1" customWidth="1"/>
    <col min="135" max="135" width="10.21875" style="41" bestFit="1" customWidth="1"/>
    <col min="136" max="136" width="11.21875" style="41" bestFit="1" customWidth="1"/>
    <col min="137" max="137" width="12.21875" style="41" bestFit="1" customWidth="1"/>
    <col min="138" max="144" width="11.21875" style="41" bestFit="1" customWidth="1"/>
    <col min="145" max="145" width="10.21875" style="41" bestFit="1" customWidth="1"/>
    <col min="146" max="150" width="11.21875" style="41" bestFit="1" customWidth="1"/>
    <col min="151" max="151" width="10.21875" style="41" bestFit="1" customWidth="1"/>
    <col min="152" max="152" width="11.21875" style="41" bestFit="1" customWidth="1"/>
    <col min="153" max="153" width="10.21875" style="41" bestFit="1" customWidth="1"/>
    <col min="154" max="155" width="11.21875" style="41" bestFit="1" customWidth="1"/>
    <col min="156" max="156" width="10.21875" style="41" bestFit="1" customWidth="1"/>
    <col min="157" max="172" width="11.21875" style="41" bestFit="1" customWidth="1"/>
    <col min="173" max="173" width="10.21875" style="41" bestFit="1" customWidth="1"/>
    <col min="174" max="174" width="14.88671875" style="41" bestFit="1" customWidth="1"/>
    <col min="175" max="16384" width="8.77734375" style="41"/>
  </cols>
  <sheetData>
    <row r="1" spans="1:14" s="45" customFormat="1" ht="21" x14ac:dyDescent="0.4">
      <c r="A1" s="46" t="s">
        <v>2920</v>
      </c>
    </row>
    <row r="2" spans="1:14" s="48" customFormat="1" ht="12" x14ac:dyDescent="0.25">
      <c r="A2" s="48" t="s">
        <v>2921</v>
      </c>
    </row>
    <row r="3" spans="1:14" s="48" customFormat="1" ht="12" x14ac:dyDescent="0.25">
      <c r="A3" s="47" t="s">
        <v>2922</v>
      </c>
    </row>
    <row r="5" spans="1:14" s="74" customFormat="1" ht="18" x14ac:dyDescent="0.35">
      <c r="B5" s="74" t="s">
        <v>3057</v>
      </c>
      <c r="G5" s="74" t="s">
        <v>3062</v>
      </c>
      <c r="L5" s="74" t="s">
        <v>3064</v>
      </c>
    </row>
    <row r="6" spans="1:14" s="52" customFormat="1" ht="10.8" x14ac:dyDescent="0.25">
      <c r="B6" s="52" t="s">
        <v>3061</v>
      </c>
      <c r="G6" s="52" t="s">
        <v>3063</v>
      </c>
      <c r="L6" s="52" t="s">
        <v>3065</v>
      </c>
    </row>
    <row r="8" spans="1:14" x14ac:dyDescent="0.3">
      <c r="B8" s="75" t="s">
        <v>3059</v>
      </c>
      <c r="G8" s="126" t="s">
        <v>3116</v>
      </c>
      <c r="H8" t="s">
        <v>3115</v>
      </c>
      <c r="I8" t="s">
        <v>2850</v>
      </c>
      <c r="L8" s="126" t="s">
        <v>3116</v>
      </c>
      <c r="M8" t="s">
        <v>3114</v>
      </c>
      <c r="N8" t="s">
        <v>2850</v>
      </c>
    </row>
    <row r="9" spans="1:14" x14ac:dyDescent="0.3">
      <c r="B9" s="75"/>
      <c r="G9" s="127" t="s">
        <v>2892</v>
      </c>
      <c r="H9" s="56">
        <v>388800000</v>
      </c>
      <c r="I9" s="128">
        <v>6.4960669388955351E-3</v>
      </c>
      <c r="L9" s="127" t="s">
        <v>2901</v>
      </c>
      <c r="M9" s="135">
        <v>47</v>
      </c>
      <c r="N9" s="128">
        <v>5.7881773399014777E-2</v>
      </c>
    </row>
    <row r="10" spans="1:14" x14ac:dyDescent="0.3">
      <c r="B10" s="126" t="s">
        <v>3112</v>
      </c>
      <c r="C10" t="s">
        <v>3114</v>
      </c>
      <c r="D10" t="s">
        <v>2850</v>
      </c>
      <c r="G10" s="127" t="s">
        <v>2911</v>
      </c>
      <c r="H10" s="56">
        <v>733000000</v>
      </c>
      <c r="I10" s="128">
        <v>1.2246957474821057E-2</v>
      </c>
      <c r="L10" s="127" t="s">
        <v>2897</v>
      </c>
      <c r="M10" s="135">
        <v>108</v>
      </c>
      <c r="N10" s="128">
        <v>0.13300492610837439</v>
      </c>
    </row>
    <row r="11" spans="1:14" x14ac:dyDescent="0.3">
      <c r="B11" s="127" t="s">
        <v>2903</v>
      </c>
      <c r="C11" s="135">
        <v>280</v>
      </c>
      <c r="D11" s="128">
        <v>0.34482758620689657</v>
      </c>
      <c r="G11" s="127" t="s">
        <v>2897</v>
      </c>
      <c r="H11" s="56">
        <v>1715470000</v>
      </c>
      <c r="I11" s="128">
        <v>2.866205748885577E-2</v>
      </c>
      <c r="L11" s="127" t="s">
        <v>2887</v>
      </c>
      <c r="M11" s="135">
        <v>99</v>
      </c>
      <c r="N11" s="128">
        <v>0.12192118226600986</v>
      </c>
    </row>
    <row r="12" spans="1:14" x14ac:dyDescent="0.3">
      <c r="B12" s="127" t="s">
        <v>2889</v>
      </c>
      <c r="C12" s="135">
        <v>532</v>
      </c>
      <c r="D12" s="128">
        <v>0.65517241379310343</v>
      </c>
      <c r="G12" s="127" t="s">
        <v>2887</v>
      </c>
      <c r="H12" s="56">
        <v>2565690000</v>
      </c>
      <c r="I12" s="128">
        <v>4.2867525680182317E-2</v>
      </c>
      <c r="L12" s="127" t="s">
        <v>2916</v>
      </c>
      <c r="M12" s="135">
        <v>371</v>
      </c>
      <c r="N12" s="128">
        <v>0.45689655172413796</v>
      </c>
    </row>
    <row r="13" spans="1:14" x14ac:dyDescent="0.3">
      <c r="B13" s="127" t="s">
        <v>3113</v>
      </c>
      <c r="C13" s="135">
        <v>812</v>
      </c>
      <c r="D13" s="128">
        <v>1</v>
      </c>
      <c r="G13" s="127" t="s">
        <v>2906</v>
      </c>
      <c r="H13" s="56">
        <v>2765895000</v>
      </c>
      <c r="I13" s="128">
        <v>4.6212549037953875E-2</v>
      </c>
      <c r="L13" s="127" t="s">
        <v>2911</v>
      </c>
      <c r="M13" s="135">
        <v>13</v>
      </c>
      <c r="N13" s="128">
        <v>1.600985221674877E-2</v>
      </c>
    </row>
    <row r="14" spans="1:14" x14ac:dyDescent="0.3">
      <c r="B14"/>
      <c r="C14"/>
      <c r="D14"/>
      <c r="G14" s="127" t="s">
        <v>2916</v>
      </c>
      <c r="H14" s="56">
        <v>4954610000</v>
      </c>
      <c r="I14" s="128">
        <v>8.2781579773974295E-2</v>
      </c>
      <c r="L14" s="127" t="s">
        <v>2906</v>
      </c>
      <c r="M14" s="135">
        <v>101</v>
      </c>
      <c r="N14" s="128">
        <v>0.12438423645320197</v>
      </c>
    </row>
    <row r="15" spans="1:14" x14ac:dyDescent="0.3">
      <c r="B15"/>
      <c r="C15"/>
      <c r="D15"/>
      <c r="G15" s="127" t="s">
        <v>2901</v>
      </c>
      <c r="H15" s="56">
        <v>14921080000</v>
      </c>
      <c r="I15" s="128">
        <v>0.24930127181228237</v>
      </c>
      <c r="L15" s="127" t="s">
        <v>2892</v>
      </c>
      <c r="M15" s="135">
        <v>7</v>
      </c>
      <c r="N15" s="128">
        <v>8.6206896551724137E-3</v>
      </c>
    </row>
    <row r="16" spans="1:14" x14ac:dyDescent="0.3">
      <c r="B16" s="76" t="s">
        <v>3060</v>
      </c>
      <c r="C16"/>
      <c r="D16"/>
      <c r="G16" s="127" t="s">
        <v>2882</v>
      </c>
      <c r="H16" s="56">
        <v>31807055000</v>
      </c>
      <c r="I16" s="128">
        <v>0.5314319917930348</v>
      </c>
      <c r="L16" s="127" t="s">
        <v>2882</v>
      </c>
      <c r="M16" s="135">
        <v>66</v>
      </c>
      <c r="N16" s="128">
        <v>8.1280788177339899E-2</v>
      </c>
    </row>
    <row r="17" spans="2:174" x14ac:dyDescent="0.3">
      <c r="B17" s="76"/>
      <c r="C17"/>
      <c r="D17"/>
      <c r="G17" s="127" t="s">
        <v>3113</v>
      </c>
      <c r="H17" s="56">
        <v>59851600000</v>
      </c>
      <c r="I17" s="128">
        <v>1</v>
      </c>
      <c r="L17" s="127" t="s">
        <v>3113</v>
      </c>
      <c r="M17" s="135">
        <v>812</v>
      </c>
      <c r="N17" s="128">
        <v>1</v>
      </c>
    </row>
    <row r="18" spans="2:174" x14ac:dyDescent="0.3">
      <c r="B18" s="126" t="s">
        <v>3112</v>
      </c>
      <c r="C18" t="s">
        <v>3114</v>
      </c>
      <c r="D18" t="s">
        <v>2850</v>
      </c>
      <c r="G18"/>
      <c r="H18"/>
      <c r="I18"/>
      <c r="L18"/>
      <c r="M18"/>
      <c r="N18"/>
    </row>
    <row r="19" spans="2:174" x14ac:dyDescent="0.3">
      <c r="B19" s="127" t="s">
        <v>2903</v>
      </c>
      <c r="C19" s="135">
        <v>313</v>
      </c>
      <c r="D19" s="128">
        <v>0.3854679802955665</v>
      </c>
    </row>
    <row r="20" spans="2:174" x14ac:dyDescent="0.3">
      <c r="B20" s="127" t="s">
        <v>2889</v>
      </c>
      <c r="C20" s="135">
        <v>499</v>
      </c>
      <c r="D20" s="128">
        <v>0.6145320197044335</v>
      </c>
    </row>
    <row r="21" spans="2:174" x14ac:dyDescent="0.3">
      <c r="B21" s="127" t="s">
        <v>3113</v>
      </c>
      <c r="C21" s="135">
        <v>812</v>
      </c>
      <c r="D21" s="128">
        <v>1</v>
      </c>
      <c r="L21" s="126" t="s">
        <v>3112</v>
      </c>
      <c r="M21" t="s">
        <v>3114</v>
      </c>
      <c r="N21" t="s">
        <v>3119</v>
      </c>
      <c r="O21" t="s">
        <v>3117</v>
      </c>
      <c r="P21" t="s">
        <v>3118</v>
      </c>
    </row>
    <row r="22" spans="2:174" x14ac:dyDescent="0.3">
      <c r="B22"/>
      <c r="C22"/>
      <c r="D22"/>
      <c r="J22"/>
      <c r="K22"/>
      <c r="L22" s="127" t="s">
        <v>2906</v>
      </c>
      <c r="M22" s="135">
        <v>19</v>
      </c>
      <c r="N22" s="128">
        <v>2.3399014778325122E-2</v>
      </c>
      <c r="O22" s="56">
        <v>254625000</v>
      </c>
      <c r="P22" s="128">
        <v>4.2542722333237543E-3</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row>
    <row r="23" spans="2:174" x14ac:dyDescent="0.3">
      <c r="B23"/>
      <c r="C23"/>
      <c r="D23"/>
      <c r="J23"/>
      <c r="K23"/>
      <c r="L23" s="127" t="s">
        <v>2887</v>
      </c>
      <c r="M23" s="135">
        <v>36</v>
      </c>
      <c r="N23" s="128">
        <v>4.4334975369458129E-2</v>
      </c>
      <c r="O23" s="56">
        <v>442545000</v>
      </c>
      <c r="P23" s="128">
        <v>7.3940379204565964E-3</v>
      </c>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row>
    <row r="24" spans="2:174" x14ac:dyDescent="0.3">
      <c r="B24" s="76" t="s">
        <v>3120</v>
      </c>
      <c r="C24"/>
      <c r="D24"/>
      <c r="J24"/>
      <c r="K24"/>
      <c r="L24" s="127" t="s">
        <v>2897</v>
      </c>
      <c r="M24" s="135">
        <v>122</v>
      </c>
      <c r="N24" s="128">
        <v>0.15024630541871922</v>
      </c>
      <c r="O24" s="56">
        <v>1064015000</v>
      </c>
      <c r="P24" s="128">
        <v>1.7777553148119681E-2</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row>
    <row r="25" spans="2:174" x14ac:dyDescent="0.3">
      <c r="B25" s="76"/>
      <c r="C25"/>
      <c r="D25"/>
      <c r="L25" s="127" t="s">
        <v>2916</v>
      </c>
      <c r="M25" s="135">
        <v>229</v>
      </c>
      <c r="N25" s="128">
        <v>0.28201970443349755</v>
      </c>
      <c r="O25" s="56">
        <v>1789420000</v>
      </c>
      <c r="P25" s="128">
        <v>2.9897613430551563E-2</v>
      </c>
    </row>
    <row r="26" spans="2:174" x14ac:dyDescent="0.3">
      <c r="B26" s="126" t="s">
        <v>3112</v>
      </c>
      <c r="C26" t="s">
        <v>3114</v>
      </c>
      <c r="D26" t="s">
        <v>2850</v>
      </c>
      <c r="L26" s="127" t="s">
        <v>2892</v>
      </c>
      <c r="M26" s="135">
        <v>62</v>
      </c>
      <c r="N26" s="128">
        <v>7.6354679802955669E-2</v>
      </c>
      <c r="O26" s="56">
        <v>2114200000</v>
      </c>
      <c r="P26" s="128">
        <v>3.5324034779354273E-2</v>
      </c>
    </row>
    <row r="27" spans="2:174" x14ac:dyDescent="0.3">
      <c r="B27" s="127" t="s">
        <v>2889</v>
      </c>
      <c r="C27" s="135">
        <v>679</v>
      </c>
      <c r="D27" s="128">
        <v>0.83620689655172409</v>
      </c>
      <c r="L27" s="127" t="s">
        <v>2911</v>
      </c>
      <c r="M27" s="135">
        <v>86</v>
      </c>
      <c r="N27" s="128">
        <v>0.10591133004926108</v>
      </c>
      <c r="O27" s="56">
        <v>2824245000</v>
      </c>
      <c r="P27" s="128">
        <v>4.7187460318521141E-2</v>
      </c>
    </row>
    <row r="28" spans="2:174" x14ac:dyDescent="0.3">
      <c r="B28" s="127" t="s">
        <v>2903</v>
      </c>
      <c r="C28" s="135">
        <v>133</v>
      </c>
      <c r="D28" s="128">
        <v>0.16379310344827586</v>
      </c>
      <c r="L28" s="127" t="s">
        <v>2901</v>
      </c>
      <c r="M28" s="135">
        <v>75</v>
      </c>
      <c r="N28" s="128">
        <v>9.2364532019704432E-2</v>
      </c>
      <c r="O28" s="56">
        <v>9302985000</v>
      </c>
      <c r="P28" s="128">
        <v>0.15543419056466326</v>
      </c>
    </row>
    <row r="29" spans="2:174" x14ac:dyDescent="0.3">
      <c r="B29" s="127" t="s">
        <v>3113</v>
      </c>
      <c r="C29" s="135">
        <v>812</v>
      </c>
      <c r="D29" s="128">
        <v>1</v>
      </c>
      <c r="L29" s="127" t="s">
        <v>2882</v>
      </c>
      <c r="M29" s="135">
        <v>183</v>
      </c>
      <c r="N29" s="128">
        <v>0.22536945812807882</v>
      </c>
      <c r="O29" s="56">
        <v>42059565000</v>
      </c>
      <c r="P29" s="128">
        <v>0.70273083760500976</v>
      </c>
    </row>
    <row r="30" spans="2:174" x14ac:dyDescent="0.3">
      <c r="B30"/>
      <c r="L30" s="127" t="s">
        <v>3113</v>
      </c>
      <c r="M30" s="135">
        <v>812</v>
      </c>
      <c r="N30" s="128">
        <v>1</v>
      </c>
      <c r="O30" s="56">
        <v>59851600000</v>
      </c>
      <c r="P30" s="128">
        <v>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90B10-B585-4153-ADF5-6A154B81AA28}">
  <sheetPr>
    <tabColor rgb="FF0070C0"/>
  </sheetPr>
  <dimension ref="A1:B31"/>
  <sheetViews>
    <sheetView topLeftCell="A3" zoomScale="90" zoomScaleNormal="90" workbookViewId="0">
      <selection activeCell="D20" sqref="D20"/>
    </sheetView>
  </sheetViews>
  <sheetFormatPr defaultColWidth="8.77734375" defaultRowHeight="14.4" x14ac:dyDescent="0.3"/>
  <cols>
    <col min="1" max="1" width="2.77734375" style="41" customWidth="1"/>
    <col min="2" max="2" width="65.109375" style="41" customWidth="1"/>
    <col min="3" max="16384" width="8.77734375" style="41"/>
  </cols>
  <sheetData>
    <row r="1" spans="1:2" s="45" customFormat="1" ht="21" x14ac:dyDescent="0.4">
      <c r="A1" s="46" t="s">
        <v>2920</v>
      </c>
    </row>
    <row r="2" spans="1:2" s="48" customFormat="1" ht="12" x14ac:dyDescent="0.25">
      <c r="A2" s="48" t="s">
        <v>2921</v>
      </c>
    </row>
    <row r="3" spans="1:2" s="48" customFormat="1" ht="12" x14ac:dyDescent="0.25">
      <c r="A3" s="47" t="s">
        <v>2922</v>
      </c>
    </row>
    <row r="4" spans="1:2" ht="15" thickBot="1" x14ac:dyDescent="0.35"/>
    <row r="5" spans="1:2" x14ac:dyDescent="0.3">
      <c r="B5" s="77"/>
    </row>
    <row r="6" spans="1:2" ht="21" x14ac:dyDescent="0.4">
      <c r="B6" s="78" t="s">
        <v>3066</v>
      </c>
    </row>
    <row r="7" spans="1:2" x14ac:dyDescent="0.3">
      <c r="B7" s="79"/>
    </row>
    <row r="8" spans="1:2" x14ac:dyDescent="0.3">
      <c r="B8" s="80" t="s">
        <v>3077</v>
      </c>
    </row>
    <row r="9" spans="1:2" x14ac:dyDescent="0.3">
      <c r="B9" s="81" t="s">
        <v>3078</v>
      </c>
    </row>
    <row r="10" spans="1:2" x14ac:dyDescent="0.3">
      <c r="B10" s="82" t="s">
        <v>3067</v>
      </c>
    </row>
    <row r="11" spans="1:2" x14ac:dyDescent="0.3">
      <c r="B11" s="82" t="s">
        <v>3068</v>
      </c>
    </row>
    <row r="12" spans="1:2" x14ac:dyDescent="0.3">
      <c r="B12" s="82" t="s">
        <v>3069</v>
      </c>
    </row>
    <row r="13" spans="1:2" x14ac:dyDescent="0.3">
      <c r="B13" s="82" t="s">
        <v>3070</v>
      </c>
    </row>
    <row r="14" spans="1:2" x14ac:dyDescent="0.3">
      <c r="B14" s="82" t="s">
        <v>3071</v>
      </c>
    </row>
    <row r="15" spans="1:2" x14ac:dyDescent="0.3">
      <c r="B15" s="81" t="s">
        <v>3079</v>
      </c>
    </row>
    <row r="16" spans="1:2" x14ac:dyDescent="0.3">
      <c r="B16" s="81"/>
    </row>
    <row r="17" spans="2:2" x14ac:dyDescent="0.3">
      <c r="B17" s="83" t="s">
        <v>3080</v>
      </c>
    </row>
    <row r="18" spans="2:2" x14ac:dyDescent="0.3">
      <c r="B18" s="81" t="s">
        <v>3083</v>
      </c>
    </row>
    <row r="19" spans="2:2" x14ac:dyDescent="0.3">
      <c r="B19" s="81" t="s">
        <v>3084</v>
      </c>
    </row>
    <row r="20" spans="2:2" x14ac:dyDescent="0.3">
      <c r="B20" s="84" t="s">
        <v>3072</v>
      </c>
    </row>
    <row r="21" spans="2:2" x14ac:dyDescent="0.3">
      <c r="B21" s="84" t="s">
        <v>3073</v>
      </c>
    </row>
    <row r="22" spans="2:2" x14ac:dyDescent="0.3">
      <c r="B22" s="84" t="s">
        <v>3074</v>
      </c>
    </row>
    <row r="23" spans="2:2" x14ac:dyDescent="0.3">
      <c r="B23" s="81" t="s">
        <v>3081</v>
      </c>
    </row>
    <row r="24" spans="2:2" x14ac:dyDescent="0.3">
      <c r="B24" s="84" t="s">
        <v>3075</v>
      </c>
    </row>
    <row r="25" spans="2:2" x14ac:dyDescent="0.3">
      <c r="B25" s="84" t="s">
        <v>3076</v>
      </c>
    </row>
    <row r="26" spans="2:2" x14ac:dyDescent="0.3">
      <c r="B26" s="81"/>
    </row>
    <row r="27" spans="2:2" x14ac:dyDescent="0.3">
      <c r="B27" s="83" t="s">
        <v>3082</v>
      </c>
    </row>
    <row r="28" spans="2:2" x14ac:dyDescent="0.3">
      <c r="B28" s="81" t="s">
        <v>3085</v>
      </c>
    </row>
    <row r="29" spans="2:2" x14ac:dyDescent="0.3">
      <c r="B29" s="81" t="s">
        <v>3086</v>
      </c>
    </row>
    <row r="30" spans="2:2" x14ac:dyDescent="0.3">
      <c r="B30" s="81" t="s">
        <v>3087</v>
      </c>
    </row>
    <row r="31" spans="2:2" ht="15" thickBot="1" x14ac:dyDescent="0.35">
      <c r="B31" s="8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E86E-7C0A-41A3-ABD6-A4957F0CB11B}">
  <sheetPr>
    <tabColor rgb="FFFFC000"/>
  </sheetPr>
  <dimension ref="A1:B63"/>
  <sheetViews>
    <sheetView showGridLines="0" topLeftCell="A39" workbookViewId="0">
      <selection activeCell="B27" sqref="B27"/>
    </sheetView>
  </sheetViews>
  <sheetFormatPr defaultColWidth="8.77734375" defaultRowHeight="14.4" x14ac:dyDescent="0.3"/>
  <cols>
    <col min="1" max="1" width="3" style="41" customWidth="1"/>
    <col min="2" max="2" width="80.44140625" style="41" bestFit="1" customWidth="1"/>
    <col min="3" max="16384" width="8.77734375" style="41"/>
  </cols>
  <sheetData>
    <row r="1" spans="1:2" s="45" customFormat="1" ht="21" x14ac:dyDescent="0.4">
      <c r="A1" s="46" t="s">
        <v>2920</v>
      </c>
    </row>
    <row r="2" spans="1:2" s="48" customFormat="1" ht="12" x14ac:dyDescent="0.25">
      <c r="A2" s="48" t="s">
        <v>2921</v>
      </c>
    </row>
    <row r="3" spans="1:2" s="48" customFormat="1" ht="12" x14ac:dyDescent="0.25">
      <c r="A3" s="47" t="s">
        <v>2922</v>
      </c>
    </row>
    <row r="5" spans="1:2" ht="21" x14ac:dyDescent="0.3">
      <c r="B5" s="58" t="s">
        <v>3044</v>
      </c>
    </row>
    <row r="6" spans="1:2" s="52" customFormat="1" ht="11.4" thickBot="1" x14ac:dyDescent="0.3">
      <c r="B6" s="71"/>
    </row>
    <row r="7" spans="1:2" x14ac:dyDescent="0.3">
      <c r="B7" s="59"/>
    </row>
    <row r="8" spans="1:2" ht="15.6" x14ac:dyDescent="0.3">
      <c r="B8" s="72" t="s">
        <v>3045</v>
      </c>
    </row>
    <row r="9" spans="1:2" x14ac:dyDescent="0.3">
      <c r="B9" s="60"/>
    </row>
    <row r="10" spans="1:2" x14ac:dyDescent="0.3">
      <c r="B10" s="60" t="s">
        <v>3017</v>
      </c>
    </row>
    <row r="11" spans="1:2" x14ac:dyDescent="0.3">
      <c r="B11" s="60" t="s">
        <v>3046</v>
      </c>
    </row>
    <row r="12" spans="1:2" x14ac:dyDescent="0.3">
      <c r="B12" s="60"/>
    </row>
    <row r="13" spans="1:2" x14ac:dyDescent="0.3">
      <c r="B13" s="61" t="s">
        <v>3018</v>
      </c>
    </row>
    <row r="14" spans="1:2" x14ac:dyDescent="0.3">
      <c r="B14" s="62" t="s">
        <v>3019</v>
      </c>
    </row>
    <row r="15" spans="1:2" x14ac:dyDescent="0.3">
      <c r="B15" s="63" t="s">
        <v>3020</v>
      </c>
    </row>
    <row r="16" spans="1:2" x14ac:dyDescent="0.3">
      <c r="B16" s="63" t="s">
        <v>3021</v>
      </c>
    </row>
    <row r="17" spans="2:2" x14ac:dyDescent="0.3">
      <c r="B17" s="63" t="s">
        <v>3022</v>
      </c>
    </row>
    <row r="18" spans="2:2" x14ac:dyDescent="0.3">
      <c r="B18" s="60"/>
    </row>
    <row r="19" spans="2:2" x14ac:dyDescent="0.3">
      <c r="B19" s="62" t="s">
        <v>3023</v>
      </c>
    </row>
    <row r="20" spans="2:2" x14ac:dyDescent="0.3">
      <c r="B20" s="63" t="s">
        <v>3024</v>
      </c>
    </row>
    <row r="21" spans="2:2" x14ac:dyDescent="0.3">
      <c r="B21" s="63" t="s">
        <v>3025</v>
      </c>
    </row>
    <row r="22" spans="2:2" x14ac:dyDescent="0.3">
      <c r="B22" s="63" t="s">
        <v>3026</v>
      </c>
    </row>
    <row r="23" spans="2:2" x14ac:dyDescent="0.3">
      <c r="B23" s="60"/>
    </row>
    <row r="24" spans="2:2" x14ac:dyDescent="0.3">
      <c r="B24" s="62" t="s">
        <v>3027</v>
      </c>
    </row>
    <row r="25" spans="2:2" x14ac:dyDescent="0.3">
      <c r="B25" s="63" t="s">
        <v>3028</v>
      </c>
    </row>
    <row r="26" spans="2:2" x14ac:dyDescent="0.3">
      <c r="B26" s="63" t="s">
        <v>3029</v>
      </c>
    </row>
    <row r="27" spans="2:2" x14ac:dyDescent="0.3">
      <c r="B27" s="63" t="s">
        <v>3030</v>
      </c>
    </row>
    <row r="28" spans="2:2" ht="15" thickBot="1" x14ac:dyDescent="0.35">
      <c r="B28" s="64"/>
    </row>
    <row r="29" spans="2:2" ht="15" thickBot="1" x14ac:dyDescent="0.35">
      <c r="B29" s="57"/>
    </row>
    <row r="30" spans="2:2" x14ac:dyDescent="0.3">
      <c r="B30" s="59"/>
    </row>
    <row r="31" spans="2:2" ht="15.6" x14ac:dyDescent="0.3">
      <c r="B31" s="72" t="s">
        <v>3047</v>
      </c>
    </row>
    <row r="32" spans="2:2" x14ac:dyDescent="0.3">
      <c r="B32" s="60"/>
    </row>
    <row r="33" spans="2:2" x14ac:dyDescent="0.3">
      <c r="B33" s="60" t="s">
        <v>3038</v>
      </c>
    </row>
    <row r="34" spans="2:2" x14ac:dyDescent="0.3">
      <c r="B34" s="60"/>
    </row>
    <row r="35" spans="2:2" x14ac:dyDescent="0.3">
      <c r="B35" s="60" t="s">
        <v>3031</v>
      </c>
    </row>
    <row r="36" spans="2:2" x14ac:dyDescent="0.3">
      <c r="B36" s="65" t="s">
        <v>3039</v>
      </c>
    </row>
    <row r="37" spans="2:2" ht="15" thickBot="1" x14ac:dyDescent="0.35">
      <c r="B37" s="64"/>
    </row>
    <row r="38" spans="2:2" ht="15" thickBot="1" x14ac:dyDescent="0.35">
      <c r="B38" s="57"/>
    </row>
    <row r="39" spans="2:2" x14ac:dyDescent="0.3">
      <c r="B39" s="59"/>
    </row>
    <row r="40" spans="2:2" ht="15.6" x14ac:dyDescent="0.3">
      <c r="B40" s="72" t="s">
        <v>3048</v>
      </c>
    </row>
    <row r="41" spans="2:2" x14ac:dyDescent="0.3">
      <c r="B41" s="60"/>
    </row>
    <row r="42" spans="2:2" x14ac:dyDescent="0.3">
      <c r="B42" s="60" t="s">
        <v>3032</v>
      </c>
    </row>
    <row r="43" spans="2:2" x14ac:dyDescent="0.3">
      <c r="B43" s="63" t="s">
        <v>3033</v>
      </c>
    </row>
    <row r="44" spans="2:2" x14ac:dyDescent="0.3">
      <c r="B44" s="63" t="s">
        <v>3034</v>
      </c>
    </row>
    <row r="45" spans="2:2" x14ac:dyDescent="0.3">
      <c r="B45" s="63" t="s">
        <v>3035</v>
      </c>
    </row>
    <row r="46" spans="2:2" x14ac:dyDescent="0.3">
      <c r="B46" s="60"/>
    </row>
    <row r="47" spans="2:2" x14ac:dyDescent="0.3">
      <c r="B47" s="60" t="s">
        <v>3036</v>
      </c>
    </row>
    <row r="48" spans="2:2" x14ac:dyDescent="0.3">
      <c r="B48" s="66" t="s">
        <v>3040</v>
      </c>
    </row>
    <row r="49" spans="2:2" x14ac:dyDescent="0.3">
      <c r="B49" s="66" t="s">
        <v>3041</v>
      </c>
    </row>
    <row r="50" spans="2:2" x14ac:dyDescent="0.3">
      <c r="B50" s="66" t="s">
        <v>3042</v>
      </c>
    </row>
    <row r="51" spans="2:2" ht="15" thickBot="1" x14ac:dyDescent="0.35">
      <c r="B51" s="64"/>
    </row>
    <row r="52" spans="2:2" ht="15" thickBot="1" x14ac:dyDescent="0.35">
      <c r="B52" s="57"/>
    </row>
    <row r="53" spans="2:2" x14ac:dyDescent="0.3">
      <c r="B53" s="59"/>
    </row>
    <row r="54" spans="2:2" ht="15.6" x14ac:dyDescent="0.3">
      <c r="B54" s="73" t="s">
        <v>3049</v>
      </c>
    </row>
    <row r="55" spans="2:2" x14ac:dyDescent="0.3">
      <c r="B55" s="66"/>
    </row>
    <row r="56" spans="2:2" x14ac:dyDescent="0.3">
      <c r="B56" s="67" t="s">
        <v>3043</v>
      </c>
    </row>
    <row r="57" spans="2:2" x14ac:dyDescent="0.3">
      <c r="B57" s="60"/>
    </row>
    <row r="58" spans="2:2" x14ac:dyDescent="0.3">
      <c r="B58" s="60" t="s">
        <v>3037</v>
      </c>
    </row>
    <row r="59" spans="2:2" x14ac:dyDescent="0.3">
      <c r="B59" s="68" t="s">
        <v>3050</v>
      </c>
    </row>
    <row r="60" spans="2:2" x14ac:dyDescent="0.3">
      <c r="B60" s="68" t="s">
        <v>3088</v>
      </c>
    </row>
    <row r="61" spans="2:2" x14ac:dyDescent="0.3">
      <c r="B61" s="68" t="s">
        <v>3051</v>
      </c>
    </row>
    <row r="62" spans="2:2" x14ac:dyDescent="0.3">
      <c r="B62" s="69" t="s">
        <v>3052</v>
      </c>
    </row>
    <row r="63" spans="2:2" ht="15" thickBot="1" x14ac:dyDescent="0.35">
      <c r="B63" s="7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C4CB-4761-4926-B61F-2112D1613A9F}">
  <dimension ref="A1:A3"/>
  <sheetViews>
    <sheetView workbookViewId="0">
      <selection activeCell="G12" sqref="G12"/>
    </sheetView>
  </sheetViews>
  <sheetFormatPr defaultColWidth="8.77734375" defaultRowHeight="14.4" x14ac:dyDescent="0.3"/>
  <cols>
    <col min="1" max="16384" width="8.77734375" style="41"/>
  </cols>
  <sheetData>
    <row r="1" spans="1:1" s="45" customFormat="1" ht="21" x14ac:dyDescent="0.4">
      <c r="A1" s="46" t="s">
        <v>2920</v>
      </c>
    </row>
    <row r="2" spans="1:1" s="48" customFormat="1" ht="12" x14ac:dyDescent="0.25">
      <c r="A2" s="48" t="s">
        <v>2921</v>
      </c>
    </row>
    <row r="3" spans="1:1" s="48" customFormat="1" ht="12" x14ac:dyDescent="0.25">
      <c r="A3" s="47" t="s">
        <v>2922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RFM Analysis</vt:lpstr>
      <vt:lpstr>RFM_Table</vt:lpstr>
      <vt:lpstr>raw_rfm</vt:lpstr>
      <vt:lpstr>WK01</vt:lpstr>
      <vt:lpstr>recency</vt:lpstr>
      <vt:lpstr>frequency</vt:lpstr>
      <vt:lpstr>monetary</vt:lpstr>
      <vt:lpstr>WK02</vt:lpstr>
      <vt:lpstr>WK03</vt:lpstr>
      <vt:lpstr>Next</vt:lpstr>
      <vt:lpstr>Sheet1</vt:lpstr>
      <vt:lpstr>analysis_date</vt:lpstr>
      <vt:lpstr>frequency_threshold</vt:lpstr>
      <vt:lpstr>recency_threshold</vt:lpstr>
      <vt:lpstr>return_window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Charm Myae Aung</dc:creator>
  <cp:lastModifiedBy>NayChi Htet</cp:lastModifiedBy>
  <cp:lastPrinted>2026-03-19T07:47:13Z</cp:lastPrinted>
  <dcterms:created xsi:type="dcterms:W3CDTF">2026-03-19T07:10:57Z</dcterms:created>
  <dcterms:modified xsi:type="dcterms:W3CDTF">2026-06-22T09:09:44Z</dcterms:modified>
</cp:coreProperties>
</file>